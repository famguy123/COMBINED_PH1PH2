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1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6_ΕΣΟΔΑ" sheetId="2" state="visible" r:id="rId2"/>
    <sheet xmlns:r="http://schemas.openxmlformats.org/officeDocument/2006/relationships" name="2026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6 Ιανουάριος" sheetId="6" state="visible" r:id="rId6"/>
    <sheet xmlns:r="http://schemas.openxmlformats.org/officeDocument/2006/relationships" name="2026 Φεβρουάριος" sheetId="7" state="visible" r:id="rId7"/>
    <sheet xmlns:r="http://schemas.openxmlformats.org/officeDocument/2006/relationships" name="2026 Μάρτιος" sheetId="8" state="visible" r:id="rId8"/>
    <sheet xmlns:r="http://schemas.openxmlformats.org/officeDocument/2006/relationships" name="2026 Απρίλιος" sheetId="9" state="visible" r:id="rId9"/>
    <sheet xmlns:r="http://schemas.openxmlformats.org/officeDocument/2006/relationships" name="2026 Μάιος" sheetId="10" state="visible" r:id="rId10"/>
    <sheet xmlns:r="http://schemas.openxmlformats.org/officeDocument/2006/relationships" name="2026 Ιούνιος" sheetId="11" state="visible" r:id="rId11"/>
    <sheet xmlns:r="http://schemas.openxmlformats.org/officeDocument/2006/relationships" name="2026 Ιούλιος" sheetId="12" state="visible" r:id="rId12"/>
    <sheet xmlns:r="http://schemas.openxmlformats.org/officeDocument/2006/relationships" name="2026 Aύγουστος" sheetId="13" state="visible" r:id="rId13"/>
    <sheet xmlns:r="http://schemas.openxmlformats.org/officeDocument/2006/relationships" name="2026 Σεπτέμβριος" sheetId="14" state="visible" r:id="rId14"/>
    <sheet xmlns:r="http://schemas.openxmlformats.org/officeDocument/2006/relationships" name="2026 Οκτώβριος" sheetId="15" state="visible" r:id="rId15"/>
    <sheet xmlns:r="http://schemas.openxmlformats.org/officeDocument/2006/relationships" name="2026 Νοέμβριος" sheetId="16" state="visible" r:id="rId16"/>
    <sheet xmlns:r="http://schemas.openxmlformats.org/officeDocument/2006/relationships" name="2026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'2026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58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3" fontId="26" fillId="2" borderId="1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7" pivotButton="0" quotePrefix="0" xfId="0"/>
    <xf numFmtId="0" fontId="10" fillId="0" borderId="11" applyAlignment="1" pivotButton="0" quotePrefix="0" xfId="0">
      <alignment horizontal="center" vertical="center"/>
    </xf>
    <xf numFmtId="1" fontId="27" fillId="11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ΣΥΝΟΛΟ_2026(ΠΡΑΓΜΑΤΟΠΟΙΗΘΕΝ)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'[1]2024_60-69 ΕΞΟΔΑ+ΟΜ 2'!D4</f>
        <v/>
      </c>
      <c r="E7" s="313">
        <f>'[1]2024_60-69 ΕΞΟΔΑ+ΟΜ 2'!E4</f>
        <v/>
      </c>
      <c r="F7" s="313">
        <f>'[1]2024_60-69 ΕΞΟΔΑ+ΟΜ 2'!F4</f>
        <v/>
      </c>
      <c r="G7" s="313">
        <f>'[1]2024_60-69 ΕΞΟΔΑ+ΟΜ 2'!G4</f>
        <v/>
      </c>
      <c r="H7" s="313">
        <f>'[1]2024_60-69 ΕΞΟΔΑ+ΟΜ 2'!H4</f>
        <v/>
      </c>
      <c r="I7" s="313">
        <f>'[1]2024_60-69 ΕΞΟΔΑ+ΟΜ 2'!I4</f>
        <v/>
      </c>
      <c r="J7" s="313">
        <f>'[1]2024_60-69 ΕΞΟΔΑ+ΟΜ 2'!J4</f>
        <v/>
      </c>
      <c r="K7" s="313">
        <f>'[1]2024_60-69 ΕΞΟΔΑ+ΟΜ 2'!K4</f>
        <v/>
      </c>
      <c r="L7" s="313">
        <f>'[1]2024_60-69 ΕΞΟΔΑ+ΟΜ 2'!L4</f>
        <v/>
      </c>
      <c r="M7" s="313">
        <f>'[1]2024_60-69 ΕΞΟΔΑ+ΟΜ 2'!M4</f>
        <v/>
      </c>
      <c r="N7" s="313">
        <f>'[1]2024_60-69 ΕΞΟΔΑ+ΟΜ 2'!N4</f>
        <v/>
      </c>
      <c r="O7" s="313">
        <f>'[1]2024_60-69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'[1]2026_60-69 ΕΞΟΔΑ+ΟΜ 2'!D4</f>
        <v/>
      </c>
      <c r="E9" s="313">
        <f>'[1]2026_60-69 ΕΞΟΔΑ+ΟΜ 2'!E4</f>
        <v/>
      </c>
      <c r="F9" s="313">
        <f>'[1]2026_60-69 ΕΞΟΔΑ+ΟΜ 2'!F4</f>
        <v/>
      </c>
      <c r="G9" s="313">
        <f>'[1]2026_60-69 ΕΞΟΔΑ+ΟΜ 2'!G4</f>
        <v/>
      </c>
      <c r="H9" s="313">
        <f>'[1]2026_60-69 ΕΞΟΔΑ+ΟΜ 2'!H4</f>
        <v/>
      </c>
      <c r="I9" s="313">
        <f>'[1]2026_60-69 ΕΞΟΔΑ+ΟΜ 2'!I4</f>
        <v/>
      </c>
      <c r="J9" s="313">
        <f>'[1]2026_60-69 ΕΞΟΔΑ+ΟΜ 2'!J4</f>
        <v/>
      </c>
      <c r="K9" s="313">
        <f>'[1]2026_60-69 ΕΞΟΔΑ+ΟΜ 2'!K4</f>
        <v/>
      </c>
      <c r="L9" s="313">
        <f>'[1]2026_60-69 ΕΞΟΔΑ+ΟΜ 2'!L4</f>
        <v/>
      </c>
      <c r="M9" s="313">
        <f>'[1]2026_60-69 ΕΞΟΔΑ+ΟΜ 2'!M4</f>
        <v/>
      </c>
      <c r="N9" s="313">
        <f>'[1]2026_60-69 ΕΞΟΔΑ+ΟΜ 2'!N4</f>
        <v/>
      </c>
      <c r="O9" s="313">
        <f>'[1]2026_60-69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'[1]2024_60-69 ΕΞΟΔΑ+ΟΜ 2'!D5</f>
        <v/>
      </c>
      <c r="E12" s="313">
        <f>'[1]2024_60-69 ΕΞΟΔΑ+ΟΜ 2'!E5</f>
        <v/>
      </c>
      <c r="F12" s="313">
        <f>'[1]2024_60-69 ΕΞΟΔΑ+ΟΜ 2'!F5</f>
        <v/>
      </c>
      <c r="G12" s="313">
        <f>'[1]2024_60-69 ΕΞΟΔΑ+ΟΜ 2'!G5</f>
        <v/>
      </c>
      <c r="H12" s="313">
        <f>'[1]2024_60-69 ΕΞΟΔΑ+ΟΜ 2'!H5</f>
        <v/>
      </c>
      <c r="I12" s="313">
        <f>'[1]2024_60-69 ΕΞΟΔΑ+ΟΜ 2'!I5</f>
        <v/>
      </c>
      <c r="J12" s="313">
        <f>'[1]2024_60-69 ΕΞΟΔΑ+ΟΜ 2'!J5</f>
        <v/>
      </c>
      <c r="K12" s="313">
        <f>'[1]2024_60-69 ΕΞΟΔΑ+ΟΜ 2'!K5</f>
        <v/>
      </c>
      <c r="L12" s="313">
        <f>'[1]2024_60-69 ΕΞΟΔΑ+ΟΜ 2'!L5</f>
        <v/>
      </c>
      <c r="M12" s="313">
        <f>'[1]2024_60-69 ΕΞΟΔΑ+ΟΜ 2'!M5</f>
        <v/>
      </c>
      <c r="N12" s="313">
        <f>'[1]2024_60-69 ΕΞΟΔΑ+ΟΜ 2'!N5</f>
        <v/>
      </c>
      <c r="O12" s="313">
        <f>'[1]2024_60-69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'[1]2026_60-69 ΕΞΟΔΑ+ΟΜ 2'!D5</f>
        <v/>
      </c>
      <c r="E14" s="313">
        <f>'[1]2026_60-69 ΕΞΟΔΑ+ΟΜ 2'!E5</f>
        <v/>
      </c>
      <c r="F14" s="313">
        <f>'[1]2026_60-69 ΕΞΟΔΑ+ΟΜ 2'!F5</f>
        <v/>
      </c>
      <c r="G14" s="313">
        <f>'[1]2026_60-69 ΕΞΟΔΑ+ΟΜ 2'!G5</f>
        <v/>
      </c>
      <c r="H14" s="313">
        <f>'[1]2026_60-69 ΕΞΟΔΑ+ΟΜ 2'!H5</f>
        <v/>
      </c>
      <c r="I14" s="313">
        <f>'[1]2026_60-69 ΕΞΟΔΑ+ΟΜ 2'!I5</f>
        <v/>
      </c>
      <c r="J14" s="313">
        <f>'[1]2026_60-69 ΕΞΟΔΑ+ΟΜ 2'!J5</f>
        <v/>
      </c>
      <c r="K14" s="313">
        <f>'[1]2026_60-69 ΕΞΟΔΑ+ΟΜ 2'!K5</f>
        <v/>
      </c>
      <c r="L14" s="313">
        <f>'[1]2026_60-69 ΕΞΟΔΑ+ΟΜ 2'!L5</f>
        <v/>
      </c>
      <c r="M14" s="313">
        <f>'[1]2026_60-69 ΕΞΟΔΑ+ΟΜ 2'!M5</f>
        <v/>
      </c>
      <c r="N14" s="313">
        <f>'[1]2026_60-69 ΕΞΟΔΑ+ΟΜ 2'!N5</f>
        <v/>
      </c>
      <c r="O14" s="313">
        <f>'[1]2026_60-69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'[1]2024_60-69 ΕΞΟΔΑ+ΟΜ 2'!D6</f>
        <v/>
      </c>
      <c r="E17" s="313">
        <f>'[1]2024_60-69 ΕΞΟΔΑ+ΟΜ 2'!E6</f>
        <v/>
      </c>
      <c r="F17" s="313">
        <f>'[1]2024_60-69 ΕΞΟΔΑ+ΟΜ 2'!F6</f>
        <v/>
      </c>
      <c r="G17" s="313">
        <f>'[1]2024_60-69 ΕΞΟΔΑ+ΟΜ 2'!G6</f>
        <v/>
      </c>
      <c r="H17" s="313">
        <f>'[1]2024_60-69 ΕΞΟΔΑ+ΟΜ 2'!H6</f>
        <v/>
      </c>
      <c r="I17" s="313">
        <f>'[1]2024_60-69 ΕΞΟΔΑ+ΟΜ 2'!I6</f>
        <v/>
      </c>
      <c r="J17" s="313">
        <f>'[1]2024_60-69 ΕΞΟΔΑ+ΟΜ 2'!J6</f>
        <v/>
      </c>
      <c r="K17" s="313">
        <f>'[1]2024_60-69 ΕΞΟΔΑ+ΟΜ 2'!K6</f>
        <v/>
      </c>
      <c r="L17" s="313">
        <f>'[1]2024_60-69 ΕΞΟΔΑ+ΟΜ 2'!L6</f>
        <v/>
      </c>
      <c r="M17" s="313">
        <f>'[1]2024_60-69 ΕΞΟΔΑ+ΟΜ 2'!M6</f>
        <v/>
      </c>
      <c r="N17" s="313">
        <f>'[1]2024_60-69 ΕΞΟΔΑ+ΟΜ 2'!N6</f>
        <v/>
      </c>
      <c r="O17" s="313">
        <f>'[1]2024_60-69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'[1]2026_60-69 ΕΞΟΔΑ+ΟΜ 2'!D6</f>
        <v/>
      </c>
      <c r="E19" s="313">
        <f>'[1]2026_60-69 ΕΞΟΔΑ+ΟΜ 2'!E6</f>
        <v/>
      </c>
      <c r="F19" s="313">
        <f>'[1]2026_60-69 ΕΞΟΔΑ+ΟΜ 2'!F6</f>
        <v/>
      </c>
      <c r="G19" s="313">
        <f>'[1]2026_60-69 ΕΞΟΔΑ+ΟΜ 2'!G6</f>
        <v/>
      </c>
      <c r="H19" s="313">
        <f>'[1]2026_60-69 ΕΞΟΔΑ+ΟΜ 2'!H6</f>
        <v/>
      </c>
      <c r="I19" s="313">
        <f>'[1]2026_60-69 ΕΞΟΔΑ+ΟΜ 2'!I6</f>
        <v/>
      </c>
      <c r="J19" s="313">
        <f>'[1]2026_60-69 ΕΞΟΔΑ+ΟΜ 2'!J6</f>
        <v/>
      </c>
      <c r="K19" s="313">
        <f>'[1]2026_60-69 ΕΞΟΔΑ+ΟΜ 2'!K6</f>
        <v/>
      </c>
      <c r="L19" s="313">
        <f>'[1]2026_60-69 ΕΞΟΔΑ+ΟΜ 2'!L6</f>
        <v/>
      </c>
      <c r="M19" s="313">
        <f>'[1]2026_60-69 ΕΞΟΔΑ+ΟΜ 2'!M6</f>
        <v/>
      </c>
      <c r="N19" s="313">
        <f>'[1]2026_60-69 ΕΞΟΔΑ+ΟΜ 2'!N6</f>
        <v/>
      </c>
      <c r="O19" s="313">
        <f>'[1]2026_60-69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'[1]2024_60-69 ΕΞΟΔΑ+ΟΜ 2'!D7</f>
        <v/>
      </c>
      <c r="E22" s="313">
        <f>'[1]2024_60-69 ΕΞΟΔΑ+ΟΜ 2'!E7</f>
        <v/>
      </c>
      <c r="F22" s="313">
        <f>'[1]2024_60-69 ΕΞΟΔΑ+ΟΜ 2'!F7</f>
        <v/>
      </c>
      <c r="G22" s="313">
        <f>'[1]2024_60-69 ΕΞΟΔΑ+ΟΜ 2'!G7</f>
        <v/>
      </c>
      <c r="H22" s="313">
        <f>'[1]2024_60-69 ΕΞΟΔΑ+ΟΜ 2'!H7</f>
        <v/>
      </c>
      <c r="I22" s="313">
        <f>'[1]2024_60-69 ΕΞΟΔΑ+ΟΜ 2'!I7</f>
        <v/>
      </c>
      <c r="J22" s="313">
        <f>'[1]2024_60-69 ΕΞΟΔΑ+ΟΜ 2'!J7</f>
        <v/>
      </c>
      <c r="K22" s="313">
        <f>'[1]2024_60-69 ΕΞΟΔΑ+ΟΜ 2'!K7</f>
        <v/>
      </c>
      <c r="L22" s="313">
        <f>'[1]2024_60-69 ΕΞΟΔΑ+ΟΜ 2'!L7</f>
        <v/>
      </c>
      <c r="M22" s="313">
        <f>'[1]2024_60-69 ΕΞΟΔΑ+ΟΜ 2'!M7</f>
        <v/>
      </c>
      <c r="N22" s="313">
        <f>'[1]2024_60-69 ΕΞΟΔΑ+ΟΜ 2'!N7</f>
        <v/>
      </c>
      <c r="O22" s="313">
        <f>'[1]2024_60-69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'[1]2026_60-69 ΕΞΟΔΑ+ΟΜ 2'!D7</f>
        <v/>
      </c>
      <c r="E24" s="313">
        <f>'[1]2026_60-69 ΕΞΟΔΑ+ΟΜ 2'!E7</f>
        <v/>
      </c>
      <c r="F24" s="313">
        <f>'[1]2026_60-69 ΕΞΟΔΑ+ΟΜ 2'!F7</f>
        <v/>
      </c>
      <c r="G24" s="313">
        <f>'[1]2026_60-69 ΕΞΟΔΑ+ΟΜ 2'!G7</f>
        <v/>
      </c>
      <c r="H24" s="313">
        <f>'[1]2026_60-69 ΕΞΟΔΑ+ΟΜ 2'!H7</f>
        <v/>
      </c>
      <c r="I24" s="313">
        <f>'[1]2026_60-69 ΕΞΟΔΑ+ΟΜ 2'!I7</f>
        <v/>
      </c>
      <c r="J24" s="313">
        <f>'[1]2026_60-69 ΕΞΟΔΑ+ΟΜ 2'!J7</f>
        <v/>
      </c>
      <c r="K24" s="313">
        <f>'[1]2026_60-69 ΕΞΟΔΑ+ΟΜ 2'!K7</f>
        <v/>
      </c>
      <c r="L24" s="313">
        <f>'[1]2026_60-69 ΕΞΟΔΑ+ΟΜ 2'!L7</f>
        <v/>
      </c>
      <c r="M24" s="313">
        <f>'[1]2026_60-69 ΕΞΟΔΑ+ΟΜ 2'!M7</f>
        <v/>
      </c>
      <c r="N24" s="313">
        <f>'[1]2026_60-69 ΕΞΟΔΑ+ΟΜ 2'!N7</f>
        <v/>
      </c>
      <c r="O24" s="313">
        <f>'[1]2026_60-69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'[1]2024_60-69 ΕΞΟΔΑ+ΟΜ 2'!D8</f>
        <v/>
      </c>
      <c r="E27" s="313">
        <f>'[1]2024_60-69 ΕΞΟΔΑ+ΟΜ 2'!E8</f>
        <v/>
      </c>
      <c r="F27" s="313">
        <f>'[1]2024_60-69 ΕΞΟΔΑ+ΟΜ 2'!F8</f>
        <v/>
      </c>
      <c r="G27" s="313">
        <f>'[1]2024_60-69 ΕΞΟΔΑ+ΟΜ 2'!G8</f>
        <v/>
      </c>
      <c r="H27" s="313">
        <f>'[1]2024_60-69 ΕΞΟΔΑ+ΟΜ 2'!H8</f>
        <v/>
      </c>
      <c r="I27" s="313">
        <f>'[1]2024_60-69 ΕΞΟΔΑ+ΟΜ 2'!I8</f>
        <v/>
      </c>
      <c r="J27" s="313">
        <f>'[1]2024_60-69 ΕΞΟΔΑ+ΟΜ 2'!J8</f>
        <v/>
      </c>
      <c r="K27" s="313">
        <f>'[1]2024_60-69 ΕΞΟΔΑ+ΟΜ 2'!K8</f>
        <v/>
      </c>
      <c r="L27" s="313">
        <f>'[1]2024_60-69 ΕΞΟΔΑ+ΟΜ 2'!L8</f>
        <v/>
      </c>
      <c r="M27" s="313">
        <f>'[1]2024_60-69 ΕΞΟΔΑ+ΟΜ 2'!M8</f>
        <v/>
      </c>
      <c r="N27" s="313">
        <f>'[1]2024_60-69 ΕΞΟΔΑ+ΟΜ 2'!N8</f>
        <v/>
      </c>
      <c r="O27" s="313">
        <f>'[1]2024_60-69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'[1]2026_60-69 ΕΞΟΔΑ+ΟΜ 2'!D8</f>
        <v/>
      </c>
      <c r="E29" s="313">
        <f>'[1]2026_60-69 ΕΞΟΔΑ+ΟΜ 2'!E8</f>
        <v/>
      </c>
      <c r="F29" s="313">
        <f>'[1]2026_60-69 ΕΞΟΔΑ+ΟΜ 2'!F8</f>
        <v/>
      </c>
      <c r="G29" s="313">
        <f>'[1]2026_60-69 ΕΞΟΔΑ+ΟΜ 2'!G8</f>
        <v/>
      </c>
      <c r="H29" s="313">
        <f>'[1]2026_60-69 ΕΞΟΔΑ+ΟΜ 2'!H8</f>
        <v/>
      </c>
      <c r="I29" s="313">
        <f>'[1]2026_60-69 ΕΞΟΔΑ+ΟΜ 2'!I8</f>
        <v/>
      </c>
      <c r="J29" s="313">
        <f>'[1]2026_60-69 ΕΞΟΔΑ+ΟΜ 2'!J8</f>
        <v/>
      </c>
      <c r="K29" s="313">
        <f>'[1]2026_60-69 ΕΞΟΔΑ+ΟΜ 2'!K8</f>
        <v/>
      </c>
      <c r="L29" s="313">
        <f>'[1]2026_60-69 ΕΞΟΔΑ+ΟΜ 2'!L8</f>
        <v/>
      </c>
      <c r="M29" s="313">
        <f>'[1]2026_60-69 ΕΞΟΔΑ+ΟΜ 2'!M8</f>
        <v/>
      </c>
      <c r="N29" s="313">
        <f>'[1]2026_60-69 ΕΞΟΔΑ+ΟΜ 2'!N8</f>
        <v/>
      </c>
      <c r="O29" s="313">
        <f>'[1]2026_60-69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'[1]2024_60-69 ΕΞΟΔΑ+ΟΜ 2'!D9</f>
        <v/>
      </c>
      <c r="E32" s="313">
        <f>'[1]2024_60-69 ΕΞΟΔΑ+ΟΜ 2'!E9</f>
        <v/>
      </c>
      <c r="F32" s="313">
        <f>'[1]2024_60-69 ΕΞΟΔΑ+ΟΜ 2'!F9</f>
        <v/>
      </c>
      <c r="G32" s="313">
        <f>'[1]2024_60-69 ΕΞΟΔΑ+ΟΜ 2'!G9</f>
        <v/>
      </c>
      <c r="H32" s="313">
        <f>'[1]2024_60-69 ΕΞΟΔΑ+ΟΜ 2'!H9</f>
        <v/>
      </c>
      <c r="I32" s="313">
        <f>'[1]2024_60-69 ΕΞΟΔΑ+ΟΜ 2'!I9</f>
        <v/>
      </c>
      <c r="J32" s="313">
        <f>'[1]2024_60-69 ΕΞΟΔΑ+ΟΜ 2'!J9</f>
        <v/>
      </c>
      <c r="K32" s="313">
        <f>'[1]2024_60-69 ΕΞΟΔΑ+ΟΜ 2'!K9</f>
        <v/>
      </c>
      <c r="L32" s="313">
        <f>'[1]2024_60-69 ΕΞΟΔΑ+ΟΜ 2'!L9</f>
        <v/>
      </c>
      <c r="M32" s="313">
        <f>'[1]2024_60-69 ΕΞΟΔΑ+ΟΜ 2'!M9</f>
        <v/>
      </c>
      <c r="N32" s="313">
        <f>'[1]2024_60-69 ΕΞΟΔΑ+ΟΜ 2'!N9</f>
        <v/>
      </c>
      <c r="O32" s="313">
        <f>'[1]2024_60-69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'[1]2026_60-69 ΕΞΟΔΑ+ΟΜ 2'!D9</f>
        <v/>
      </c>
      <c r="E34" s="313">
        <f>'[1]2026_60-69 ΕΞΟΔΑ+ΟΜ 2'!E9</f>
        <v/>
      </c>
      <c r="F34" s="313">
        <f>'[1]2026_60-69 ΕΞΟΔΑ+ΟΜ 2'!F9</f>
        <v/>
      </c>
      <c r="G34" s="313">
        <f>'[1]2026_60-69 ΕΞΟΔΑ+ΟΜ 2'!G9</f>
        <v/>
      </c>
      <c r="H34" s="313">
        <f>'[1]2026_60-69 ΕΞΟΔΑ+ΟΜ 2'!H9</f>
        <v/>
      </c>
      <c r="I34" s="313">
        <f>'[1]2026_60-69 ΕΞΟΔΑ+ΟΜ 2'!I9</f>
        <v/>
      </c>
      <c r="J34" s="313">
        <f>'[1]2026_60-69 ΕΞΟΔΑ+ΟΜ 2'!J9</f>
        <v/>
      </c>
      <c r="K34" s="313">
        <f>'[1]2026_60-69 ΕΞΟΔΑ+ΟΜ 2'!K9</f>
        <v/>
      </c>
      <c r="L34" s="313">
        <f>'[1]2026_60-69 ΕΞΟΔΑ+ΟΜ 2'!L9</f>
        <v/>
      </c>
      <c r="M34" s="313">
        <f>'[1]2026_60-69 ΕΞΟΔΑ+ΟΜ 2'!M9</f>
        <v/>
      </c>
      <c r="N34" s="313">
        <f>'[1]2026_60-69 ΕΞΟΔΑ+ΟΜ 2'!N9</f>
        <v/>
      </c>
      <c r="O34" s="313">
        <f>'[1]2026_60-69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'[1]2024_60-69 ΕΞΟΔΑ+ΟΜ 2'!D10</f>
        <v/>
      </c>
      <c r="E37" s="313">
        <f>'[1]2024_60-69 ΕΞΟΔΑ+ΟΜ 2'!E10</f>
        <v/>
      </c>
      <c r="F37" s="313">
        <f>'[1]2024_60-69 ΕΞΟΔΑ+ΟΜ 2'!F10</f>
        <v/>
      </c>
      <c r="G37" s="313">
        <f>'[1]2024_60-69 ΕΞΟΔΑ+ΟΜ 2'!G10</f>
        <v/>
      </c>
      <c r="H37" s="313">
        <f>'[1]2024_60-69 ΕΞΟΔΑ+ΟΜ 2'!H10</f>
        <v/>
      </c>
      <c r="I37" s="313">
        <f>'[1]2024_60-69 ΕΞΟΔΑ+ΟΜ 2'!I10</f>
        <v/>
      </c>
      <c r="J37" s="313">
        <f>'[1]2024_60-69 ΕΞΟΔΑ+ΟΜ 2'!J10</f>
        <v/>
      </c>
      <c r="K37" s="313">
        <f>'[1]2024_60-69 ΕΞΟΔΑ+ΟΜ 2'!K10</f>
        <v/>
      </c>
      <c r="L37" s="313">
        <f>'[1]2024_60-69 ΕΞΟΔΑ+ΟΜ 2'!L10</f>
        <v/>
      </c>
      <c r="M37" s="313">
        <f>'[1]2024_60-69 ΕΞΟΔΑ+ΟΜ 2'!M10</f>
        <v/>
      </c>
      <c r="N37" s="313">
        <f>'[1]2024_60-69 ΕΞΟΔΑ+ΟΜ 2'!N10</f>
        <v/>
      </c>
      <c r="O37" s="313">
        <f>'[1]2024_60-69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'[1]2026_60-69 ΕΞΟΔΑ+ΟΜ 2'!D10</f>
        <v/>
      </c>
      <c r="E39" s="313">
        <f>'[1]2026_60-69 ΕΞΟΔΑ+ΟΜ 2'!E10</f>
        <v/>
      </c>
      <c r="F39" s="313">
        <f>'[1]2026_60-69 ΕΞΟΔΑ+ΟΜ 2'!F10</f>
        <v/>
      </c>
      <c r="G39" s="313">
        <f>'[1]2026_60-69 ΕΞΟΔΑ+ΟΜ 2'!G10</f>
        <v/>
      </c>
      <c r="H39" s="313">
        <f>'[1]2026_60-69 ΕΞΟΔΑ+ΟΜ 2'!H10</f>
        <v/>
      </c>
      <c r="I39" s="313">
        <f>'[1]2026_60-69 ΕΞΟΔΑ+ΟΜ 2'!I10</f>
        <v/>
      </c>
      <c r="J39" s="313">
        <f>'[1]2026_60-69 ΕΞΟΔΑ+ΟΜ 2'!J10</f>
        <v/>
      </c>
      <c r="K39" s="313">
        <f>'[1]2026_60-69 ΕΞΟΔΑ+ΟΜ 2'!K10</f>
        <v/>
      </c>
      <c r="L39" s="313">
        <f>'[1]2026_60-69 ΕΞΟΔΑ+ΟΜ 2'!L10</f>
        <v/>
      </c>
      <c r="M39" s="313">
        <f>'[1]2026_60-69 ΕΞΟΔΑ+ΟΜ 2'!M10</f>
        <v/>
      </c>
      <c r="N39" s="313">
        <f>'[1]2026_60-69 ΕΞΟΔΑ+ΟΜ 2'!N10</f>
        <v/>
      </c>
      <c r="O39" s="313">
        <f>'[1]2026_60-69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'[1]2024_60-69 ΕΞΟΔΑ+ΟΜ 2'!D11</f>
        <v/>
      </c>
      <c r="E42" s="313">
        <f>'[1]2024_60-69 ΕΞΟΔΑ+ΟΜ 2'!E11</f>
        <v/>
      </c>
      <c r="F42" s="313">
        <f>'[1]2024_60-69 ΕΞΟΔΑ+ΟΜ 2'!F11</f>
        <v/>
      </c>
      <c r="G42" s="313">
        <f>'[1]2024_60-69 ΕΞΟΔΑ+ΟΜ 2'!G11</f>
        <v/>
      </c>
      <c r="H42" s="313">
        <f>'[1]2024_60-69 ΕΞΟΔΑ+ΟΜ 2'!H11</f>
        <v/>
      </c>
      <c r="I42" s="313">
        <f>'[1]2024_60-69 ΕΞΟΔΑ+ΟΜ 2'!I11</f>
        <v/>
      </c>
      <c r="J42" s="313">
        <f>'[1]2024_60-69 ΕΞΟΔΑ+ΟΜ 2'!J11</f>
        <v/>
      </c>
      <c r="K42" s="313">
        <f>'[1]2024_60-69 ΕΞΟΔΑ+ΟΜ 2'!K11</f>
        <v/>
      </c>
      <c r="L42" s="313">
        <f>'[1]2024_60-69 ΕΞΟΔΑ+ΟΜ 2'!L11</f>
        <v/>
      </c>
      <c r="M42" s="313">
        <f>'[1]2024_60-69 ΕΞΟΔΑ+ΟΜ 2'!M11</f>
        <v/>
      </c>
      <c r="N42" s="313">
        <f>'[1]2024_60-69 ΕΞΟΔΑ+ΟΜ 2'!N11</f>
        <v/>
      </c>
      <c r="O42" s="313">
        <f>'[1]2024_60-69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'[1]2026_60-69 ΕΞΟΔΑ+ΟΜ 2'!D11</f>
        <v/>
      </c>
      <c r="E44" s="313">
        <f>'[1]2026_60-69 ΕΞΟΔΑ+ΟΜ 2'!E11</f>
        <v/>
      </c>
      <c r="F44" s="313">
        <f>'[1]2026_60-69 ΕΞΟΔΑ+ΟΜ 2'!F11</f>
        <v/>
      </c>
      <c r="G44" s="313">
        <f>'[1]2026_60-69 ΕΞΟΔΑ+ΟΜ 2'!G11</f>
        <v/>
      </c>
      <c r="H44" s="313">
        <f>'[1]2026_60-69 ΕΞΟΔΑ+ΟΜ 2'!H11</f>
        <v/>
      </c>
      <c r="I44" s="313">
        <f>'[1]2026_60-69 ΕΞΟΔΑ+ΟΜ 2'!I11</f>
        <v/>
      </c>
      <c r="J44" s="313">
        <f>'[1]2026_60-69 ΕΞΟΔΑ+ΟΜ 2'!J11</f>
        <v/>
      </c>
      <c r="K44" s="313">
        <f>'[1]2026_60-69 ΕΞΟΔΑ+ΟΜ 2'!K11</f>
        <v/>
      </c>
      <c r="L44" s="313">
        <f>'[1]2026_60-69 ΕΞΟΔΑ+ΟΜ 2'!L11</f>
        <v/>
      </c>
      <c r="M44" s="313">
        <f>'[1]2026_60-69 ΕΞΟΔΑ+ΟΜ 2'!M11</f>
        <v/>
      </c>
      <c r="N44" s="313">
        <f>'[1]2026_60-69 ΕΞΟΔΑ+ΟΜ 2'!N11</f>
        <v/>
      </c>
      <c r="O44" s="313">
        <f>'[1]2026_60-69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'[1]2026_60-69 ΕΞΟΔΑ+ΟΜ 2'!D12</f>
        <v/>
      </c>
      <c r="E49" s="313">
        <f>'[1]2026_60-69 ΕΞΟΔΑ+ΟΜ 2'!E12</f>
        <v/>
      </c>
      <c r="F49" s="313">
        <f>'[1]2026_60-69 ΕΞΟΔΑ+ΟΜ 2'!F12</f>
        <v/>
      </c>
      <c r="G49" s="313">
        <f>'[1]2026_60-69 ΕΞΟΔΑ+ΟΜ 2'!G12</f>
        <v/>
      </c>
      <c r="H49" s="313">
        <f>'[1]2026_60-69 ΕΞΟΔΑ+ΟΜ 2'!H12</f>
        <v/>
      </c>
      <c r="I49" s="313">
        <f>'[1]2026_60-69 ΕΞΟΔΑ+ΟΜ 2'!I12</f>
        <v/>
      </c>
      <c r="J49" s="313">
        <f>'[1]2026_60-69 ΕΞΟΔΑ+ΟΜ 2'!J12</f>
        <v/>
      </c>
      <c r="K49" s="313">
        <f>'[1]2026_60-69 ΕΞΟΔΑ+ΟΜ 2'!K12</f>
        <v/>
      </c>
      <c r="L49" s="313">
        <f>'[1]2026_60-69 ΕΞΟΔΑ+ΟΜ 2'!L12</f>
        <v/>
      </c>
      <c r="M49" s="313">
        <f>'[1]2026_60-69 ΕΞΟΔΑ+ΟΜ 2'!M12</f>
        <v/>
      </c>
      <c r="N49" s="313">
        <f>'[1]2026_60-69 ΕΞΟΔΑ+ΟΜ 2'!N12</f>
        <v/>
      </c>
      <c r="O49" s="313">
        <f>'[1]2026_60-69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'[1]2024_60-69 ΕΞΟΔΑ+ΟΜ 2'!D13</f>
        <v/>
      </c>
      <c r="E52" s="313">
        <f>'[1]2024_60-69 ΕΞΟΔΑ+ΟΜ 2'!E13</f>
        <v/>
      </c>
      <c r="F52" s="313">
        <f>'[1]2024_60-69 ΕΞΟΔΑ+ΟΜ 2'!F13</f>
        <v/>
      </c>
      <c r="G52" s="313">
        <f>'[1]2024_60-69 ΕΞΟΔΑ+ΟΜ 2'!G13</f>
        <v/>
      </c>
      <c r="H52" s="313">
        <f>'[1]2024_60-69 ΕΞΟΔΑ+ΟΜ 2'!H13</f>
        <v/>
      </c>
      <c r="I52" s="313">
        <f>'[1]2024_60-69 ΕΞΟΔΑ+ΟΜ 2'!I13</f>
        <v/>
      </c>
      <c r="J52" s="313">
        <f>'[1]2024_60-69 ΕΞΟΔΑ+ΟΜ 2'!J13</f>
        <v/>
      </c>
      <c r="K52" s="313">
        <f>'[1]2024_60-69 ΕΞΟΔΑ+ΟΜ 2'!K13</f>
        <v/>
      </c>
      <c r="L52" s="313">
        <f>'[1]2024_60-69 ΕΞΟΔΑ+ΟΜ 2'!L13</f>
        <v/>
      </c>
      <c r="M52" s="313">
        <f>'[1]2024_60-69 ΕΞΟΔΑ+ΟΜ 2'!M13</f>
        <v/>
      </c>
      <c r="N52" s="313">
        <f>'[1]2024_60-69 ΕΞΟΔΑ+ΟΜ 2'!N13</f>
        <v/>
      </c>
      <c r="O52" s="313">
        <f>'[1]2024_60-69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'[1]2026_60-69 ΕΞΟΔΑ+ΟΜ 2'!D13</f>
        <v/>
      </c>
      <c r="E54" s="313">
        <f>'[1]2026_60-69 ΕΞΟΔΑ+ΟΜ 2'!E13</f>
        <v/>
      </c>
      <c r="F54" s="313">
        <f>'[1]2026_60-69 ΕΞΟΔΑ+ΟΜ 2'!F13</f>
        <v/>
      </c>
      <c r="G54" s="313">
        <f>'[1]2026_60-69 ΕΞΟΔΑ+ΟΜ 2'!G13</f>
        <v/>
      </c>
      <c r="H54" s="313">
        <f>'[1]2026_60-69 ΕΞΟΔΑ+ΟΜ 2'!H13</f>
        <v/>
      </c>
      <c r="I54" s="313">
        <f>'[1]2026_60-69 ΕΞΟΔΑ+ΟΜ 2'!I13</f>
        <v/>
      </c>
      <c r="J54" s="313">
        <f>'[1]2026_60-69 ΕΞΟΔΑ+ΟΜ 2'!J13</f>
        <v/>
      </c>
      <c r="K54" s="313">
        <f>'[1]2026_60-69 ΕΞΟΔΑ+ΟΜ 2'!K13</f>
        <v/>
      </c>
      <c r="L54" s="313">
        <f>'[1]2026_60-69 ΕΞΟΔΑ+ΟΜ 2'!L13</f>
        <v/>
      </c>
      <c r="M54" s="313">
        <f>'[1]2026_60-69 ΕΞΟΔΑ+ΟΜ 2'!M13</f>
        <v/>
      </c>
      <c r="N54" s="313">
        <f>'[1]2026_60-69 ΕΞΟΔΑ+ΟΜ 2'!N13</f>
        <v/>
      </c>
      <c r="O54" s="313">
        <f>'[1]2026_60-69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'[1]2024_60-69 ΕΞΟΔΑ+ΟΜ 2'!D14</f>
        <v/>
      </c>
      <c r="E57" s="313">
        <f>'[1]2024_60-69 ΕΞΟΔΑ+ΟΜ 2'!E14</f>
        <v/>
      </c>
      <c r="F57" s="313">
        <f>'[1]2024_60-69 ΕΞΟΔΑ+ΟΜ 2'!F14</f>
        <v/>
      </c>
      <c r="G57" s="313">
        <f>'[1]2024_60-69 ΕΞΟΔΑ+ΟΜ 2'!G14</f>
        <v/>
      </c>
      <c r="H57" s="313">
        <f>'[1]2024_60-69 ΕΞΟΔΑ+ΟΜ 2'!H14</f>
        <v/>
      </c>
      <c r="I57" s="313">
        <f>'[1]2024_60-69 ΕΞΟΔΑ+ΟΜ 2'!I14</f>
        <v/>
      </c>
      <c r="J57" s="313">
        <f>'[1]2024_60-69 ΕΞΟΔΑ+ΟΜ 2'!J14</f>
        <v/>
      </c>
      <c r="K57" s="313">
        <f>'[1]2024_60-69 ΕΞΟΔΑ+ΟΜ 2'!K14</f>
        <v/>
      </c>
      <c r="L57" s="313">
        <f>'[1]2024_60-69 ΕΞΟΔΑ+ΟΜ 2'!L14</f>
        <v/>
      </c>
      <c r="M57" s="313">
        <f>'[1]2024_60-69 ΕΞΟΔΑ+ΟΜ 2'!M14</f>
        <v/>
      </c>
      <c r="N57" s="313">
        <f>'[1]2024_60-69 ΕΞΟΔΑ+ΟΜ 2'!N14</f>
        <v/>
      </c>
      <c r="O57" s="313">
        <f>'[1]2024_60-69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'[1]2026_60-69 ΕΞΟΔΑ+ΟΜ 2'!D14</f>
        <v/>
      </c>
      <c r="E59" s="313">
        <f>'[1]2026_60-69 ΕΞΟΔΑ+ΟΜ 2'!E14</f>
        <v/>
      </c>
      <c r="F59" s="313">
        <f>'[1]2026_60-69 ΕΞΟΔΑ+ΟΜ 2'!F14</f>
        <v/>
      </c>
      <c r="G59" s="313">
        <f>'[1]2026_60-69 ΕΞΟΔΑ+ΟΜ 2'!G14</f>
        <v/>
      </c>
      <c r="H59" s="313">
        <f>'[1]2026_60-69 ΕΞΟΔΑ+ΟΜ 2'!H14</f>
        <v/>
      </c>
      <c r="I59" s="313">
        <f>'[1]2026_60-69 ΕΞΟΔΑ+ΟΜ 2'!I14</f>
        <v/>
      </c>
      <c r="J59" s="313">
        <f>'[1]2026_60-69 ΕΞΟΔΑ+ΟΜ 2'!J14</f>
        <v/>
      </c>
      <c r="K59" s="313">
        <f>'[1]2026_60-69 ΕΞΟΔΑ+ΟΜ 2'!K14</f>
        <v/>
      </c>
      <c r="L59" s="313">
        <f>'[1]2026_60-69 ΕΞΟΔΑ+ΟΜ 2'!L14</f>
        <v/>
      </c>
      <c r="M59" s="313">
        <f>'[1]2026_60-69 ΕΞΟΔΑ+ΟΜ 2'!M14</f>
        <v/>
      </c>
      <c r="N59" s="313">
        <f>'[1]2026_60-69 ΕΞΟΔΑ+ΟΜ 2'!N14</f>
        <v/>
      </c>
      <c r="O59" s="313">
        <f>'[1]2026_60-69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'[1]2024_60-69 ΕΞΟΔΑ+ΟΜ 2'!D15</f>
        <v/>
      </c>
      <c r="E62" s="313">
        <f>'[1]2024_60-69 ΕΞΟΔΑ+ΟΜ 2'!E15</f>
        <v/>
      </c>
      <c r="F62" s="313">
        <f>'[1]2024_60-69 ΕΞΟΔΑ+ΟΜ 2'!F15</f>
        <v/>
      </c>
      <c r="G62" s="313">
        <f>'[1]2024_60-69 ΕΞΟΔΑ+ΟΜ 2'!G15</f>
        <v/>
      </c>
      <c r="H62" s="313">
        <f>'[1]2024_60-69 ΕΞΟΔΑ+ΟΜ 2'!H15</f>
        <v/>
      </c>
      <c r="I62" s="313">
        <f>'[1]2024_60-69 ΕΞΟΔΑ+ΟΜ 2'!I15</f>
        <v/>
      </c>
      <c r="J62" s="313">
        <f>'[1]2024_60-69 ΕΞΟΔΑ+ΟΜ 2'!J15</f>
        <v/>
      </c>
      <c r="K62" s="313">
        <f>'[1]2024_60-69 ΕΞΟΔΑ+ΟΜ 2'!K15</f>
        <v/>
      </c>
      <c r="L62" s="313">
        <f>'[1]2024_60-69 ΕΞΟΔΑ+ΟΜ 2'!L15</f>
        <v/>
      </c>
      <c r="M62" s="313">
        <f>'[1]2024_60-69 ΕΞΟΔΑ+ΟΜ 2'!M15</f>
        <v/>
      </c>
      <c r="N62" s="313">
        <f>'[1]2024_60-69 ΕΞΟΔΑ+ΟΜ 2'!N15</f>
        <v/>
      </c>
      <c r="O62" s="313">
        <f>'[1]2024_60-69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'[1]2026_60-69 ΕΞΟΔΑ+ΟΜ 2'!D15</f>
        <v/>
      </c>
      <c r="E64" s="313">
        <f>'[1]2026_60-69 ΕΞΟΔΑ+ΟΜ 2'!E15</f>
        <v/>
      </c>
      <c r="F64" s="313">
        <f>'[1]2026_60-69 ΕΞΟΔΑ+ΟΜ 2'!F15</f>
        <v/>
      </c>
      <c r="G64" s="313">
        <f>'[1]2026_60-69 ΕΞΟΔΑ+ΟΜ 2'!G15</f>
        <v/>
      </c>
      <c r="H64" s="313">
        <f>'[1]2026_60-69 ΕΞΟΔΑ+ΟΜ 2'!H15</f>
        <v/>
      </c>
      <c r="I64" s="313">
        <f>'[1]2026_60-69 ΕΞΟΔΑ+ΟΜ 2'!I15</f>
        <v/>
      </c>
      <c r="J64" s="313">
        <f>'[1]2026_60-69 ΕΞΟΔΑ+ΟΜ 2'!J15</f>
        <v/>
      </c>
      <c r="K64" s="313">
        <f>'[1]2026_60-69 ΕΞΟΔΑ+ΟΜ 2'!K15</f>
        <v/>
      </c>
      <c r="L64" s="313">
        <f>'[1]2026_60-69 ΕΞΟΔΑ+ΟΜ 2'!L15</f>
        <v/>
      </c>
      <c r="M64" s="313">
        <f>'[1]2026_60-69 ΕΞΟΔΑ+ΟΜ 2'!M15</f>
        <v/>
      </c>
      <c r="N64" s="313">
        <f>'[1]2026_60-69 ΕΞΟΔΑ+ΟΜ 2'!N15</f>
        <v/>
      </c>
      <c r="O64" s="313">
        <f>'[1]2026_60-69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'[1]2024_60-69 ΕΞΟΔΑ+ΟΜ 2'!D16</f>
        <v/>
      </c>
      <c r="E67" s="313">
        <f>'[1]2024_60-69 ΕΞΟΔΑ+ΟΜ 2'!E16</f>
        <v/>
      </c>
      <c r="F67" s="313">
        <f>'[1]2024_60-69 ΕΞΟΔΑ+ΟΜ 2'!F16</f>
        <v/>
      </c>
      <c r="G67" s="313">
        <f>'[1]2024_60-69 ΕΞΟΔΑ+ΟΜ 2'!G16</f>
        <v/>
      </c>
      <c r="H67" s="313">
        <f>'[1]2024_60-69 ΕΞΟΔΑ+ΟΜ 2'!H16</f>
        <v/>
      </c>
      <c r="I67" s="313">
        <f>'[1]2024_60-69 ΕΞΟΔΑ+ΟΜ 2'!I16</f>
        <v/>
      </c>
      <c r="J67" s="313">
        <f>'[1]2024_60-69 ΕΞΟΔΑ+ΟΜ 2'!J16</f>
        <v/>
      </c>
      <c r="K67" s="313">
        <f>'[1]2024_60-69 ΕΞΟΔΑ+ΟΜ 2'!K16</f>
        <v/>
      </c>
      <c r="L67" s="313">
        <f>'[1]2024_60-69 ΕΞΟΔΑ+ΟΜ 2'!L16</f>
        <v/>
      </c>
      <c r="M67" s="313">
        <f>'[1]2024_60-69 ΕΞΟΔΑ+ΟΜ 2'!M16</f>
        <v/>
      </c>
      <c r="N67" s="313">
        <f>'[1]2024_60-69 ΕΞΟΔΑ+ΟΜ 2'!N16</f>
        <v/>
      </c>
      <c r="O67" s="313">
        <f>'[1]2024_60-69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'[1]2026_60-69 ΕΞΟΔΑ+ΟΜ 2'!D16</f>
        <v/>
      </c>
      <c r="E69" s="313">
        <f>'[1]2026_60-69 ΕΞΟΔΑ+ΟΜ 2'!E16</f>
        <v/>
      </c>
      <c r="F69" s="313">
        <f>'[1]2026_60-69 ΕΞΟΔΑ+ΟΜ 2'!F16</f>
        <v/>
      </c>
      <c r="G69" s="313">
        <f>'[1]2026_60-69 ΕΞΟΔΑ+ΟΜ 2'!G16</f>
        <v/>
      </c>
      <c r="H69" s="313">
        <f>'[1]2026_60-69 ΕΞΟΔΑ+ΟΜ 2'!H16</f>
        <v/>
      </c>
      <c r="I69" s="313">
        <f>'[1]2026_60-69 ΕΞΟΔΑ+ΟΜ 2'!I16</f>
        <v/>
      </c>
      <c r="J69" s="313">
        <f>'[1]2026_60-69 ΕΞΟΔΑ+ΟΜ 2'!J16</f>
        <v/>
      </c>
      <c r="K69" s="313">
        <f>'[1]2026_60-69 ΕΞΟΔΑ+ΟΜ 2'!K16</f>
        <v/>
      </c>
      <c r="L69" s="313">
        <f>'[1]2026_60-69 ΕΞΟΔΑ+ΟΜ 2'!L16</f>
        <v/>
      </c>
      <c r="M69" s="313">
        <f>'[1]2026_60-69 ΕΞΟΔΑ+ΟΜ 2'!M16</f>
        <v/>
      </c>
      <c r="N69" s="313">
        <f>'[1]2026_60-69 ΕΞΟΔΑ+ΟΜ 2'!N16</f>
        <v/>
      </c>
      <c r="O69" s="313">
        <f>'[1]2026_60-69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'[1]2024_60-69 ΕΞΟΔΑ+ΟΜ 2'!D17</f>
        <v/>
      </c>
      <c r="E72" s="313">
        <f>'[1]2024_60-69 ΕΞΟΔΑ+ΟΜ 2'!E17</f>
        <v/>
      </c>
      <c r="F72" s="313">
        <f>'[1]2024_60-69 ΕΞΟΔΑ+ΟΜ 2'!F17</f>
        <v/>
      </c>
      <c r="G72" s="313">
        <f>'[1]2024_60-69 ΕΞΟΔΑ+ΟΜ 2'!G17</f>
        <v/>
      </c>
      <c r="H72" s="313">
        <f>'[1]2024_60-69 ΕΞΟΔΑ+ΟΜ 2'!H17</f>
        <v/>
      </c>
      <c r="I72" s="313">
        <f>'[1]2024_60-69 ΕΞΟΔΑ+ΟΜ 2'!I17</f>
        <v/>
      </c>
      <c r="J72" s="313">
        <f>'[1]2024_60-69 ΕΞΟΔΑ+ΟΜ 2'!J17</f>
        <v/>
      </c>
      <c r="K72" s="313">
        <f>'[1]2024_60-69 ΕΞΟΔΑ+ΟΜ 2'!K17</f>
        <v/>
      </c>
      <c r="L72" s="313">
        <f>'[1]2024_60-69 ΕΞΟΔΑ+ΟΜ 2'!L17</f>
        <v/>
      </c>
      <c r="M72" s="313">
        <f>'[1]2024_60-69 ΕΞΟΔΑ+ΟΜ 2'!M17</f>
        <v/>
      </c>
      <c r="N72" s="313">
        <f>'[1]2024_60-69 ΕΞΟΔΑ+ΟΜ 2'!N17</f>
        <v/>
      </c>
      <c r="O72" s="313">
        <f>'[1]2024_60-69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'[1]2026_60-69 ΕΞΟΔΑ+ΟΜ 2'!D17</f>
        <v/>
      </c>
      <c r="E74" s="313">
        <f>'[1]2026_60-69 ΕΞΟΔΑ+ΟΜ 2'!E17</f>
        <v/>
      </c>
      <c r="F74" s="313">
        <f>'[1]2026_60-69 ΕΞΟΔΑ+ΟΜ 2'!F17</f>
        <v/>
      </c>
      <c r="G74" s="313">
        <f>'[1]2026_60-69 ΕΞΟΔΑ+ΟΜ 2'!G17</f>
        <v/>
      </c>
      <c r="H74" s="313">
        <f>'[1]2026_60-69 ΕΞΟΔΑ+ΟΜ 2'!H17</f>
        <v/>
      </c>
      <c r="I74" s="313">
        <f>'[1]2026_60-69 ΕΞΟΔΑ+ΟΜ 2'!I17</f>
        <v/>
      </c>
      <c r="J74" s="313">
        <f>'[1]2026_60-69 ΕΞΟΔΑ+ΟΜ 2'!J17</f>
        <v/>
      </c>
      <c r="K74" s="313">
        <f>'[1]2026_60-69 ΕΞΟΔΑ+ΟΜ 2'!K17</f>
        <v/>
      </c>
      <c r="L74" s="313">
        <f>'[1]2026_60-69 ΕΞΟΔΑ+ΟΜ 2'!L17</f>
        <v/>
      </c>
      <c r="M74" s="313">
        <f>'[1]2026_60-69 ΕΞΟΔΑ+ΟΜ 2'!M17</f>
        <v/>
      </c>
      <c r="N74" s="313">
        <f>'[1]2026_60-69 ΕΞΟΔΑ+ΟΜ 2'!N17</f>
        <v/>
      </c>
      <c r="O74" s="313">
        <f>'[1]2026_60-69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'[1]2024_60-69 ΕΞΟΔΑ+ΟΜ 2'!D18</f>
        <v/>
      </c>
      <c r="E77" s="313">
        <f>'[1]2024_60-69 ΕΞΟΔΑ+ΟΜ 2'!E18</f>
        <v/>
      </c>
      <c r="F77" s="313">
        <f>'[1]2024_60-69 ΕΞΟΔΑ+ΟΜ 2'!F18</f>
        <v/>
      </c>
      <c r="G77" s="313">
        <f>'[1]2024_60-69 ΕΞΟΔΑ+ΟΜ 2'!G18</f>
        <v/>
      </c>
      <c r="H77" s="313">
        <f>'[1]2024_60-69 ΕΞΟΔΑ+ΟΜ 2'!H18</f>
        <v/>
      </c>
      <c r="I77" s="313">
        <f>'[1]2024_60-69 ΕΞΟΔΑ+ΟΜ 2'!I18</f>
        <v/>
      </c>
      <c r="J77" s="313">
        <f>'[1]2024_60-69 ΕΞΟΔΑ+ΟΜ 2'!J18</f>
        <v/>
      </c>
      <c r="K77" s="313">
        <f>'[1]2024_60-69 ΕΞΟΔΑ+ΟΜ 2'!K18</f>
        <v/>
      </c>
      <c r="L77" s="313">
        <f>'[1]2024_60-69 ΕΞΟΔΑ+ΟΜ 2'!L18</f>
        <v/>
      </c>
      <c r="M77" s="313">
        <f>'[1]2024_60-69 ΕΞΟΔΑ+ΟΜ 2'!M18</f>
        <v/>
      </c>
      <c r="N77" s="313">
        <f>'[1]2024_60-69 ΕΞΟΔΑ+ΟΜ 2'!N18</f>
        <v/>
      </c>
      <c r="O77" s="313">
        <f>'[1]2024_60-69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'[1]2026_60-69 ΕΞΟΔΑ+ΟΜ 2'!D18</f>
        <v/>
      </c>
      <c r="E79" s="313">
        <f>'[1]2026_60-69 ΕΞΟΔΑ+ΟΜ 2'!E18</f>
        <v/>
      </c>
      <c r="F79" s="313">
        <f>'[1]2026_60-69 ΕΞΟΔΑ+ΟΜ 2'!F18</f>
        <v/>
      </c>
      <c r="G79" s="313">
        <f>'[1]2026_60-69 ΕΞΟΔΑ+ΟΜ 2'!G18</f>
        <v/>
      </c>
      <c r="H79" s="313">
        <f>'[1]2026_60-69 ΕΞΟΔΑ+ΟΜ 2'!H18</f>
        <v/>
      </c>
      <c r="I79" s="313">
        <f>'[1]2026_60-69 ΕΞΟΔΑ+ΟΜ 2'!I18</f>
        <v/>
      </c>
      <c r="J79" s="313">
        <f>'[1]2026_60-69 ΕΞΟΔΑ+ΟΜ 2'!J18</f>
        <v/>
      </c>
      <c r="K79" s="313">
        <f>'[1]2026_60-69 ΕΞΟΔΑ+ΟΜ 2'!K18</f>
        <v/>
      </c>
      <c r="L79" s="313">
        <f>'[1]2026_60-69 ΕΞΟΔΑ+ΟΜ 2'!L18</f>
        <v/>
      </c>
      <c r="M79" s="313">
        <f>'[1]2026_60-69 ΕΞΟΔΑ+ΟΜ 2'!M18</f>
        <v/>
      </c>
      <c r="N79" s="313">
        <f>'[1]2026_60-69 ΕΞΟΔΑ+ΟΜ 2'!N18</f>
        <v/>
      </c>
      <c r="O79" s="313">
        <f>'[1]2026_60-69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'[1]2024_60-69 ΕΞΟΔΑ+ΟΜ 2'!D19</f>
        <v/>
      </c>
      <c r="E82" s="313">
        <f>'[1]2024_60-69 ΕΞΟΔΑ+ΟΜ 2'!E19</f>
        <v/>
      </c>
      <c r="F82" s="313">
        <f>'[1]2024_60-69 ΕΞΟΔΑ+ΟΜ 2'!F19</f>
        <v/>
      </c>
      <c r="G82" s="313">
        <f>'[1]2024_60-69 ΕΞΟΔΑ+ΟΜ 2'!G19</f>
        <v/>
      </c>
      <c r="H82" s="313">
        <f>'[1]2024_60-69 ΕΞΟΔΑ+ΟΜ 2'!H19</f>
        <v/>
      </c>
      <c r="I82" s="313">
        <f>'[1]2024_60-69 ΕΞΟΔΑ+ΟΜ 2'!I19</f>
        <v/>
      </c>
      <c r="J82" s="313">
        <f>'[1]2024_60-69 ΕΞΟΔΑ+ΟΜ 2'!J19</f>
        <v/>
      </c>
      <c r="K82" s="313">
        <f>'[1]2024_60-69 ΕΞΟΔΑ+ΟΜ 2'!K19</f>
        <v/>
      </c>
      <c r="L82" s="313">
        <f>'[1]2024_60-69 ΕΞΟΔΑ+ΟΜ 2'!L19</f>
        <v/>
      </c>
      <c r="M82" s="313">
        <f>'[1]2024_60-69 ΕΞΟΔΑ+ΟΜ 2'!M19</f>
        <v/>
      </c>
      <c r="N82" s="313">
        <f>'[1]2024_60-69 ΕΞΟΔΑ+ΟΜ 2'!N19</f>
        <v/>
      </c>
      <c r="O82" s="313">
        <f>'[1]2024_60-69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'[1]2026_60-69 ΕΞΟΔΑ+ΟΜ 2'!D19</f>
        <v/>
      </c>
      <c r="E84" s="313">
        <f>'[1]2026_60-69 ΕΞΟΔΑ+ΟΜ 2'!E19</f>
        <v/>
      </c>
      <c r="F84" s="313">
        <f>'[1]2026_60-69 ΕΞΟΔΑ+ΟΜ 2'!F19</f>
        <v/>
      </c>
      <c r="G84" s="313">
        <f>'[1]2026_60-69 ΕΞΟΔΑ+ΟΜ 2'!G19</f>
        <v/>
      </c>
      <c r="H84" s="313">
        <f>'[1]2026_60-69 ΕΞΟΔΑ+ΟΜ 2'!H19</f>
        <v/>
      </c>
      <c r="I84" s="313">
        <f>'[1]2026_60-69 ΕΞΟΔΑ+ΟΜ 2'!I19</f>
        <v/>
      </c>
      <c r="J84" s="313">
        <f>'[1]2026_60-69 ΕΞΟΔΑ+ΟΜ 2'!J19</f>
        <v/>
      </c>
      <c r="K84" s="313">
        <f>'[1]2026_60-69 ΕΞΟΔΑ+ΟΜ 2'!K19</f>
        <v/>
      </c>
      <c r="L84" s="313">
        <f>'[1]2026_60-69 ΕΞΟΔΑ+ΟΜ 2'!L19</f>
        <v/>
      </c>
      <c r="M84" s="313">
        <f>'[1]2026_60-69 ΕΞΟΔΑ+ΟΜ 2'!M19</f>
        <v/>
      </c>
      <c r="N84" s="313">
        <f>'[1]2026_60-69 ΕΞΟΔΑ+ΟΜ 2'!N19</f>
        <v/>
      </c>
      <c r="O84" s="313">
        <f>'[1]2026_60-69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'[1]2024_60-69 ΕΞΟΔΑ+ΟΜ 2'!D20</f>
        <v/>
      </c>
      <c r="E87" s="313">
        <f>'[1]2024_60-69 ΕΞΟΔΑ+ΟΜ 2'!E20</f>
        <v/>
      </c>
      <c r="F87" s="313">
        <f>'[1]2024_60-69 ΕΞΟΔΑ+ΟΜ 2'!F20</f>
        <v/>
      </c>
      <c r="G87" s="313">
        <f>'[1]2024_60-69 ΕΞΟΔΑ+ΟΜ 2'!G20</f>
        <v/>
      </c>
      <c r="H87" s="313">
        <f>'[1]2024_60-69 ΕΞΟΔΑ+ΟΜ 2'!H20</f>
        <v/>
      </c>
      <c r="I87" s="313">
        <f>'[1]2024_60-69 ΕΞΟΔΑ+ΟΜ 2'!I20</f>
        <v/>
      </c>
      <c r="J87" s="313">
        <f>'[1]2024_60-69 ΕΞΟΔΑ+ΟΜ 2'!J20</f>
        <v/>
      </c>
      <c r="K87" s="313">
        <f>'[1]2024_60-69 ΕΞΟΔΑ+ΟΜ 2'!K20</f>
        <v/>
      </c>
      <c r="L87" s="313">
        <f>'[1]2024_60-69 ΕΞΟΔΑ+ΟΜ 2'!L20</f>
        <v/>
      </c>
      <c r="M87" s="313">
        <f>'[1]2024_60-69 ΕΞΟΔΑ+ΟΜ 2'!M20</f>
        <v/>
      </c>
      <c r="N87" s="313">
        <f>'[1]2024_60-69 ΕΞΟΔΑ+ΟΜ 2'!N20</f>
        <v/>
      </c>
      <c r="O87" s="313">
        <f>'[1]2024_60-69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'[1]2026_60-69 ΕΞΟΔΑ+ΟΜ 2'!D20</f>
        <v/>
      </c>
      <c r="E89" s="313">
        <f>'[1]2026_60-69 ΕΞΟΔΑ+ΟΜ 2'!E20</f>
        <v/>
      </c>
      <c r="F89" s="313">
        <f>'[1]2026_60-69 ΕΞΟΔΑ+ΟΜ 2'!F20</f>
        <v/>
      </c>
      <c r="G89" s="313">
        <f>'[1]2026_60-69 ΕΞΟΔΑ+ΟΜ 2'!G20</f>
        <v/>
      </c>
      <c r="H89" s="313">
        <f>'[1]2026_60-69 ΕΞΟΔΑ+ΟΜ 2'!H20</f>
        <v/>
      </c>
      <c r="I89" s="313">
        <f>'[1]2026_60-69 ΕΞΟΔΑ+ΟΜ 2'!I20</f>
        <v/>
      </c>
      <c r="J89" s="313">
        <f>'[1]2026_60-69 ΕΞΟΔΑ+ΟΜ 2'!J20</f>
        <v/>
      </c>
      <c r="K89" s="313">
        <f>'[1]2026_60-69 ΕΞΟΔΑ+ΟΜ 2'!K20</f>
        <v/>
      </c>
      <c r="L89" s="313">
        <f>'[1]2026_60-69 ΕΞΟΔΑ+ΟΜ 2'!L20</f>
        <v/>
      </c>
      <c r="M89" s="313">
        <f>'[1]2026_60-69 ΕΞΟΔΑ+ΟΜ 2'!M20</f>
        <v/>
      </c>
      <c r="N89" s="313">
        <f>'[1]2026_60-69 ΕΞΟΔΑ+ΟΜ 2'!N20</f>
        <v/>
      </c>
      <c r="O89" s="313">
        <f>'[1]2026_60-69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'[1]2024_60-69 ΕΞΟΔΑ+ΟΜ 2'!D21</f>
        <v/>
      </c>
      <c r="E92" s="313">
        <f>'[1]2024_60-69 ΕΞΟΔΑ+ΟΜ 2'!E21</f>
        <v/>
      </c>
      <c r="F92" s="313">
        <f>'[1]2024_60-69 ΕΞΟΔΑ+ΟΜ 2'!F21</f>
        <v/>
      </c>
      <c r="G92" s="313">
        <f>'[1]2024_60-69 ΕΞΟΔΑ+ΟΜ 2'!G21</f>
        <v/>
      </c>
      <c r="H92" s="313">
        <f>'[1]2024_60-69 ΕΞΟΔΑ+ΟΜ 2'!H21</f>
        <v/>
      </c>
      <c r="I92" s="313">
        <f>'[1]2024_60-69 ΕΞΟΔΑ+ΟΜ 2'!I21</f>
        <v/>
      </c>
      <c r="J92" s="313">
        <f>'[1]2024_60-69 ΕΞΟΔΑ+ΟΜ 2'!J21</f>
        <v/>
      </c>
      <c r="K92" s="313">
        <f>'[1]2024_60-69 ΕΞΟΔΑ+ΟΜ 2'!K21</f>
        <v/>
      </c>
      <c r="L92" s="313">
        <f>'[1]2024_60-69 ΕΞΟΔΑ+ΟΜ 2'!L21</f>
        <v/>
      </c>
      <c r="M92" s="313">
        <f>'[1]2024_60-69 ΕΞΟΔΑ+ΟΜ 2'!M21</f>
        <v/>
      </c>
      <c r="N92" s="313">
        <f>'[1]2024_60-69 ΕΞΟΔΑ+ΟΜ 2'!N21</f>
        <v/>
      </c>
      <c r="O92" s="313">
        <f>'[1]2024_60-69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'[1]2026_60-69 ΕΞΟΔΑ+ΟΜ 2'!D21</f>
        <v/>
      </c>
      <c r="E94" s="313">
        <f>'[1]2026_60-69 ΕΞΟΔΑ+ΟΜ 2'!E21</f>
        <v/>
      </c>
      <c r="F94" s="313">
        <f>'[1]2026_60-69 ΕΞΟΔΑ+ΟΜ 2'!F21</f>
        <v/>
      </c>
      <c r="G94" s="313">
        <f>'[1]2026_60-69 ΕΞΟΔΑ+ΟΜ 2'!G21</f>
        <v/>
      </c>
      <c r="H94" s="313">
        <f>'[1]2026_60-69 ΕΞΟΔΑ+ΟΜ 2'!H21</f>
        <v/>
      </c>
      <c r="I94" s="313">
        <f>'[1]2026_60-69 ΕΞΟΔΑ+ΟΜ 2'!I21</f>
        <v/>
      </c>
      <c r="J94" s="313">
        <f>'[1]2026_60-69 ΕΞΟΔΑ+ΟΜ 2'!J21</f>
        <v/>
      </c>
      <c r="K94" s="313">
        <f>'[1]2026_60-69 ΕΞΟΔΑ+ΟΜ 2'!K21</f>
        <v/>
      </c>
      <c r="L94" s="313">
        <f>'[1]2026_60-69 ΕΞΟΔΑ+ΟΜ 2'!L21</f>
        <v/>
      </c>
      <c r="M94" s="313">
        <f>'[1]2026_60-69 ΕΞΟΔΑ+ΟΜ 2'!M21</f>
        <v/>
      </c>
      <c r="N94" s="313">
        <f>'[1]2026_60-69 ΕΞΟΔΑ+ΟΜ 2'!N21</f>
        <v/>
      </c>
      <c r="O94" s="313">
        <f>'[1]2026_60-69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'[1]2024_60-69 ΕΞΟΔΑ+ΟΜ 2'!D22</f>
        <v/>
      </c>
      <c r="E97" s="313">
        <f>'[1]2024_60-69 ΕΞΟΔΑ+ΟΜ 2'!E22</f>
        <v/>
      </c>
      <c r="F97" s="313">
        <f>'[1]2024_60-69 ΕΞΟΔΑ+ΟΜ 2'!F22</f>
        <v/>
      </c>
      <c r="G97" s="313">
        <f>'[1]2024_60-69 ΕΞΟΔΑ+ΟΜ 2'!G22</f>
        <v/>
      </c>
      <c r="H97" s="313">
        <f>'[1]2024_60-69 ΕΞΟΔΑ+ΟΜ 2'!H22</f>
        <v/>
      </c>
      <c r="I97" s="313">
        <f>'[1]2024_60-69 ΕΞΟΔΑ+ΟΜ 2'!I22</f>
        <v/>
      </c>
      <c r="J97" s="313">
        <f>'[1]2024_60-69 ΕΞΟΔΑ+ΟΜ 2'!J22</f>
        <v/>
      </c>
      <c r="K97" s="313">
        <f>'[1]2024_60-69 ΕΞΟΔΑ+ΟΜ 2'!K22</f>
        <v/>
      </c>
      <c r="L97" s="313">
        <f>'[1]2024_60-69 ΕΞΟΔΑ+ΟΜ 2'!L22</f>
        <v/>
      </c>
      <c r="M97" s="313">
        <f>'[1]2024_60-69 ΕΞΟΔΑ+ΟΜ 2'!M22</f>
        <v/>
      </c>
      <c r="N97" s="313">
        <f>'[1]2024_60-69 ΕΞΟΔΑ+ΟΜ 2'!N22</f>
        <v/>
      </c>
      <c r="O97" s="313">
        <f>'[1]2024_60-69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'[1]2026_60-69 ΕΞΟΔΑ+ΟΜ 2'!D22</f>
        <v/>
      </c>
      <c r="E99" s="313">
        <f>'[1]2026_60-69 ΕΞΟΔΑ+ΟΜ 2'!E22</f>
        <v/>
      </c>
      <c r="F99" s="313">
        <f>'[1]2026_60-69 ΕΞΟΔΑ+ΟΜ 2'!F22</f>
        <v/>
      </c>
      <c r="G99" s="313">
        <f>'[1]2026_60-69 ΕΞΟΔΑ+ΟΜ 2'!G22</f>
        <v/>
      </c>
      <c r="H99" s="313">
        <f>'[1]2026_60-69 ΕΞΟΔΑ+ΟΜ 2'!H22</f>
        <v/>
      </c>
      <c r="I99" s="313">
        <f>'[1]2026_60-69 ΕΞΟΔΑ+ΟΜ 2'!I22</f>
        <v/>
      </c>
      <c r="J99" s="313">
        <f>'[1]2026_60-69 ΕΞΟΔΑ+ΟΜ 2'!J22</f>
        <v/>
      </c>
      <c r="K99" s="313">
        <f>'[1]2026_60-69 ΕΞΟΔΑ+ΟΜ 2'!K22</f>
        <v/>
      </c>
      <c r="L99" s="313">
        <f>'[1]2026_60-69 ΕΞΟΔΑ+ΟΜ 2'!L22</f>
        <v/>
      </c>
      <c r="M99" s="313">
        <f>'[1]2026_60-69 ΕΞΟΔΑ+ΟΜ 2'!M22</f>
        <v/>
      </c>
      <c r="N99" s="313">
        <f>'[1]2026_60-69 ΕΞΟΔΑ+ΟΜ 2'!N22</f>
        <v/>
      </c>
      <c r="O99" s="313">
        <f>'[1]2026_60-69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'[1]2024_60-69 ΕΞΟΔΑ+ΟΜ 2'!D23</f>
        <v/>
      </c>
      <c r="E102" s="313">
        <f>'[1]2024_60-69 ΕΞΟΔΑ+ΟΜ 2'!E23</f>
        <v/>
      </c>
      <c r="F102" s="313">
        <f>'[1]2024_60-69 ΕΞΟΔΑ+ΟΜ 2'!F23</f>
        <v/>
      </c>
      <c r="G102" s="313">
        <f>'[1]2024_60-69 ΕΞΟΔΑ+ΟΜ 2'!G23</f>
        <v/>
      </c>
      <c r="H102" s="313">
        <f>'[1]2024_60-69 ΕΞΟΔΑ+ΟΜ 2'!H23</f>
        <v/>
      </c>
      <c r="I102" s="313">
        <f>'[1]2024_60-69 ΕΞΟΔΑ+ΟΜ 2'!I23</f>
        <v/>
      </c>
      <c r="J102" s="313">
        <f>'[1]2024_60-69 ΕΞΟΔΑ+ΟΜ 2'!J23</f>
        <v/>
      </c>
      <c r="K102" s="313">
        <f>'[1]2024_60-69 ΕΞΟΔΑ+ΟΜ 2'!K23</f>
        <v/>
      </c>
      <c r="L102" s="313">
        <f>'[1]2024_60-69 ΕΞΟΔΑ+ΟΜ 2'!L23</f>
        <v/>
      </c>
      <c r="M102" s="313">
        <f>'[1]2024_60-69 ΕΞΟΔΑ+ΟΜ 2'!M23</f>
        <v/>
      </c>
      <c r="N102" s="313">
        <f>'[1]2024_60-69 ΕΞΟΔΑ+ΟΜ 2'!N23</f>
        <v/>
      </c>
      <c r="O102" s="313">
        <f>'[1]2024_60-69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'[1]2026_60-69 ΕΞΟΔΑ+ΟΜ 2'!D23</f>
        <v/>
      </c>
      <c r="E104" s="313">
        <f>'[1]2026_60-69 ΕΞΟΔΑ+ΟΜ 2'!E23</f>
        <v/>
      </c>
      <c r="F104" s="313">
        <f>'[1]2026_60-69 ΕΞΟΔΑ+ΟΜ 2'!F23</f>
        <v/>
      </c>
      <c r="G104" s="313">
        <f>'[1]2026_60-69 ΕΞΟΔΑ+ΟΜ 2'!G23</f>
        <v/>
      </c>
      <c r="H104" s="313">
        <f>'[1]2026_60-69 ΕΞΟΔΑ+ΟΜ 2'!H23</f>
        <v/>
      </c>
      <c r="I104" s="313">
        <f>'[1]2026_60-69 ΕΞΟΔΑ+ΟΜ 2'!I23</f>
        <v/>
      </c>
      <c r="J104" s="313">
        <f>'[1]2026_60-69 ΕΞΟΔΑ+ΟΜ 2'!J23</f>
        <v/>
      </c>
      <c r="K104" s="313">
        <f>'[1]2026_60-69 ΕΞΟΔΑ+ΟΜ 2'!K23</f>
        <v/>
      </c>
      <c r="L104" s="313">
        <f>'[1]2026_60-69 ΕΞΟΔΑ+ΟΜ 2'!L23</f>
        <v/>
      </c>
      <c r="M104" s="313">
        <f>'[1]2026_60-69 ΕΞΟΔΑ+ΟΜ 2'!M23</f>
        <v/>
      </c>
      <c r="N104" s="313">
        <f>'[1]2026_60-69 ΕΞΟΔΑ+ΟΜ 2'!N23</f>
        <v/>
      </c>
      <c r="O104" s="313">
        <f>'[1]2026_60-69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'[1]2024_60-69 ΕΞΟΔΑ+ΟΜ 2'!D24</f>
        <v/>
      </c>
      <c r="E107" s="313">
        <f>'[1]2024_60-69 ΕΞΟΔΑ+ΟΜ 2'!E24</f>
        <v/>
      </c>
      <c r="F107" s="313">
        <f>'[1]2024_60-69 ΕΞΟΔΑ+ΟΜ 2'!F24</f>
        <v/>
      </c>
      <c r="G107" s="313">
        <f>'[1]2024_60-69 ΕΞΟΔΑ+ΟΜ 2'!G24</f>
        <v/>
      </c>
      <c r="H107" s="313">
        <f>'[1]2024_60-69 ΕΞΟΔΑ+ΟΜ 2'!H24</f>
        <v/>
      </c>
      <c r="I107" s="313">
        <f>'[1]2024_60-69 ΕΞΟΔΑ+ΟΜ 2'!I24</f>
        <v/>
      </c>
      <c r="J107" s="313">
        <f>'[1]2024_60-69 ΕΞΟΔΑ+ΟΜ 2'!J24</f>
        <v/>
      </c>
      <c r="K107" s="313">
        <f>'[1]2024_60-69 ΕΞΟΔΑ+ΟΜ 2'!K24</f>
        <v/>
      </c>
      <c r="L107" s="313">
        <f>'[1]2024_60-69 ΕΞΟΔΑ+ΟΜ 2'!L24</f>
        <v/>
      </c>
      <c r="M107" s="313">
        <f>'[1]2024_60-69 ΕΞΟΔΑ+ΟΜ 2'!M24</f>
        <v/>
      </c>
      <c r="N107" s="313">
        <f>'[1]2024_60-69 ΕΞΟΔΑ+ΟΜ 2'!N24</f>
        <v/>
      </c>
      <c r="O107" s="313">
        <f>'[1]2024_60-69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'[1]2026_60-69 ΕΞΟΔΑ+ΟΜ 2'!D24</f>
        <v/>
      </c>
      <c r="E109" s="313">
        <f>'[1]2026_60-69 ΕΞΟΔΑ+ΟΜ 2'!E24</f>
        <v/>
      </c>
      <c r="F109" s="313">
        <f>'[1]2026_60-69 ΕΞΟΔΑ+ΟΜ 2'!F24</f>
        <v/>
      </c>
      <c r="G109" s="313">
        <f>'[1]2026_60-69 ΕΞΟΔΑ+ΟΜ 2'!G24</f>
        <v/>
      </c>
      <c r="H109" s="313">
        <f>'[1]2026_60-69 ΕΞΟΔΑ+ΟΜ 2'!H24</f>
        <v/>
      </c>
      <c r="I109" s="313">
        <f>'[1]2026_60-69 ΕΞΟΔΑ+ΟΜ 2'!I24</f>
        <v/>
      </c>
      <c r="J109" s="313">
        <f>'[1]2026_60-69 ΕΞΟΔΑ+ΟΜ 2'!J24</f>
        <v/>
      </c>
      <c r="K109" s="313">
        <f>'[1]2026_60-69 ΕΞΟΔΑ+ΟΜ 2'!K24</f>
        <v/>
      </c>
      <c r="L109" s="313">
        <f>'[1]2026_60-69 ΕΞΟΔΑ+ΟΜ 2'!L24</f>
        <v/>
      </c>
      <c r="M109" s="313">
        <f>'[1]2026_60-69 ΕΞΟΔΑ+ΟΜ 2'!M24</f>
        <v/>
      </c>
      <c r="N109" s="313">
        <f>'[1]2026_60-69 ΕΞΟΔΑ+ΟΜ 2'!N24</f>
        <v/>
      </c>
      <c r="O109" s="313">
        <f>'[1]2026_60-69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'[1]2024_60-69 ΕΞΟΔΑ+ΟΜ 2'!D25</f>
        <v/>
      </c>
      <c r="E112" s="313">
        <f>'[1]2024_60-69 ΕΞΟΔΑ+ΟΜ 2'!E25</f>
        <v/>
      </c>
      <c r="F112" s="313">
        <f>'[1]2024_60-69 ΕΞΟΔΑ+ΟΜ 2'!F25</f>
        <v/>
      </c>
      <c r="G112" s="313">
        <f>'[1]2024_60-69 ΕΞΟΔΑ+ΟΜ 2'!G25</f>
        <v/>
      </c>
      <c r="H112" s="313">
        <f>'[1]2024_60-69 ΕΞΟΔΑ+ΟΜ 2'!H25</f>
        <v/>
      </c>
      <c r="I112" s="313">
        <f>'[1]2024_60-69 ΕΞΟΔΑ+ΟΜ 2'!I25</f>
        <v/>
      </c>
      <c r="J112" s="313">
        <f>'[1]2024_60-69 ΕΞΟΔΑ+ΟΜ 2'!J25</f>
        <v/>
      </c>
      <c r="K112" s="313">
        <f>'[1]2024_60-69 ΕΞΟΔΑ+ΟΜ 2'!K25</f>
        <v/>
      </c>
      <c r="L112" s="313">
        <f>'[1]2024_60-69 ΕΞΟΔΑ+ΟΜ 2'!L25</f>
        <v/>
      </c>
      <c r="M112" s="313">
        <f>'[1]2024_60-69 ΕΞΟΔΑ+ΟΜ 2'!M25</f>
        <v/>
      </c>
      <c r="N112" s="313">
        <f>'[1]2024_60-69 ΕΞΟΔΑ+ΟΜ 2'!N25</f>
        <v/>
      </c>
      <c r="O112" s="313">
        <f>'[1]2024_60-69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'[1]2026_60-69 ΕΞΟΔΑ+ΟΜ 2'!D25</f>
        <v/>
      </c>
      <c r="E114" s="313">
        <f>'[1]2026_60-69 ΕΞΟΔΑ+ΟΜ 2'!E25</f>
        <v/>
      </c>
      <c r="F114" s="313">
        <f>'[1]2026_60-69 ΕΞΟΔΑ+ΟΜ 2'!F25</f>
        <v/>
      </c>
      <c r="G114" s="313">
        <f>'[1]2026_60-69 ΕΞΟΔΑ+ΟΜ 2'!G25</f>
        <v/>
      </c>
      <c r="H114" s="313">
        <f>'[1]2026_60-69 ΕΞΟΔΑ+ΟΜ 2'!H25</f>
        <v/>
      </c>
      <c r="I114" s="313">
        <f>'[1]2026_60-69 ΕΞΟΔΑ+ΟΜ 2'!I25</f>
        <v/>
      </c>
      <c r="J114" s="313">
        <f>'[1]2026_60-69 ΕΞΟΔΑ+ΟΜ 2'!J25</f>
        <v/>
      </c>
      <c r="K114" s="313">
        <f>'[1]2026_60-69 ΕΞΟΔΑ+ΟΜ 2'!K25</f>
        <v/>
      </c>
      <c r="L114" s="313">
        <f>'[1]2026_60-69 ΕΞΟΔΑ+ΟΜ 2'!L25</f>
        <v/>
      </c>
      <c r="M114" s="313">
        <f>'[1]2026_60-69 ΕΞΟΔΑ+ΟΜ 2'!M25</f>
        <v/>
      </c>
      <c r="N114" s="313">
        <f>'[1]2026_60-69 ΕΞΟΔΑ+ΟΜ 2'!N25</f>
        <v/>
      </c>
      <c r="O114" s="313">
        <f>'[1]2026_60-69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'[1]2024_60-69 ΕΞΟΔΑ+ΟΜ 2'!D26</f>
        <v/>
      </c>
      <c r="E117" s="313">
        <f>'[1]2024_60-69 ΕΞΟΔΑ+ΟΜ 2'!E26</f>
        <v/>
      </c>
      <c r="F117" s="313">
        <f>'[1]2024_60-69 ΕΞΟΔΑ+ΟΜ 2'!F26</f>
        <v/>
      </c>
      <c r="G117" s="313">
        <f>'[1]2024_60-69 ΕΞΟΔΑ+ΟΜ 2'!G26</f>
        <v/>
      </c>
      <c r="H117" s="313">
        <f>'[1]2024_60-69 ΕΞΟΔΑ+ΟΜ 2'!H26</f>
        <v/>
      </c>
      <c r="I117" s="313">
        <f>'[1]2024_60-69 ΕΞΟΔΑ+ΟΜ 2'!I26</f>
        <v/>
      </c>
      <c r="J117" s="313">
        <f>'[1]2024_60-69 ΕΞΟΔΑ+ΟΜ 2'!J26</f>
        <v/>
      </c>
      <c r="K117" s="313">
        <f>'[1]2024_60-69 ΕΞΟΔΑ+ΟΜ 2'!K26</f>
        <v/>
      </c>
      <c r="L117" s="313">
        <f>'[1]2024_60-69 ΕΞΟΔΑ+ΟΜ 2'!L26</f>
        <v/>
      </c>
      <c r="M117" s="313">
        <f>'[1]2024_60-69 ΕΞΟΔΑ+ΟΜ 2'!M26</f>
        <v/>
      </c>
      <c r="N117" s="313">
        <f>'[1]2024_60-69 ΕΞΟΔΑ+ΟΜ 2'!N26</f>
        <v/>
      </c>
      <c r="O117" s="313">
        <f>'[1]2024_60-69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'[1]2026_60-69 ΕΞΟΔΑ+ΟΜ 2'!D26</f>
        <v/>
      </c>
      <c r="E119" s="313">
        <f>'[1]2026_60-69 ΕΞΟΔΑ+ΟΜ 2'!E26</f>
        <v/>
      </c>
      <c r="F119" s="313">
        <f>'[1]2026_60-69 ΕΞΟΔΑ+ΟΜ 2'!F26</f>
        <v/>
      </c>
      <c r="G119" s="313">
        <f>'[1]2026_60-69 ΕΞΟΔΑ+ΟΜ 2'!G26</f>
        <v/>
      </c>
      <c r="H119" s="313">
        <f>'[1]2026_60-69 ΕΞΟΔΑ+ΟΜ 2'!H26</f>
        <v/>
      </c>
      <c r="I119" s="313">
        <f>'[1]2026_60-69 ΕΞΟΔΑ+ΟΜ 2'!I26</f>
        <v/>
      </c>
      <c r="J119" s="313">
        <f>'[1]2026_60-69 ΕΞΟΔΑ+ΟΜ 2'!J26</f>
        <v/>
      </c>
      <c r="K119" s="313">
        <f>'[1]2026_60-69 ΕΞΟΔΑ+ΟΜ 2'!K26</f>
        <v/>
      </c>
      <c r="L119" s="313">
        <f>'[1]2026_60-69 ΕΞΟΔΑ+ΟΜ 2'!L26</f>
        <v/>
      </c>
      <c r="M119" s="313">
        <f>'[1]2026_60-69 ΕΞΟΔΑ+ΟΜ 2'!M26</f>
        <v/>
      </c>
      <c r="N119" s="313">
        <f>'[1]2026_60-69 ΕΞΟΔΑ+ΟΜ 2'!N26</f>
        <v/>
      </c>
      <c r="O119" s="313">
        <f>'[1]2026_60-69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'[1]2024_60-69 ΕΞΟΔΑ+ΟΜ 2'!D27</f>
        <v/>
      </c>
      <c r="E122" s="313">
        <f>'[1]2024_60-69 ΕΞΟΔΑ+ΟΜ 2'!E27</f>
        <v/>
      </c>
      <c r="F122" s="313">
        <f>'[1]2024_60-69 ΕΞΟΔΑ+ΟΜ 2'!F27</f>
        <v/>
      </c>
      <c r="G122" s="313">
        <f>'[1]2024_60-69 ΕΞΟΔΑ+ΟΜ 2'!G27</f>
        <v/>
      </c>
      <c r="H122" s="313">
        <f>'[1]2024_60-69 ΕΞΟΔΑ+ΟΜ 2'!H27</f>
        <v/>
      </c>
      <c r="I122" s="313">
        <f>'[1]2024_60-69 ΕΞΟΔΑ+ΟΜ 2'!I27</f>
        <v/>
      </c>
      <c r="J122" s="313">
        <f>'[1]2024_60-69 ΕΞΟΔΑ+ΟΜ 2'!J27</f>
        <v/>
      </c>
      <c r="K122" s="313">
        <f>'[1]2024_60-69 ΕΞΟΔΑ+ΟΜ 2'!K27</f>
        <v/>
      </c>
      <c r="L122" s="313">
        <f>'[1]2024_60-69 ΕΞΟΔΑ+ΟΜ 2'!L27</f>
        <v/>
      </c>
      <c r="M122" s="313">
        <f>'[1]2024_60-69 ΕΞΟΔΑ+ΟΜ 2'!M27</f>
        <v/>
      </c>
      <c r="N122" s="313">
        <f>'[1]2024_60-69 ΕΞΟΔΑ+ΟΜ 2'!N27</f>
        <v/>
      </c>
      <c r="O122" s="313">
        <f>'[1]2024_60-69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'[1]2026_60-69 ΕΞΟΔΑ+ΟΜ 2'!D27</f>
        <v/>
      </c>
      <c r="E124" s="313">
        <f>'[1]2026_60-69 ΕΞΟΔΑ+ΟΜ 2'!E27</f>
        <v/>
      </c>
      <c r="F124" s="313">
        <f>'[1]2026_60-69 ΕΞΟΔΑ+ΟΜ 2'!F27</f>
        <v/>
      </c>
      <c r="G124" s="313">
        <f>'[1]2026_60-69 ΕΞΟΔΑ+ΟΜ 2'!G27</f>
        <v/>
      </c>
      <c r="H124" s="313">
        <f>'[1]2026_60-69 ΕΞΟΔΑ+ΟΜ 2'!H27</f>
        <v/>
      </c>
      <c r="I124" s="313">
        <f>'[1]2026_60-69 ΕΞΟΔΑ+ΟΜ 2'!I27</f>
        <v/>
      </c>
      <c r="J124" s="313">
        <f>'[1]2026_60-69 ΕΞΟΔΑ+ΟΜ 2'!J27</f>
        <v/>
      </c>
      <c r="K124" s="313">
        <f>'[1]2026_60-69 ΕΞΟΔΑ+ΟΜ 2'!K27</f>
        <v/>
      </c>
      <c r="L124" s="313">
        <f>'[1]2026_60-69 ΕΞΟΔΑ+ΟΜ 2'!L27</f>
        <v/>
      </c>
      <c r="M124" s="313">
        <f>'[1]2026_60-69 ΕΞΟΔΑ+ΟΜ 2'!M27</f>
        <v/>
      </c>
      <c r="N124" s="313">
        <f>'[1]2026_60-69 ΕΞΟΔΑ+ΟΜ 2'!N27</f>
        <v/>
      </c>
      <c r="O124" s="313">
        <f>'[1]2026_60-69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'[1]2024_60-69 ΕΞΟΔΑ+ΟΜ 2'!D28</f>
        <v/>
      </c>
      <c r="E127" s="313">
        <f>'[1]2024_60-69 ΕΞΟΔΑ+ΟΜ 2'!E28</f>
        <v/>
      </c>
      <c r="F127" s="313">
        <f>'[1]2024_60-69 ΕΞΟΔΑ+ΟΜ 2'!F28</f>
        <v/>
      </c>
      <c r="G127" s="313">
        <f>'[1]2024_60-69 ΕΞΟΔΑ+ΟΜ 2'!G28</f>
        <v/>
      </c>
      <c r="H127" s="313">
        <f>'[1]2024_60-69 ΕΞΟΔΑ+ΟΜ 2'!H28</f>
        <v/>
      </c>
      <c r="I127" s="313">
        <f>'[1]2024_60-69 ΕΞΟΔΑ+ΟΜ 2'!I28</f>
        <v/>
      </c>
      <c r="J127" s="313">
        <f>'[1]2024_60-69 ΕΞΟΔΑ+ΟΜ 2'!J28</f>
        <v/>
      </c>
      <c r="K127" s="313">
        <f>'[1]2024_60-69 ΕΞΟΔΑ+ΟΜ 2'!K28</f>
        <v/>
      </c>
      <c r="L127" s="313">
        <f>'[1]2024_60-69 ΕΞΟΔΑ+ΟΜ 2'!L28</f>
        <v/>
      </c>
      <c r="M127" s="313">
        <f>'[1]2024_60-69 ΕΞΟΔΑ+ΟΜ 2'!M28</f>
        <v/>
      </c>
      <c r="N127" s="313">
        <f>'[1]2024_60-69 ΕΞΟΔΑ+ΟΜ 2'!N28</f>
        <v/>
      </c>
      <c r="O127" s="313">
        <f>'[1]2024_60-69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'[1]2026_60-69 ΕΞΟΔΑ+ΟΜ 2'!D28</f>
        <v/>
      </c>
      <c r="E129" s="313">
        <f>'[1]2026_60-69 ΕΞΟΔΑ+ΟΜ 2'!E28</f>
        <v/>
      </c>
      <c r="F129" s="313">
        <f>'[1]2026_60-69 ΕΞΟΔΑ+ΟΜ 2'!F28</f>
        <v/>
      </c>
      <c r="G129" s="313">
        <f>'[1]2026_60-69 ΕΞΟΔΑ+ΟΜ 2'!G28</f>
        <v/>
      </c>
      <c r="H129" s="313">
        <f>'[1]2026_60-69 ΕΞΟΔΑ+ΟΜ 2'!H28</f>
        <v/>
      </c>
      <c r="I129" s="313">
        <f>'[1]2026_60-69 ΕΞΟΔΑ+ΟΜ 2'!I28</f>
        <v/>
      </c>
      <c r="J129" s="313">
        <f>'[1]2026_60-69 ΕΞΟΔΑ+ΟΜ 2'!J28</f>
        <v/>
      </c>
      <c r="K129" s="313">
        <f>'[1]2026_60-69 ΕΞΟΔΑ+ΟΜ 2'!K28</f>
        <v/>
      </c>
      <c r="L129" s="313">
        <f>'[1]2026_60-69 ΕΞΟΔΑ+ΟΜ 2'!L28</f>
        <v/>
      </c>
      <c r="M129" s="313">
        <f>'[1]2026_60-69 ΕΞΟΔΑ+ΟΜ 2'!M28</f>
        <v/>
      </c>
      <c r="N129" s="313">
        <f>'[1]2026_60-69 ΕΞΟΔΑ+ΟΜ 2'!N28</f>
        <v/>
      </c>
      <c r="O129" s="313">
        <f>'[1]2026_60-69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'[1]2024_60-69 ΕΞΟΔΑ+ΟΜ 2'!D29</f>
        <v/>
      </c>
      <c r="E132" s="313">
        <f>'[1]2024_60-69 ΕΞΟΔΑ+ΟΜ 2'!E29</f>
        <v/>
      </c>
      <c r="F132" s="313">
        <f>'[1]2024_60-69 ΕΞΟΔΑ+ΟΜ 2'!F29</f>
        <v/>
      </c>
      <c r="G132" s="313">
        <f>'[1]2024_60-69 ΕΞΟΔΑ+ΟΜ 2'!G29</f>
        <v/>
      </c>
      <c r="H132" s="313">
        <f>'[1]2024_60-69 ΕΞΟΔΑ+ΟΜ 2'!H29</f>
        <v/>
      </c>
      <c r="I132" s="313">
        <f>'[1]2024_60-69 ΕΞΟΔΑ+ΟΜ 2'!I29</f>
        <v/>
      </c>
      <c r="J132" s="313">
        <f>'[1]2024_60-69 ΕΞΟΔΑ+ΟΜ 2'!J29</f>
        <v/>
      </c>
      <c r="K132" s="313">
        <f>'[1]2024_60-69 ΕΞΟΔΑ+ΟΜ 2'!K29</f>
        <v/>
      </c>
      <c r="L132" s="313">
        <f>'[1]2024_60-69 ΕΞΟΔΑ+ΟΜ 2'!L29</f>
        <v/>
      </c>
      <c r="M132" s="313">
        <f>'[1]2024_60-69 ΕΞΟΔΑ+ΟΜ 2'!M29</f>
        <v/>
      </c>
      <c r="N132" s="313">
        <f>'[1]2024_60-69 ΕΞΟΔΑ+ΟΜ 2'!N29</f>
        <v/>
      </c>
      <c r="O132" s="313">
        <f>'[1]2024_60-69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'[1]2026_60-69 ΕΞΟΔΑ+ΟΜ 2'!D29</f>
        <v/>
      </c>
      <c r="E134" s="313">
        <f>'[1]2026_60-69 ΕΞΟΔΑ+ΟΜ 2'!E29</f>
        <v/>
      </c>
      <c r="F134" s="313">
        <f>'[1]2026_60-69 ΕΞΟΔΑ+ΟΜ 2'!F29</f>
        <v/>
      </c>
      <c r="G134" s="313">
        <f>'[1]2026_60-69 ΕΞΟΔΑ+ΟΜ 2'!G29</f>
        <v/>
      </c>
      <c r="H134" s="313">
        <f>'[1]2026_60-69 ΕΞΟΔΑ+ΟΜ 2'!H29</f>
        <v/>
      </c>
      <c r="I134" s="313">
        <f>'[1]2026_60-69 ΕΞΟΔΑ+ΟΜ 2'!I29</f>
        <v/>
      </c>
      <c r="J134" s="313">
        <f>'[1]2026_60-69 ΕΞΟΔΑ+ΟΜ 2'!J29</f>
        <v/>
      </c>
      <c r="K134" s="313">
        <f>'[1]2026_60-69 ΕΞΟΔΑ+ΟΜ 2'!K29</f>
        <v/>
      </c>
      <c r="L134" s="313">
        <f>'[1]2026_60-69 ΕΞΟΔΑ+ΟΜ 2'!L29</f>
        <v/>
      </c>
      <c r="M134" s="313">
        <f>'[1]2026_60-69 ΕΞΟΔΑ+ΟΜ 2'!M29</f>
        <v/>
      </c>
      <c r="N134" s="313">
        <f>'[1]2026_60-69 ΕΞΟΔΑ+ΟΜ 2'!N29</f>
        <v/>
      </c>
      <c r="O134" s="313">
        <f>'[1]2026_60-69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'[1]2026_60-69 ΕΞΟΔΑ+ΟΜ 2'!D30</f>
        <v/>
      </c>
      <c r="E139" s="313">
        <f>'[1]2026_60-69 ΕΞΟΔΑ+ΟΜ 2'!E30</f>
        <v/>
      </c>
      <c r="F139" s="313">
        <f>'[1]2026_60-69 ΕΞΟΔΑ+ΟΜ 2'!F30</f>
        <v/>
      </c>
      <c r="G139" s="313">
        <f>'[1]2026_60-69 ΕΞΟΔΑ+ΟΜ 2'!G30</f>
        <v/>
      </c>
      <c r="H139" s="313">
        <f>'[1]2026_60-69 ΕΞΟΔΑ+ΟΜ 2'!H30</f>
        <v/>
      </c>
      <c r="I139" s="313">
        <f>'[1]2026_60-69 ΕΞΟΔΑ+ΟΜ 2'!I30</f>
        <v/>
      </c>
      <c r="J139" s="313">
        <f>'[1]2026_60-69 ΕΞΟΔΑ+ΟΜ 2'!J30</f>
        <v/>
      </c>
      <c r="K139" s="313">
        <f>'[1]2026_60-69 ΕΞΟΔΑ+ΟΜ 2'!K30</f>
        <v/>
      </c>
      <c r="L139" s="313">
        <f>'[1]2026_60-69 ΕΞΟΔΑ+ΟΜ 2'!L30</f>
        <v/>
      </c>
      <c r="M139" s="313">
        <f>'[1]2026_60-69 ΕΞΟΔΑ+ΟΜ 2'!M30</f>
        <v/>
      </c>
      <c r="N139" s="313">
        <f>'[1]2026_60-69 ΕΞΟΔΑ+ΟΜ 2'!N30</f>
        <v/>
      </c>
      <c r="O139" s="313">
        <f>'[1]2026_60-69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'[1]2024_60-69 ΕΞΟΔΑ+ΟΜ 2'!D31</f>
        <v/>
      </c>
      <c r="E142" s="313">
        <f>'[1]2024_60-69 ΕΞΟΔΑ+ΟΜ 2'!E31</f>
        <v/>
      </c>
      <c r="F142" s="313">
        <f>'[1]2024_60-69 ΕΞΟΔΑ+ΟΜ 2'!F31</f>
        <v/>
      </c>
      <c r="G142" s="313">
        <f>'[1]2024_60-69 ΕΞΟΔΑ+ΟΜ 2'!G31</f>
        <v/>
      </c>
      <c r="H142" s="313">
        <f>'[1]2024_60-69 ΕΞΟΔΑ+ΟΜ 2'!H31</f>
        <v/>
      </c>
      <c r="I142" s="313">
        <f>'[1]2024_60-69 ΕΞΟΔΑ+ΟΜ 2'!I31</f>
        <v/>
      </c>
      <c r="J142" s="313">
        <f>'[1]2024_60-69 ΕΞΟΔΑ+ΟΜ 2'!J31</f>
        <v/>
      </c>
      <c r="K142" s="313">
        <f>'[1]2024_60-69 ΕΞΟΔΑ+ΟΜ 2'!K31</f>
        <v/>
      </c>
      <c r="L142" s="313">
        <f>'[1]2024_60-69 ΕΞΟΔΑ+ΟΜ 2'!L31</f>
        <v/>
      </c>
      <c r="M142" s="313">
        <f>'[1]2024_60-69 ΕΞΟΔΑ+ΟΜ 2'!M31</f>
        <v/>
      </c>
      <c r="N142" s="313">
        <f>'[1]2024_60-69 ΕΞΟΔΑ+ΟΜ 2'!N31</f>
        <v/>
      </c>
      <c r="O142" s="313">
        <f>'[1]2024_60-69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'[1]2026_60-69 ΕΞΟΔΑ+ΟΜ 2'!D31</f>
        <v/>
      </c>
      <c r="E144" s="313">
        <f>'[1]2026_60-69 ΕΞΟΔΑ+ΟΜ 2'!E31</f>
        <v/>
      </c>
      <c r="F144" s="313">
        <f>'[1]2026_60-69 ΕΞΟΔΑ+ΟΜ 2'!F31</f>
        <v/>
      </c>
      <c r="G144" s="313">
        <f>'[1]2026_60-69 ΕΞΟΔΑ+ΟΜ 2'!G31</f>
        <v/>
      </c>
      <c r="H144" s="313">
        <f>'[1]2026_60-69 ΕΞΟΔΑ+ΟΜ 2'!H31</f>
        <v/>
      </c>
      <c r="I144" s="313">
        <f>'[1]2026_60-69 ΕΞΟΔΑ+ΟΜ 2'!I31</f>
        <v/>
      </c>
      <c r="J144" s="313">
        <f>'[1]2026_60-69 ΕΞΟΔΑ+ΟΜ 2'!J31</f>
        <v/>
      </c>
      <c r="K144" s="313">
        <f>'[1]2026_60-69 ΕΞΟΔΑ+ΟΜ 2'!K31</f>
        <v/>
      </c>
      <c r="L144" s="313">
        <f>'[1]2026_60-69 ΕΞΟΔΑ+ΟΜ 2'!L31</f>
        <v/>
      </c>
      <c r="M144" s="313">
        <f>'[1]2026_60-69 ΕΞΟΔΑ+ΟΜ 2'!M31</f>
        <v/>
      </c>
      <c r="N144" s="313">
        <f>'[1]2026_60-69 ΕΞΟΔΑ+ΟΜ 2'!N31</f>
        <v/>
      </c>
      <c r="O144" s="313">
        <f>'[1]2026_60-69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'[1]2024_60-69 ΕΞΟΔΑ+ΟΜ 2'!D32</f>
        <v/>
      </c>
      <c r="E147" s="313">
        <f>'[1]2024_60-69 ΕΞΟΔΑ+ΟΜ 2'!E32</f>
        <v/>
      </c>
      <c r="F147" s="313">
        <f>'[1]2024_60-69 ΕΞΟΔΑ+ΟΜ 2'!F32</f>
        <v/>
      </c>
      <c r="G147" s="313">
        <f>'[1]2024_60-69 ΕΞΟΔΑ+ΟΜ 2'!G32</f>
        <v/>
      </c>
      <c r="H147" s="313">
        <f>'[1]2024_60-69 ΕΞΟΔΑ+ΟΜ 2'!H32</f>
        <v/>
      </c>
      <c r="I147" s="313">
        <f>'[1]2024_60-69 ΕΞΟΔΑ+ΟΜ 2'!I32</f>
        <v/>
      </c>
      <c r="J147" s="313">
        <f>'[1]2024_60-69 ΕΞΟΔΑ+ΟΜ 2'!J32</f>
        <v/>
      </c>
      <c r="K147" s="313">
        <f>'[1]2024_60-69 ΕΞΟΔΑ+ΟΜ 2'!K32</f>
        <v/>
      </c>
      <c r="L147" s="313">
        <f>'[1]2024_60-69 ΕΞΟΔΑ+ΟΜ 2'!L32</f>
        <v/>
      </c>
      <c r="M147" s="313">
        <f>'[1]2024_60-69 ΕΞΟΔΑ+ΟΜ 2'!M32</f>
        <v/>
      </c>
      <c r="N147" s="313">
        <f>'[1]2024_60-69 ΕΞΟΔΑ+ΟΜ 2'!N32</f>
        <v/>
      </c>
      <c r="O147" s="313">
        <f>'[1]2024_60-69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'[1]2026_60-69 ΕΞΟΔΑ+ΟΜ 2'!D32</f>
        <v/>
      </c>
      <c r="E149" s="313">
        <f>'[1]2026_60-69 ΕΞΟΔΑ+ΟΜ 2'!E32</f>
        <v/>
      </c>
      <c r="F149" s="313">
        <f>'[1]2026_60-69 ΕΞΟΔΑ+ΟΜ 2'!F32</f>
        <v/>
      </c>
      <c r="G149" s="313">
        <f>'[1]2026_60-69 ΕΞΟΔΑ+ΟΜ 2'!G32</f>
        <v/>
      </c>
      <c r="H149" s="313">
        <f>'[1]2026_60-69 ΕΞΟΔΑ+ΟΜ 2'!H32</f>
        <v/>
      </c>
      <c r="I149" s="313">
        <f>'[1]2026_60-69 ΕΞΟΔΑ+ΟΜ 2'!I32</f>
        <v/>
      </c>
      <c r="J149" s="313">
        <f>'[1]2026_60-69 ΕΞΟΔΑ+ΟΜ 2'!J32</f>
        <v/>
      </c>
      <c r="K149" s="313">
        <f>'[1]2026_60-69 ΕΞΟΔΑ+ΟΜ 2'!K32</f>
        <v/>
      </c>
      <c r="L149" s="313">
        <f>'[1]2026_60-69 ΕΞΟΔΑ+ΟΜ 2'!L32</f>
        <v/>
      </c>
      <c r="M149" s="313">
        <f>'[1]2026_60-69 ΕΞΟΔΑ+ΟΜ 2'!M32</f>
        <v/>
      </c>
      <c r="N149" s="313">
        <f>'[1]2026_60-69 ΕΞΟΔΑ+ΟΜ 2'!N32</f>
        <v/>
      </c>
      <c r="O149" s="313">
        <f>'[1]2026_60-69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'[1]2024_60-69 ΕΞΟΔΑ+ΟΜ 2'!D33</f>
        <v/>
      </c>
      <c r="E152" s="510">
        <f>'[1]2024_60-69 ΕΞΟΔΑ+ΟΜ 2'!E33</f>
        <v/>
      </c>
      <c r="F152" s="510">
        <f>'[1]2024_60-69 ΕΞΟΔΑ+ΟΜ 2'!F33</f>
        <v/>
      </c>
      <c r="G152" s="510">
        <f>'[1]2024_60-69 ΕΞΟΔΑ+ΟΜ 2'!G33</f>
        <v/>
      </c>
      <c r="H152" s="510">
        <f>'[1]2024_60-69 ΕΞΟΔΑ+ΟΜ 2'!H33</f>
        <v/>
      </c>
      <c r="I152" s="510">
        <f>'[1]2024_60-69 ΕΞΟΔΑ+ΟΜ 2'!I33</f>
        <v/>
      </c>
      <c r="J152" s="510">
        <f>'[1]2024_60-69 ΕΞΟΔΑ+ΟΜ 2'!J33</f>
        <v/>
      </c>
      <c r="K152" s="510">
        <f>'[1]2024_60-69 ΕΞΟΔΑ+ΟΜ 2'!K33</f>
        <v/>
      </c>
      <c r="L152" s="510">
        <f>'[1]2024_60-69 ΕΞΟΔΑ+ΟΜ 2'!L33</f>
        <v/>
      </c>
      <c r="M152" s="510">
        <f>'[1]2024_60-69 ΕΞΟΔΑ+ΟΜ 2'!M33</f>
        <v/>
      </c>
      <c r="N152" s="510">
        <f>'[1]2024_60-69 ΕΞΟΔΑ+ΟΜ 2'!N33</f>
        <v/>
      </c>
      <c r="O152" s="510">
        <f>'[1]2024_60-69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'[1]2026_60-69 ΕΞΟΔΑ+ΟΜ 2'!D33</f>
        <v/>
      </c>
      <c r="E154" s="513">
        <f>'[1]2026_60-69 ΕΞΟΔΑ+ΟΜ 2'!E33</f>
        <v/>
      </c>
      <c r="F154" s="513">
        <f>'[1]2026_60-69 ΕΞΟΔΑ+ΟΜ 2'!F33</f>
        <v/>
      </c>
      <c r="G154" s="513">
        <f>'[1]2026_60-69 ΕΞΟΔΑ+ΟΜ 2'!G33</f>
        <v/>
      </c>
      <c r="H154" s="513">
        <f>'[1]2026_60-69 ΕΞΟΔΑ+ΟΜ 2'!H33</f>
        <v/>
      </c>
      <c r="I154" s="513">
        <f>'[1]2026_60-69 ΕΞΟΔΑ+ΟΜ 2'!I33</f>
        <v/>
      </c>
      <c r="J154" s="513">
        <f>'[1]2026_60-69 ΕΞΟΔΑ+ΟΜ 2'!J33</f>
        <v/>
      </c>
      <c r="K154" s="513">
        <f>'[1]2026_60-69 ΕΞΟΔΑ+ΟΜ 2'!K33</f>
        <v/>
      </c>
      <c r="L154" s="513">
        <f>'[1]2026_60-69 ΕΞΟΔΑ+ΟΜ 2'!L33</f>
        <v/>
      </c>
      <c r="M154" s="513">
        <f>'[1]2026_60-69 ΕΞΟΔΑ+ΟΜ 2'!M33</f>
        <v/>
      </c>
      <c r="N154" s="513">
        <f>'[1]2026_60-69 ΕΞΟΔΑ+ΟΜ 2'!N33</f>
        <v/>
      </c>
      <c r="O154" s="513">
        <f>'[1]2026_60-69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ΣΥΝΟΛΟ_2026(ΠΡΑΓΜΑΤΟΠΟΙΗΘΕΝ)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'[1]2024_60-69 ΕΞΟΔΑ+ΟΜ 2'!D35</f>
        <v/>
      </c>
      <c r="E166" s="307">
        <f>'[1]2024_60-69 ΕΞΟΔΑ+ΟΜ 2'!E35</f>
        <v/>
      </c>
      <c r="F166" s="307">
        <f>'[1]2024_60-69 ΕΞΟΔΑ+ΟΜ 2'!F35</f>
        <v/>
      </c>
      <c r="G166" s="307">
        <f>'[1]2024_60-69 ΕΞΟΔΑ+ΟΜ 2'!G35</f>
        <v/>
      </c>
      <c r="H166" s="307">
        <f>'[1]2024_60-69 ΕΞΟΔΑ+ΟΜ 2'!H35</f>
        <v/>
      </c>
      <c r="I166" s="307">
        <f>'[1]2024_60-69 ΕΞΟΔΑ+ΟΜ 2'!I35</f>
        <v/>
      </c>
      <c r="J166" s="307">
        <f>'[1]2024_60-69 ΕΞΟΔΑ+ΟΜ 2'!J35</f>
        <v/>
      </c>
      <c r="K166" s="307">
        <f>'[1]2024_60-69 ΕΞΟΔΑ+ΟΜ 2'!K35</f>
        <v/>
      </c>
      <c r="L166" s="307">
        <f>'[1]2024_60-69 ΕΞΟΔΑ+ΟΜ 2'!L35</f>
        <v/>
      </c>
      <c r="M166" s="307">
        <f>'[1]2024_60-69 ΕΞΟΔΑ+ΟΜ 2'!M35</f>
        <v/>
      </c>
      <c r="N166" s="307">
        <f>'[1]2024_60-69 ΕΞΟΔΑ+ΟΜ 2'!N35</f>
        <v/>
      </c>
      <c r="O166" s="307">
        <f>'[1]2024_60-69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'[1]2026_60-69 ΕΞΟΔΑ+ΟΜ 2'!D37</f>
        <v/>
      </c>
      <c r="E168" s="307">
        <f>'[1]2026_60-69 ΕΞΟΔΑ+ΟΜ 2'!E37</f>
        <v/>
      </c>
      <c r="F168" s="307">
        <f>'[1]2026_60-69 ΕΞΟΔΑ+ΟΜ 2'!F37</f>
        <v/>
      </c>
      <c r="G168" s="307">
        <f>'[1]2026_60-69 ΕΞΟΔΑ+ΟΜ 2'!G37</f>
        <v/>
      </c>
      <c r="H168" s="307">
        <f>'[1]2026_60-69 ΕΞΟΔΑ+ΟΜ 2'!H37</f>
        <v/>
      </c>
      <c r="I168" s="307">
        <f>'[1]2026_60-69 ΕΞΟΔΑ+ΟΜ 2'!I37</f>
        <v/>
      </c>
      <c r="J168" s="307">
        <f>'[1]2026_60-69 ΕΞΟΔΑ+ΟΜ 2'!J37</f>
        <v/>
      </c>
      <c r="K168" s="307">
        <f>'[1]2026_60-69 ΕΞΟΔΑ+ΟΜ 2'!K37</f>
        <v/>
      </c>
      <c r="L168" s="307">
        <f>'[1]2026_60-69 ΕΞΟΔΑ+ΟΜ 2'!L37</f>
        <v/>
      </c>
      <c r="M168" s="307">
        <f>'[1]2026_60-69 ΕΞΟΔΑ+ΟΜ 2'!M37</f>
        <v/>
      </c>
      <c r="N168" s="307">
        <f>'[1]2026_60-69 ΕΞΟΔΑ+ΟΜ 2'!N37</f>
        <v/>
      </c>
      <c r="O168" s="307">
        <f>'[1]2026_60-69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'[1]2024_60-69 ΕΞΟΔΑ+ΟΜ 2'!D36</f>
        <v/>
      </c>
      <c r="E171" s="307">
        <f>'[1]2024_60-69 ΕΞΟΔΑ+ΟΜ 2'!E36</f>
        <v/>
      </c>
      <c r="F171" s="307">
        <f>'[1]2024_60-69 ΕΞΟΔΑ+ΟΜ 2'!F36</f>
        <v/>
      </c>
      <c r="G171" s="307">
        <f>'[1]2024_60-69 ΕΞΟΔΑ+ΟΜ 2'!G36</f>
        <v/>
      </c>
      <c r="H171" s="307">
        <f>'[1]2024_60-69 ΕΞΟΔΑ+ΟΜ 2'!H36</f>
        <v/>
      </c>
      <c r="I171" s="307">
        <f>'[1]2024_60-69 ΕΞΟΔΑ+ΟΜ 2'!I36</f>
        <v/>
      </c>
      <c r="J171" s="307">
        <f>'[1]2024_60-69 ΕΞΟΔΑ+ΟΜ 2'!J36</f>
        <v/>
      </c>
      <c r="K171" s="307">
        <f>'[1]2024_60-69 ΕΞΟΔΑ+ΟΜ 2'!K36</f>
        <v/>
      </c>
      <c r="L171" s="307">
        <f>'[1]2024_60-69 ΕΞΟΔΑ+ΟΜ 2'!L36</f>
        <v/>
      </c>
      <c r="M171" s="307">
        <f>'[1]2024_60-69 ΕΞΟΔΑ+ΟΜ 2'!M36</f>
        <v/>
      </c>
      <c r="N171" s="307">
        <f>'[1]2024_60-69 ΕΞΟΔΑ+ΟΜ 2'!N36</f>
        <v/>
      </c>
      <c r="O171" s="307">
        <f>'[1]2024_60-69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'[1]2026_60-69 ΕΞΟΔΑ+ΟΜ 2'!D38</f>
        <v/>
      </c>
      <c r="E173" s="307">
        <f>'[1]2026_60-69 ΕΞΟΔΑ+ΟΜ 2'!E38</f>
        <v/>
      </c>
      <c r="F173" s="307">
        <f>'[1]2026_60-69 ΕΞΟΔΑ+ΟΜ 2'!F38</f>
        <v/>
      </c>
      <c r="G173" s="307">
        <f>'[1]2026_60-69 ΕΞΟΔΑ+ΟΜ 2'!G38</f>
        <v/>
      </c>
      <c r="H173" s="307">
        <f>'[1]2026_60-69 ΕΞΟΔΑ+ΟΜ 2'!H38</f>
        <v/>
      </c>
      <c r="I173" s="307">
        <f>'[1]2026_60-69 ΕΞΟΔΑ+ΟΜ 2'!I38</f>
        <v/>
      </c>
      <c r="J173" s="307">
        <f>'[1]2026_60-69 ΕΞΟΔΑ+ΟΜ 2'!J38</f>
        <v/>
      </c>
      <c r="K173" s="307">
        <f>'[1]2026_60-69 ΕΞΟΔΑ+ΟΜ 2'!K38</f>
        <v/>
      </c>
      <c r="L173" s="307">
        <f>'[1]2026_60-69 ΕΞΟΔΑ+ΟΜ 2'!L38</f>
        <v/>
      </c>
      <c r="M173" s="307">
        <f>'[1]2026_60-69 ΕΞΟΔΑ+ΟΜ 2'!M38</f>
        <v/>
      </c>
      <c r="N173" s="307">
        <f>'[1]2026_60-69 ΕΞΟΔΑ+ΟΜ 2'!N38</f>
        <v/>
      </c>
      <c r="O173" s="307">
        <f>'[1]2026_60-69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'[1]2024_60-69 ΕΞΟΔΑ+ΟΜ 2'!D37</f>
        <v/>
      </c>
      <c r="E176" s="307">
        <f>'[1]2024_60-69 ΕΞΟΔΑ+ΟΜ 2'!E37</f>
        <v/>
      </c>
      <c r="F176" s="307">
        <f>'[1]2024_60-69 ΕΞΟΔΑ+ΟΜ 2'!F37</f>
        <v/>
      </c>
      <c r="G176" s="307">
        <f>'[1]2024_60-69 ΕΞΟΔΑ+ΟΜ 2'!G37</f>
        <v/>
      </c>
      <c r="H176" s="307">
        <f>'[1]2024_60-69 ΕΞΟΔΑ+ΟΜ 2'!H37</f>
        <v/>
      </c>
      <c r="I176" s="307">
        <f>'[1]2024_60-69 ΕΞΟΔΑ+ΟΜ 2'!I37</f>
        <v/>
      </c>
      <c r="J176" s="307">
        <f>'[1]2024_60-69 ΕΞΟΔΑ+ΟΜ 2'!J37</f>
        <v/>
      </c>
      <c r="K176" s="307">
        <f>'[1]2024_60-69 ΕΞΟΔΑ+ΟΜ 2'!K37</f>
        <v/>
      </c>
      <c r="L176" s="307">
        <f>'[1]2024_60-69 ΕΞΟΔΑ+ΟΜ 2'!L37</f>
        <v/>
      </c>
      <c r="M176" s="307">
        <f>'[1]2024_60-69 ΕΞΟΔΑ+ΟΜ 2'!M37</f>
        <v/>
      </c>
      <c r="N176" s="307">
        <f>'[1]2024_60-69 ΕΞΟΔΑ+ΟΜ 2'!N37</f>
        <v/>
      </c>
      <c r="O176" s="307">
        <f>'[1]2024_60-69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'[1]2026_60-69 ΕΞΟΔΑ+ΟΜ 2'!D39</f>
        <v/>
      </c>
      <c r="E178" s="307">
        <f>'[1]2026_60-69 ΕΞΟΔΑ+ΟΜ 2'!E39</f>
        <v/>
      </c>
      <c r="F178" s="307">
        <f>'[1]2026_60-69 ΕΞΟΔΑ+ΟΜ 2'!F39</f>
        <v/>
      </c>
      <c r="G178" s="307">
        <f>'[1]2026_60-69 ΕΞΟΔΑ+ΟΜ 2'!G39</f>
        <v/>
      </c>
      <c r="H178" s="307">
        <f>'[1]2026_60-69 ΕΞΟΔΑ+ΟΜ 2'!H39</f>
        <v/>
      </c>
      <c r="I178" s="307">
        <f>'[1]2026_60-69 ΕΞΟΔΑ+ΟΜ 2'!I39</f>
        <v/>
      </c>
      <c r="J178" s="307">
        <f>'[1]2026_60-69 ΕΞΟΔΑ+ΟΜ 2'!J39</f>
        <v/>
      </c>
      <c r="K178" s="307">
        <f>'[1]2026_60-69 ΕΞΟΔΑ+ΟΜ 2'!K39</f>
        <v/>
      </c>
      <c r="L178" s="307">
        <f>'[1]2026_60-69 ΕΞΟΔΑ+ΟΜ 2'!L39</f>
        <v/>
      </c>
      <c r="M178" s="307">
        <f>'[1]2026_60-69 ΕΞΟΔΑ+ΟΜ 2'!M39</f>
        <v/>
      </c>
      <c r="N178" s="307">
        <f>'[1]2026_60-69 ΕΞΟΔΑ+ΟΜ 2'!N39</f>
        <v/>
      </c>
      <c r="O178" s="307">
        <f>'[1]2026_60-69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'[1]2024_60-69 ΕΞΟΔΑ+ΟΜ 2'!D38</f>
        <v/>
      </c>
      <c r="E181" s="307">
        <f>'[1]2024_60-69 ΕΞΟΔΑ+ΟΜ 2'!E38</f>
        <v/>
      </c>
      <c r="F181" s="307">
        <f>'[1]2024_60-69 ΕΞΟΔΑ+ΟΜ 2'!F38</f>
        <v/>
      </c>
      <c r="G181" s="307">
        <f>'[1]2024_60-69 ΕΞΟΔΑ+ΟΜ 2'!G38</f>
        <v/>
      </c>
      <c r="H181" s="307">
        <f>'[1]2024_60-69 ΕΞΟΔΑ+ΟΜ 2'!H38</f>
        <v/>
      </c>
      <c r="I181" s="307">
        <f>'[1]2024_60-69 ΕΞΟΔΑ+ΟΜ 2'!I38</f>
        <v/>
      </c>
      <c r="J181" s="307">
        <f>'[1]2024_60-69 ΕΞΟΔΑ+ΟΜ 2'!J38</f>
        <v/>
      </c>
      <c r="K181" s="307">
        <f>'[1]2024_60-69 ΕΞΟΔΑ+ΟΜ 2'!K38</f>
        <v/>
      </c>
      <c r="L181" s="307">
        <f>'[1]2024_60-69 ΕΞΟΔΑ+ΟΜ 2'!L38</f>
        <v/>
      </c>
      <c r="M181" s="307">
        <f>'[1]2024_60-69 ΕΞΟΔΑ+ΟΜ 2'!M38</f>
        <v/>
      </c>
      <c r="N181" s="307">
        <f>'[1]2024_60-69 ΕΞΟΔΑ+ΟΜ 2'!N38</f>
        <v/>
      </c>
      <c r="O181" s="307">
        <f>'[1]2024_60-69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'[1]2026_60-69 ΕΞΟΔΑ+ΟΜ 2'!D40</f>
        <v/>
      </c>
      <c r="E183" s="307">
        <f>'[1]2026_60-69 ΕΞΟΔΑ+ΟΜ 2'!E40</f>
        <v/>
      </c>
      <c r="F183" s="307">
        <f>'[1]2026_60-69 ΕΞΟΔΑ+ΟΜ 2'!F40</f>
        <v/>
      </c>
      <c r="G183" s="307">
        <f>'[1]2026_60-69 ΕΞΟΔΑ+ΟΜ 2'!G40</f>
        <v/>
      </c>
      <c r="H183" s="307">
        <f>'[1]2026_60-69 ΕΞΟΔΑ+ΟΜ 2'!H40</f>
        <v/>
      </c>
      <c r="I183" s="307">
        <f>'[1]2026_60-69 ΕΞΟΔΑ+ΟΜ 2'!I40</f>
        <v/>
      </c>
      <c r="J183" s="307">
        <f>'[1]2026_60-69 ΕΞΟΔΑ+ΟΜ 2'!J40</f>
        <v/>
      </c>
      <c r="K183" s="307">
        <f>'[1]2026_60-69 ΕΞΟΔΑ+ΟΜ 2'!K40</f>
        <v/>
      </c>
      <c r="L183" s="307">
        <f>'[1]2026_60-69 ΕΞΟΔΑ+ΟΜ 2'!L40</f>
        <v/>
      </c>
      <c r="M183" s="307">
        <f>'[1]2026_60-69 ΕΞΟΔΑ+ΟΜ 2'!M40</f>
        <v/>
      </c>
      <c r="N183" s="307">
        <f>'[1]2026_60-69 ΕΞΟΔΑ+ΟΜ 2'!N40</f>
        <v/>
      </c>
      <c r="O183" s="307">
        <f>'[1]2026_60-69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'[1]2024_60-69 ΕΞΟΔΑ+ΟΜ 2'!D39</f>
        <v/>
      </c>
      <c r="E186" s="307">
        <f>'[1]2024_60-69 ΕΞΟΔΑ+ΟΜ 2'!E39</f>
        <v/>
      </c>
      <c r="F186" s="307">
        <f>'[1]2024_60-69 ΕΞΟΔΑ+ΟΜ 2'!F39</f>
        <v/>
      </c>
      <c r="G186" s="307">
        <f>'[1]2024_60-69 ΕΞΟΔΑ+ΟΜ 2'!G39</f>
        <v/>
      </c>
      <c r="H186" s="307">
        <f>'[1]2024_60-69 ΕΞΟΔΑ+ΟΜ 2'!H39</f>
        <v/>
      </c>
      <c r="I186" s="307">
        <f>'[1]2024_60-69 ΕΞΟΔΑ+ΟΜ 2'!I39</f>
        <v/>
      </c>
      <c r="J186" s="307">
        <f>'[1]2024_60-69 ΕΞΟΔΑ+ΟΜ 2'!J39</f>
        <v/>
      </c>
      <c r="K186" s="307">
        <f>'[1]2024_60-69 ΕΞΟΔΑ+ΟΜ 2'!K39</f>
        <v/>
      </c>
      <c r="L186" s="307">
        <f>'[1]2024_60-69 ΕΞΟΔΑ+ΟΜ 2'!L39</f>
        <v/>
      </c>
      <c r="M186" s="307">
        <f>'[1]2024_60-69 ΕΞΟΔΑ+ΟΜ 2'!M39</f>
        <v/>
      </c>
      <c r="N186" s="307">
        <f>'[1]2024_60-69 ΕΞΟΔΑ+ΟΜ 2'!N39</f>
        <v/>
      </c>
      <c r="O186" s="307">
        <f>'[1]2024_60-69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'[1]2026_60-69 ΕΞΟΔΑ+ΟΜ 2'!D41</f>
        <v/>
      </c>
      <c r="E188" s="307">
        <f>'[1]2026_60-69 ΕΞΟΔΑ+ΟΜ 2'!E41</f>
        <v/>
      </c>
      <c r="F188" s="307">
        <f>'[1]2026_60-69 ΕΞΟΔΑ+ΟΜ 2'!F41</f>
        <v/>
      </c>
      <c r="G188" s="307">
        <f>'[1]2026_60-69 ΕΞΟΔΑ+ΟΜ 2'!G41</f>
        <v/>
      </c>
      <c r="H188" s="307">
        <f>'[1]2026_60-69 ΕΞΟΔΑ+ΟΜ 2'!H41</f>
        <v/>
      </c>
      <c r="I188" s="307">
        <f>'[1]2026_60-69 ΕΞΟΔΑ+ΟΜ 2'!I41</f>
        <v/>
      </c>
      <c r="J188" s="307">
        <f>'[1]2026_60-69 ΕΞΟΔΑ+ΟΜ 2'!J41</f>
        <v/>
      </c>
      <c r="K188" s="307">
        <f>'[1]2026_60-69 ΕΞΟΔΑ+ΟΜ 2'!K41</f>
        <v/>
      </c>
      <c r="L188" s="307">
        <f>'[1]2026_60-69 ΕΞΟΔΑ+ΟΜ 2'!L41</f>
        <v/>
      </c>
      <c r="M188" s="307">
        <f>'[1]2026_60-69 ΕΞΟΔΑ+ΟΜ 2'!M41</f>
        <v/>
      </c>
      <c r="N188" s="307">
        <f>'[1]2026_60-69 ΕΞΟΔΑ+ΟΜ 2'!N41</f>
        <v/>
      </c>
      <c r="O188" s="307">
        <f>'[1]2026_60-69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'[1]2024_60-69 ΕΞΟΔΑ+ΟΜ 2'!D40</f>
        <v/>
      </c>
      <c r="E191" s="307">
        <f>'[1]2024_60-69 ΕΞΟΔΑ+ΟΜ 2'!E40</f>
        <v/>
      </c>
      <c r="F191" s="307">
        <f>'[1]2024_60-69 ΕΞΟΔΑ+ΟΜ 2'!F40</f>
        <v/>
      </c>
      <c r="G191" s="307">
        <f>'[1]2024_60-69 ΕΞΟΔΑ+ΟΜ 2'!G40</f>
        <v/>
      </c>
      <c r="H191" s="307">
        <f>'[1]2024_60-69 ΕΞΟΔΑ+ΟΜ 2'!H40</f>
        <v/>
      </c>
      <c r="I191" s="307">
        <f>'[1]2024_60-69 ΕΞΟΔΑ+ΟΜ 2'!I40</f>
        <v/>
      </c>
      <c r="J191" s="307">
        <f>'[1]2024_60-69 ΕΞΟΔΑ+ΟΜ 2'!J40</f>
        <v/>
      </c>
      <c r="K191" s="307">
        <f>'[1]2024_60-69 ΕΞΟΔΑ+ΟΜ 2'!K40</f>
        <v/>
      </c>
      <c r="L191" s="307">
        <f>'[1]2024_60-69 ΕΞΟΔΑ+ΟΜ 2'!L40</f>
        <v/>
      </c>
      <c r="M191" s="307">
        <f>'[1]2024_60-69 ΕΞΟΔΑ+ΟΜ 2'!M40</f>
        <v/>
      </c>
      <c r="N191" s="307">
        <f>'[1]2024_60-69 ΕΞΟΔΑ+ΟΜ 2'!N40</f>
        <v/>
      </c>
      <c r="O191" s="307">
        <f>'[1]2024_60-69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'[1]2026_60-69 ΕΞΟΔΑ+ΟΜ 2'!D42</f>
        <v/>
      </c>
      <c r="E193" s="307">
        <f>'[1]2026_60-69 ΕΞΟΔΑ+ΟΜ 2'!E42</f>
        <v/>
      </c>
      <c r="F193" s="307">
        <f>'[1]2026_60-69 ΕΞΟΔΑ+ΟΜ 2'!F42</f>
        <v/>
      </c>
      <c r="G193" s="307">
        <f>'[1]2026_60-69 ΕΞΟΔΑ+ΟΜ 2'!G42</f>
        <v/>
      </c>
      <c r="H193" s="307">
        <f>'[1]2026_60-69 ΕΞΟΔΑ+ΟΜ 2'!H42</f>
        <v/>
      </c>
      <c r="I193" s="307">
        <f>'[1]2026_60-69 ΕΞΟΔΑ+ΟΜ 2'!I42</f>
        <v/>
      </c>
      <c r="J193" s="307">
        <f>'[1]2026_60-69 ΕΞΟΔΑ+ΟΜ 2'!J42</f>
        <v/>
      </c>
      <c r="K193" s="307">
        <f>'[1]2026_60-69 ΕΞΟΔΑ+ΟΜ 2'!K42</f>
        <v/>
      </c>
      <c r="L193" s="307">
        <f>'[1]2026_60-69 ΕΞΟΔΑ+ΟΜ 2'!L42</f>
        <v/>
      </c>
      <c r="M193" s="307">
        <f>'[1]2026_60-69 ΕΞΟΔΑ+ΟΜ 2'!M42</f>
        <v/>
      </c>
      <c r="N193" s="307">
        <f>'[1]2026_60-69 ΕΞΟΔΑ+ΟΜ 2'!N42</f>
        <v/>
      </c>
      <c r="O193" s="307">
        <f>'[1]2026_60-69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'[1]2024_60-69 ΕΞΟΔΑ+ΟΜ 2'!D41</f>
        <v/>
      </c>
      <c r="E196" s="307">
        <f>'[1]2024_60-69 ΕΞΟΔΑ+ΟΜ 2'!E41</f>
        <v/>
      </c>
      <c r="F196" s="307">
        <f>'[1]2024_60-69 ΕΞΟΔΑ+ΟΜ 2'!F41</f>
        <v/>
      </c>
      <c r="G196" s="307">
        <f>'[1]2024_60-69 ΕΞΟΔΑ+ΟΜ 2'!G41</f>
        <v/>
      </c>
      <c r="H196" s="307">
        <f>'[1]2024_60-69 ΕΞΟΔΑ+ΟΜ 2'!H41</f>
        <v/>
      </c>
      <c r="I196" s="307">
        <f>'[1]2024_60-69 ΕΞΟΔΑ+ΟΜ 2'!I41</f>
        <v/>
      </c>
      <c r="J196" s="307">
        <f>'[1]2024_60-69 ΕΞΟΔΑ+ΟΜ 2'!J41</f>
        <v/>
      </c>
      <c r="K196" s="307">
        <f>'[1]2024_60-69 ΕΞΟΔΑ+ΟΜ 2'!K41</f>
        <v/>
      </c>
      <c r="L196" s="307">
        <f>'[1]2024_60-69 ΕΞΟΔΑ+ΟΜ 2'!L41</f>
        <v/>
      </c>
      <c r="M196" s="307">
        <f>'[1]2024_60-69 ΕΞΟΔΑ+ΟΜ 2'!M41</f>
        <v/>
      </c>
      <c r="N196" s="307">
        <f>'[1]2024_60-69 ΕΞΟΔΑ+ΟΜ 2'!N41</f>
        <v/>
      </c>
      <c r="O196" s="307">
        <f>'[1]2024_60-69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'[1]2026_60-69 ΕΞΟΔΑ+ΟΜ 2'!D43</f>
        <v/>
      </c>
      <c r="E198" s="307">
        <f>'[1]2026_60-69 ΕΞΟΔΑ+ΟΜ 2'!E43</f>
        <v/>
      </c>
      <c r="F198" s="307">
        <f>'[1]2026_60-69 ΕΞΟΔΑ+ΟΜ 2'!F43</f>
        <v/>
      </c>
      <c r="G198" s="307">
        <f>'[1]2026_60-69 ΕΞΟΔΑ+ΟΜ 2'!G43</f>
        <v/>
      </c>
      <c r="H198" s="307">
        <f>'[1]2026_60-69 ΕΞΟΔΑ+ΟΜ 2'!H43</f>
        <v/>
      </c>
      <c r="I198" s="307">
        <f>'[1]2026_60-69 ΕΞΟΔΑ+ΟΜ 2'!I43</f>
        <v/>
      </c>
      <c r="J198" s="307">
        <f>'[1]2026_60-69 ΕΞΟΔΑ+ΟΜ 2'!J43</f>
        <v/>
      </c>
      <c r="K198" s="307">
        <f>'[1]2026_60-69 ΕΞΟΔΑ+ΟΜ 2'!K43</f>
        <v/>
      </c>
      <c r="L198" s="307">
        <f>'[1]2026_60-69 ΕΞΟΔΑ+ΟΜ 2'!L43</f>
        <v/>
      </c>
      <c r="M198" s="307">
        <f>'[1]2026_60-69 ΕΞΟΔΑ+ΟΜ 2'!M43</f>
        <v/>
      </c>
      <c r="N198" s="307">
        <f>'[1]2026_60-69 ΕΞΟΔΑ+ΟΜ 2'!N43</f>
        <v/>
      </c>
      <c r="O198" s="307">
        <f>'[1]2026_60-69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'[1]2024_60-69 ΕΞΟΔΑ+ΟΜ 2'!D42</f>
        <v/>
      </c>
      <c r="E201" s="307">
        <f>'[1]2024_60-69 ΕΞΟΔΑ+ΟΜ 2'!E42</f>
        <v/>
      </c>
      <c r="F201" s="307">
        <f>'[1]2024_60-69 ΕΞΟΔΑ+ΟΜ 2'!F42</f>
        <v/>
      </c>
      <c r="G201" s="307">
        <f>'[1]2024_60-69 ΕΞΟΔΑ+ΟΜ 2'!G42</f>
        <v/>
      </c>
      <c r="H201" s="307">
        <f>'[1]2024_60-69 ΕΞΟΔΑ+ΟΜ 2'!H42</f>
        <v/>
      </c>
      <c r="I201" s="307">
        <f>'[1]2024_60-69 ΕΞΟΔΑ+ΟΜ 2'!I42</f>
        <v/>
      </c>
      <c r="J201" s="307">
        <f>'[1]2024_60-69 ΕΞΟΔΑ+ΟΜ 2'!J42</f>
        <v/>
      </c>
      <c r="K201" s="307">
        <f>'[1]2024_60-69 ΕΞΟΔΑ+ΟΜ 2'!K42</f>
        <v/>
      </c>
      <c r="L201" s="307">
        <f>'[1]2024_60-69 ΕΞΟΔΑ+ΟΜ 2'!L42</f>
        <v/>
      </c>
      <c r="M201" s="307">
        <f>'[1]2024_60-69 ΕΞΟΔΑ+ΟΜ 2'!M42</f>
        <v/>
      </c>
      <c r="N201" s="307">
        <f>'[1]2024_60-69 ΕΞΟΔΑ+ΟΜ 2'!N42</f>
        <v/>
      </c>
      <c r="O201" s="307">
        <f>'[1]2024_60-69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'[1]2026_60-69 ΕΞΟΔΑ+ΟΜ 2'!D44</f>
        <v/>
      </c>
      <c r="E203" s="307">
        <f>'[1]2026_60-69 ΕΞΟΔΑ+ΟΜ 2'!E44</f>
        <v/>
      </c>
      <c r="F203" s="307">
        <f>'[1]2026_60-69 ΕΞΟΔΑ+ΟΜ 2'!F44</f>
        <v/>
      </c>
      <c r="G203" s="307">
        <f>'[1]2026_60-69 ΕΞΟΔΑ+ΟΜ 2'!G44</f>
        <v/>
      </c>
      <c r="H203" s="307">
        <f>'[1]2026_60-69 ΕΞΟΔΑ+ΟΜ 2'!H44</f>
        <v/>
      </c>
      <c r="I203" s="307">
        <f>'[1]2026_60-69 ΕΞΟΔΑ+ΟΜ 2'!I44</f>
        <v/>
      </c>
      <c r="J203" s="307">
        <f>'[1]2026_60-69 ΕΞΟΔΑ+ΟΜ 2'!J44</f>
        <v/>
      </c>
      <c r="K203" s="307">
        <f>'[1]2026_60-69 ΕΞΟΔΑ+ΟΜ 2'!K44</f>
        <v/>
      </c>
      <c r="L203" s="307">
        <f>'[1]2026_60-69 ΕΞΟΔΑ+ΟΜ 2'!L44</f>
        <v/>
      </c>
      <c r="M203" s="307">
        <f>'[1]2026_60-69 ΕΞΟΔΑ+ΟΜ 2'!M44</f>
        <v/>
      </c>
      <c r="N203" s="307">
        <f>'[1]2026_60-69 ΕΞΟΔΑ+ΟΜ 2'!N44</f>
        <v/>
      </c>
      <c r="O203" s="307">
        <f>'[1]2026_60-69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'[1]2024_60-69 ΕΞΟΔΑ+ΟΜ 2'!D43</f>
        <v/>
      </c>
      <c r="E206" s="307">
        <f>'[1]2024_60-69 ΕΞΟΔΑ+ΟΜ 2'!E43</f>
        <v/>
      </c>
      <c r="F206" s="307">
        <f>'[1]2024_60-69 ΕΞΟΔΑ+ΟΜ 2'!F43</f>
        <v/>
      </c>
      <c r="G206" s="307">
        <f>'[1]2024_60-69 ΕΞΟΔΑ+ΟΜ 2'!G43</f>
        <v/>
      </c>
      <c r="H206" s="307">
        <f>'[1]2024_60-69 ΕΞΟΔΑ+ΟΜ 2'!H43</f>
        <v/>
      </c>
      <c r="I206" s="307">
        <f>'[1]2024_60-69 ΕΞΟΔΑ+ΟΜ 2'!I43</f>
        <v/>
      </c>
      <c r="J206" s="307">
        <f>'[1]2024_60-69 ΕΞΟΔΑ+ΟΜ 2'!J43</f>
        <v/>
      </c>
      <c r="K206" s="307">
        <f>'[1]2024_60-69 ΕΞΟΔΑ+ΟΜ 2'!K43</f>
        <v/>
      </c>
      <c r="L206" s="307">
        <f>'[1]2024_60-69 ΕΞΟΔΑ+ΟΜ 2'!L43</f>
        <v/>
      </c>
      <c r="M206" s="307">
        <f>'[1]2024_60-69 ΕΞΟΔΑ+ΟΜ 2'!M43</f>
        <v/>
      </c>
      <c r="N206" s="307">
        <f>'[1]2024_60-69 ΕΞΟΔΑ+ΟΜ 2'!N43</f>
        <v/>
      </c>
      <c r="O206" s="307">
        <f>'[1]2024_60-69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'[1]2026_60-69 ΕΞΟΔΑ+ΟΜ 2'!D45</f>
        <v/>
      </c>
      <c r="E208" s="307">
        <f>'[1]2026_60-69 ΕΞΟΔΑ+ΟΜ 2'!E45</f>
        <v/>
      </c>
      <c r="F208" s="307">
        <f>'[1]2026_60-69 ΕΞΟΔΑ+ΟΜ 2'!F45</f>
        <v/>
      </c>
      <c r="G208" s="307">
        <f>'[1]2026_60-69 ΕΞΟΔΑ+ΟΜ 2'!G45</f>
        <v/>
      </c>
      <c r="H208" s="307">
        <f>'[1]2026_60-69 ΕΞΟΔΑ+ΟΜ 2'!H45</f>
        <v/>
      </c>
      <c r="I208" s="307">
        <f>'[1]2026_60-69 ΕΞΟΔΑ+ΟΜ 2'!I45</f>
        <v/>
      </c>
      <c r="J208" s="307">
        <f>'[1]2026_60-69 ΕΞΟΔΑ+ΟΜ 2'!J45</f>
        <v/>
      </c>
      <c r="K208" s="307">
        <f>'[1]2026_60-69 ΕΞΟΔΑ+ΟΜ 2'!K45</f>
        <v/>
      </c>
      <c r="L208" s="307">
        <f>'[1]2026_60-69 ΕΞΟΔΑ+ΟΜ 2'!L45</f>
        <v/>
      </c>
      <c r="M208" s="307">
        <f>'[1]2026_60-69 ΕΞΟΔΑ+ΟΜ 2'!M45</f>
        <v/>
      </c>
      <c r="N208" s="307">
        <f>'[1]2026_60-69 ΕΞΟΔΑ+ΟΜ 2'!N45</f>
        <v/>
      </c>
      <c r="O208" s="307">
        <f>'[1]2026_60-69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'[1]2024_60-69 ΕΞΟΔΑ+ΟΜ 2'!D44</f>
        <v/>
      </c>
      <c r="E211" s="307">
        <f>'[1]2024_60-69 ΕΞΟΔΑ+ΟΜ 2'!E44</f>
        <v/>
      </c>
      <c r="F211" s="307">
        <f>'[1]2024_60-69 ΕΞΟΔΑ+ΟΜ 2'!F44</f>
        <v/>
      </c>
      <c r="G211" s="307">
        <f>'[1]2024_60-69 ΕΞΟΔΑ+ΟΜ 2'!G44</f>
        <v/>
      </c>
      <c r="H211" s="307">
        <f>'[1]2024_60-69 ΕΞΟΔΑ+ΟΜ 2'!H44</f>
        <v/>
      </c>
      <c r="I211" s="307">
        <f>'[1]2024_60-69 ΕΞΟΔΑ+ΟΜ 2'!I44</f>
        <v/>
      </c>
      <c r="J211" s="307">
        <f>'[1]2024_60-69 ΕΞΟΔΑ+ΟΜ 2'!J44</f>
        <v/>
      </c>
      <c r="K211" s="307">
        <f>'[1]2024_60-69 ΕΞΟΔΑ+ΟΜ 2'!K44</f>
        <v/>
      </c>
      <c r="L211" s="307">
        <f>'[1]2024_60-69 ΕΞΟΔΑ+ΟΜ 2'!L44</f>
        <v/>
      </c>
      <c r="M211" s="307">
        <f>'[1]2024_60-69 ΕΞΟΔΑ+ΟΜ 2'!M44</f>
        <v/>
      </c>
      <c r="N211" s="307">
        <f>'[1]2024_60-69 ΕΞΟΔΑ+ΟΜ 2'!N44</f>
        <v/>
      </c>
      <c r="O211" s="307">
        <f>'[1]2024_60-69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'[1]2026_60-69 ΕΞΟΔΑ+ΟΜ 2'!D46</f>
        <v/>
      </c>
      <c r="E213" s="307">
        <f>'[1]2026_60-69 ΕΞΟΔΑ+ΟΜ 2'!E46</f>
        <v/>
      </c>
      <c r="F213" s="307">
        <f>'[1]2026_60-69 ΕΞΟΔΑ+ΟΜ 2'!F46</f>
        <v/>
      </c>
      <c r="G213" s="307">
        <f>'[1]2026_60-69 ΕΞΟΔΑ+ΟΜ 2'!G46</f>
        <v/>
      </c>
      <c r="H213" s="307">
        <f>'[1]2026_60-69 ΕΞΟΔΑ+ΟΜ 2'!H46</f>
        <v/>
      </c>
      <c r="I213" s="307">
        <f>'[1]2026_60-69 ΕΞΟΔΑ+ΟΜ 2'!I46</f>
        <v/>
      </c>
      <c r="J213" s="307">
        <f>'[1]2026_60-69 ΕΞΟΔΑ+ΟΜ 2'!J46</f>
        <v/>
      </c>
      <c r="K213" s="307">
        <f>'[1]2026_60-69 ΕΞΟΔΑ+ΟΜ 2'!K46</f>
        <v/>
      </c>
      <c r="L213" s="307">
        <f>'[1]2026_60-69 ΕΞΟΔΑ+ΟΜ 2'!L46</f>
        <v/>
      </c>
      <c r="M213" s="307">
        <f>'[1]2026_60-69 ΕΞΟΔΑ+ΟΜ 2'!M46</f>
        <v/>
      </c>
      <c r="N213" s="307">
        <f>'[1]2026_60-69 ΕΞΟΔΑ+ΟΜ 2'!N46</f>
        <v/>
      </c>
      <c r="O213" s="307">
        <f>'[1]2026_60-69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'[1]2024_60-69 ΕΞΟΔΑ+ΟΜ 2'!D45</f>
        <v/>
      </c>
      <c r="E216" s="307">
        <f>'[1]2024_60-69 ΕΞΟΔΑ+ΟΜ 2'!E45</f>
        <v/>
      </c>
      <c r="F216" s="307">
        <f>'[1]2024_60-69 ΕΞΟΔΑ+ΟΜ 2'!F45</f>
        <v/>
      </c>
      <c r="G216" s="307">
        <f>'[1]2024_60-69 ΕΞΟΔΑ+ΟΜ 2'!G45</f>
        <v/>
      </c>
      <c r="H216" s="307">
        <f>'[1]2024_60-69 ΕΞΟΔΑ+ΟΜ 2'!H45</f>
        <v/>
      </c>
      <c r="I216" s="307">
        <f>'[1]2024_60-69 ΕΞΟΔΑ+ΟΜ 2'!I45</f>
        <v/>
      </c>
      <c r="J216" s="307">
        <f>'[1]2024_60-69 ΕΞΟΔΑ+ΟΜ 2'!J45</f>
        <v/>
      </c>
      <c r="K216" s="307">
        <f>'[1]2024_60-69 ΕΞΟΔΑ+ΟΜ 2'!K45</f>
        <v/>
      </c>
      <c r="L216" s="307">
        <f>'[1]2024_60-69 ΕΞΟΔΑ+ΟΜ 2'!L45</f>
        <v/>
      </c>
      <c r="M216" s="307">
        <f>'[1]2024_60-69 ΕΞΟΔΑ+ΟΜ 2'!M45</f>
        <v/>
      </c>
      <c r="N216" s="307">
        <f>'[1]2024_60-69 ΕΞΟΔΑ+ΟΜ 2'!N45</f>
        <v/>
      </c>
      <c r="O216" s="307">
        <f>'[1]2024_60-69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'[1]2026_60-69 ΕΞΟΔΑ+ΟΜ 2'!D47</f>
        <v/>
      </c>
      <c r="E218" s="307">
        <f>'[1]2026_60-69 ΕΞΟΔΑ+ΟΜ 2'!E47</f>
        <v/>
      </c>
      <c r="F218" s="307">
        <f>'[1]2026_60-69 ΕΞΟΔΑ+ΟΜ 2'!F47</f>
        <v/>
      </c>
      <c r="G218" s="307">
        <f>'[1]2026_60-69 ΕΞΟΔΑ+ΟΜ 2'!G47</f>
        <v/>
      </c>
      <c r="H218" s="307">
        <f>'[1]2026_60-69 ΕΞΟΔΑ+ΟΜ 2'!H47</f>
        <v/>
      </c>
      <c r="I218" s="307">
        <f>'[1]2026_60-69 ΕΞΟΔΑ+ΟΜ 2'!I47</f>
        <v/>
      </c>
      <c r="J218" s="307">
        <f>'[1]2026_60-69 ΕΞΟΔΑ+ΟΜ 2'!J47</f>
        <v/>
      </c>
      <c r="K218" s="307">
        <f>'[1]2026_60-69 ΕΞΟΔΑ+ΟΜ 2'!K47</f>
        <v/>
      </c>
      <c r="L218" s="307">
        <f>'[1]2026_60-69 ΕΞΟΔΑ+ΟΜ 2'!L47</f>
        <v/>
      </c>
      <c r="M218" s="307">
        <f>'[1]2026_60-69 ΕΞΟΔΑ+ΟΜ 2'!M47</f>
        <v/>
      </c>
      <c r="N218" s="307">
        <f>'[1]2026_60-69 ΕΞΟΔΑ+ΟΜ 2'!N47</f>
        <v/>
      </c>
      <c r="O218" s="307">
        <f>'[1]2026_60-69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'[1]2024_60-69 ΕΞΟΔΑ+ΟΜ 2'!D46</f>
        <v/>
      </c>
      <c r="E221" s="307">
        <f>'[1]2024_60-69 ΕΞΟΔΑ+ΟΜ 2'!E46</f>
        <v/>
      </c>
      <c r="F221" s="307">
        <f>'[1]2024_60-69 ΕΞΟΔΑ+ΟΜ 2'!F46</f>
        <v/>
      </c>
      <c r="G221" s="307">
        <f>'[1]2024_60-69 ΕΞΟΔΑ+ΟΜ 2'!G46</f>
        <v/>
      </c>
      <c r="H221" s="307">
        <f>'[1]2024_60-69 ΕΞΟΔΑ+ΟΜ 2'!H46</f>
        <v/>
      </c>
      <c r="I221" s="307">
        <f>'[1]2024_60-69 ΕΞΟΔΑ+ΟΜ 2'!I46</f>
        <v/>
      </c>
      <c r="J221" s="307">
        <f>'[1]2024_60-69 ΕΞΟΔΑ+ΟΜ 2'!J46</f>
        <v/>
      </c>
      <c r="K221" s="307">
        <f>'[1]2024_60-69 ΕΞΟΔΑ+ΟΜ 2'!K46</f>
        <v/>
      </c>
      <c r="L221" s="307">
        <f>'[1]2024_60-69 ΕΞΟΔΑ+ΟΜ 2'!L46</f>
        <v/>
      </c>
      <c r="M221" s="307">
        <f>'[1]2024_60-69 ΕΞΟΔΑ+ΟΜ 2'!M46</f>
        <v/>
      </c>
      <c r="N221" s="307">
        <f>'[1]2024_60-69 ΕΞΟΔΑ+ΟΜ 2'!N46</f>
        <v/>
      </c>
      <c r="O221" s="307">
        <f>'[1]2024_60-69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'[1]2026_60-69 ΕΞΟΔΑ+ΟΜ 2'!D48</f>
        <v/>
      </c>
      <c r="E223" s="307">
        <f>'[1]2026_60-69 ΕΞΟΔΑ+ΟΜ 2'!E48</f>
        <v/>
      </c>
      <c r="F223" s="307">
        <f>'[1]2026_60-69 ΕΞΟΔΑ+ΟΜ 2'!F48</f>
        <v/>
      </c>
      <c r="G223" s="307">
        <f>'[1]2026_60-69 ΕΞΟΔΑ+ΟΜ 2'!G48</f>
        <v/>
      </c>
      <c r="H223" s="307">
        <f>'[1]2026_60-69 ΕΞΟΔΑ+ΟΜ 2'!H48</f>
        <v/>
      </c>
      <c r="I223" s="307">
        <f>'[1]2026_60-69 ΕΞΟΔΑ+ΟΜ 2'!I48</f>
        <v/>
      </c>
      <c r="J223" s="307">
        <f>'[1]2026_60-69 ΕΞΟΔΑ+ΟΜ 2'!J48</f>
        <v/>
      </c>
      <c r="K223" s="307">
        <f>'[1]2026_60-69 ΕΞΟΔΑ+ΟΜ 2'!K48</f>
        <v/>
      </c>
      <c r="L223" s="307">
        <f>'[1]2026_60-69 ΕΞΟΔΑ+ΟΜ 2'!L48</f>
        <v/>
      </c>
      <c r="M223" s="307">
        <f>'[1]2026_60-69 ΕΞΟΔΑ+ΟΜ 2'!M48</f>
        <v/>
      </c>
      <c r="N223" s="307">
        <f>'[1]2026_60-69 ΕΞΟΔΑ+ΟΜ 2'!N48</f>
        <v/>
      </c>
      <c r="O223" s="307">
        <f>'[1]2026_60-69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'[1]2024_60-69 ΕΞΟΔΑ+ΟΜ 2'!D47</f>
        <v/>
      </c>
      <c r="E226" s="307">
        <f>'[1]2024_60-69 ΕΞΟΔΑ+ΟΜ 2'!E47</f>
        <v/>
      </c>
      <c r="F226" s="307">
        <f>'[1]2024_60-69 ΕΞΟΔΑ+ΟΜ 2'!F47</f>
        <v/>
      </c>
      <c r="G226" s="307">
        <f>'[1]2024_60-69 ΕΞΟΔΑ+ΟΜ 2'!G47</f>
        <v/>
      </c>
      <c r="H226" s="307">
        <f>'[1]2024_60-69 ΕΞΟΔΑ+ΟΜ 2'!H47</f>
        <v/>
      </c>
      <c r="I226" s="307">
        <f>'[1]2024_60-69 ΕΞΟΔΑ+ΟΜ 2'!I47</f>
        <v/>
      </c>
      <c r="J226" s="307">
        <f>'[1]2024_60-69 ΕΞΟΔΑ+ΟΜ 2'!J47</f>
        <v/>
      </c>
      <c r="K226" s="307">
        <f>'[1]2024_60-69 ΕΞΟΔΑ+ΟΜ 2'!K47</f>
        <v/>
      </c>
      <c r="L226" s="307">
        <f>'[1]2024_60-69 ΕΞΟΔΑ+ΟΜ 2'!L47</f>
        <v/>
      </c>
      <c r="M226" s="307">
        <f>'[1]2024_60-69 ΕΞΟΔΑ+ΟΜ 2'!M47</f>
        <v/>
      </c>
      <c r="N226" s="307">
        <f>'[1]2024_60-69 ΕΞΟΔΑ+ΟΜ 2'!N47</f>
        <v/>
      </c>
      <c r="O226" s="307">
        <f>'[1]2024_60-69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'[1]2026_60-69 ΕΞΟΔΑ+ΟΜ 2'!D49</f>
        <v/>
      </c>
      <c r="E228" s="307">
        <f>'[1]2026_60-69 ΕΞΟΔΑ+ΟΜ 2'!E49</f>
        <v/>
      </c>
      <c r="F228" s="307">
        <f>'[1]2026_60-69 ΕΞΟΔΑ+ΟΜ 2'!F49</f>
        <v/>
      </c>
      <c r="G228" s="307">
        <f>'[1]2026_60-69 ΕΞΟΔΑ+ΟΜ 2'!G49</f>
        <v/>
      </c>
      <c r="H228" s="307">
        <f>'[1]2026_60-69 ΕΞΟΔΑ+ΟΜ 2'!H49</f>
        <v/>
      </c>
      <c r="I228" s="307">
        <f>'[1]2026_60-69 ΕΞΟΔΑ+ΟΜ 2'!I49</f>
        <v/>
      </c>
      <c r="J228" s="307">
        <f>'[1]2026_60-69 ΕΞΟΔΑ+ΟΜ 2'!J49</f>
        <v/>
      </c>
      <c r="K228" s="307">
        <f>'[1]2026_60-69 ΕΞΟΔΑ+ΟΜ 2'!K49</f>
        <v/>
      </c>
      <c r="L228" s="307">
        <f>'[1]2026_60-69 ΕΞΟΔΑ+ΟΜ 2'!L49</f>
        <v/>
      </c>
      <c r="M228" s="307">
        <f>'[1]2026_60-69 ΕΞΟΔΑ+ΟΜ 2'!M49</f>
        <v/>
      </c>
      <c r="N228" s="307">
        <f>'[1]2026_60-69 ΕΞΟΔΑ+ΟΜ 2'!N49</f>
        <v/>
      </c>
      <c r="O228" s="307">
        <f>'[1]2026_60-69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'[1]2024_60-69 ΕΞΟΔΑ+ΟΜ 2'!D48</f>
        <v/>
      </c>
      <c r="E231" s="307">
        <f>'[1]2024_60-69 ΕΞΟΔΑ+ΟΜ 2'!E48</f>
        <v/>
      </c>
      <c r="F231" s="307">
        <f>'[1]2024_60-69 ΕΞΟΔΑ+ΟΜ 2'!F48</f>
        <v/>
      </c>
      <c r="G231" s="307">
        <f>'[1]2024_60-69 ΕΞΟΔΑ+ΟΜ 2'!G48</f>
        <v/>
      </c>
      <c r="H231" s="307">
        <f>'[1]2024_60-69 ΕΞΟΔΑ+ΟΜ 2'!H48</f>
        <v/>
      </c>
      <c r="I231" s="307">
        <f>'[1]2024_60-69 ΕΞΟΔΑ+ΟΜ 2'!I48</f>
        <v/>
      </c>
      <c r="J231" s="307">
        <f>'[1]2024_60-69 ΕΞΟΔΑ+ΟΜ 2'!J48</f>
        <v/>
      </c>
      <c r="K231" s="307">
        <f>'[1]2024_60-69 ΕΞΟΔΑ+ΟΜ 2'!K48</f>
        <v/>
      </c>
      <c r="L231" s="307">
        <f>'[1]2024_60-69 ΕΞΟΔΑ+ΟΜ 2'!L48</f>
        <v/>
      </c>
      <c r="M231" s="307">
        <f>'[1]2024_60-69 ΕΞΟΔΑ+ΟΜ 2'!M48</f>
        <v/>
      </c>
      <c r="N231" s="307">
        <f>'[1]2024_60-69 ΕΞΟΔΑ+ΟΜ 2'!N48</f>
        <v/>
      </c>
      <c r="O231" s="307">
        <f>'[1]2024_60-69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'[1]2026_60-69 ΕΞΟΔΑ+ΟΜ 2'!D50</f>
        <v/>
      </c>
      <c r="E233" s="307">
        <f>'[1]2026_60-69 ΕΞΟΔΑ+ΟΜ 2'!E50</f>
        <v/>
      </c>
      <c r="F233" s="307">
        <f>'[1]2026_60-69 ΕΞΟΔΑ+ΟΜ 2'!F50</f>
        <v/>
      </c>
      <c r="G233" s="307">
        <f>'[1]2026_60-69 ΕΞΟΔΑ+ΟΜ 2'!G50</f>
        <v/>
      </c>
      <c r="H233" s="307">
        <f>'[1]2026_60-69 ΕΞΟΔΑ+ΟΜ 2'!H50</f>
        <v/>
      </c>
      <c r="I233" s="307">
        <f>'[1]2026_60-69 ΕΞΟΔΑ+ΟΜ 2'!I50</f>
        <v/>
      </c>
      <c r="J233" s="307">
        <f>'[1]2026_60-69 ΕΞΟΔΑ+ΟΜ 2'!J50</f>
        <v/>
      </c>
      <c r="K233" s="307">
        <f>'[1]2026_60-69 ΕΞΟΔΑ+ΟΜ 2'!K50</f>
        <v/>
      </c>
      <c r="L233" s="307">
        <f>'[1]2026_60-69 ΕΞΟΔΑ+ΟΜ 2'!L50</f>
        <v/>
      </c>
      <c r="M233" s="307">
        <f>'[1]2026_60-69 ΕΞΟΔΑ+ΟΜ 2'!M50</f>
        <v/>
      </c>
      <c r="N233" s="307">
        <f>'[1]2026_60-69 ΕΞΟΔΑ+ΟΜ 2'!N50</f>
        <v/>
      </c>
      <c r="O233" s="307">
        <f>'[1]2026_60-69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'[1]2024_60-69 ΕΞΟΔΑ+ΟΜ 2'!D49</f>
        <v/>
      </c>
      <c r="E236" s="307">
        <f>'[1]2024_60-69 ΕΞΟΔΑ+ΟΜ 2'!E49</f>
        <v/>
      </c>
      <c r="F236" s="307">
        <f>'[1]2024_60-69 ΕΞΟΔΑ+ΟΜ 2'!F49</f>
        <v/>
      </c>
      <c r="G236" s="307">
        <f>'[1]2024_60-69 ΕΞΟΔΑ+ΟΜ 2'!G49</f>
        <v/>
      </c>
      <c r="H236" s="307">
        <f>'[1]2024_60-69 ΕΞΟΔΑ+ΟΜ 2'!H49</f>
        <v/>
      </c>
      <c r="I236" s="307">
        <f>'[1]2024_60-69 ΕΞΟΔΑ+ΟΜ 2'!I49</f>
        <v/>
      </c>
      <c r="J236" s="307">
        <f>'[1]2024_60-69 ΕΞΟΔΑ+ΟΜ 2'!J49</f>
        <v/>
      </c>
      <c r="K236" s="307">
        <f>'[1]2024_60-69 ΕΞΟΔΑ+ΟΜ 2'!K49</f>
        <v/>
      </c>
      <c r="L236" s="307">
        <f>'[1]2024_60-69 ΕΞΟΔΑ+ΟΜ 2'!L49</f>
        <v/>
      </c>
      <c r="M236" s="307">
        <f>'[1]2024_60-69 ΕΞΟΔΑ+ΟΜ 2'!M49</f>
        <v/>
      </c>
      <c r="N236" s="307">
        <f>'[1]2024_60-69 ΕΞΟΔΑ+ΟΜ 2'!N49</f>
        <v/>
      </c>
      <c r="O236" s="307">
        <f>'[1]2024_60-69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'[1]2026_60-69 ΕΞΟΔΑ+ΟΜ 2'!D51</f>
        <v/>
      </c>
      <c r="E238" s="307">
        <f>'[1]2026_60-69 ΕΞΟΔΑ+ΟΜ 2'!E51</f>
        <v/>
      </c>
      <c r="F238" s="307">
        <f>'[1]2026_60-69 ΕΞΟΔΑ+ΟΜ 2'!F51</f>
        <v/>
      </c>
      <c r="G238" s="307">
        <f>'[1]2026_60-69 ΕΞΟΔΑ+ΟΜ 2'!G51</f>
        <v/>
      </c>
      <c r="H238" s="307">
        <f>'[1]2026_60-69 ΕΞΟΔΑ+ΟΜ 2'!H51</f>
        <v/>
      </c>
      <c r="I238" s="307">
        <f>'[1]2026_60-69 ΕΞΟΔΑ+ΟΜ 2'!I51</f>
        <v/>
      </c>
      <c r="J238" s="307">
        <f>'[1]2026_60-69 ΕΞΟΔΑ+ΟΜ 2'!J51</f>
        <v/>
      </c>
      <c r="K238" s="307">
        <f>'[1]2026_60-69 ΕΞΟΔΑ+ΟΜ 2'!K51</f>
        <v/>
      </c>
      <c r="L238" s="307">
        <f>'[1]2026_60-69 ΕΞΟΔΑ+ΟΜ 2'!L51</f>
        <v/>
      </c>
      <c r="M238" s="307">
        <f>'[1]2026_60-69 ΕΞΟΔΑ+ΟΜ 2'!M51</f>
        <v/>
      </c>
      <c r="N238" s="307">
        <f>'[1]2026_60-69 ΕΞΟΔΑ+ΟΜ 2'!N51</f>
        <v/>
      </c>
      <c r="O238" s="307">
        <f>'[1]2026_60-69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'[1]2024_60-69 ΕΞΟΔΑ+ΟΜ 2'!D50</f>
        <v/>
      </c>
      <c r="E241" s="307">
        <f>'[1]2024_60-69 ΕΞΟΔΑ+ΟΜ 2'!E50</f>
        <v/>
      </c>
      <c r="F241" s="307">
        <f>'[1]2024_60-69 ΕΞΟΔΑ+ΟΜ 2'!F50</f>
        <v/>
      </c>
      <c r="G241" s="307">
        <f>'[1]2024_60-69 ΕΞΟΔΑ+ΟΜ 2'!G50</f>
        <v/>
      </c>
      <c r="H241" s="307">
        <f>'[1]2024_60-69 ΕΞΟΔΑ+ΟΜ 2'!H50</f>
        <v/>
      </c>
      <c r="I241" s="307">
        <f>'[1]2024_60-69 ΕΞΟΔΑ+ΟΜ 2'!I50</f>
        <v/>
      </c>
      <c r="J241" s="307">
        <f>'[1]2024_60-69 ΕΞΟΔΑ+ΟΜ 2'!J50</f>
        <v/>
      </c>
      <c r="K241" s="307">
        <f>'[1]2024_60-69 ΕΞΟΔΑ+ΟΜ 2'!K50</f>
        <v/>
      </c>
      <c r="L241" s="307">
        <f>'[1]2024_60-69 ΕΞΟΔΑ+ΟΜ 2'!L50</f>
        <v/>
      </c>
      <c r="M241" s="307">
        <f>'[1]2024_60-69 ΕΞΟΔΑ+ΟΜ 2'!M50</f>
        <v/>
      </c>
      <c r="N241" s="307">
        <f>'[1]2024_60-69 ΕΞΟΔΑ+ΟΜ 2'!N50</f>
        <v/>
      </c>
      <c r="O241" s="307">
        <f>'[1]2024_60-69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'[1]2026_60-69 ΕΞΟΔΑ+ΟΜ 2'!D52</f>
        <v/>
      </c>
      <c r="E243" s="307">
        <f>'[1]2026_60-69 ΕΞΟΔΑ+ΟΜ 2'!E52</f>
        <v/>
      </c>
      <c r="F243" s="307">
        <f>'[1]2026_60-69 ΕΞΟΔΑ+ΟΜ 2'!F52</f>
        <v/>
      </c>
      <c r="G243" s="307">
        <f>'[1]2026_60-69 ΕΞΟΔΑ+ΟΜ 2'!G52</f>
        <v/>
      </c>
      <c r="H243" s="307">
        <f>'[1]2026_60-69 ΕΞΟΔΑ+ΟΜ 2'!H52</f>
        <v/>
      </c>
      <c r="I243" s="307">
        <f>'[1]2026_60-69 ΕΞΟΔΑ+ΟΜ 2'!I52</f>
        <v/>
      </c>
      <c r="J243" s="307">
        <f>'[1]2026_60-69 ΕΞΟΔΑ+ΟΜ 2'!J52</f>
        <v/>
      </c>
      <c r="K243" s="307">
        <f>'[1]2026_60-69 ΕΞΟΔΑ+ΟΜ 2'!K52</f>
        <v/>
      </c>
      <c r="L243" s="307">
        <f>'[1]2026_60-69 ΕΞΟΔΑ+ΟΜ 2'!L52</f>
        <v/>
      </c>
      <c r="M243" s="307">
        <f>'[1]2026_60-69 ΕΞΟΔΑ+ΟΜ 2'!M52</f>
        <v/>
      </c>
      <c r="N243" s="307">
        <f>'[1]2026_60-69 ΕΞΟΔΑ+ΟΜ 2'!N52</f>
        <v/>
      </c>
      <c r="O243" s="307">
        <f>'[1]2026_60-69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'[1]2024_60-69 ΕΞΟΔΑ+ΟΜ 2'!D51</f>
        <v/>
      </c>
      <c r="E246" s="307">
        <f>'[1]2024_60-69 ΕΞΟΔΑ+ΟΜ 2'!E51</f>
        <v/>
      </c>
      <c r="F246" s="307">
        <f>'[1]2024_60-69 ΕΞΟΔΑ+ΟΜ 2'!F51</f>
        <v/>
      </c>
      <c r="G246" s="307">
        <f>'[1]2024_60-69 ΕΞΟΔΑ+ΟΜ 2'!G51</f>
        <v/>
      </c>
      <c r="H246" s="307">
        <f>'[1]2024_60-69 ΕΞΟΔΑ+ΟΜ 2'!H51</f>
        <v/>
      </c>
      <c r="I246" s="307">
        <f>'[1]2024_60-69 ΕΞΟΔΑ+ΟΜ 2'!I51</f>
        <v/>
      </c>
      <c r="J246" s="307">
        <f>'[1]2024_60-69 ΕΞΟΔΑ+ΟΜ 2'!J51</f>
        <v/>
      </c>
      <c r="K246" s="307">
        <f>'[1]2024_60-69 ΕΞΟΔΑ+ΟΜ 2'!K51</f>
        <v/>
      </c>
      <c r="L246" s="307">
        <f>'[1]2024_60-69 ΕΞΟΔΑ+ΟΜ 2'!L51</f>
        <v/>
      </c>
      <c r="M246" s="307">
        <f>'[1]2024_60-69 ΕΞΟΔΑ+ΟΜ 2'!M51</f>
        <v/>
      </c>
      <c r="N246" s="307">
        <f>'[1]2024_60-69 ΕΞΟΔΑ+ΟΜ 2'!N51</f>
        <v/>
      </c>
      <c r="O246" s="307">
        <f>'[1]2024_60-69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'[1]2026_60-69 ΕΞΟΔΑ+ΟΜ 2'!D53</f>
        <v/>
      </c>
      <c r="E248" s="307">
        <f>'[1]2026_60-69 ΕΞΟΔΑ+ΟΜ 2'!E53</f>
        <v/>
      </c>
      <c r="F248" s="307">
        <f>'[1]2026_60-69 ΕΞΟΔΑ+ΟΜ 2'!F53</f>
        <v/>
      </c>
      <c r="G248" s="307">
        <f>'[1]2026_60-69 ΕΞΟΔΑ+ΟΜ 2'!G53</f>
        <v/>
      </c>
      <c r="H248" s="307">
        <f>'[1]2026_60-69 ΕΞΟΔΑ+ΟΜ 2'!H53</f>
        <v/>
      </c>
      <c r="I248" s="307">
        <f>'[1]2026_60-69 ΕΞΟΔΑ+ΟΜ 2'!I53</f>
        <v/>
      </c>
      <c r="J248" s="307">
        <f>'[1]2026_60-69 ΕΞΟΔΑ+ΟΜ 2'!J53</f>
        <v/>
      </c>
      <c r="K248" s="307">
        <f>'[1]2026_60-69 ΕΞΟΔΑ+ΟΜ 2'!K53</f>
        <v/>
      </c>
      <c r="L248" s="307">
        <f>'[1]2026_60-69 ΕΞΟΔΑ+ΟΜ 2'!L53</f>
        <v/>
      </c>
      <c r="M248" s="307">
        <f>'[1]2026_60-69 ΕΞΟΔΑ+ΟΜ 2'!M53</f>
        <v/>
      </c>
      <c r="N248" s="307">
        <f>'[1]2026_60-69 ΕΞΟΔΑ+ΟΜ 2'!N53</f>
        <v/>
      </c>
      <c r="O248" s="307">
        <f>'[1]2026_60-69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'[1]2024_60-69 ΕΞΟΔΑ+ΟΜ 2'!D52</f>
        <v/>
      </c>
      <c r="E251" s="307">
        <f>'[1]2024_60-69 ΕΞΟΔΑ+ΟΜ 2'!E52</f>
        <v/>
      </c>
      <c r="F251" s="307">
        <f>'[1]2024_60-69 ΕΞΟΔΑ+ΟΜ 2'!F52</f>
        <v/>
      </c>
      <c r="G251" s="307">
        <f>'[1]2024_60-69 ΕΞΟΔΑ+ΟΜ 2'!G52</f>
        <v/>
      </c>
      <c r="H251" s="307">
        <f>'[1]2024_60-69 ΕΞΟΔΑ+ΟΜ 2'!H52</f>
        <v/>
      </c>
      <c r="I251" s="307">
        <f>'[1]2024_60-69 ΕΞΟΔΑ+ΟΜ 2'!I52</f>
        <v/>
      </c>
      <c r="J251" s="307">
        <f>'[1]2024_60-69 ΕΞΟΔΑ+ΟΜ 2'!J52</f>
        <v/>
      </c>
      <c r="K251" s="307">
        <f>'[1]2024_60-69 ΕΞΟΔΑ+ΟΜ 2'!K52</f>
        <v/>
      </c>
      <c r="L251" s="307">
        <f>'[1]2024_60-69 ΕΞΟΔΑ+ΟΜ 2'!L52</f>
        <v/>
      </c>
      <c r="M251" s="307">
        <f>'[1]2024_60-69 ΕΞΟΔΑ+ΟΜ 2'!M52</f>
        <v/>
      </c>
      <c r="N251" s="307">
        <f>'[1]2024_60-69 ΕΞΟΔΑ+ΟΜ 2'!N52</f>
        <v/>
      </c>
      <c r="O251" s="307">
        <f>'[1]2024_60-69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'[1]2026_60-69 ΕΞΟΔΑ+ΟΜ 2'!D54</f>
        <v/>
      </c>
      <c r="E253" s="307">
        <f>'[1]2026_60-69 ΕΞΟΔΑ+ΟΜ 2'!E54</f>
        <v/>
      </c>
      <c r="F253" s="307">
        <f>'[1]2026_60-69 ΕΞΟΔΑ+ΟΜ 2'!F54</f>
        <v/>
      </c>
      <c r="G253" s="307">
        <f>'[1]2026_60-69 ΕΞΟΔΑ+ΟΜ 2'!G54</f>
        <v/>
      </c>
      <c r="H253" s="307">
        <f>'[1]2026_60-69 ΕΞΟΔΑ+ΟΜ 2'!H54</f>
        <v/>
      </c>
      <c r="I253" s="307">
        <f>'[1]2026_60-69 ΕΞΟΔΑ+ΟΜ 2'!I54</f>
        <v/>
      </c>
      <c r="J253" s="307">
        <f>'[1]2026_60-69 ΕΞΟΔΑ+ΟΜ 2'!J54</f>
        <v/>
      </c>
      <c r="K253" s="307">
        <f>'[1]2026_60-69 ΕΞΟΔΑ+ΟΜ 2'!K54</f>
        <v/>
      </c>
      <c r="L253" s="307">
        <f>'[1]2026_60-69 ΕΞΟΔΑ+ΟΜ 2'!L54</f>
        <v/>
      </c>
      <c r="M253" s="307">
        <f>'[1]2026_60-69 ΕΞΟΔΑ+ΟΜ 2'!M54</f>
        <v/>
      </c>
      <c r="N253" s="307">
        <f>'[1]2026_60-69 ΕΞΟΔΑ+ΟΜ 2'!N54</f>
        <v/>
      </c>
      <c r="O253" s="307">
        <f>'[1]2026_60-69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'[1]2024_60-69 ΕΞΟΔΑ+ΟΜ 2'!D53</f>
        <v/>
      </c>
      <c r="E256" s="307">
        <f>'[1]2024_60-69 ΕΞΟΔΑ+ΟΜ 2'!E53</f>
        <v/>
      </c>
      <c r="F256" s="307">
        <f>'[1]2024_60-69 ΕΞΟΔΑ+ΟΜ 2'!F53</f>
        <v/>
      </c>
      <c r="G256" s="307">
        <f>'[1]2024_60-69 ΕΞΟΔΑ+ΟΜ 2'!G53</f>
        <v/>
      </c>
      <c r="H256" s="307">
        <f>'[1]2024_60-69 ΕΞΟΔΑ+ΟΜ 2'!H53</f>
        <v/>
      </c>
      <c r="I256" s="307">
        <f>'[1]2024_60-69 ΕΞΟΔΑ+ΟΜ 2'!I53</f>
        <v/>
      </c>
      <c r="J256" s="307">
        <f>'[1]2024_60-69 ΕΞΟΔΑ+ΟΜ 2'!J53</f>
        <v/>
      </c>
      <c r="K256" s="307">
        <f>'[1]2024_60-69 ΕΞΟΔΑ+ΟΜ 2'!K53</f>
        <v/>
      </c>
      <c r="L256" s="307">
        <f>'[1]2024_60-69 ΕΞΟΔΑ+ΟΜ 2'!L53</f>
        <v/>
      </c>
      <c r="M256" s="307">
        <f>'[1]2024_60-69 ΕΞΟΔΑ+ΟΜ 2'!M53</f>
        <v/>
      </c>
      <c r="N256" s="307">
        <f>'[1]2024_60-69 ΕΞΟΔΑ+ΟΜ 2'!N53</f>
        <v/>
      </c>
      <c r="O256" s="307">
        <f>'[1]2024_60-69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'[1]2026_60-69 ΕΞΟΔΑ+ΟΜ 2'!D55</f>
        <v/>
      </c>
      <c r="E258" s="307">
        <f>'[1]2026_60-69 ΕΞΟΔΑ+ΟΜ 2'!E55</f>
        <v/>
      </c>
      <c r="F258" s="307">
        <f>'[1]2026_60-69 ΕΞΟΔΑ+ΟΜ 2'!F55</f>
        <v/>
      </c>
      <c r="G258" s="307">
        <f>'[1]2026_60-69 ΕΞΟΔΑ+ΟΜ 2'!G55</f>
        <v/>
      </c>
      <c r="H258" s="307">
        <f>'[1]2026_60-69 ΕΞΟΔΑ+ΟΜ 2'!H55</f>
        <v/>
      </c>
      <c r="I258" s="307">
        <f>'[1]2026_60-69 ΕΞΟΔΑ+ΟΜ 2'!I55</f>
        <v/>
      </c>
      <c r="J258" s="307">
        <f>'[1]2026_60-69 ΕΞΟΔΑ+ΟΜ 2'!J55</f>
        <v/>
      </c>
      <c r="K258" s="307">
        <f>'[1]2026_60-69 ΕΞΟΔΑ+ΟΜ 2'!K55</f>
        <v/>
      </c>
      <c r="L258" s="307">
        <f>'[1]2026_60-69 ΕΞΟΔΑ+ΟΜ 2'!L55</f>
        <v/>
      </c>
      <c r="M258" s="307">
        <f>'[1]2026_60-69 ΕΞΟΔΑ+ΟΜ 2'!M55</f>
        <v/>
      </c>
      <c r="N258" s="307">
        <f>'[1]2026_60-69 ΕΞΟΔΑ+ΟΜ 2'!N55</f>
        <v/>
      </c>
      <c r="O258" s="307">
        <f>'[1]2026_60-69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'[1]2024_60-69 ΕΞΟΔΑ+ΟΜ 2'!D54</f>
        <v/>
      </c>
      <c r="E261" s="307">
        <f>'[1]2024_60-69 ΕΞΟΔΑ+ΟΜ 2'!E54</f>
        <v/>
      </c>
      <c r="F261" s="307">
        <f>'[1]2024_60-69 ΕΞΟΔΑ+ΟΜ 2'!F54</f>
        <v/>
      </c>
      <c r="G261" s="307">
        <f>'[1]2024_60-69 ΕΞΟΔΑ+ΟΜ 2'!G54</f>
        <v/>
      </c>
      <c r="H261" s="307">
        <f>'[1]2024_60-69 ΕΞΟΔΑ+ΟΜ 2'!H54</f>
        <v/>
      </c>
      <c r="I261" s="307">
        <f>'[1]2024_60-69 ΕΞΟΔΑ+ΟΜ 2'!I54</f>
        <v/>
      </c>
      <c r="J261" s="307">
        <f>'[1]2024_60-69 ΕΞΟΔΑ+ΟΜ 2'!J54</f>
        <v/>
      </c>
      <c r="K261" s="307">
        <f>'[1]2024_60-69 ΕΞΟΔΑ+ΟΜ 2'!K54</f>
        <v/>
      </c>
      <c r="L261" s="307">
        <f>'[1]2024_60-69 ΕΞΟΔΑ+ΟΜ 2'!L54</f>
        <v/>
      </c>
      <c r="M261" s="307">
        <f>'[1]2024_60-69 ΕΞΟΔΑ+ΟΜ 2'!M54</f>
        <v/>
      </c>
      <c r="N261" s="307">
        <f>'[1]2024_60-69 ΕΞΟΔΑ+ΟΜ 2'!N54</f>
        <v/>
      </c>
      <c r="O261" s="307">
        <f>'[1]2024_60-69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'[1]2026_60-69 ΕΞΟΔΑ+ΟΜ 2'!D56</f>
        <v/>
      </c>
      <c r="E263" s="307">
        <f>'[1]2026_60-69 ΕΞΟΔΑ+ΟΜ 2'!E56</f>
        <v/>
      </c>
      <c r="F263" s="307">
        <f>'[1]2026_60-69 ΕΞΟΔΑ+ΟΜ 2'!F56</f>
        <v/>
      </c>
      <c r="G263" s="307">
        <f>'[1]2026_60-69 ΕΞΟΔΑ+ΟΜ 2'!G56</f>
        <v/>
      </c>
      <c r="H263" s="307">
        <f>'[1]2026_60-69 ΕΞΟΔΑ+ΟΜ 2'!H56</f>
        <v/>
      </c>
      <c r="I263" s="307">
        <f>'[1]2026_60-69 ΕΞΟΔΑ+ΟΜ 2'!I56</f>
        <v/>
      </c>
      <c r="J263" s="307">
        <f>'[1]2026_60-69 ΕΞΟΔΑ+ΟΜ 2'!J56</f>
        <v/>
      </c>
      <c r="K263" s="307">
        <f>'[1]2026_60-69 ΕΞΟΔΑ+ΟΜ 2'!K56</f>
        <v/>
      </c>
      <c r="L263" s="307">
        <f>'[1]2026_60-69 ΕΞΟΔΑ+ΟΜ 2'!L56</f>
        <v/>
      </c>
      <c r="M263" s="307">
        <f>'[1]2026_60-69 ΕΞΟΔΑ+ΟΜ 2'!M56</f>
        <v/>
      </c>
      <c r="N263" s="307">
        <f>'[1]2026_60-69 ΕΞΟΔΑ+ΟΜ 2'!N56</f>
        <v/>
      </c>
      <c r="O263" s="307">
        <f>'[1]2026_60-69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'[1]2024_60-69 ΕΞΟΔΑ+ΟΜ 2'!D55</f>
        <v/>
      </c>
      <c r="E266" s="307">
        <f>'[1]2024_60-69 ΕΞΟΔΑ+ΟΜ 2'!E55</f>
        <v/>
      </c>
      <c r="F266" s="307">
        <f>'[1]2024_60-69 ΕΞΟΔΑ+ΟΜ 2'!F55</f>
        <v/>
      </c>
      <c r="G266" s="307">
        <f>'[1]2024_60-69 ΕΞΟΔΑ+ΟΜ 2'!G55</f>
        <v/>
      </c>
      <c r="H266" s="307">
        <f>'[1]2024_60-69 ΕΞΟΔΑ+ΟΜ 2'!H55</f>
        <v/>
      </c>
      <c r="I266" s="307">
        <f>'[1]2024_60-69 ΕΞΟΔΑ+ΟΜ 2'!I55</f>
        <v/>
      </c>
      <c r="J266" s="307">
        <f>'[1]2024_60-69 ΕΞΟΔΑ+ΟΜ 2'!J55</f>
        <v/>
      </c>
      <c r="K266" s="307">
        <f>'[1]2024_60-69 ΕΞΟΔΑ+ΟΜ 2'!K55</f>
        <v/>
      </c>
      <c r="L266" s="307">
        <f>'[1]2024_60-69 ΕΞΟΔΑ+ΟΜ 2'!L55</f>
        <v/>
      </c>
      <c r="M266" s="307">
        <f>'[1]2024_60-69 ΕΞΟΔΑ+ΟΜ 2'!M55</f>
        <v/>
      </c>
      <c r="N266" s="307">
        <f>'[1]2024_60-69 ΕΞΟΔΑ+ΟΜ 2'!N55</f>
        <v/>
      </c>
      <c r="O266" s="307">
        <f>'[1]2024_60-69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'[1]2026_60-69 ΕΞΟΔΑ+ΟΜ 2'!D57</f>
        <v/>
      </c>
      <c r="E268" s="307">
        <f>'[1]2026_60-69 ΕΞΟΔΑ+ΟΜ 2'!E57</f>
        <v/>
      </c>
      <c r="F268" s="307">
        <f>'[1]2026_60-69 ΕΞΟΔΑ+ΟΜ 2'!F57</f>
        <v/>
      </c>
      <c r="G268" s="307">
        <f>'[1]2026_60-69 ΕΞΟΔΑ+ΟΜ 2'!G57</f>
        <v/>
      </c>
      <c r="H268" s="307">
        <f>'[1]2026_60-69 ΕΞΟΔΑ+ΟΜ 2'!H57</f>
        <v/>
      </c>
      <c r="I268" s="307">
        <f>'[1]2026_60-69 ΕΞΟΔΑ+ΟΜ 2'!I57</f>
        <v/>
      </c>
      <c r="J268" s="307">
        <f>'[1]2026_60-69 ΕΞΟΔΑ+ΟΜ 2'!J57</f>
        <v/>
      </c>
      <c r="K268" s="307">
        <f>'[1]2026_60-69 ΕΞΟΔΑ+ΟΜ 2'!K57</f>
        <v/>
      </c>
      <c r="L268" s="307">
        <f>'[1]2026_60-69 ΕΞΟΔΑ+ΟΜ 2'!L57</f>
        <v/>
      </c>
      <c r="M268" s="307">
        <f>'[1]2026_60-69 ΕΞΟΔΑ+ΟΜ 2'!M57</f>
        <v/>
      </c>
      <c r="N268" s="307">
        <f>'[1]2026_60-69 ΕΞΟΔΑ+ΟΜ 2'!N57</f>
        <v/>
      </c>
      <c r="O268" s="307">
        <f>'[1]2026_60-69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'[1]2024_60-69 ΕΞΟΔΑ+ΟΜ 2'!D56</f>
        <v/>
      </c>
      <c r="E271" s="307">
        <f>'[1]2024_60-69 ΕΞΟΔΑ+ΟΜ 2'!E56</f>
        <v/>
      </c>
      <c r="F271" s="307">
        <f>'[1]2024_60-69 ΕΞΟΔΑ+ΟΜ 2'!F56</f>
        <v/>
      </c>
      <c r="G271" s="307">
        <f>'[1]2024_60-69 ΕΞΟΔΑ+ΟΜ 2'!G56</f>
        <v/>
      </c>
      <c r="H271" s="307">
        <f>'[1]2024_60-69 ΕΞΟΔΑ+ΟΜ 2'!H56</f>
        <v/>
      </c>
      <c r="I271" s="307">
        <f>'[1]2024_60-69 ΕΞΟΔΑ+ΟΜ 2'!I56</f>
        <v/>
      </c>
      <c r="J271" s="307">
        <f>'[1]2024_60-69 ΕΞΟΔΑ+ΟΜ 2'!J56</f>
        <v/>
      </c>
      <c r="K271" s="307">
        <f>'[1]2024_60-69 ΕΞΟΔΑ+ΟΜ 2'!K56</f>
        <v/>
      </c>
      <c r="L271" s="307">
        <f>'[1]2024_60-69 ΕΞΟΔΑ+ΟΜ 2'!L56</f>
        <v/>
      </c>
      <c r="M271" s="307">
        <f>'[1]2024_60-69 ΕΞΟΔΑ+ΟΜ 2'!M56</f>
        <v/>
      </c>
      <c r="N271" s="307">
        <f>'[1]2024_60-69 ΕΞΟΔΑ+ΟΜ 2'!N56</f>
        <v/>
      </c>
      <c r="O271" s="307">
        <f>'[1]2024_60-69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'[1]2026_60-69 ΕΞΟΔΑ+ΟΜ 2'!D58</f>
        <v/>
      </c>
      <c r="E273" s="307">
        <f>'[1]2026_60-69 ΕΞΟΔΑ+ΟΜ 2'!E58</f>
        <v/>
      </c>
      <c r="F273" s="307">
        <f>'[1]2026_60-69 ΕΞΟΔΑ+ΟΜ 2'!F58</f>
        <v/>
      </c>
      <c r="G273" s="307">
        <f>'[1]2026_60-69 ΕΞΟΔΑ+ΟΜ 2'!G58</f>
        <v/>
      </c>
      <c r="H273" s="307">
        <f>'[1]2026_60-69 ΕΞΟΔΑ+ΟΜ 2'!H58</f>
        <v/>
      </c>
      <c r="I273" s="307">
        <f>'[1]2026_60-69 ΕΞΟΔΑ+ΟΜ 2'!I58</f>
        <v/>
      </c>
      <c r="J273" s="307">
        <f>'[1]2026_60-69 ΕΞΟΔΑ+ΟΜ 2'!J58</f>
        <v/>
      </c>
      <c r="K273" s="307">
        <f>'[1]2026_60-69 ΕΞΟΔΑ+ΟΜ 2'!K58</f>
        <v/>
      </c>
      <c r="L273" s="307">
        <f>'[1]2026_60-69 ΕΞΟΔΑ+ΟΜ 2'!L58</f>
        <v/>
      </c>
      <c r="M273" s="307">
        <f>'[1]2026_60-69 ΕΞΟΔΑ+ΟΜ 2'!M58</f>
        <v/>
      </c>
      <c r="N273" s="307">
        <f>'[1]2026_60-69 ΕΞΟΔΑ+ΟΜ 2'!N58</f>
        <v/>
      </c>
      <c r="O273" s="307">
        <f>'[1]2026_60-69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'[1]2024_60-69 ΕΞΟΔΑ+ΟΜ 2'!D57</f>
        <v/>
      </c>
      <c r="E276" s="307">
        <f>'[1]2024_60-69 ΕΞΟΔΑ+ΟΜ 2'!E57</f>
        <v/>
      </c>
      <c r="F276" s="307">
        <f>'[1]2024_60-69 ΕΞΟΔΑ+ΟΜ 2'!F57</f>
        <v/>
      </c>
      <c r="G276" s="307">
        <f>'[1]2024_60-69 ΕΞΟΔΑ+ΟΜ 2'!G57</f>
        <v/>
      </c>
      <c r="H276" s="307">
        <f>'[1]2024_60-69 ΕΞΟΔΑ+ΟΜ 2'!H57</f>
        <v/>
      </c>
      <c r="I276" s="307">
        <f>'[1]2024_60-69 ΕΞΟΔΑ+ΟΜ 2'!I57</f>
        <v/>
      </c>
      <c r="J276" s="307">
        <f>'[1]2024_60-69 ΕΞΟΔΑ+ΟΜ 2'!J57</f>
        <v/>
      </c>
      <c r="K276" s="307">
        <f>'[1]2024_60-69 ΕΞΟΔΑ+ΟΜ 2'!K57</f>
        <v/>
      </c>
      <c r="L276" s="307">
        <f>'[1]2024_60-69 ΕΞΟΔΑ+ΟΜ 2'!L57</f>
        <v/>
      </c>
      <c r="M276" s="307">
        <f>'[1]2024_60-69 ΕΞΟΔΑ+ΟΜ 2'!M57</f>
        <v/>
      </c>
      <c r="N276" s="307">
        <f>'[1]2024_60-69 ΕΞΟΔΑ+ΟΜ 2'!N57</f>
        <v/>
      </c>
      <c r="O276" s="307">
        <f>'[1]2024_60-69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'[1]2026_60-69 ΕΞΟΔΑ+ΟΜ 2'!D59</f>
        <v/>
      </c>
      <c r="E278" s="307">
        <f>'[1]2026_60-69 ΕΞΟΔΑ+ΟΜ 2'!E59</f>
        <v/>
      </c>
      <c r="F278" s="307">
        <f>'[1]2026_60-69 ΕΞΟΔΑ+ΟΜ 2'!F59</f>
        <v/>
      </c>
      <c r="G278" s="307">
        <f>'[1]2026_60-69 ΕΞΟΔΑ+ΟΜ 2'!G59</f>
        <v/>
      </c>
      <c r="H278" s="307">
        <f>'[1]2026_60-69 ΕΞΟΔΑ+ΟΜ 2'!H59</f>
        <v/>
      </c>
      <c r="I278" s="307">
        <f>'[1]2026_60-69 ΕΞΟΔΑ+ΟΜ 2'!I59</f>
        <v/>
      </c>
      <c r="J278" s="307">
        <f>'[1]2026_60-69 ΕΞΟΔΑ+ΟΜ 2'!J59</f>
        <v/>
      </c>
      <c r="K278" s="307">
        <f>'[1]2026_60-69 ΕΞΟΔΑ+ΟΜ 2'!K59</f>
        <v/>
      </c>
      <c r="L278" s="307">
        <f>'[1]2026_60-69 ΕΞΟΔΑ+ΟΜ 2'!L59</f>
        <v/>
      </c>
      <c r="M278" s="307">
        <f>'[1]2026_60-69 ΕΞΟΔΑ+ΟΜ 2'!M59</f>
        <v/>
      </c>
      <c r="N278" s="307">
        <f>'[1]2026_60-69 ΕΞΟΔΑ+ΟΜ 2'!N59</f>
        <v/>
      </c>
      <c r="O278" s="307">
        <f>'[1]2026_60-69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'[1]2024_60-69 ΕΞΟΔΑ+ΟΜ 2'!D58</f>
        <v/>
      </c>
      <c r="E281" s="307">
        <f>'[1]2024_60-69 ΕΞΟΔΑ+ΟΜ 2'!E58</f>
        <v/>
      </c>
      <c r="F281" s="307">
        <f>'[1]2024_60-69 ΕΞΟΔΑ+ΟΜ 2'!F58</f>
        <v/>
      </c>
      <c r="G281" s="307">
        <f>'[1]2024_60-69 ΕΞΟΔΑ+ΟΜ 2'!G58</f>
        <v/>
      </c>
      <c r="H281" s="307">
        <f>'[1]2024_60-69 ΕΞΟΔΑ+ΟΜ 2'!H58</f>
        <v/>
      </c>
      <c r="I281" s="307">
        <f>'[1]2024_60-69 ΕΞΟΔΑ+ΟΜ 2'!I58</f>
        <v/>
      </c>
      <c r="J281" s="307">
        <f>'[1]2024_60-69 ΕΞΟΔΑ+ΟΜ 2'!J58</f>
        <v/>
      </c>
      <c r="K281" s="307">
        <f>'[1]2024_60-69 ΕΞΟΔΑ+ΟΜ 2'!K58</f>
        <v/>
      </c>
      <c r="L281" s="307">
        <f>'[1]2024_60-69 ΕΞΟΔΑ+ΟΜ 2'!L58</f>
        <v/>
      </c>
      <c r="M281" s="307">
        <f>'[1]2024_60-69 ΕΞΟΔΑ+ΟΜ 2'!M58</f>
        <v/>
      </c>
      <c r="N281" s="307">
        <f>'[1]2024_60-69 ΕΞΟΔΑ+ΟΜ 2'!N58</f>
        <v/>
      </c>
      <c r="O281" s="307">
        <f>'[1]2024_60-69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'[1]2026_60-69 ΕΞΟΔΑ+ΟΜ 2'!D60</f>
        <v/>
      </c>
      <c r="E283" s="307">
        <f>'[1]2026_60-69 ΕΞΟΔΑ+ΟΜ 2'!E60</f>
        <v/>
      </c>
      <c r="F283" s="307">
        <f>'[1]2026_60-69 ΕΞΟΔΑ+ΟΜ 2'!F60</f>
        <v/>
      </c>
      <c r="G283" s="307">
        <f>'[1]2026_60-69 ΕΞΟΔΑ+ΟΜ 2'!G60</f>
        <v/>
      </c>
      <c r="H283" s="307">
        <f>'[1]2026_60-69 ΕΞΟΔΑ+ΟΜ 2'!H60</f>
        <v/>
      </c>
      <c r="I283" s="307">
        <f>'[1]2026_60-69 ΕΞΟΔΑ+ΟΜ 2'!I60</f>
        <v/>
      </c>
      <c r="J283" s="307">
        <f>'[1]2026_60-69 ΕΞΟΔΑ+ΟΜ 2'!J60</f>
        <v/>
      </c>
      <c r="K283" s="307">
        <f>'[1]2026_60-69 ΕΞΟΔΑ+ΟΜ 2'!K60</f>
        <v/>
      </c>
      <c r="L283" s="307">
        <f>'[1]2026_60-69 ΕΞΟΔΑ+ΟΜ 2'!L60</f>
        <v/>
      </c>
      <c r="M283" s="307">
        <f>'[1]2026_60-69 ΕΞΟΔΑ+ΟΜ 2'!M60</f>
        <v/>
      </c>
      <c r="N283" s="307">
        <f>'[1]2026_60-69 ΕΞΟΔΑ+ΟΜ 2'!N60</f>
        <v/>
      </c>
      <c r="O283" s="307">
        <f>'[1]2026_60-69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'[1]2024_60-69 ΕΞΟΔΑ+ΟΜ 2'!D59</f>
        <v/>
      </c>
      <c r="E286" s="307">
        <f>'[1]2024_60-69 ΕΞΟΔΑ+ΟΜ 2'!E59</f>
        <v/>
      </c>
      <c r="F286" s="307">
        <f>'[1]2024_60-69 ΕΞΟΔΑ+ΟΜ 2'!F59</f>
        <v/>
      </c>
      <c r="G286" s="307">
        <f>'[1]2024_60-69 ΕΞΟΔΑ+ΟΜ 2'!G59</f>
        <v/>
      </c>
      <c r="H286" s="307">
        <f>'[1]2024_60-69 ΕΞΟΔΑ+ΟΜ 2'!H59</f>
        <v/>
      </c>
      <c r="I286" s="307">
        <f>'[1]2024_60-69 ΕΞΟΔΑ+ΟΜ 2'!I59</f>
        <v/>
      </c>
      <c r="J286" s="307">
        <f>'[1]2024_60-69 ΕΞΟΔΑ+ΟΜ 2'!J59</f>
        <v/>
      </c>
      <c r="K286" s="307">
        <f>'[1]2024_60-69 ΕΞΟΔΑ+ΟΜ 2'!K59</f>
        <v/>
      </c>
      <c r="L286" s="307">
        <f>'[1]2024_60-69 ΕΞΟΔΑ+ΟΜ 2'!L59</f>
        <v/>
      </c>
      <c r="M286" s="307">
        <f>'[1]2024_60-69 ΕΞΟΔΑ+ΟΜ 2'!M59</f>
        <v/>
      </c>
      <c r="N286" s="307">
        <f>'[1]2024_60-69 ΕΞΟΔΑ+ΟΜ 2'!N59</f>
        <v/>
      </c>
      <c r="O286" s="307">
        <f>'[1]2024_60-69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'[1]2026_60-69 ΕΞΟΔΑ+ΟΜ 2'!D61</f>
        <v/>
      </c>
      <c r="E288" s="307">
        <f>'[1]2026_60-69 ΕΞΟΔΑ+ΟΜ 2'!E61</f>
        <v/>
      </c>
      <c r="F288" s="307">
        <f>'[1]2026_60-69 ΕΞΟΔΑ+ΟΜ 2'!F61</f>
        <v/>
      </c>
      <c r="G288" s="307">
        <f>'[1]2026_60-69 ΕΞΟΔΑ+ΟΜ 2'!G61</f>
        <v/>
      </c>
      <c r="H288" s="307">
        <f>'[1]2026_60-69 ΕΞΟΔΑ+ΟΜ 2'!H61</f>
        <v/>
      </c>
      <c r="I288" s="307">
        <f>'[1]2026_60-69 ΕΞΟΔΑ+ΟΜ 2'!I61</f>
        <v/>
      </c>
      <c r="J288" s="307">
        <f>'[1]2026_60-69 ΕΞΟΔΑ+ΟΜ 2'!J61</f>
        <v/>
      </c>
      <c r="K288" s="307">
        <f>'[1]2026_60-69 ΕΞΟΔΑ+ΟΜ 2'!K61</f>
        <v/>
      </c>
      <c r="L288" s="307">
        <f>'[1]2026_60-69 ΕΞΟΔΑ+ΟΜ 2'!L61</f>
        <v/>
      </c>
      <c r="M288" s="307">
        <f>'[1]2026_60-69 ΕΞΟΔΑ+ΟΜ 2'!M61</f>
        <v/>
      </c>
      <c r="N288" s="307">
        <f>'[1]2026_60-69 ΕΞΟΔΑ+ΟΜ 2'!N61</f>
        <v/>
      </c>
      <c r="O288" s="307">
        <f>'[1]2026_60-69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ΣΥΝΟΛΟ_2026(ΠΡΑΓΜΑΤΟΠΟΙΗΘΕΝ)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'[1]2024_60-69 ΕΞΟΔΑ+ΟΜ 2'!D66</f>
        <v/>
      </c>
      <c r="E300" s="532">
        <f>'[1]2024_60-69 ΕΞΟΔΑ+ΟΜ 2'!E66</f>
        <v/>
      </c>
      <c r="F300" s="532">
        <f>'[1]2024_60-69 ΕΞΟΔΑ+ΟΜ 2'!F66</f>
        <v/>
      </c>
      <c r="G300" s="532">
        <f>'[1]2024_60-69 ΕΞΟΔΑ+ΟΜ 2'!G66</f>
        <v/>
      </c>
      <c r="H300" s="532">
        <f>'[1]2024_60-69 ΕΞΟΔΑ+ΟΜ 2'!H66</f>
        <v/>
      </c>
      <c r="I300" s="532">
        <f>'[1]2024_60-69 ΕΞΟΔΑ+ΟΜ 2'!I66</f>
        <v/>
      </c>
      <c r="J300" s="532">
        <f>'[1]2024_60-69 ΕΞΟΔΑ+ΟΜ 2'!J66</f>
        <v/>
      </c>
      <c r="K300" s="532">
        <f>'[1]2024_60-69 ΕΞΟΔΑ+ΟΜ 2'!K66</f>
        <v/>
      </c>
      <c r="L300" s="532">
        <f>'[1]2024_60-69 ΕΞΟΔΑ+ΟΜ 2'!L66</f>
        <v/>
      </c>
      <c r="M300" s="532">
        <f>'[1]2024_60-69 ΕΞΟΔΑ+ΟΜ 2'!M66</f>
        <v/>
      </c>
      <c r="N300" s="532">
        <f>'[1]2024_60-69 ΕΞΟΔΑ+ΟΜ 2'!N66</f>
        <v/>
      </c>
      <c r="O300" s="532">
        <f>'[1]2024_60-69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'[1]2026_60-69 ΕΞΟΔΑ+ΟΜ 2'!D71</f>
        <v/>
      </c>
      <c r="E302" s="532">
        <f>'[1]2026_60-69 ΕΞΟΔΑ+ΟΜ 2'!E71</f>
        <v/>
      </c>
      <c r="F302" s="532">
        <f>'[1]2026_60-69 ΕΞΟΔΑ+ΟΜ 2'!F71</f>
        <v/>
      </c>
      <c r="G302" s="532">
        <f>'[1]2026_60-69 ΕΞΟΔΑ+ΟΜ 2'!G71</f>
        <v/>
      </c>
      <c r="H302" s="532">
        <f>'[1]2026_60-69 ΕΞΟΔΑ+ΟΜ 2'!H71</f>
        <v/>
      </c>
      <c r="I302" s="532">
        <f>'[1]2026_60-69 ΕΞΟΔΑ+ΟΜ 2'!I71</f>
        <v/>
      </c>
      <c r="J302" s="532">
        <f>'[1]2026_60-69 ΕΞΟΔΑ+ΟΜ 2'!J71</f>
        <v/>
      </c>
      <c r="K302" s="532">
        <f>'[1]2026_60-69 ΕΞΟΔΑ+ΟΜ 2'!K71</f>
        <v/>
      </c>
      <c r="L302" s="532">
        <f>'[1]2026_60-69 ΕΞΟΔΑ+ΟΜ 2'!L71</f>
        <v/>
      </c>
      <c r="M302" s="532">
        <f>'[1]2026_60-69 ΕΞΟΔΑ+ΟΜ 2'!M71</f>
        <v/>
      </c>
      <c r="N302" s="532">
        <f>'[1]2026_60-69 ΕΞΟΔΑ+ΟΜ 2'!N71</f>
        <v/>
      </c>
      <c r="O302" s="532">
        <f>'[1]2026_60-69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'[1]2024_60-69 ΕΞΟΔΑ+ΟΜ 2'!D67</f>
        <v/>
      </c>
      <c r="E305" s="535">
        <f>'[1]2024_60-69 ΕΞΟΔΑ+ΟΜ 2'!E67</f>
        <v/>
      </c>
      <c r="F305" s="535">
        <f>'[1]2024_60-69 ΕΞΟΔΑ+ΟΜ 2'!F67</f>
        <v/>
      </c>
      <c r="G305" s="535">
        <f>'[1]2024_60-69 ΕΞΟΔΑ+ΟΜ 2'!G67</f>
        <v/>
      </c>
      <c r="H305" s="535">
        <f>'[1]2024_60-69 ΕΞΟΔΑ+ΟΜ 2'!H67</f>
        <v/>
      </c>
      <c r="I305" s="535">
        <f>'[1]2024_60-69 ΕΞΟΔΑ+ΟΜ 2'!I67</f>
        <v/>
      </c>
      <c r="J305" s="535">
        <f>'[1]2024_60-69 ΕΞΟΔΑ+ΟΜ 2'!J67</f>
        <v/>
      </c>
      <c r="K305" s="535">
        <f>'[1]2024_60-69 ΕΞΟΔΑ+ΟΜ 2'!K67</f>
        <v/>
      </c>
      <c r="L305" s="535">
        <f>'[1]2024_60-69 ΕΞΟΔΑ+ΟΜ 2'!L67</f>
        <v/>
      </c>
      <c r="M305" s="535">
        <f>'[1]2024_60-69 ΕΞΟΔΑ+ΟΜ 2'!M67</f>
        <v/>
      </c>
      <c r="N305" s="535">
        <f>'[1]2024_60-69 ΕΞΟΔΑ+ΟΜ 2'!N67</f>
        <v/>
      </c>
      <c r="O305" s="535">
        <f>'[1]2024_60-69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'[1]2026_60-69 ΕΞΟΔΑ+ΟΜ 2'!D72</f>
        <v/>
      </c>
      <c r="E307" s="535">
        <f>'[1]2026_60-69 ΕΞΟΔΑ+ΟΜ 2'!E72</f>
        <v/>
      </c>
      <c r="F307" s="535">
        <f>'[1]2026_60-69 ΕΞΟΔΑ+ΟΜ 2'!F72</f>
        <v/>
      </c>
      <c r="G307" s="535">
        <f>'[1]2026_60-69 ΕΞΟΔΑ+ΟΜ 2'!G72</f>
        <v/>
      </c>
      <c r="H307" s="535">
        <f>'[1]2026_60-69 ΕΞΟΔΑ+ΟΜ 2'!H72</f>
        <v/>
      </c>
      <c r="I307" s="535">
        <f>'[1]2026_60-69 ΕΞΟΔΑ+ΟΜ 2'!I72</f>
        <v/>
      </c>
      <c r="J307" s="535">
        <f>'[1]2026_60-69 ΕΞΟΔΑ+ΟΜ 2'!J72</f>
        <v/>
      </c>
      <c r="K307" s="535">
        <f>'[1]2026_60-69 ΕΞΟΔΑ+ΟΜ 2'!K72</f>
        <v/>
      </c>
      <c r="L307" s="535">
        <f>'[1]2026_60-69 ΕΞΟΔΑ+ΟΜ 2'!L72</f>
        <v/>
      </c>
      <c r="M307" s="535">
        <f>'[1]2026_60-69 ΕΞΟΔΑ+ΟΜ 2'!M72</f>
        <v/>
      </c>
      <c r="N307" s="535">
        <f>'[1]2026_60-69 ΕΞΟΔΑ+ΟΜ 2'!N72</f>
        <v/>
      </c>
      <c r="O307" s="535">
        <f>'[1]2026_60-69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'[1]2024_60-69 ΕΞΟΔΑ+ΟΜ 2'!D68</f>
        <v/>
      </c>
      <c r="E310" s="532">
        <f>'[1]2024_60-69 ΕΞΟΔΑ+ΟΜ 2'!E68</f>
        <v/>
      </c>
      <c r="F310" s="532">
        <f>'[1]2024_60-69 ΕΞΟΔΑ+ΟΜ 2'!F68</f>
        <v/>
      </c>
      <c r="G310" s="532">
        <f>'[1]2024_60-69 ΕΞΟΔΑ+ΟΜ 2'!G68</f>
        <v/>
      </c>
      <c r="H310" s="532">
        <f>'[1]2024_60-69 ΕΞΟΔΑ+ΟΜ 2'!H68</f>
        <v/>
      </c>
      <c r="I310" s="532">
        <f>'[1]2024_60-69 ΕΞΟΔΑ+ΟΜ 2'!I68</f>
        <v/>
      </c>
      <c r="J310" s="532">
        <f>'[1]2024_60-69 ΕΞΟΔΑ+ΟΜ 2'!J68</f>
        <v/>
      </c>
      <c r="K310" s="532">
        <f>'[1]2024_60-69 ΕΞΟΔΑ+ΟΜ 2'!K68</f>
        <v/>
      </c>
      <c r="L310" s="532">
        <f>'[1]2024_60-69 ΕΞΟΔΑ+ΟΜ 2'!L68</f>
        <v/>
      </c>
      <c r="M310" s="532">
        <f>'[1]2024_60-69 ΕΞΟΔΑ+ΟΜ 2'!M68</f>
        <v/>
      </c>
      <c r="N310" s="532">
        <f>'[1]2024_60-69 ΕΞΟΔΑ+ΟΜ 2'!N68</f>
        <v/>
      </c>
      <c r="O310" s="532">
        <f>'[1]2024_60-69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'[1]2026_60-69 ΕΞΟΔΑ+ΟΜ 2'!D73</f>
        <v/>
      </c>
      <c r="E312" s="532">
        <f>'[1]2026_60-69 ΕΞΟΔΑ+ΟΜ 2'!E73</f>
        <v/>
      </c>
      <c r="F312" s="532">
        <f>'[1]2026_60-69 ΕΞΟΔΑ+ΟΜ 2'!F73</f>
        <v/>
      </c>
      <c r="G312" s="532">
        <f>'[1]2026_60-69 ΕΞΟΔΑ+ΟΜ 2'!G73</f>
        <v/>
      </c>
      <c r="H312" s="532">
        <f>'[1]2026_60-69 ΕΞΟΔΑ+ΟΜ 2'!H73</f>
        <v/>
      </c>
      <c r="I312" s="532">
        <f>'[1]2026_60-69 ΕΞΟΔΑ+ΟΜ 2'!I73</f>
        <v/>
      </c>
      <c r="J312" s="532">
        <f>'[1]2026_60-69 ΕΞΟΔΑ+ΟΜ 2'!J73</f>
        <v/>
      </c>
      <c r="K312" s="532">
        <f>'[1]2026_60-69 ΕΞΟΔΑ+ΟΜ 2'!K73</f>
        <v/>
      </c>
      <c r="L312" s="532">
        <f>'[1]2026_60-69 ΕΞΟΔΑ+ΟΜ 2'!L73</f>
        <v/>
      </c>
      <c r="M312" s="532">
        <f>'[1]2026_60-69 ΕΞΟΔΑ+ΟΜ 2'!M73</f>
        <v/>
      </c>
      <c r="N312" s="532">
        <f>'[1]2026_60-69 ΕΞΟΔΑ+ΟΜ 2'!N73</f>
        <v/>
      </c>
      <c r="O312" s="532">
        <f>'[1]2026_60-69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'[1]2024_60-69 ΕΞΟΔΑ+ΟΜ 2'!D70</f>
        <v/>
      </c>
      <c r="E315" s="536">
        <f>'[1]2024_60-69 ΕΞΟΔΑ+ΟΜ 2'!E70</f>
        <v/>
      </c>
      <c r="F315" s="536">
        <f>'[1]2024_60-69 ΕΞΟΔΑ+ΟΜ 2'!F70</f>
        <v/>
      </c>
      <c r="G315" s="536">
        <f>'[1]2024_60-69 ΕΞΟΔΑ+ΟΜ 2'!G70</f>
        <v/>
      </c>
      <c r="H315" s="536">
        <f>'[1]2024_60-69 ΕΞΟΔΑ+ΟΜ 2'!H70</f>
        <v/>
      </c>
      <c r="I315" s="536">
        <f>'[1]2024_60-69 ΕΞΟΔΑ+ΟΜ 2'!I70</f>
        <v/>
      </c>
      <c r="J315" s="536">
        <f>'[1]2024_60-69 ΕΞΟΔΑ+ΟΜ 2'!J70</f>
        <v/>
      </c>
      <c r="K315" s="536">
        <f>'[1]2024_60-69 ΕΞΟΔΑ+ΟΜ 2'!K70</f>
        <v/>
      </c>
      <c r="L315" s="536">
        <f>'[1]2024_60-69 ΕΞΟΔΑ+ΟΜ 2'!L70</f>
        <v/>
      </c>
      <c r="M315" s="536">
        <f>'[1]2024_60-69 ΕΞΟΔΑ+ΟΜ 2'!M70</f>
        <v/>
      </c>
      <c r="N315" s="536">
        <f>'[1]2024_60-69 ΕΞΟΔΑ+ΟΜ 2'!N70</f>
        <v/>
      </c>
      <c r="O315" s="536">
        <f>'[1]2024_60-69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'[1]2026_60-69 ΕΞΟΔΑ+ΟΜ 2'!D74</f>
        <v/>
      </c>
      <c r="E317" s="532">
        <f>'[1]2026_60-69 ΕΞΟΔΑ+ΟΜ 2'!E74</f>
        <v/>
      </c>
      <c r="F317" s="532">
        <f>'[1]2026_60-69 ΕΞΟΔΑ+ΟΜ 2'!F74</f>
        <v/>
      </c>
      <c r="G317" s="532">
        <f>'[1]2026_60-69 ΕΞΟΔΑ+ΟΜ 2'!G74</f>
        <v/>
      </c>
      <c r="H317" s="532">
        <f>'[1]2026_60-69 ΕΞΟΔΑ+ΟΜ 2'!H74</f>
        <v/>
      </c>
      <c r="I317" s="532">
        <f>'[1]2026_60-69 ΕΞΟΔΑ+ΟΜ 2'!I74</f>
        <v/>
      </c>
      <c r="J317" s="532">
        <f>'[1]2026_60-69 ΕΞΟΔΑ+ΟΜ 2'!J74</f>
        <v/>
      </c>
      <c r="K317" s="532">
        <f>'[1]2026_60-69 ΕΞΟΔΑ+ΟΜ 2'!K74</f>
        <v/>
      </c>
      <c r="L317" s="532">
        <f>'[1]2026_60-69 ΕΞΟΔΑ+ΟΜ 2'!L74</f>
        <v/>
      </c>
      <c r="M317" s="532">
        <f>'[1]2026_60-69 ΕΞΟΔΑ+ΟΜ 2'!M74</f>
        <v/>
      </c>
      <c r="N317" s="532">
        <f>'[1]2026_60-69 ΕΞΟΔΑ+ΟΜ 2'!N74</f>
        <v/>
      </c>
      <c r="O317" s="532">
        <f>'[1]2026_60-69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'[1]2024_60-69 ΕΞΟΔΑ+ΟΜ 2'!D69</f>
        <v/>
      </c>
      <c r="E320" s="532">
        <f>'[1]2024_60-69 ΕΞΟΔΑ+ΟΜ 2'!E69</f>
        <v/>
      </c>
      <c r="F320" s="532">
        <f>'[1]2024_60-69 ΕΞΟΔΑ+ΟΜ 2'!F69</f>
        <v/>
      </c>
      <c r="G320" s="532">
        <f>'[1]2024_60-69 ΕΞΟΔΑ+ΟΜ 2'!G69</f>
        <v/>
      </c>
      <c r="H320" s="532">
        <f>'[1]2024_60-69 ΕΞΟΔΑ+ΟΜ 2'!H69</f>
        <v/>
      </c>
      <c r="I320" s="532">
        <f>'[1]2024_60-69 ΕΞΟΔΑ+ΟΜ 2'!I69</f>
        <v/>
      </c>
      <c r="J320" s="532">
        <f>'[1]2024_60-69 ΕΞΟΔΑ+ΟΜ 2'!J69</f>
        <v/>
      </c>
      <c r="K320" s="532">
        <f>'[1]2024_60-69 ΕΞΟΔΑ+ΟΜ 2'!K69</f>
        <v/>
      </c>
      <c r="L320" s="532">
        <f>'[1]2024_60-69 ΕΞΟΔΑ+ΟΜ 2'!L69</f>
        <v/>
      </c>
      <c r="M320" s="532">
        <f>'[1]2024_60-69 ΕΞΟΔΑ+ΟΜ 2'!M69</f>
        <v/>
      </c>
      <c r="N320" s="532">
        <f>'[1]2024_60-69 ΕΞΟΔΑ+ΟΜ 2'!N69</f>
        <v/>
      </c>
      <c r="O320" s="532">
        <f>'[1]2024_60-69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'[1]2026_60-69 ΕΞΟΔΑ+ΟΜ 2'!D75</f>
        <v/>
      </c>
      <c r="E322" s="532">
        <f>'[1]2026_60-69 ΕΞΟΔΑ+ΟΜ 2'!E75</f>
        <v/>
      </c>
      <c r="F322" s="532">
        <f>'[1]2026_60-69 ΕΞΟΔΑ+ΟΜ 2'!F75</f>
        <v/>
      </c>
      <c r="G322" s="532">
        <f>'[1]2026_60-69 ΕΞΟΔΑ+ΟΜ 2'!G75</f>
        <v/>
      </c>
      <c r="H322" s="532">
        <f>'[1]2026_60-69 ΕΞΟΔΑ+ΟΜ 2'!H75</f>
        <v/>
      </c>
      <c r="I322" s="532">
        <f>'[1]2026_60-69 ΕΞΟΔΑ+ΟΜ 2'!I75</f>
        <v/>
      </c>
      <c r="J322" s="532">
        <f>'[1]2026_60-69 ΕΞΟΔΑ+ΟΜ 2'!J75</f>
        <v/>
      </c>
      <c r="K322" s="532">
        <f>'[1]2026_60-69 ΕΞΟΔΑ+ΟΜ 2'!K75</f>
        <v/>
      </c>
      <c r="L322" s="532">
        <f>'[1]2026_60-69 ΕΞΟΔΑ+ΟΜ 2'!L75</f>
        <v/>
      </c>
      <c r="M322" s="532">
        <f>'[1]2026_60-69 ΕΞΟΔΑ+ΟΜ 2'!M75</f>
        <v/>
      </c>
      <c r="N322" s="532">
        <f>'[1]2026_60-69 ΕΞΟΔΑ+ΟΜ 2'!N75</f>
        <v/>
      </c>
      <c r="O322" s="532">
        <f>'[1]2026_60-69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'[1]2024_60-69 ΕΞΟΔΑ+ΟΜ 2'!D71</f>
        <v/>
      </c>
      <c r="E325" s="532">
        <f>'[1]2024_60-69 ΕΞΟΔΑ+ΟΜ 2'!E71</f>
        <v/>
      </c>
      <c r="F325" s="532">
        <f>'[1]2024_60-69 ΕΞΟΔΑ+ΟΜ 2'!F71</f>
        <v/>
      </c>
      <c r="G325" s="532">
        <f>'[1]2024_60-69 ΕΞΟΔΑ+ΟΜ 2'!G71</f>
        <v/>
      </c>
      <c r="H325" s="532">
        <f>'[1]2024_60-69 ΕΞΟΔΑ+ΟΜ 2'!H71</f>
        <v/>
      </c>
      <c r="I325" s="532">
        <f>'[1]2024_60-69 ΕΞΟΔΑ+ΟΜ 2'!I71</f>
        <v/>
      </c>
      <c r="J325" s="532">
        <f>'[1]2024_60-69 ΕΞΟΔΑ+ΟΜ 2'!J71</f>
        <v/>
      </c>
      <c r="K325" s="532">
        <f>'[1]2024_60-69 ΕΞΟΔΑ+ΟΜ 2'!K71</f>
        <v/>
      </c>
      <c r="L325" s="532">
        <f>'[1]2024_60-69 ΕΞΟΔΑ+ΟΜ 2'!L71</f>
        <v/>
      </c>
      <c r="M325" s="532">
        <f>'[1]2024_60-69 ΕΞΟΔΑ+ΟΜ 2'!M71</f>
        <v/>
      </c>
      <c r="N325" s="532">
        <f>'[1]2024_60-69 ΕΞΟΔΑ+ΟΜ 2'!N71</f>
        <v/>
      </c>
      <c r="O325" s="532">
        <f>'[1]2024_60-69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'[1]2026_60-69 ΕΞΟΔΑ+ΟΜ 2'!D76</f>
        <v/>
      </c>
      <c r="E327" s="532">
        <f>'[1]2026_60-69 ΕΞΟΔΑ+ΟΜ 2'!E76</f>
        <v/>
      </c>
      <c r="F327" s="532">
        <f>'[1]2026_60-69 ΕΞΟΔΑ+ΟΜ 2'!F76</f>
        <v/>
      </c>
      <c r="G327" s="532">
        <f>'[1]2026_60-69 ΕΞΟΔΑ+ΟΜ 2'!G76</f>
        <v/>
      </c>
      <c r="H327" s="532">
        <f>'[1]2026_60-69 ΕΞΟΔΑ+ΟΜ 2'!H76</f>
        <v/>
      </c>
      <c r="I327" s="532">
        <f>'[1]2026_60-69 ΕΞΟΔΑ+ΟΜ 2'!I76</f>
        <v/>
      </c>
      <c r="J327" s="532">
        <f>'[1]2026_60-69 ΕΞΟΔΑ+ΟΜ 2'!J76</f>
        <v/>
      </c>
      <c r="K327" s="532">
        <f>'[1]2026_60-69 ΕΞΟΔΑ+ΟΜ 2'!K76</f>
        <v/>
      </c>
      <c r="L327" s="532">
        <f>'[1]2026_60-69 ΕΞΟΔΑ+ΟΜ 2'!L76</f>
        <v/>
      </c>
      <c r="M327" s="532">
        <f>'[1]2026_60-69 ΕΞΟΔΑ+ΟΜ 2'!M76</f>
        <v/>
      </c>
      <c r="N327" s="532">
        <f>'[1]2026_60-69 ΕΞΟΔΑ+ΟΜ 2'!N76</f>
        <v/>
      </c>
      <c r="O327" s="532">
        <f>'[1]2026_60-69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'[1]2024_60-69 ΕΞΟΔΑ+ΟΜ 2'!D72</f>
        <v/>
      </c>
      <c r="E330" s="532">
        <f>'[1]2024_60-69 ΕΞΟΔΑ+ΟΜ 2'!E72</f>
        <v/>
      </c>
      <c r="F330" s="532">
        <f>'[1]2024_60-69 ΕΞΟΔΑ+ΟΜ 2'!F72</f>
        <v/>
      </c>
      <c r="G330" s="532">
        <f>'[1]2024_60-69 ΕΞΟΔΑ+ΟΜ 2'!G72</f>
        <v/>
      </c>
      <c r="H330" s="532">
        <f>'[1]2024_60-69 ΕΞΟΔΑ+ΟΜ 2'!H72</f>
        <v/>
      </c>
      <c r="I330" s="532">
        <f>'[1]2024_60-69 ΕΞΟΔΑ+ΟΜ 2'!I72</f>
        <v/>
      </c>
      <c r="J330" s="532">
        <f>'[1]2024_60-69 ΕΞΟΔΑ+ΟΜ 2'!J72</f>
        <v/>
      </c>
      <c r="K330" s="532">
        <f>'[1]2024_60-69 ΕΞΟΔΑ+ΟΜ 2'!K72</f>
        <v/>
      </c>
      <c r="L330" s="532">
        <f>'[1]2024_60-69 ΕΞΟΔΑ+ΟΜ 2'!L72</f>
        <v/>
      </c>
      <c r="M330" s="532">
        <f>'[1]2024_60-69 ΕΞΟΔΑ+ΟΜ 2'!M72</f>
        <v/>
      </c>
      <c r="N330" s="532">
        <f>'[1]2024_60-69 ΕΞΟΔΑ+ΟΜ 2'!N72</f>
        <v/>
      </c>
      <c r="O330" s="532">
        <f>'[1]2024_60-69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'[1]2026_60-69 ΕΞΟΔΑ+ΟΜ 2'!D77</f>
        <v/>
      </c>
      <c r="E332" s="532">
        <f>'[1]2026_60-69 ΕΞΟΔΑ+ΟΜ 2'!E77</f>
        <v/>
      </c>
      <c r="F332" s="532">
        <f>'[1]2026_60-69 ΕΞΟΔΑ+ΟΜ 2'!F77</f>
        <v/>
      </c>
      <c r="G332" s="532">
        <f>'[1]2026_60-69 ΕΞΟΔΑ+ΟΜ 2'!G77</f>
        <v/>
      </c>
      <c r="H332" s="532">
        <f>'[1]2026_60-69 ΕΞΟΔΑ+ΟΜ 2'!H77</f>
        <v/>
      </c>
      <c r="I332" s="532">
        <f>'[1]2026_60-69 ΕΞΟΔΑ+ΟΜ 2'!I77</f>
        <v/>
      </c>
      <c r="J332" s="532">
        <f>'[1]2026_60-69 ΕΞΟΔΑ+ΟΜ 2'!J77</f>
        <v/>
      </c>
      <c r="K332" s="532">
        <f>'[1]2026_60-69 ΕΞΟΔΑ+ΟΜ 2'!K77</f>
        <v/>
      </c>
      <c r="L332" s="532">
        <f>'[1]2026_60-69 ΕΞΟΔΑ+ΟΜ 2'!L77</f>
        <v/>
      </c>
      <c r="M332" s="532">
        <f>'[1]2026_60-69 ΕΞΟΔΑ+ΟΜ 2'!M77</f>
        <v/>
      </c>
      <c r="N332" s="532">
        <f>'[1]2026_60-69 ΕΞΟΔΑ+ΟΜ 2'!N77</f>
        <v/>
      </c>
      <c r="O332" s="532">
        <f>'[1]2026_60-69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'[1]2024_60-69 ΕΞΟΔΑ+ΟΜ 2'!D73</f>
        <v/>
      </c>
      <c r="E335" s="532">
        <f>'[1]2024_60-69 ΕΞΟΔΑ+ΟΜ 2'!E73</f>
        <v/>
      </c>
      <c r="F335" s="532">
        <f>'[1]2024_60-69 ΕΞΟΔΑ+ΟΜ 2'!F73</f>
        <v/>
      </c>
      <c r="G335" s="532">
        <f>'[1]2024_60-69 ΕΞΟΔΑ+ΟΜ 2'!G73</f>
        <v/>
      </c>
      <c r="H335" s="532">
        <f>'[1]2024_60-69 ΕΞΟΔΑ+ΟΜ 2'!H73</f>
        <v/>
      </c>
      <c r="I335" s="532">
        <f>'[1]2024_60-69 ΕΞΟΔΑ+ΟΜ 2'!I73</f>
        <v/>
      </c>
      <c r="J335" s="532">
        <f>'[1]2024_60-69 ΕΞΟΔΑ+ΟΜ 2'!J73</f>
        <v/>
      </c>
      <c r="K335" s="532">
        <f>'[1]2024_60-69 ΕΞΟΔΑ+ΟΜ 2'!K73</f>
        <v/>
      </c>
      <c r="L335" s="532">
        <f>'[1]2024_60-69 ΕΞΟΔΑ+ΟΜ 2'!L73</f>
        <v/>
      </c>
      <c r="M335" s="532">
        <f>'[1]2024_60-69 ΕΞΟΔΑ+ΟΜ 2'!M73</f>
        <v/>
      </c>
      <c r="N335" s="532">
        <f>'[1]2024_60-69 ΕΞΟΔΑ+ΟΜ 2'!N73</f>
        <v/>
      </c>
      <c r="O335" s="532">
        <f>'[1]2024_60-69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'[1]2026_60-69 ΕΞΟΔΑ+ΟΜ 2'!D78</f>
        <v/>
      </c>
      <c r="E337" s="532">
        <f>'[1]2026_60-69 ΕΞΟΔΑ+ΟΜ 2'!E78</f>
        <v/>
      </c>
      <c r="F337" s="532">
        <f>'[1]2026_60-69 ΕΞΟΔΑ+ΟΜ 2'!F78</f>
        <v/>
      </c>
      <c r="G337" s="532">
        <f>'[1]2026_60-69 ΕΞΟΔΑ+ΟΜ 2'!G78</f>
        <v/>
      </c>
      <c r="H337" s="532">
        <f>'[1]2026_60-69 ΕΞΟΔΑ+ΟΜ 2'!H78</f>
        <v/>
      </c>
      <c r="I337" s="532">
        <f>'[1]2026_60-69 ΕΞΟΔΑ+ΟΜ 2'!I78</f>
        <v/>
      </c>
      <c r="J337" s="532">
        <f>'[1]2026_60-69 ΕΞΟΔΑ+ΟΜ 2'!J78</f>
        <v/>
      </c>
      <c r="K337" s="532">
        <f>'[1]2026_60-69 ΕΞΟΔΑ+ΟΜ 2'!K78</f>
        <v/>
      </c>
      <c r="L337" s="532">
        <f>'[1]2026_60-69 ΕΞΟΔΑ+ΟΜ 2'!L78</f>
        <v/>
      </c>
      <c r="M337" s="532">
        <f>'[1]2026_60-69 ΕΞΟΔΑ+ΟΜ 2'!M78</f>
        <v/>
      </c>
      <c r="N337" s="532">
        <f>'[1]2026_60-69 ΕΞΟΔΑ+ΟΜ 2'!N78</f>
        <v/>
      </c>
      <c r="O337" s="532">
        <f>'[1]2026_60-69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'[1]2024_60-69 ΕΞΟΔΑ+ΟΜ 2'!D74</f>
        <v/>
      </c>
      <c r="E340" s="532">
        <f>'[1]2024_60-69 ΕΞΟΔΑ+ΟΜ 2'!E74</f>
        <v/>
      </c>
      <c r="F340" s="532">
        <f>'[1]2024_60-69 ΕΞΟΔΑ+ΟΜ 2'!F74</f>
        <v/>
      </c>
      <c r="G340" s="532">
        <f>'[1]2024_60-69 ΕΞΟΔΑ+ΟΜ 2'!G74</f>
        <v/>
      </c>
      <c r="H340" s="532">
        <f>'[1]2024_60-69 ΕΞΟΔΑ+ΟΜ 2'!H74</f>
        <v/>
      </c>
      <c r="I340" s="532">
        <f>'[1]2024_60-69 ΕΞΟΔΑ+ΟΜ 2'!I74</f>
        <v/>
      </c>
      <c r="J340" s="532">
        <f>'[1]2024_60-69 ΕΞΟΔΑ+ΟΜ 2'!J74</f>
        <v/>
      </c>
      <c r="K340" s="532">
        <f>'[1]2024_60-69 ΕΞΟΔΑ+ΟΜ 2'!K74</f>
        <v/>
      </c>
      <c r="L340" s="532">
        <f>'[1]2024_60-69 ΕΞΟΔΑ+ΟΜ 2'!L74</f>
        <v/>
      </c>
      <c r="M340" s="532">
        <f>'[1]2024_60-69 ΕΞΟΔΑ+ΟΜ 2'!M74</f>
        <v/>
      </c>
      <c r="N340" s="532">
        <f>'[1]2024_60-69 ΕΞΟΔΑ+ΟΜ 2'!N74</f>
        <v/>
      </c>
      <c r="O340" s="532">
        <f>'[1]2024_60-69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'[1]2026_60-69 ΕΞΟΔΑ+ΟΜ 2'!D79</f>
        <v/>
      </c>
      <c r="E342" s="532">
        <f>'[1]2026_60-69 ΕΞΟΔΑ+ΟΜ 2'!E79</f>
        <v/>
      </c>
      <c r="F342" s="532">
        <f>'[1]2026_60-69 ΕΞΟΔΑ+ΟΜ 2'!F79</f>
        <v/>
      </c>
      <c r="G342" s="532">
        <f>'[1]2026_60-69 ΕΞΟΔΑ+ΟΜ 2'!G79</f>
        <v/>
      </c>
      <c r="H342" s="532">
        <f>'[1]2026_60-69 ΕΞΟΔΑ+ΟΜ 2'!H79</f>
        <v/>
      </c>
      <c r="I342" s="532">
        <f>'[1]2026_60-69 ΕΞΟΔΑ+ΟΜ 2'!I79</f>
        <v/>
      </c>
      <c r="J342" s="532">
        <f>'[1]2026_60-69 ΕΞΟΔΑ+ΟΜ 2'!J79</f>
        <v/>
      </c>
      <c r="K342" s="532">
        <f>'[1]2026_60-69 ΕΞΟΔΑ+ΟΜ 2'!K79</f>
        <v/>
      </c>
      <c r="L342" s="532">
        <f>'[1]2026_60-69 ΕΞΟΔΑ+ΟΜ 2'!L79</f>
        <v/>
      </c>
      <c r="M342" s="532">
        <f>'[1]2026_60-69 ΕΞΟΔΑ+ΟΜ 2'!M79</f>
        <v/>
      </c>
      <c r="N342" s="532">
        <f>'[1]2026_60-69 ΕΞΟΔΑ+ΟΜ 2'!N79</f>
        <v/>
      </c>
      <c r="O342" s="532">
        <f>'[1]2026_60-69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'[1]2024_60-69 ΕΞΟΔΑ+ΟΜ 2'!D75</f>
        <v/>
      </c>
      <c r="E345" s="532">
        <f>'[1]2024_60-69 ΕΞΟΔΑ+ΟΜ 2'!E75</f>
        <v/>
      </c>
      <c r="F345" s="532">
        <f>'[1]2024_60-69 ΕΞΟΔΑ+ΟΜ 2'!F75</f>
        <v/>
      </c>
      <c r="G345" s="532">
        <f>'[1]2024_60-69 ΕΞΟΔΑ+ΟΜ 2'!G75</f>
        <v/>
      </c>
      <c r="H345" s="532">
        <f>'[1]2024_60-69 ΕΞΟΔΑ+ΟΜ 2'!H75</f>
        <v/>
      </c>
      <c r="I345" s="532">
        <f>'[1]2024_60-69 ΕΞΟΔΑ+ΟΜ 2'!I75</f>
        <v/>
      </c>
      <c r="J345" s="532">
        <f>'[1]2024_60-69 ΕΞΟΔΑ+ΟΜ 2'!J75</f>
        <v/>
      </c>
      <c r="K345" s="532">
        <f>'[1]2024_60-69 ΕΞΟΔΑ+ΟΜ 2'!K75</f>
        <v/>
      </c>
      <c r="L345" s="532">
        <f>'[1]2024_60-69 ΕΞΟΔΑ+ΟΜ 2'!L75</f>
        <v/>
      </c>
      <c r="M345" s="532">
        <f>'[1]2024_60-69 ΕΞΟΔΑ+ΟΜ 2'!M75</f>
        <v/>
      </c>
      <c r="N345" s="532">
        <f>'[1]2024_60-69 ΕΞΟΔΑ+ΟΜ 2'!N75</f>
        <v/>
      </c>
      <c r="O345" s="532">
        <f>'[1]2024_60-69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'[1]2026_60-69 ΕΞΟΔΑ+ΟΜ 2'!D80</f>
        <v/>
      </c>
      <c r="E347" s="532">
        <f>'[1]2026_60-69 ΕΞΟΔΑ+ΟΜ 2'!E80</f>
        <v/>
      </c>
      <c r="F347" s="532">
        <f>'[1]2026_60-69 ΕΞΟΔΑ+ΟΜ 2'!F80</f>
        <v/>
      </c>
      <c r="G347" s="532">
        <f>'[1]2026_60-69 ΕΞΟΔΑ+ΟΜ 2'!G80</f>
        <v/>
      </c>
      <c r="H347" s="532">
        <f>'[1]2026_60-69 ΕΞΟΔΑ+ΟΜ 2'!H80</f>
        <v/>
      </c>
      <c r="I347" s="532">
        <f>'[1]2026_60-69 ΕΞΟΔΑ+ΟΜ 2'!I80</f>
        <v/>
      </c>
      <c r="J347" s="532">
        <f>'[1]2026_60-69 ΕΞΟΔΑ+ΟΜ 2'!J80</f>
        <v/>
      </c>
      <c r="K347" s="532">
        <f>'[1]2026_60-69 ΕΞΟΔΑ+ΟΜ 2'!K80</f>
        <v/>
      </c>
      <c r="L347" s="532">
        <f>'[1]2026_60-69 ΕΞΟΔΑ+ΟΜ 2'!L80</f>
        <v/>
      </c>
      <c r="M347" s="532">
        <f>'[1]2026_60-69 ΕΞΟΔΑ+ΟΜ 2'!M80</f>
        <v/>
      </c>
      <c r="N347" s="532">
        <f>'[1]2026_60-69 ΕΞΟΔΑ+ΟΜ 2'!N80</f>
        <v/>
      </c>
      <c r="O347" s="532">
        <f>'[1]2026_60-69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'[1]2024_60-69 ΕΞΟΔΑ+ΟΜ 2'!D76</f>
        <v/>
      </c>
      <c r="E350" s="532">
        <f>'[1]2024_60-69 ΕΞΟΔΑ+ΟΜ 2'!E76</f>
        <v/>
      </c>
      <c r="F350" s="532">
        <f>'[1]2024_60-69 ΕΞΟΔΑ+ΟΜ 2'!F76</f>
        <v/>
      </c>
      <c r="G350" s="532">
        <f>'[1]2024_60-69 ΕΞΟΔΑ+ΟΜ 2'!G76</f>
        <v/>
      </c>
      <c r="H350" s="532">
        <f>'[1]2024_60-69 ΕΞΟΔΑ+ΟΜ 2'!H76</f>
        <v/>
      </c>
      <c r="I350" s="532">
        <f>'[1]2024_60-69 ΕΞΟΔΑ+ΟΜ 2'!I76</f>
        <v/>
      </c>
      <c r="J350" s="532">
        <f>'[1]2024_60-69 ΕΞΟΔΑ+ΟΜ 2'!J76</f>
        <v/>
      </c>
      <c r="K350" s="532">
        <f>'[1]2024_60-69 ΕΞΟΔΑ+ΟΜ 2'!K76</f>
        <v/>
      </c>
      <c r="L350" s="532">
        <f>'[1]2024_60-69 ΕΞΟΔΑ+ΟΜ 2'!L76</f>
        <v/>
      </c>
      <c r="M350" s="532">
        <f>'[1]2024_60-69 ΕΞΟΔΑ+ΟΜ 2'!M76</f>
        <v/>
      </c>
      <c r="N350" s="532">
        <f>'[1]2024_60-69 ΕΞΟΔΑ+ΟΜ 2'!N76</f>
        <v/>
      </c>
      <c r="O350" s="532">
        <f>'[1]2024_60-69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'[1]2026_60-69 ΕΞΟΔΑ+ΟΜ 2'!D81</f>
        <v/>
      </c>
      <c r="E352" s="532">
        <f>'[1]2026_60-69 ΕΞΟΔΑ+ΟΜ 2'!E81</f>
        <v/>
      </c>
      <c r="F352" s="532">
        <f>'[1]2026_60-69 ΕΞΟΔΑ+ΟΜ 2'!F81</f>
        <v/>
      </c>
      <c r="G352" s="532">
        <f>'[1]2026_60-69 ΕΞΟΔΑ+ΟΜ 2'!G81</f>
        <v/>
      </c>
      <c r="H352" s="532">
        <f>'[1]2026_60-69 ΕΞΟΔΑ+ΟΜ 2'!H81</f>
        <v/>
      </c>
      <c r="I352" s="532">
        <f>'[1]2026_60-69 ΕΞΟΔΑ+ΟΜ 2'!I81</f>
        <v/>
      </c>
      <c r="J352" s="532">
        <f>'[1]2026_60-69 ΕΞΟΔΑ+ΟΜ 2'!J81</f>
        <v/>
      </c>
      <c r="K352" s="532">
        <f>'[1]2026_60-69 ΕΞΟΔΑ+ΟΜ 2'!K81</f>
        <v/>
      </c>
      <c r="L352" s="532">
        <f>'[1]2026_60-69 ΕΞΟΔΑ+ΟΜ 2'!L81</f>
        <v/>
      </c>
      <c r="M352" s="532">
        <f>'[1]2026_60-69 ΕΞΟΔΑ+ΟΜ 2'!M81</f>
        <v/>
      </c>
      <c r="N352" s="532">
        <f>'[1]2026_60-69 ΕΞΟΔΑ+ΟΜ 2'!N81</f>
        <v/>
      </c>
      <c r="O352" s="532">
        <f>'[1]2026_60-69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'[1]2024_60-69 ΕΞΟΔΑ+ΟΜ 2'!D77</f>
        <v/>
      </c>
      <c r="E355" s="532">
        <f>'[1]2024_60-69 ΕΞΟΔΑ+ΟΜ 2'!E77</f>
        <v/>
      </c>
      <c r="F355" s="532">
        <f>'[1]2024_60-69 ΕΞΟΔΑ+ΟΜ 2'!F77</f>
        <v/>
      </c>
      <c r="G355" s="532">
        <f>'[1]2024_60-69 ΕΞΟΔΑ+ΟΜ 2'!G77</f>
        <v/>
      </c>
      <c r="H355" s="532">
        <f>'[1]2024_60-69 ΕΞΟΔΑ+ΟΜ 2'!H77</f>
        <v/>
      </c>
      <c r="I355" s="532">
        <f>'[1]2024_60-69 ΕΞΟΔΑ+ΟΜ 2'!I77</f>
        <v/>
      </c>
      <c r="J355" s="532">
        <f>'[1]2024_60-69 ΕΞΟΔΑ+ΟΜ 2'!J77</f>
        <v/>
      </c>
      <c r="K355" s="532">
        <f>'[1]2024_60-69 ΕΞΟΔΑ+ΟΜ 2'!K77</f>
        <v/>
      </c>
      <c r="L355" s="532">
        <f>'[1]2024_60-69 ΕΞΟΔΑ+ΟΜ 2'!L77</f>
        <v/>
      </c>
      <c r="M355" s="532">
        <f>'[1]2024_60-69 ΕΞΟΔΑ+ΟΜ 2'!M77</f>
        <v/>
      </c>
      <c r="N355" s="532">
        <f>'[1]2024_60-69 ΕΞΟΔΑ+ΟΜ 2'!N77</f>
        <v/>
      </c>
      <c r="O355" s="532">
        <f>'[1]2024_60-69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'[1]2026_60-69 ΕΞΟΔΑ+ΟΜ 2'!D82</f>
        <v/>
      </c>
      <c r="E357" s="532">
        <f>'[1]2026_60-69 ΕΞΟΔΑ+ΟΜ 2'!E82</f>
        <v/>
      </c>
      <c r="F357" s="532">
        <f>'[1]2026_60-69 ΕΞΟΔΑ+ΟΜ 2'!F82</f>
        <v/>
      </c>
      <c r="G357" s="532">
        <f>'[1]2026_60-69 ΕΞΟΔΑ+ΟΜ 2'!G82</f>
        <v/>
      </c>
      <c r="H357" s="532">
        <f>'[1]2026_60-69 ΕΞΟΔΑ+ΟΜ 2'!H82</f>
        <v/>
      </c>
      <c r="I357" s="532">
        <f>'[1]2026_60-69 ΕΞΟΔΑ+ΟΜ 2'!I82</f>
        <v/>
      </c>
      <c r="J357" s="532">
        <f>'[1]2026_60-69 ΕΞΟΔΑ+ΟΜ 2'!J82</f>
        <v/>
      </c>
      <c r="K357" s="532">
        <f>'[1]2026_60-69 ΕΞΟΔΑ+ΟΜ 2'!K82</f>
        <v/>
      </c>
      <c r="L357" s="532">
        <f>'[1]2026_60-69 ΕΞΟΔΑ+ΟΜ 2'!L82</f>
        <v/>
      </c>
      <c r="M357" s="532">
        <f>'[1]2026_60-69 ΕΞΟΔΑ+ΟΜ 2'!M82</f>
        <v/>
      </c>
      <c r="N357" s="532">
        <f>'[1]2026_60-69 ΕΞΟΔΑ+ΟΜ 2'!N82</f>
        <v/>
      </c>
      <c r="O357" s="532">
        <f>'[1]2026_60-69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'[1]2024_60-69 ΕΞΟΔΑ+ΟΜ 2'!D78</f>
        <v/>
      </c>
      <c r="E360" s="532">
        <f>'[1]2024_60-69 ΕΞΟΔΑ+ΟΜ 2'!E78</f>
        <v/>
      </c>
      <c r="F360" s="532">
        <f>'[1]2024_60-69 ΕΞΟΔΑ+ΟΜ 2'!F78</f>
        <v/>
      </c>
      <c r="G360" s="532">
        <f>'[1]2024_60-69 ΕΞΟΔΑ+ΟΜ 2'!G78</f>
        <v/>
      </c>
      <c r="H360" s="532">
        <f>'[1]2024_60-69 ΕΞΟΔΑ+ΟΜ 2'!H78</f>
        <v/>
      </c>
      <c r="I360" s="532">
        <f>'[1]2024_60-69 ΕΞΟΔΑ+ΟΜ 2'!I78</f>
        <v/>
      </c>
      <c r="J360" s="532">
        <f>'[1]2024_60-69 ΕΞΟΔΑ+ΟΜ 2'!J78</f>
        <v/>
      </c>
      <c r="K360" s="532">
        <f>'[1]2024_60-69 ΕΞΟΔΑ+ΟΜ 2'!K78</f>
        <v/>
      </c>
      <c r="L360" s="532">
        <f>'[1]2024_60-69 ΕΞΟΔΑ+ΟΜ 2'!L78</f>
        <v/>
      </c>
      <c r="M360" s="532">
        <f>'[1]2024_60-69 ΕΞΟΔΑ+ΟΜ 2'!M78</f>
        <v/>
      </c>
      <c r="N360" s="532">
        <f>'[1]2024_60-69 ΕΞΟΔΑ+ΟΜ 2'!N78</f>
        <v/>
      </c>
      <c r="O360" s="532">
        <f>'[1]2024_60-69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'[1]2026_60-69 ΕΞΟΔΑ+ΟΜ 2'!D83</f>
        <v/>
      </c>
      <c r="E362" s="532">
        <f>'[1]2026_60-69 ΕΞΟΔΑ+ΟΜ 2'!E83</f>
        <v/>
      </c>
      <c r="F362" s="532">
        <f>'[1]2026_60-69 ΕΞΟΔΑ+ΟΜ 2'!F83</f>
        <v/>
      </c>
      <c r="G362" s="532">
        <f>'[1]2026_60-69 ΕΞΟΔΑ+ΟΜ 2'!G83</f>
        <v/>
      </c>
      <c r="H362" s="532">
        <f>'[1]2026_60-69 ΕΞΟΔΑ+ΟΜ 2'!H83</f>
        <v/>
      </c>
      <c r="I362" s="532">
        <f>'[1]2026_60-69 ΕΞΟΔΑ+ΟΜ 2'!I83</f>
        <v/>
      </c>
      <c r="J362" s="532">
        <f>'[1]2026_60-69 ΕΞΟΔΑ+ΟΜ 2'!J83</f>
        <v/>
      </c>
      <c r="K362" s="532">
        <f>'[1]2026_60-69 ΕΞΟΔΑ+ΟΜ 2'!K83</f>
        <v/>
      </c>
      <c r="L362" s="532">
        <f>'[1]2026_60-69 ΕΞΟΔΑ+ΟΜ 2'!L83</f>
        <v/>
      </c>
      <c r="M362" s="532">
        <f>'[1]2026_60-69 ΕΞΟΔΑ+ΟΜ 2'!M83</f>
        <v/>
      </c>
      <c r="N362" s="532">
        <f>'[1]2026_60-69 ΕΞΟΔΑ+ΟΜ 2'!N83</f>
        <v/>
      </c>
      <c r="O362" s="532">
        <f>'[1]2026_60-69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'[1]2024_60-69 ΕΞΟΔΑ+ΟΜ 2'!D79</f>
        <v/>
      </c>
      <c r="E365" s="532">
        <f>'[1]2024_60-69 ΕΞΟΔΑ+ΟΜ 2'!E79</f>
        <v/>
      </c>
      <c r="F365" s="532">
        <f>'[1]2024_60-69 ΕΞΟΔΑ+ΟΜ 2'!F79</f>
        <v/>
      </c>
      <c r="G365" s="532">
        <f>'[1]2024_60-69 ΕΞΟΔΑ+ΟΜ 2'!G79</f>
        <v/>
      </c>
      <c r="H365" s="532">
        <f>'[1]2024_60-69 ΕΞΟΔΑ+ΟΜ 2'!H79</f>
        <v/>
      </c>
      <c r="I365" s="532">
        <f>'[1]2024_60-69 ΕΞΟΔΑ+ΟΜ 2'!I79</f>
        <v/>
      </c>
      <c r="J365" s="532">
        <f>'[1]2024_60-69 ΕΞΟΔΑ+ΟΜ 2'!J79</f>
        <v/>
      </c>
      <c r="K365" s="532">
        <f>'[1]2024_60-69 ΕΞΟΔΑ+ΟΜ 2'!K79</f>
        <v/>
      </c>
      <c r="L365" s="532">
        <f>'[1]2024_60-69 ΕΞΟΔΑ+ΟΜ 2'!L79</f>
        <v/>
      </c>
      <c r="M365" s="532">
        <f>'[1]2024_60-69 ΕΞΟΔΑ+ΟΜ 2'!M79</f>
        <v/>
      </c>
      <c r="N365" s="532">
        <f>'[1]2024_60-69 ΕΞΟΔΑ+ΟΜ 2'!N79</f>
        <v/>
      </c>
      <c r="O365" s="532">
        <f>'[1]2024_60-69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'[1]2026_60-69 ΕΞΟΔΑ+ΟΜ 2'!D84</f>
        <v/>
      </c>
      <c r="E367" s="532">
        <f>'[1]2026_60-69 ΕΞΟΔΑ+ΟΜ 2'!E84</f>
        <v/>
      </c>
      <c r="F367" s="532">
        <f>'[1]2026_60-69 ΕΞΟΔΑ+ΟΜ 2'!F84</f>
        <v/>
      </c>
      <c r="G367" s="532">
        <f>'[1]2026_60-69 ΕΞΟΔΑ+ΟΜ 2'!G84</f>
        <v/>
      </c>
      <c r="H367" s="532">
        <f>'[1]2026_60-69 ΕΞΟΔΑ+ΟΜ 2'!H84</f>
        <v/>
      </c>
      <c r="I367" s="532">
        <f>'[1]2026_60-69 ΕΞΟΔΑ+ΟΜ 2'!I84</f>
        <v/>
      </c>
      <c r="J367" s="532">
        <f>'[1]2026_60-69 ΕΞΟΔΑ+ΟΜ 2'!J84</f>
        <v/>
      </c>
      <c r="K367" s="532">
        <f>'[1]2026_60-69 ΕΞΟΔΑ+ΟΜ 2'!K84</f>
        <v/>
      </c>
      <c r="L367" s="532">
        <f>'[1]2026_60-69 ΕΞΟΔΑ+ΟΜ 2'!L84</f>
        <v/>
      </c>
      <c r="M367" s="532">
        <f>'[1]2026_60-69 ΕΞΟΔΑ+ΟΜ 2'!M84</f>
        <v/>
      </c>
      <c r="N367" s="532">
        <f>'[1]2026_60-69 ΕΞΟΔΑ+ΟΜ 2'!N84</f>
        <v/>
      </c>
      <c r="O367" s="532">
        <f>'[1]2026_60-69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'[1]2024_60-69 ΕΞΟΔΑ+ΟΜ 2'!D80</f>
        <v/>
      </c>
      <c r="E370" s="535">
        <f>'[1]2024_60-69 ΕΞΟΔΑ+ΟΜ 2'!E80</f>
        <v/>
      </c>
      <c r="F370" s="535">
        <f>'[1]2024_60-69 ΕΞΟΔΑ+ΟΜ 2'!F80</f>
        <v/>
      </c>
      <c r="G370" s="535">
        <f>'[1]2024_60-69 ΕΞΟΔΑ+ΟΜ 2'!G80</f>
        <v/>
      </c>
      <c r="H370" s="535">
        <f>'[1]2024_60-69 ΕΞΟΔΑ+ΟΜ 2'!H80</f>
        <v/>
      </c>
      <c r="I370" s="535">
        <f>'[1]2024_60-69 ΕΞΟΔΑ+ΟΜ 2'!I80</f>
        <v/>
      </c>
      <c r="J370" s="535">
        <f>'[1]2024_60-69 ΕΞΟΔΑ+ΟΜ 2'!J80</f>
        <v/>
      </c>
      <c r="K370" s="535">
        <f>'[1]2024_60-69 ΕΞΟΔΑ+ΟΜ 2'!K80</f>
        <v/>
      </c>
      <c r="L370" s="535">
        <f>'[1]2024_60-69 ΕΞΟΔΑ+ΟΜ 2'!L80</f>
        <v/>
      </c>
      <c r="M370" s="535">
        <f>'[1]2024_60-69 ΕΞΟΔΑ+ΟΜ 2'!M80</f>
        <v/>
      </c>
      <c r="N370" s="535">
        <f>'[1]2024_60-69 ΕΞΟΔΑ+ΟΜ 2'!N80</f>
        <v/>
      </c>
      <c r="O370" s="535">
        <f>'[1]2024_60-69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'[1]2026_60-69 ΕΞΟΔΑ+ΟΜ 2'!D85</f>
        <v/>
      </c>
      <c r="E372" s="535">
        <f>'[1]2026_60-69 ΕΞΟΔΑ+ΟΜ 2'!E85</f>
        <v/>
      </c>
      <c r="F372" s="535">
        <f>'[1]2026_60-69 ΕΞΟΔΑ+ΟΜ 2'!F85</f>
        <v/>
      </c>
      <c r="G372" s="535">
        <f>'[1]2026_60-69 ΕΞΟΔΑ+ΟΜ 2'!G85</f>
        <v/>
      </c>
      <c r="H372" s="535">
        <f>'[1]2026_60-69 ΕΞΟΔΑ+ΟΜ 2'!H85</f>
        <v/>
      </c>
      <c r="I372" s="535">
        <f>'[1]2026_60-69 ΕΞΟΔΑ+ΟΜ 2'!I85</f>
        <v/>
      </c>
      <c r="J372" s="535">
        <f>'[1]2026_60-69 ΕΞΟΔΑ+ΟΜ 2'!J85</f>
        <v/>
      </c>
      <c r="K372" s="535">
        <f>'[1]2026_60-69 ΕΞΟΔΑ+ΟΜ 2'!K85</f>
        <v/>
      </c>
      <c r="L372" s="535">
        <f>'[1]2026_60-69 ΕΞΟΔΑ+ΟΜ 2'!L85</f>
        <v/>
      </c>
      <c r="M372" s="535">
        <f>'[1]2026_60-69 ΕΞΟΔΑ+ΟΜ 2'!M85</f>
        <v/>
      </c>
      <c r="N372" s="535">
        <f>'[1]2026_60-69 ΕΞΟΔΑ+ΟΜ 2'!N85</f>
        <v/>
      </c>
      <c r="O372" s="535">
        <f>'[1]2026_60-69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'[1]2024_60-69 ΕΞΟΔΑ+ΟΜ 2'!D81</f>
        <v/>
      </c>
      <c r="E375" s="535">
        <f>'[1]2024_60-69 ΕΞΟΔΑ+ΟΜ 2'!E81</f>
        <v/>
      </c>
      <c r="F375" s="535">
        <f>'[1]2024_60-69 ΕΞΟΔΑ+ΟΜ 2'!F81</f>
        <v/>
      </c>
      <c r="G375" s="535">
        <f>'[1]2024_60-69 ΕΞΟΔΑ+ΟΜ 2'!G81</f>
        <v/>
      </c>
      <c r="H375" s="535">
        <f>'[1]2024_60-69 ΕΞΟΔΑ+ΟΜ 2'!H81</f>
        <v/>
      </c>
      <c r="I375" s="535">
        <f>'[1]2024_60-69 ΕΞΟΔΑ+ΟΜ 2'!I81</f>
        <v/>
      </c>
      <c r="J375" s="535">
        <f>'[1]2024_60-69 ΕΞΟΔΑ+ΟΜ 2'!J81</f>
        <v/>
      </c>
      <c r="K375" s="535">
        <f>'[1]2024_60-69 ΕΞΟΔΑ+ΟΜ 2'!K81</f>
        <v/>
      </c>
      <c r="L375" s="535">
        <f>'[1]2024_60-69 ΕΞΟΔΑ+ΟΜ 2'!L81</f>
        <v/>
      </c>
      <c r="M375" s="535">
        <f>'[1]2024_60-69 ΕΞΟΔΑ+ΟΜ 2'!M81</f>
        <v/>
      </c>
      <c r="N375" s="535">
        <f>'[1]2024_60-69 ΕΞΟΔΑ+ΟΜ 2'!N81</f>
        <v/>
      </c>
      <c r="O375" s="535">
        <f>'[1]2024_60-69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'[1]2026_60-69 ΕΞΟΔΑ+ΟΜ 2'!D86</f>
        <v/>
      </c>
      <c r="E377" s="535">
        <f>'[1]2026_60-69 ΕΞΟΔΑ+ΟΜ 2'!E86</f>
        <v/>
      </c>
      <c r="F377" s="535">
        <f>'[1]2026_60-69 ΕΞΟΔΑ+ΟΜ 2'!F86</f>
        <v/>
      </c>
      <c r="G377" s="535">
        <f>'[1]2026_60-69 ΕΞΟΔΑ+ΟΜ 2'!G86</f>
        <v/>
      </c>
      <c r="H377" s="535">
        <f>'[1]2026_60-69 ΕΞΟΔΑ+ΟΜ 2'!H86</f>
        <v/>
      </c>
      <c r="I377" s="535">
        <f>'[1]2026_60-69 ΕΞΟΔΑ+ΟΜ 2'!I86</f>
        <v/>
      </c>
      <c r="J377" s="535">
        <f>'[1]2026_60-69 ΕΞΟΔΑ+ΟΜ 2'!J86</f>
        <v/>
      </c>
      <c r="K377" s="535">
        <f>'[1]2026_60-69 ΕΞΟΔΑ+ΟΜ 2'!K86</f>
        <v/>
      </c>
      <c r="L377" s="535">
        <f>'[1]2026_60-69 ΕΞΟΔΑ+ΟΜ 2'!L86</f>
        <v/>
      </c>
      <c r="M377" s="535">
        <f>'[1]2026_60-69 ΕΞΟΔΑ+ΟΜ 2'!M86</f>
        <v/>
      </c>
      <c r="N377" s="535">
        <f>'[1]2026_60-69 ΕΞΟΔΑ+ΟΜ 2'!N86</f>
        <v/>
      </c>
      <c r="O377" s="535">
        <f>'[1]2026_60-69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'[1]2024_60-69 ΕΞΟΔΑ+ΟΜ 2'!D82</f>
        <v/>
      </c>
      <c r="E380" s="535">
        <f>'[1]2024_60-69 ΕΞΟΔΑ+ΟΜ 2'!E82</f>
        <v/>
      </c>
      <c r="F380" s="535">
        <f>'[1]2024_60-69 ΕΞΟΔΑ+ΟΜ 2'!F82</f>
        <v/>
      </c>
      <c r="G380" s="535">
        <f>'[1]2024_60-69 ΕΞΟΔΑ+ΟΜ 2'!G82</f>
        <v/>
      </c>
      <c r="H380" s="535">
        <f>'[1]2024_60-69 ΕΞΟΔΑ+ΟΜ 2'!H82</f>
        <v/>
      </c>
      <c r="I380" s="535">
        <f>'[1]2024_60-69 ΕΞΟΔΑ+ΟΜ 2'!I82</f>
        <v/>
      </c>
      <c r="J380" s="535">
        <f>'[1]2024_60-69 ΕΞΟΔΑ+ΟΜ 2'!J82</f>
        <v/>
      </c>
      <c r="K380" s="535">
        <f>'[1]2024_60-69 ΕΞΟΔΑ+ΟΜ 2'!K82</f>
        <v/>
      </c>
      <c r="L380" s="535">
        <f>'[1]2024_60-69 ΕΞΟΔΑ+ΟΜ 2'!L82</f>
        <v/>
      </c>
      <c r="M380" s="535">
        <f>'[1]2024_60-69 ΕΞΟΔΑ+ΟΜ 2'!M82</f>
        <v/>
      </c>
      <c r="N380" s="535">
        <f>'[1]2024_60-69 ΕΞΟΔΑ+ΟΜ 2'!N82</f>
        <v/>
      </c>
      <c r="O380" s="535">
        <f>'[1]2024_60-69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'[1]2026_60-69 ΕΞΟΔΑ+ΟΜ 2'!D87</f>
        <v/>
      </c>
      <c r="E382" s="535">
        <f>'[1]2026_60-69 ΕΞΟΔΑ+ΟΜ 2'!E87</f>
        <v/>
      </c>
      <c r="F382" s="535">
        <f>'[1]2026_60-69 ΕΞΟΔΑ+ΟΜ 2'!F87</f>
        <v/>
      </c>
      <c r="G382" s="535">
        <f>'[1]2026_60-69 ΕΞΟΔΑ+ΟΜ 2'!G87</f>
        <v/>
      </c>
      <c r="H382" s="535">
        <f>'[1]2026_60-69 ΕΞΟΔΑ+ΟΜ 2'!H87</f>
        <v/>
      </c>
      <c r="I382" s="535">
        <f>'[1]2026_60-69 ΕΞΟΔΑ+ΟΜ 2'!I87</f>
        <v/>
      </c>
      <c r="J382" s="535">
        <f>'[1]2026_60-69 ΕΞΟΔΑ+ΟΜ 2'!J87</f>
        <v/>
      </c>
      <c r="K382" s="535">
        <f>'[1]2026_60-69 ΕΞΟΔΑ+ΟΜ 2'!K87</f>
        <v/>
      </c>
      <c r="L382" s="535">
        <f>'[1]2026_60-69 ΕΞΟΔΑ+ΟΜ 2'!L87</f>
        <v/>
      </c>
      <c r="M382" s="535">
        <f>'[1]2026_60-69 ΕΞΟΔΑ+ΟΜ 2'!M87</f>
        <v/>
      </c>
      <c r="N382" s="535">
        <f>'[1]2026_60-69 ΕΞΟΔΑ+ΟΜ 2'!N87</f>
        <v/>
      </c>
      <c r="O382" s="535">
        <f>'[1]2026_60-69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'[1]2024_60-69 ΕΞΟΔΑ+ΟΜ 2'!D83</f>
        <v/>
      </c>
      <c r="E385" s="535">
        <f>'[1]2024_60-69 ΕΞΟΔΑ+ΟΜ 2'!E83</f>
        <v/>
      </c>
      <c r="F385" s="535">
        <f>'[1]2024_60-69 ΕΞΟΔΑ+ΟΜ 2'!F83</f>
        <v/>
      </c>
      <c r="G385" s="535">
        <f>'[1]2024_60-69 ΕΞΟΔΑ+ΟΜ 2'!G83</f>
        <v/>
      </c>
      <c r="H385" s="535">
        <f>'[1]2024_60-69 ΕΞΟΔΑ+ΟΜ 2'!H83</f>
        <v/>
      </c>
      <c r="I385" s="535">
        <f>'[1]2024_60-69 ΕΞΟΔΑ+ΟΜ 2'!I83</f>
        <v/>
      </c>
      <c r="J385" s="535">
        <f>'[1]2024_60-69 ΕΞΟΔΑ+ΟΜ 2'!J83</f>
        <v/>
      </c>
      <c r="K385" s="535">
        <f>'[1]2024_60-69 ΕΞΟΔΑ+ΟΜ 2'!K83</f>
        <v/>
      </c>
      <c r="L385" s="535">
        <f>'[1]2024_60-69 ΕΞΟΔΑ+ΟΜ 2'!L83</f>
        <v/>
      </c>
      <c r="M385" s="535">
        <f>'[1]2024_60-69 ΕΞΟΔΑ+ΟΜ 2'!M83</f>
        <v/>
      </c>
      <c r="N385" s="535">
        <f>'[1]2024_60-69 ΕΞΟΔΑ+ΟΜ 2'!N83</f>
        <v/>
      </c>
      <c r="O385" s="535">
        <f>'[1]2024_60-69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'[1]2026_60-69 ΕΞΟΔΑ+ΟΜ 2'!D88</f>
        <v/>
      </c>
      <c r="E387" s="535">
        <f>'[1]2026_60-69 ΕΞΟΔΑ+ΟΜ 2'!E88</f>
        <v/>
      </c>
      <c r="F387" s="535">
        <f>'[1]2026_60-69 ΕΞΟΔΑ+ΟΜ 2'!F88</f>
        <v/>
      </c>
      <c r="G387" s="535">
        <f>'[1]2026_60-69 ΕΞΟΔΑ+ΟΜ 2'!G88</f>
        <v/>
      </c>
      <c r="H387" s="535">
        <f>'[1]2026_60-69 ΕΞΟΔΑ+ΟΜ 2'!H88</f>
        <v/>
      </c>
      <c r="I387" s="535">
        <f>'[1]2026_60-69 ΕΞΟΔΑ+ΟΜ 2'!I88</f>
        <v/>
      </c>
      <c r="J387" s="535">
        <f>'[1]2026_60-69 ΕΞΟΔΑ+ΟΜ 2'!J88</f>
        <v/>
      </c>
      <c r="K387" s="535">
        <f>'[1]2026_60-69 ΕΞΟΔΑ+ΟΜ 2'!K88</f>
        <v/>
      </c>
      <c r="L387" s="535">
        <f>'[1]2026_60-69 ΕΞΟΔΑ+ΟΜ 2'!L88</f>
        <v/>
      </c>
      <c r="M387" s="535">
        <f>'[1]2026_60-69 ΕΞΟΔΑ+ΟΜ 2'!M88</f>
        <v/>
      </c>
      <c r="N387" s="535">
        <f>'[1]2026_60-69 ΕΞΟΔΑ+ΟΜ 2'!N88</f>
        <v/>
      </c>
      <c r="O387" s="535">
        <f>'[1]2026_60-69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'[1]2024_60-69 ΕΞΟΔΑ+ΟΜ 2'!D84</f>
        <v/>
      </c>
      <c r="E390" s="532">
        <f>'[1]2024_60-69 ΕΞΟΔΑ+ΟΜ 2'!E84</f>
        <v/>
      </c>
      <c r="F390" s="532">
        <f>'[1]2024_60-69 ΕΞΟΔΑ+ΟΜ 2'!F84</f>
        <v/>
      </c>
      <c r="G390" s="532">
        <f>'[1]2024_60-69 ΕΞΟΔΑ+ΟΜ 2'!G84</f>
        <v/>
      </c>
      <c r="H390" s="532">
        <f>'[1]2024_60-69 ΕΞΟΔΑ+ΟΜ 2'!H84</f>
        <v/>
      </c>
      <c r="I390" s="532">
        <f>'[1]2024_60-69 ΕΞΟΔΑ+ΟΜ 2'!I84</f>
        <v/>
      </c>
      <c r="J390" s="532">
        <f>'[1]2024_60-69 ΕΞΟΔΑ+ΟΜ 2'!J84</f>
        <v/>
      </c>
      <c r="K390" s="532">
        <f>'[1]2024_60-69 ΕΞΟΔΑ+ΟΜ 2'!K84</f>
        <v/>
      </c>
      <c r="L390" s="532">
        <f>'[1]2024_60-69 ΕΞΟΔΑ+ΟΜ 2'!L84</f>
        <v/>
      </c>
      <c r="M390" s="532">
        <f>'[1]2024_60-69 ΕΞΟΔΑ+ΟΜ 2'!M84</f>
        <v/>
      </c>
      <c r="N390" s="532">
        <f>'[1]2024_60-69 ΕΞΟΔΑ+ΟΜ 2'!N84</f>
        <v/>
      </c>
      <c r="O390" s="532">
        <f>'[1]2024_60-69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'[1]2026_60-69 ΕΞΟΔΑ+ΟΜ 2'!D89</f>
        <v/>
      </c>
      <c r="E392" s="532">
        <f>'[1]2026_60-69 ΕΞΟΔΑ+ΟΜ 2'!E89</f>
        <v/>
      </c>
      <c r="F392" s="532">
        <f>'[1]2026_60-69 ΕΞΟΔΑ+ΟΜ 2'!F89</f>
        <v/>
      </c>
      <c r="G392" s="532">
        <f>'[1]2026_60-69 ΕΞΟΔΑ+ΟΜ 2'!G89</f>
        <v/>
      </c>
      <c r="H392" s="532">
        <f>'[1]2026_60-69 ΕΞΟΔΑ+ΟΜ 2'!H89</f>
        <v/>
      </c>
      <c r="I392" s="532">
        <f>'[1]2026_60-69 ΕΞΟΔΑ+ΟΜ 2'!I89</f>
        <v/>
      </c>
      <c r="J392" s="532">
        <f>'[1]2026_60-69 ΕΞΟΔΑ+ΟΜ 2'!J89</f>
        <v/>
      </c>
      <c r="K392" s="532">
        <f>'[1]2026_60-69 ΕΞΟΔΑ+ΟΜ 2'!K89</f>
        <v/>
      </c>
      <c r="L392" s="532">
        <f>'[1]2026_60-69 ΕΞΟΔΑ+ΟΜ 2'!L89</f>
        <v/>
      </c>
      <c r="M392" s="532">
        <f>'[1]2026_60-69 ΕΞΟΔΑ+ΟΜ 2'!M89</f>
        <v/>
      </c>
      <c r="N392" s="532">
        <f>'[1]2026_60-69 ΕΞΟΔΑ+ΟΜ 2'!N89</f>
        <v/>
      </c>
      <c r="O392" s="532">
        <f>'[1]2026_60-69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'[1]2024_60-69 ΕΞΟΔΑ+ΟΜ 2'!D85</f>
        <v/>
      </c>
      <c r="E395" s="532">
        <f>'[1]2024_60-69 ΕΞΟΔΑ+ΟΜ 2'!E85</f>
        <v/>
      </c>
      <c r="F395" s="532">
        <f>'[1]2024_60-69 ΕΞΟΔΑ+ΟΜ 2'!F85</f>
        <v/>
      </c>
      <c r="G395" s="532">
        <f>'[1]2024_60-69 ΕΞΟΔΑ+ΟΜ 2'!G85</f>
        <v/>
      </c>
      <c r="H395" s="532">
        <f>'[1]2024_60-69 ΕΞΟΔΑ+ΟΜ 2'!H85</f>
        <v/>
      </c>
      <c r="I395" s="532">
        <f>'[1]2024_60-69 ΕΞΟΔΑ+ΟΜ 2'!I85</f>
        <v/>
      </c>
      <c r="J395" s="532">
        <f>'[1]2024_60-69 ΕΞΟΔΑ+ΟΜ 2'!J85</f>
        <v/>
      </c>
      <c r="K395" s="532">
        <f>'[1]2024_60-69 ΕΞΟΔΑ+ΟΜ 2'!K85</f>
        <v/>
      </c>
      <c r="L395" s="532">
        <f>'[1]2024_60-69 ΕΞΟΔΑ+ΟΜ 2'!L85</f>
        <v/>
      </c>
      <c r="M395" s="532">
        <f>'[1]2024_60-69 ΕΞΟΔΑ+ΟΜ 2'!M85</f>
        <v/>
      </c>
      <c r="N395" s="532">
        <f>'[1]2024_60-69 ΕΞΟΔΑ+ΟΜ 2'!N85</f>
        <v/>
      </c>
      <c r="O395" s="532">
        <f>'[1]2024_60-69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'[1]2026_60-69 ΕΞΟΔΑ+ΟΜ 2'!D90</f>
        <v/>
      </c>
      <c r="E397" s="532">
        <f>'[1]2026_60-69 ΕΞΟΔΑ+ΟΜ 2'!E90</f>
        <v/>
      </c>
      <c r="F397" s="532">
        <f>'[1]2026_60-69 ΕΞΟΔΑ+ΟΜ 2'!F90</f>
        <v/>
      </c>
      <c r="G397" s="532">
        <f>'[1]2026_60-69 ΕΞΟΔΑ+ΟΜ 2'!G90</f>
        <v/>
      </c>
      <c r="H397" s="532">
        <f>'[1]2026_60-69 ΕΞΟΔΑ+ΟΜ 2'!H90</f>
        <v/>
      </c>
      <c r="I397" s="532">
        <f>'[1]2026_60-69 ΕΞΟΔΑ+ΟΜ 2'!I90</f>
        <v/>
      </c>
      <c r="J397" s="532">
        <f>'[1]2026_60-69 ΕΞΟΔΑ+ΟΜ 2'!J90</f>
        <v/>
      </c>
      <c r="K397" s="532">
        <f>'[1]2026_60-69 ΕΞΟΔΑ+ΟΜ 2'!K90</f>
        <v/>
      </c>
      <c r="L397" s="532">
        <f>'[1]2026_60-69 ΕΞΟΔΑ+ΟΜ 2'!L90</f>
        <v/>
      </c>
      <c r="M397" s="532">
        <f>'[1]2026_60-69 ΕΞΟΔΑ+ΟΜ 2'!M90</f>
        <v/>
      </c>
      <c r="N397" s="532">
        <f>'[1]2026_60-69 ΕΞΟΔΑ+ΟΜ 2'!N90</f>
        <v/>
      </c>
      <c r="O397" s="532">
        <f>'[1]2026_60-69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'[1]2024_60-69 ΕΞΟΔΑ+ΟΜ 2'!D86</f>
        <v/>
      </c>
      <c r="E400" s="532">
        <f>'[1]2024_60-69 ΕΞΟΔΑ+ΟΜ 2'!E86</f>
        <v/>
      </c>
      <c r="F400" s="532">
        <f>'[1]2024_60-69 ΕΞΟΔΑ+ΟΜ 2'!F86</f>
        <v/>
      </c>
      <c r="G400" s="532">
        <f>'[1]2024_60-69 ΕΞΟΔΑ+ΟΜ 2'!G86</f>
        <v/>
      </c>
      <c r="H400" s="532">
        <f>'[1]2024_60-69 ΕΞΟΔΑ+ΟΜ 2'!H86</f>
        <v/>
      </c>
      <c r="I400" s="532">
        <f>'[1]2024_60-69 ΕΞΟΔΑ+ΟΜ 2'!I86</f>
        <v/>
      </c>
      <c r="J400" s="532">
        <f>'[1]2024_60-69 ΕΞΟΔΑ+ΟΜ 2'!J86</f>
        <v/>
      </c>
      <c r="K400" s="532">
        <f>'[1]2024_60-69 ΕΞΟΔΑ+ΟΜ 2'!K86</f>
        <v/>
      </c>
      <c r="L400" s="532">
        <f>'[1]2024_60-69 ΕΞΟΔΑ+ΟΜ 2'!L86</f>
        <v/>
      </c>
      <c r="M400" s="532">
        <f>'[1]2024_60-69 ΕΞΟΔΑ+ΟΜ 2'!M86</f>
        <v/>
      </c>
      <c r="N400" s="532">
        <f>'[1]2024_60-69 ΕΞΟΔΑ+ΟΜ 2'!N86</f>
        <v/>
      </c>
      <c r="O400" s="532">
        <f>'[1]2024_60-69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'[1]2026_60-69 ΕΞΟΔΑ+ΟΜ 2'!D91</f>
        <v/>
      </c>
      <c r="E402" s="532">
        <f>'[1]2026_60-69 ΕΞΟΔΑ+ΟΜ 2'!E91</f>
        <v/>
      </c>
      <c r="F402" s="532">
        <f>'[1]2026_60-69 ΕΞΟΔΑ+ΟΜ 2'!F91</f>
        <v/>
      </c>
      <c r="G402" s="532">
        <f>'[1]2026_60-69 ΕΞΟΔΑ+ΟΜ 2'!G91</f>
        <v/>
      </c>
      <c r="H402" s="532">
        <f>'[1]2026_60-69 ΕΞΟΔΑ+ΟΜ 2'!H91</f>
        <v/>
      </c>
      <c r="I402" s="532">
        <f>'[1]2026_60-69 ΕΞΟΔΑ+ΟΜ 2'!I91</f>
        <v/>
      </c>
      <c r="J402" s="532">
        <f>'[1]2026_60-69 ΕΞΟΔΑ+ΟΜ 2'!J91</f>
        <v/>
      </c>
      <c r="K402" s="532">
        <f>'[1]2026_60-69 ΕΞΟΔΑ+ΟΜ 2'!K91</f>
        <v/>
      </c>
      <c r="L402" s="532">
        <f>'[1]2026_60-69 ΕΞΟΔΑ+ΟΜ 2'!L91</f>
        <v/>
      </c>
      <c r="M402" s="532">
        <f>'[1]2026_60-69 ΕΞΟΔΑ+ΟΜ 2'!M91</f>
        <v/>
      </c>
      <c r="N402" s="532">
        <f>'[1]2026_60-69 ΕΞΟΔΑ+ΟΜ 2'!N91</f>
        <v/>
      </c>
      <c r="O402" s="532">
        <f>'[1]2026_60-69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'[1]2024_60-69 ΕΞΟΔΑ+ΟΜ 2'!D87</f>
        <v/>
      </c>
      <c r="E405" s="532">
        <f>'[1]2024_60-69 ΕΞΟΔΑ+ΟΜ 2'!E87</f>
        <v/>
      </c>
      <c r="F405" s="532">
        <f>'[1]2024_60-69 ΕΞΟΔΑ+ΟΜ 2'!F87</f>
        <v/>
      </c>
      <c r="G405" s="532">
        <f>'[1]2024_60-69 ΕΞΟΔΑ+ΟΜ 2'!G87</f>
        <v/>
      </c>
      <c r="H405" s="532">
        <f>'[1]2024_60-69 ΕΞΟΔΑ+ΟΜ 2'!H87</f>
        <v/>
      </c>
      <c r="I405" s="532">
        <f>'[1]2024_60-69 ΕΞΟΔΑ+ΟΜ 2'!I87</f>
        <v/>
      </c>
      <c r="J405" s="532">
        <f>'[1]2024_60-69 ΕΞΟΔΑ+ΟΜ 2'!J87</f>
        <v/>
      </c>
      <c r="K405" s="532">
        <f>'[1]2024_60-69 ΕΞΟΔΑ+ΟΜ 2'!K87</f>
        <v/>
      </c>
      <c r="L405" s="532">
        <f>'[1]2024_60-69 ΕΞΟΔΑ+ΟΜ 2'!L87</f>
        <v/>
      </c>
      <c r="M405" s="532">
        <f>'[1]2024_60-69 ΕΞΟΔΑ+ΟΜ 2'!M87</f>
        <v/>
      </c>
      <c r="N405" s="532">
        <f>'[1]2024_60-69 ΕΞΟΔΑ+ΟΜ 2'!N87</f>
        <v/>
      </c>
      <c r="O405" s="532">
        <f>'[1]2024_60-69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'[1]2026_60-69 ΕΞΟΔΑ+ΟΜ 2'!D92</f>
        <v/>
      </c>
      <c r="E407" s="532">
        <f>'[1]2026_60-69 ΕΞΟΔΑ+ΟΜ 2'!E92</f>
        <v/>
      </c>
      <c r="F407" s="532">
        <f>'[1]2026_60-69 ΕΞΟΔΑ+ΟΜ 2'!F92</f>
        <v/>
      </c>
      <c r="G407" s="532">
        <f>'[1]2026_60-69 ΕΞΟΔΑ+ΟΜ 2'!G92</f>
        <v/>
      </c>
      <c r="H407" s="532">
        <f>'[1]2026_60-69 ΕΞΟΔΑ+ΟΜ 2'!H92</f>
        <v/>
      </c>
      <c r="I407" s="532">
        <f>'[1]2026_60-69 ΕΞΟΔΑ+ΟΜ 2'!I92</f>
        <v/>
      </c>
      <c r="J407" s="532">
        <f>'[1]2026_60-69 ΕΞΟΔΑ+ΟΜ 2'!J92</f>
        <v/>
      </c>
      <c r="K407" s="532">
        <f>'[1]2026_60-69 ΕΞΟΔΑ+ΟΜ 2'!K92</f>
        <v/>
      </c>
      <c r="L407" s="532">
        <f>'[1]2026_60-69 ΕΞΟΔΑ+ΟΜ 2'!L92</f>
        <v/>
      </c>
      <c r="M407" s="532">
        <f>'[1]2026_60-69 ΕΞΟΔΑ+ΟΜ 2'!M92</f>
        <v/>
      </c>
      <c r="N407" s="532">
        <f>'[1]2026_60-69 ΕΞΟΔΑ+ΟΜ 2'!N92</f>
        <v/>
      </c>
      <c r="O407" s="532">
        <f>'[1]2026_60-69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'[1]2024_60-69 ΕΞΟΔΑ+ΟΜ 2'!D88</f>
        <v/>
      </c>
      <c r="E410" s="532">
        <f>'[1]2024_60-69 ΕΞΟΔΑ+ΟΜ 2'!E88</f>
        <v/>
      </c>
      <c r="F410" s="532">
        <f>'[1]2024_60-69 ΕΞΟΔΑ+ΟΜ 2'!F88</f>
        <v/>
      </c>
      <c r="G410" s="532">
        <f>'[1]2024_60-69 ΕΞΟΔΑ+ΟΜ 2'!G88</f>
        <v/>
      </c>
      <c r="H410" s="532">
        <f>'[1]2024_60-69 ΕΞΟΔΑ+ΟΜ 2'!H88</f>
        <v/>
      </c>
      <c r="I410" s="532">
        <f>'[1]2024_60-69 ΕΞΟΔΑ+ΟΜ 2'!I88</f>
        <v/>
      </c>
      <c r="J410" s="532">
        <f>'[1]2024_60-69 ΕΞΟΔΑ+ΟΜ 2'!J88</f>
        <v/>
      </c>
      <c r="K410" s="532">
        <f>'[1]2024_60-69 ΕΞΟΔΑ+ΟΜ 2'!K88</f>
        <v/>
      </c>
      <c r="L410" s="532">
        <f>'[1]2024_60-69 ΕΞΟΔΑ+ΟΜ 2'!L88</f>
        <v/>
      </c>
      <c r="M410" s="532">
        <f>'[1]2024_60-69 ΕΞΟΔΑ+ΟΜ 2'!M88</f>
        <v/>
      </c>
      <c r="N410" s="532">
        <f>'[1]2024_60-69 ΕΞΟΔΑ+ΟΜ 2'!N88</f>
        <v/>
      </c>
      <c r="O410" s="532">
        <f>'[1]2024_60-69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'[1]2026_60-69 ΕΞΟΔΑ+ΟΜ 2'!D93</f>
        <v/>
      </c>
      <c r="E412" s="532">
        <f>'[1]2026_60-69 ΕΞΟΔΑ+ΟΜ 2'!E93</f>
        <v/>
      </c>
      <c r="F412" s="532">
        <f>'[1]2026_60-69 ΕΞΟΔΑ+ΟΜ 2'!F93</f>
        <v/>
      </c>
      <c r="G412" s="532">
        <f>'[1]2026_60-69 ΕΞΟΔΑ+ΟΜ 2'!G93</f>
        <v/>
      </c>
      <c r="H412" s="532">
        <f>'[1]2026_60-69 ΕΞΟΔΑ+ΟΜ 2'!H93</f>
        <v/>
      </c>
      <c r="I412" s="532">
        <f>'[1]2026_60-69 ΕΞΟΔΑ+ΟΜ 2'!I93</f>
        <v/>
      </c>
      <c r="J412" s="532">
        <f>'[1]2026_60-69 ΕΞΟΔΑ+ΟΜ 2'!J93</f>
        <v/>
      </c>
      <c r="K412" s="532">
        <f>'[1]2026_60-69 ΕΞΟΔΑ+ΟΜ 2'!K93</f>
        <v/>
      </c>
      <c r="L412" s="532">
        <f>'[1]2026_60-69 ΕΞΟΔΑ+ΟΜ 2'!L93</f>
        <v/>
      </c>
      <c r="M412" s="532">
        <f>'[1]2026_60-69 ΕΞΟΔΑ+ΟΜ 2'!M93</f>
        <v/>
      </c>
      <c r="N412" s="532">
        <f>'[1]2026_60-69 ΕΞΟΔΑ+ΟΜ 2'!N93</f>
        <v/>
      </c>
      <c r="O412" s="532">
        <f>'[1]2026_60-69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'[1]2024_60-69 ΕΞΟΔΑ+ΟΜ 2'!D89</f>
        <v/>
      </c>
      <c r="E415" s="532">
        <f>'[1]2024_60-69 ΕΞΟΔΑ+ΟΜ 2'!E89</f>
        <v/>
      </c>
      <c r="F415" s="532">
        <f>'[1]2024_60-69 ΕΞΟΔΑ+ΟΜ 2'!F89</f>
        <v/>
      </c>
      <c r="G415" s="532">
        <f>'[1]2024_60-69 ΕΞΟΔΑ+ΟΜ 2'!G89</f>
        <v/>
      </c>
      <c r="H415" s="532">
        <f>'[1]2024_60-69 ΕΞΟΔΑ+ΟΜ 2'!H89</f>
        <v/>
      </c>
      <c r="I415" s="532">
        <f>'[1]2024_60-69 ΕΞΟΔΑ+ΟΜ 2'!I89</f>
        <v/>
      </c>
      <c r="J415" s="532">
        <f>'[1]2024_60-69 ΕΞΟΔΑ+ΟΜ 2'!J89</f>
        <v/>
      </c>
      <c r="K415" s="532">
        <f>'[1]2024_60-69 ΕΞΟΔΑ+ΟΜ 2'!K89</f>
        <v/>
      </c>
      <c r="L415" s="532">
        <f>'[1]2024_60-69 ΕΞΟΔΑ+ΟΜ 2'!L89</f>
        <v/>
      </c>
      <c r="M415" s="532">
        <f>'[1]2024_60-69 ΕΞΟΔΑ+ΟΜ 2'!M89</f>
        <v/>
      </c>
      <c r="N415" s="532">
        <f>'[1]2024_60-69 ΕΞΟΔΑ+ΟΜ 2'!N89</f>
        <v/>
      </c>
      <c r="O415" s="532">
        <f>'[1]2024_60-69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'[1]2026_60-69 ΕΞΟΔΑ+ΟΜ 2'!D94</f>
        <v/>
      </c>
      <c r="E417" s="532">
        <f>'[1]2026_60-69 ΕΞΟΔΑ+ΟΜ 2'!E94</f>
        <v/>
      </c>
      <c r="F417" s="532">
        <f>'[1]2026_60-69 ΕΞΟΔΑ+ΟΜ 2'!F94</f>
        <v/>
      </c>
      <c r="G417" s="532">
        <f>'[1]2026_60-69 ΕΞΟΔΑ+ΟΜ 2'!G94</f>
        <v/>
      </c>
      <c r="H417" s="532">
        <f>'[1]2026_60-69 ΕΞΟΔΑ+ΟΜ 2'!H94</f>
        <v/>
      </c>
      <c r="I417" s="532">
        <f>'[1]2026_60-69 ΕΞΟΔΑ+ΟΜ 2'!I94</f>
        <v/>
      </c>
      <c r="J417" s="532">
        <f>'[1]2026_60-69 ΕΞΟΔΑ+ΟΜ 2'!J94</f>
        <v/>
      </c>
      <c r="K417" s="532">
        <f>'[1]2026_60-69 ΕΞΟΔΑ+ΟΜ 2'!K94</f>
        <v/>
      </c>
      <c r="L417" s="532">
        <f>'[1]2026_60-69 ΕΞΟΔΑ+ΟΜ 2'!L94</f>
        <v/>
      </c>
      <c r="M417" s="532">
        <f>'[1]2026_60-69 ΕΞΟΔΑ+ΟΜ 2'!M94</f>
        <v/>
      </c>
      <c r="N417" s="532">
        <f>'[1]2026_60-69 ΕΞΟΔΑ+ΟΜ 2'!N94</f>
        <v/>
      </c>
      <c r="O417" s="532">
        <f>'[1]2026_60-69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'[1]2024_60-69 ΕΞΟΔΑ+ΟΜ 2'!D90</f>
        <v/>
      </c>
      <c r="E420" s="532">
        <f>'[1]2024_60-69 ΕΞΟΔΑ+ΟΜ 2'!E90</f>
        <v/>
      </c>
      <c r="F420" s="532">
        <f>'[1]2024_60-69 ΕΞΟΔΑ+ΟΜ 2'!F90</f>
        <v/>
      </c>
      <c r="G420" s="532">
        <f>'[1]2024_60-69 ΕΞΟΔΑ+ΟΜ 2'!G90</f>
        <v/>
      </c>
      <c r="H420" s="532">
        <f>'[1]2024_60-69 ΕΞΟΔΑ+ΟΜ 2'!H90</f>
        <v/>
      </c>
      <c r="I420" s="532">
        <f>'[1]2024_60-69 ΕΞΟΔΑ+ΟΜ 2'!I90</f>
        <v/>
      </c>
      <c r="J420" s="532">
        <f>'[1]2024_60-69 ΕΞΟΔΑ+ΟΜ 2'!J90</f>
        <v/>
      </c>
      <c r="K420" s="532">
        <f>'[1]2024_60-69 ΕΞΟΔΑ+ΟΜ 2'!K90</f>
        <v/>
      </c>
      <c r="L420" s="532">
        <f>'[1]2024_60-69 ΕΞΟΔΑ+ΟΜ 2'!L90</f>
        <v/>
      </c>
      <c r="M420" s="532">
        <f>'[1]2024_60-69 ΕΞΟΔΑ+ΟΜ 2'!M90</f>
        <v/>
      </c>
      <c r="N420" s="532">
        <f>'[1]2024_60-69 ΕΞΟΔΑ+ΟΜ 2'!N90</f>
        <v/>
      </c>
      <c r="O420" s="532">
        <f>'[1]2024_60-69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'[1]2026_60-69 ΕΞΟΔΑ+ΟΜ 2'!D95</f>
        <v/>
      </c>
      <c r="E422" s="532">
        <f>'[1]2026_60-69 ΕΞΟΔΑ+ΟΜ 2'!E95</f>
        <v/>
      </c>
      <c r="F422" s="532">
        <f>'[1]2026_60-69 ΕΞΟΔΑ+ΟΜ 2'!F95</f>
        <v/>
      </c>
      <c r="G422" s="532">
        <f>'[1]2026_60-69 ΕΞΟΔΑ+ΟΜ 2'!G95</f>
        <v/>
      </c>
      <c r="H422" s="532">
        <f>'[1]2026_60-69 ΕΞΟΔΑ+ΟΜ 2'!H95</f>
        <v/>
      </c>
      <c r="I422" s="532">
        <f>'[1]2026_60-69 ΕΞΟΔΑ+ΟΜ 2'!I95</f>
        <v/>
      </c>
      <c r="J422" s="532">
        <f>'[1]2026_60-69 ΕΞΟΔΑ+ΟΜ 2'!J95</f>
        <v/>
      </c>
      <c r="K422" s="532">
        <f>'[1]2026_60-69 ΕΞΟΔΑ+ΟΜ 2'!K95</f>
        <v/>
      </c>
      <c r="L422" s="532">
        <f>'[1]2026_60-69 ΕΞΟΔΑ+ΟΜ 2'!L95</f>
        <v/>
      </c>
      <c r="M422" s="532">
        <f>'[1]2026_60-69 ΕΞΟΔΑ+ΟΜ 2'!M95</f>
        <v/>
      </c>
      <c r="N422" s="532">
        <f>'[1]2026_60-69 ΕΞΟΔΑ+ΟΜ 2'!N95</f>
        <v/>
      </c>
      <c r="O422" s="532">
        <f>'[1]2026_60-69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'[1]2024_60-69 ΕΞΟΔΑ+ΟΜ 2'!D91</f>
        <v/>
      </c>
      <c r="E425" s="532">
        <f>'[1]2024_60-69 ΕΞΟΔΑ+ΟΜ 2'!E91</f>
        <v/>
      </c>
      <c r="F425" s="532">
        <f>'[1]2024_60-69 ΕΞΟΔΑ+ΟΜ 2'!F91</f>
        <v/>
      </c>
      <c r="G425" s="532">
        <f>'[1]2024_60-69 ΕΞΟΔΑ+ΟΜ 2'!G91</f>
        <v/>
      </c>
      <c r="H425" s="532">
        <f>'[1]2024_60-69 ΕΞΟΔΑ+ΟΜ 2'!H91</f>
        <v/>
      </c>
      <c r="I425" s="532">
        <f>'[1]2024_60-69 ΕΞΟΔΑ+ΟΜ 2'!I91</f>
        <v/>
      </c>
      <c r="J425" s="532">
        <f>'[1]2024_60-69 ΕΞΟΔΑ+ΟΜ 2'!J91</f>
        <v/>
      </c>
      <c r="K425" s="532">
        <f>'[1]2024_60-69 ΕΞΟΔΑ+ΟΜ 2'!K91</f>
        <v/>
      </c>
      <c r="L425" s="532">
        <f>'[1]2024_60-69 ΕΞΟΔΑ+ΟΜ 2'!L91</f>
        <v/>
      </c>
      <c r="M425" s="532">
        <f>'[1]2024_60-69 ΕΞΟΔΑ+ΟΜ 2'!M91</f>
        <v/>
      </c>
      <c r="N425" s="532">
        <f>'[1]2024_60-69 ΕΞΟΔΑ+ΟΜ 2'!N91</f>
        <v/>
      </c>
      <c r="O425" s="532">
        <f>'[1]2024_60-69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'[1]2026_60-69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'[1]2026_60-69 ΕΞΟΔΑ+ΟΜ 2'!D96</f>
        <v/>
      </c>
      <c r="E427" s="532">
        <f>'[1]2026_60-69 ΕΞΟΔΑ+ΟΜ 2'!E96</f>
        <v/>
      </c>
      <c r="F427" s="532">
        <f>'[1]2026_60-69 ΕΞΟΔΑ+ΟΜ 2'!F96</f>
        <v/>
      </c>
      <c r="G427" s="532">
        <f>'[1]2026_60-69 ΕΞΟΔΑ+ΟΜ 2'!G96</f>
        <v/>
      </c>
      <c r="H427" s="532">
        <f>'[1]2026_60-69 ΕΞΟΔΑ+ΟΜ 2'!H96</f>
        <v/>
      </c>
      <c r="I427" s="532">
        <f>'[1]2026_60-69 ΕΞΟΔΑ+ΟΜ 2'!I96</f>
        <v/>
      </c>
      <c r="J427" s="532">
        <f>'[1]2026_60-69 ΕΞΟΔΑ+ΟΜ 2'!J96</f>
        <v/>
      </c>
      <c r="K427" s="532">
        <f>'[1]2026_60-69 ΕΞΟΔΑ+ΟΜ 2'!K96</f>
        <v/>
      </c>
      <c r="L427" s="532">
        <f>'[1]2026_60-69 ΕΞΟΔΑ+ΟΜ 2'!L96</f>
        <v/>
      </c>
      <c r="M427" s="532">
        <f>'[1]2026_60-69 ΕΞΟΔΑ+ΟΜ 2'!M96</f>
        <v/>
      </c>
      <c r="N427" s="532">
        <f>'[1]2026_60-69 ΕΞΟΔΑ+ΟΜ 2'!N96</f>
        <v/>
      </c>
      <c r="O427" s="532">
        <f>'[1]2026_60-69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'[1]2024_60-69 ΕΞΟΔΑ+ΟΜ 2'!D92</f>
        <v/>
      </c>
      <c r="E430" s="532">
        <f>'[1]2024_60-69 ΕΞΟΔΑ+ΟΜ 2'!E92</f>
        <v/>
      </c>
      <c r="F430" s="532">
        <f>'[1]2024_60-69 ΕΞΟΔΑ+ΟΜ 2'!F92</f>
        <v/>
      </c>
      <c r="G430" s="532">
        <f>'[1]2024_60-69 ΕΞΟΔΑ+ΟΜ 2'!G92</f>
        <v/>
      </c>
      <c r="H430" s="532">
        <f>'[1]2024_60-69 ΕΞΟΔΑ+ΟΜ 2'!H92</f>
        <v/>
      </c>
      <c r="I430" s="532">
        <f>'[1]2024_60-69 ΕΞΟΔΑ+ΟΜ 2'!I92</f>
        <v/>
      </c>
      <c r="J430" s="532">
        <f>'[1]2024_60-69 ΕΞΟΔΑ+ΟΜ 2'!J92</f>
        <v/>
      </c>
      <c r="K430" s="532">
        <f>'[1]2024_60-69 ΕΞΟΔΑ+ΟΜ 2'!K92</f>
        <v/>
      </c>
      <c r="L430" s="532">
        <f>'[1]2024_60-69 ΕΞΟΔΑ+ΟΜ 2'!L92</f>
        <v/>
      </c>
      <c r="M430" s="532">
        <f>'[1]2024_60-69 ΕΞΟΔΑ+ΟΜ 2'!M92</f>
        <v/>
      </c>
      <c r="N430" s="532">
        <f>'[1]2024_60-69 ΕΞΟΔΑ+ΟΜ 2'!N92</f>
        <v/>
      </c>
      <c r="O430" s="532">
        <f>'[1]2024_60-69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'[1]2026_60-69 ΕΞΟΔΑ+ΟΜ 2'!D97</f>
        <v/>
      </c>
      <c r="E432" s="532">
        <f>'[1]2026_60-69 ΕΞΟΔΑ+ΟΜ 2'!E97</f>
        <v/>
      </c>
      <c r="F432" s="532">
        <f>'[1]2026_60-69 ΕΞΟΔΑ+ΟΜ 2'!F97</f>
        <v/>
      </c>
      <c r="G432" s="532">
        <f>'[1]2026_60-69 ΕΞΟΔΑ+ΟΜ 2'!G97</f>
        <v/>
      </c>
      <c r="H432" s="532">
        <f>'[1]2026_60-69 ΕΞΟΔΑ+ΟΜ 2'!H97</f>
        <v/>
      </c>
      <c r="I432" s="532">
        <f>'[1]2026_60-69 ΕΞΟΔΑ+ΟΜ 2'!I97</f>
        <v/>
      </c>
      <c r="J432" s="532">
        <f>'[1]2026_60-69 ΕΞΟΔΑ+ΟΜ 2'!J97</f>
        <v/>
      </c>
      <c r="K432" s="532">
        <f>'[1]2026_60-69 ΕΞΟΔΑ+ΟΜ 2'!K97</f>
        <v/>
      </c>
      <c r="L432" s="532">
        <f>'[1]2026_60-69 ΕΞΟΔΑ+ΟΜ 2'!L97</f>
        <v/>
      </c>
      <c r="M432" s="532">
        <f>'[1]2026_60-69 ΕΞΟΔΑ+ΟΜ 2'!M97</f>
        <v/>
      </c>
      <c r="N432" s="532">
        <f>'[1]2026_60-69 ΕΞΟΔΑ+ΟΜ 2'!N97</f>
        <v/>
      </c>
      <c r="O432" s="532">
        <f>'[1]2026_60-69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'[1]2024_60-69 ΕΞΟΔΑ+ΟΜ 2'!D93</f>
        <v/>
      </c>
      <c r="E435" s="532">
        <f>'[1]2024_60-69 ΕΞΟΔΑ+ΟΜ 2'!E93</f>
        <v/>
      </c>
      <c r="F435" s="532">
        <f>'[1]2024_60-69 ΕΞΟΔΑ+ΟΜ 2'!F93</f>
        <v/>
      </c>
      <c r="G435" s="532">
        <f>'[1]2024_60-69 ΕΞΟΔΑ+ΟΜ 2'!G93</f>
        <v/>
      </c>
      <c r="H435" s="532">
        <f>'[1]2024_60-69 ΕΞΟΔΑ+ΟΜ 2'!H93</f>
        <v/>
      </c>
      <c r="I435" s="532">
        <f>'[1]2024_60-69 ΕΞΟΔΑ+ΟΜ 2'!I93</f>
        <v/>
      </c>
      <c r="J435" s="532">
        <f>'[1]2024_60-69 ΕΞΟΔΑ+ΟΜ 2'!J93</f>
        <v/>
      </c>
      <c r="K435" s="532">
        <f>'[1]2024_60-69 ΕΞΟΔΑ+ΟΜ 2'!K93</f>
        <v/>
      </c>
      <c r="L435" s="532">
        <f>'[1]2024_60-69 ΕΞΟΔΑ+ΟΜ 2'!L93</f>
        <v/>
      </c>
      <c r="M435" s="532">
        <f>'[1]2024_60-69 ΕΞΟΔΑ+ΟΜ 2'!M93</f>
        <v/>
      </c>
      <c r="N435" s="532">
        <f>'[1]2024_60-69 ΕΞΟΔΑ+ΟΜ 2'!N93</f>
        <v/>
      </c>
      <c r="O435" s="532">
        <f>'[1]2024_60-69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'[1]2026_60-69 ΕΞΟΔΑ+ΟΜ 2'!D98</f>
        <v/>
      </c>
      <c r="E437" s="532">
        <f>'[1]2026_60-69 ΕΞΟΔΑ+ΟΜ 2'!E98</f>
        <v/>
      </c>
      <c r="F437" s="532">
        <f>'[1]2026_60-69 ΕΞΟΔΑ+ΟΜ 2'!F98</f>
        <v/>
      </c>
      <c r="G437" s="532">
        <f>'[1]2026_60-69 ΕΞΟΔΑ+ΟΜ 2'!G98</f>
        <v/>
      </c>
      <c r="H437" s="532">
        <f>'[1]2026_60-69 ΕΞΟΔΑ+ΟΜ 2'!H98</f>
        <v/>
      </c>
      <c r="I437" s="532">
        <f>'[1]2026_60-69 ΕΞΟΔΑ+ΟΜ 2'!I98</f>
        <v/>
      </c>
      <c r="J437" s="532">
        <f>'[1]2026_60-69 ΕΞΟΔΑ+ΟΜ 2'!J98</f>
        <v/>
      </c>
      <c r="K437" s="532">
        <f>'[1]2026_60-69 ΕΞΟΔΑ+ΟΜ 2'!K98</f>
        <v/>
      </c>
      <c r="L437" s="532">
        <f>'[1]2026_60-69 ΕΞΟΔΑ+ΟΜ 2'!L98</f>
        <v/>
      </c>
      <c r="M437" s="532">
        <f>'[1]2026_60-69 ΕΞΟΔΑ+ΟΜ 2'!M98</f>
        <v/>
      </c>
      <c r="N437" s="532">
        <f>'[1]2026_60-69 ΕΞΟΔΑ+ΟΜ 2'!N98</f>
        <v/>
      </c>
      <c r="O437" s="532">
        <f>'[1]2026_60-69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'[1]2024_60-69 ΕΞΟΔΑ+ΟΜ 2'!D94</f>
        <v/>
      </c>
      <c r="E440" s="532">
        <f>'[1]2024_60-69 ΕΞΟΔΑ+ΟΜ 2'!E94</f>
        <v/>
      </c>
      <c r="F440" s="532">
        <f>'[1]2024_60-69 ΕΞΟΔΑ+ΟΜ 2'!F94</f>
        <v/>
      </c>
      <c r="G440" s="532">
        <f>'[1]2024_60-69 ΕΞΟΔΑ+ΟΜ 2'!G94</f>
        <v/>
      </c>
      <c r="H440" s="532">
        <f>'[1]2024_60-69 ΕΞΟΔΑ+ΟΜ 2'!H94</f>
        <v/>
      </c>
      <c r="I440" s="532">
        <f>'[1]2024_60-69 ΕΞΟΔΑ+ΟΜ 2'!I94</f>
        <v/>
      </c>
      <c r="J440" s="532">
        <f>'[1]2024_60-69 ΕΞΟΔΑ+ΟΜ 2'!J94</f>
        <v/>
      </c>
      <c r="K440" s="532">
        <f>'[1]2024_60-69 ΕΞΟΔΑ+ΟΜ 2'!K94</f>
        <v/>
      </c>
      <c r="L440" s="532">
        <f>'[1]2024_60-69 ΕΞΟΔΑ+ΟΜ 2'!L94</f>
        <v/>
      </c>
      <c r="M440" s="532">
        <f>'[1]2024_60-69 ΕΞΟΔΑ+ΟΜ 2'!M94</f>
        <v/>
      </c>
      <c r="N440" s="532">
        <f>'[1]2024_60-69 ΕΞΟΔΑ+ΟΜ 2'!N94</f>
        <v/>
      </c>
      <c r="O440" s="532">
        <f>'[1]2024_60-69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'[1]2026_60-69 ΕΞΟΔΑ+ΟΜ 2'!D99</f>
        <v/>
      </c>
      <c r="E442" s="532">
        <f>'[1]2026_60-69 ΕΞΟΔΑ+ΟΜ 2'!E99</f>
        <v/>
      </c>
      <c r="F442" s="532">
        <f>'[1]2026_60-69 ΕΞΟΔΑ+ΟΜ 2'!F99</f>
        <v/>
      </c>
      <c r="G442" s="532">
        <f>'[1]2026_60-69 ΕΞΟΔΑ+ΟΜ 2'!G99</f>
        <v/>
      </c>
      <c r="H442" s="532">
        <f>'[1]2026_60-69 ΕΞΟΔΑ+ΟΜ 2'!H99</f>
        <v/>
      </c>
      <c r="I442" s="532">
        <f>'[1]2026_60-69 ΕΞΟΔΑ+ΟΜ 2'!I99</f>
        <v/>
      </c>
      <c r="J442" s="532">
        <f>'[1]2026_60-69 ΕΞΟΔΑ+ΟΜ 2'!J99</f>
        <v/>
      </c>
      <c r="K442" s="532">
        <f>'[1]2026_60-69 ΕΞΟΔΑ+ΟΜ 2'!K99</f>
        <v/>
      </c>
      <c r="L442" s="532">
        <f>'[1]2026_60-69 ΕΞΟΔΑ+ΟΜ 2'!L99</f>
        <v/>
      </c>
      <c r="M442" s="532">
        <f>'[1]2026_60-69 ΕΞΟΔΑ+ΟΜ 2'!M99</f>
        <v/>
      </c>
      <c r="N442" s="532">
        <f>'[1]2026_60-69 ΕΞΟΔΑ+ΟΜ 2'!N99</f>
        <v/>
      </c>
      <c r="O442" s="532">
        <f>'[1]2026_60-69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'[1]2024_60-69 ΕΞΟΔΑ+ΟΜ 2'!D95</f>
        <v/>
      </c>
      <c r="E445" s="532">
        <f>'[1]2024_60-69 ΕΞΟΔΑ+ΟΜ 2'!E95</f>
        <v/>
      </c>
      <c r="F445" s="532">
        <f>'[1]2024_60-69 ΕΞΟΔΑ+ΟΜ 2'!F95</f>
        <v/>
      </c>
      <c r="G445" s="532">
        <f>'[1]2024_60-69 ΕΞΟΔΑ+ΟΜ 2'!G95</f>
        <v/>
      </c>
      <c r="H445" s="532">
        <f>'[1]2024_60-69 ΕΞΟΔΑ+ΟΜ 2'!H95</f>
        <v/>
      </c>
      <c r="I445" s="532">
        <f>'[1]2024_60-69 ΕΞΟΔΑ+ΟΜ 2'!I95</f>
        <v/>
      </c>
      <c r="J445" s="532">
        <f>'[1]2024_60-69 ΕΞΟΔΑ+ΟΜ 2'!J95</f>
        <v/>
      </c>
      <c r="K445" s="532">
        <f>'[1]2024_60-69 ΕΞΟΔΑ+ΟΜ 2'!K95</f>
        <v/>
      </c>
      <c r="L445" s="532">
        <f>'[1]2024_60-69 ΕΞΟΔΑ+ΟΜ 2'!L95</f>
        <v/>
      </c>
      <c r="M445" s="532">
        <f>'[1]2024_60-69 ΕΞΟΔΑ+ΟΜ 2'!M95</f>
        <v/>
      </c>
      <c r="N445" s="532">
        <f>'[1]2024_60-69 ΕΞΟΔΑ+ΟΜ 2'!N95</f>
        <v/>
      </c>
      <c r="O445" s="532">
        <f>'[1]2024_60-69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'[1]2026_60-69 ΕΞΟΔΑ+ΟΜ 2'!D100</f>
        <v/>
      </c>
      <c r="E447" s="532">
        <f>'[1]2026_60-69 ΕΞΟΔΑ+ΟΜ 2'!E100</f>
        <v/>
      </c>
      <c r="F447" s="532">
        <f>'[1]2026_60-69 ΕΞΟΔΑ+ΟΜ 2'!F100</f>
        <v/>
      </c>
      <c r="G447" s="532">
        <f>'[1]2026_60-69 ΕΞΟΔΑ+ΟΜ 2'!G100</f>
        <v/>
      </c>
      <c r="H447" s="532">
        <f>'[1]2026_60-69 ΕΞΟΔΑ+ΟΜ 2'!H100</f>
        <v/>
      </c>
      <c r="I447" s="532">
        <f>'[1]2026_60-69 ΕΞΟΔΑ+ΟΜ 2'!I100</f>
        <v/>
      </c>
      <c r="J447" s="532">
        <f>'[1]2026_60-69 ΕΞΟΔΑ+ΟΜ 2'!J100</f>
        <v/>
      </c>
      <c r="K447" s="532">
        <f>'[1]2026_60-69 ΕΞΟΔΑ+ΟΜ 2'!K100</f>
        <v/>
      </c>
      <c r="L447" s="532">
        <f>'[1]2026_60-69 ΕΞΟΔΑ+ΟΜ 2'!L100</f>
        <v/>
      </c>
      <c r="M447" s="532">
        <f>'[1]2026_60-69 ΕΞΟΔΑ+ΟΜ 2'!M100</f>
        <v/>
      </c>
      <c r="N447" s="532">
        <f>'[1]2026_60-69 ΕΞΟΔΑ+ΟΜ 2'!N100</f>
        <v/>
      </c>
      <c r="O447" s="532">
        <f>'[1]2026_60-69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'[1]2024_60-69 ΕΞΟΔΑ+ΟΜ 2'!D96</f>
        <v/>
      </c>
      <c r="E450" s="532">
        <f>'[1]2024_60-69 ΕΞΟΔΑ+ΟΜ 2'!E96</f>
        <v/>
      </c>
      <c r="F450" s="532">
        <f>'[1]2024_60-69 ΕΞΟΔΑ+ΟΜ 2'!F96</f>
        <v/>
      </c>
      <c r="G450" s="532">
        <f>'[1]2024_60-69 ΕΞΟΔΑ+ΟΜ 2'!G96</f>
        <v/>
      </c>
      <c r="H450" s="532">
        <f>'[1]2024_60-69 ΕΞΟΔΑ+ΟΜ 2'!H96</f>
        <v/>
      </c>
      <c r="I450" s="532">
        <f>'[1]2024_60-69 ΕΞΟΔΑ+ΟΜ 2'!I96</f>
        <v/>
      </c>
      <c r="J450" s="532">
        <f>'[1]2024_60-69 ΕΞΟΔΑ+ΟΜ 2'!J96</f>
        <v/>
      </c>
      <c r="K450" s="532">
        <f>'[1]2024_60-69 ΕΞΟΔΑ+ΟΜ 2'!K96</f>
        <v/>
      </c>
      <c r="L450" s="532">
        <f>'[1]2024_60-69 ΕΞΟΔΑ+ΟΜ 2'!L96</f>
        <v/>
      </c>
      <c r="M450" s="532">
        <f>'[1]2024_60-69 ΕΞΟΔΑ+ΟΜ 2'!M96</f>
        <v/>
      </c>
      <c r="N450" s="532">
        <f>'[1]2024_60-69 ΕΞΟΔΑ+ΟΜ 2'!N96</f>
        <v/>
      </c>
      <c r="O450" s="532">
        <f>'[1]2024_60-69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'[1]2026_60-69 ΕΞΟΔΑ+ΟΜ 2'!D101</f>
        <v/>
      </c>
      <c r="E452" s="532">
        <f>'[1]2026_60-69 ΕΞΟΔΑ+ΟΜ 2'!E101</f>
        <v/>
      </c>
      <c r="F452" s="532">
        <f>'[1]2026_60-69 ΕΞΟΔΑ+ΟΜ 2'!F101</f>
        <v/>
      </c>
      <c r="G452" s="532">
        <f>'[1]2026_60-69 ΕΞΟΔΑ+ΟΜ 2'!G101</f>
        <v/>
      </c>
      <c r="H452" s="532">
        <f>'[1]2026_60-69 ΕΞΟΔΑ+ΟΜ 2'!H101</f>
        <v/>
      </c>
      <c r="I452" s="532">
        <f>'[1]2026_60-69 ΕΞΟΔΑ+ΟΜ 2'!I101</f>
        <v/>
      </c>
      <c r="J452" s="532">
        <f>'[1]2026_60-69 ΕΞΟΔΑ+ΟΜ 2'!J101</f>
        <v/>
      </c>
      <c r="K452" s="532">
        <f>'[1]2026_60-69 ΕΞΟΔΑ+ΟΜ 2'!K101</f>
        <v/>
      </c>
      <c r="L452" s="532">
        <f>'[1]2026_60-69 ΕΞΟΔΑ+ΟΜ 2'!L101</f>
        <v/>
      </c>
      <c r="M452" s="532">
        <f>'[1]2026_60-69 ΕΞΟΔΑ+ΟΜ 2'!M101</f>
        <v/>
      </c>
      <c r="N452" s="532">
        <f>'[1]2026_60-69 ΕΞΟΔΑ+ΟΜ 2'!N101</f>
        <v/>
      </c>
      <c r="O452" s="532">
        <f>'[1]2026_60-69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'[1]2024_60-69 ΕΞΟΔΑ+ΟΜ 2'!D97</f>
        <v/>
      </c>
      <c r="E455" s="532">
        <f>'[1]2024_60-69 ΕΞΟΔΑ+ΟΜ 2'!E97</f>
        <v/>
      </c>
      <c r="F455" s="532">
        <f>'[1]2024_60-69 ΕΞΟΔΑ+ΟΜ 2'!F97</f>
        <v/>
      </c>
      <c r="G455" s="532">
        <f>'[1]2024_60-69 ΕΞΟΔΑ+ΟΜ 2'!G97</f>
        <v/>
      </c>
      <c r="H455" s="532">
        <f>'[1]2024_60-69 ΕΞΟΔΑ+ΟΜ 2'!H97</f>
        <v/>
      </c>
      <c r="I455" s="532">
        <f>'[1]2024_60-69 ΕΞΟΔΑ+ΟΜ 2'!I97</f>
        <v/>
      </c>
      <c r="J455" s="532">
        <f>'[1]2024_60-69 ΕΞΟΔΑ+ΟΜ 2'!J97</f>
        <v/>
      </c>
      <c r="K455" s="532">
        <f>'[1]2024_60-69 ΕΞΟΔΑ+ΟΜ 2'!K97</f>
        <v/>
      </c>
      <c r="L455" s="532">
        <f>'[1]2024_60-69 ΕΞΟΔΑ+ΟΜ 2'!L97</f>
        <v/>
      </c>
      <c r="M455" s="532">
        <f>'[1]2024_60-69 ΕΞΟΔΑ+ΟΜ 2'!M97</f>
        <v/>
      </c>
      <c r="N455" s="532">
        <f>'[1]2024_60-69 ΕΞΟΔΑ+ΟΜ 2'!N97</f>
        <v/>
      </c>
      <c r="O455" s="532">
        <f>'[1]2024_60-69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'[1]2026_60-69 ΕΞΟΔΑ+ΟΜ 2'!D102</f>
        <v/>
      </c>
      <c r="E457" s="532">
        <f>'[1]2026_60-69 ΕΞΟΔΑ+ΟΜ 2'!E102</f>
        <v/>
      </c>
      <c r="F457" s="532">
        <f>'[1]2026_60-69 ΕΞΟΔΑ+ΟΜ 2'!F102</f>
        <v/>
      </c>
      <c r="G457" s="532">
        <f>'[1]2026_60-69 ΕΞΟΔΑ+ΟΜ 2'!G102</f>
        <v/>
      </c>
      <c r="H457" s="532">
        <f>'[1]2026_60-69 ΕΞΟΔΑ+ΟΜ 2'!H102</f>
        <v/>
      </c>
      <c r="I457" s="532">
        <f>'[1]2026_60-69 ΕΞΟΔΑ+ΟΜ 2'!I102</f>
        <v/>
      </c>
      <c r="J457" s="532">
        <f>'[1]2026_60-69 ΕΞΟΔΑ+ΟΜ 2'!J102</f>
        <v/>
      </c>
      <c r="K457" s="532">
        <f>'[1]2026_60-69 ΕΞΟΔΑ+ΟΜ 2'!K102</f>
        <v/>
      </c>
      <c r="L457" s="532">
        <f>'[1]2026_60-69 ΕΞΟΔΑ+ΟΜ 2'!L102</f>
        <v/>
      </c>
      <c r="M457" s="532">
        <f>'[1]2026_60-69 ΕΞΟΔΑ+ΟΜ 2'!M102</f>
        <v/>
      </c>
      <c r="N457" s="532">
        <f>'[1]2026_60-69 ΕΞΟΔΑ+ΟΜ 2'!N102</f>
        <v/>
      </c>
      <c r="O457" s="532">
        <f>'[1]2026_60-69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'[1]2024_60-69 ΕΞΟΔΑ+ΟΜ 2'!D98</f>
        <v/>
      </c>
      <c r="E460" s="532">
        <f>'[1]2024_60-69 ΕΞΟΔΑ+ΟΜ 2'!E98</f>
        <v/>
      </c>
      <c r="F460" s="532">
        <f>'[1]2024_60-69 ΕΞΟΔΑ+ΟΜ 2'!F98</f>
        <v/>
      </c>
      <c r="G460" s="532">
        <f>'[1]2024_60-69 ΕΞΟΔΑ+ΟΜ 2'!G98</f>
        <v/>
      </c>
      <c r="H460" s="532">
        <f>'[1]2024_60-69 ΕΞΟΔΑ+ΟΜ 2'!H98</f>
        <v/>
      </c>
      <c r="I460" s="532">
        <f>'[1]2024_60-69 ΕΞΟΔΑ+ΟΜ 2'!I98</f>
        <v/>
      </c>
      <c r="J460" s="532">
        <f>'[1]2024_60-69 ΕΞΟΔΑ+ΟΜ 2'!J98</f>
        <v/>
      </c>
      <c r="K460" s="532">
        <f>'[1]2024_60-69 ΕΞΟΔΑ+ΟΜ 2'!K98</f>
        <v/>
      </c>
      <c r="L460" s="532">
        <f>'[1]2024_60-69 ΕΞΟΔΑ+ΟΜ 2'!L98</f>
        <v/>
      </c>
      <c r="M460" s="532">
        <f>'[1]2024_60-69 ΕΞΟΔΑ+ΟΜ 2'!M98</f>
        <v/>
      </c>
      <c r="N460" s="532">
        <f>'[1]2024_60-69 ΕΞΟΔΑ+ΟΜ 2'!N98</f>
        <v/>
      </c>
      <c r="O460" s="532">
        <f>'[1]2024_60-69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'[1]2026_60-69 ΕΞΟΔΑ+ΟΜ 2'!D103</f>
        <v/>
      </c>
      <c r="E462" s="532">
        <f>'[1]2026_60-69 ΕΞΟΔΑ+ΟΜ 2'!E103</f>
        <v/>
      </c>
      <c r="F462" s="532">
        <f>'[1]2026_60-69 ΕΞΟΔΑ+ΟΜ 2'!F103</f>
        <v/>
      </c>
      <c r="G462" s="532">
        <f>'[1]2026_60-69 ΕΞΟΔΑ+ΟΜ 2'!G103</f>
        <v/>
      </c>
      <c r="H462" s="532">
        <f>'[1]2026_60-69 ΕΞΟΔΑ+ΟΜ 2'!H103</f>
        <v/>
      </c>
      <c r="I462" s="532">
        <f>'[1]2026_60-69 ΕΞΟΔΑ+ΟΜ 2'!I103</f>
        <v/>
      </c>
      <c r="J462" s="532">
        <f>'[1]2026_60-69 ΕΞΟΔΑ+ΟΜ 2'!J103</f>
        <v/>
      </c>
      <c r="K462" s="532">
        <f>'[1]2026_60-69 ΕΞΟΔΑ+ΟΜ 2'!K103</f>
        <v/>
      </c>
      <c r="L462" s="532">
        <f>'[1]2026_60-69 ΕΞΟΔΑ+ΟΜ 2'!L103</f>
        <v/>
      </c>
      <c r="M462" s="532">
        <f>'[1]2026_60-69 ΕΞΟΔΑ+ΟΜ 2'!M103</f>
        <v/>
      </c>
      <c r="N462" s="532">
        <f>'[1]2026_60-69 ΕΞΟΔΑ+ΟΜ 2'!N103</f>
        <v/>
      </c>
      <c r="O462" s="532">
        <f>'[1]2026_60-69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'[1]2024_60-69 ΕΞΟΔΑ+ΟΜ 2'!D99</f>
        <v/>
      </c>
      <c r="E465" s="532">
        <f>'[1]2024_60-69 ΕΞΟΔΑ+ΟΜ 2'!E99</f>
        <v/>
      </c>
      <c r="F465" s="532">
        <f>'[1]2024_60-69 ΕΞΟΔΑ+ΟΜ 2'!F99</f>
        <v/>
      </c>
      <c r="G465" s="532">
        <f>'[1]2024_60-69 ΕΞΟΔΑ+ΟΜ 2'!G99</f>
        <v/>
      </c>
      <c r="H465" s="532">
        <f>'[1]2024_60-69 ΕΞΟΔΑ+ΟΜ 2'!H99</f>
        <v/>
      </c>
      <c r="I465" s="532">
        <f>'[1]2024_60-69 ΕΞΟΔΑ+ΟΜ 2'!I99</f>
        <v/>
      </c>
      <c r="J465" s="532">
        <f>'[1]2024_60-69 ΕΞΟΔΑ+ΟΜ 2'!J99</f>
        <v/>
      </c>
      <c r="K465" s="532">
        <f>'[1]2024_60-69 ΕΞΟΔΑ+ΟΜ 2'!K99</f>
        <v/>
      </c>
      <c r="L465" s="532">
        <f>'[1]2024_60-69 ΕΞΟΔΑ+ΟΜ 2'!L99</f>
        <v/>
      </c>
      <c r="M465" s="532">
        <f>'[1]2024_60-69 ΕΞΟΔΑ+ΟΜ 2'!M99</f>
        <v/>
      </c>
      <c r="N465" s="532">
        <f>'[1]2024_60-69 ΕΞΟΔΑ+ΟΜ 2'!N99</f>
        <v/>
      </c>
      <c r="O465" s="532">
        <f>'[1]2024_60-69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'[1]2026_60-69 ΕΞΟΔΑ+ΟΜ 2'!D104</f>
        <v/>
      </c>
      <c r="E467" s="532">
        <f>'[1]2026_60-69 ΕΞΟΔΑ+ΟΜ 2'!E104</f>
        <v/>
      </c>
      <c r="F467" s="532">
        <f>'[1]2026_60-69 ΕΞΟΔΑ+ΟΜ 2'!F104</f>
        <v/>
      </c>
      <c r="G467" s="532">
        <f>'[1]2026_60-69 ΕΞΟΔΑ+ΟΜ 2'!G104</f>
        <v/>
      </c>
      <c r="H467" s="532">
        <f>'[1]2026_60-69 ΕΞΟΔΑ+ΟΜ 2'!H104</f>
        <v/>
      </c>
      <c r="I467" s="532">
        <f>'[1]2026_60-69 ΕΞΟΔΑ+ΟΜ 2'!I104</f>
        <v/>
      </c>
      <c r="J467" s="532">
        <f>'[1]2026_60-69 ΕΞΟΔΑ+ΟΜ 2'!J104</f>
        <v/>
      </c>
      <c r="K467" s="532">
        <f>'[1]2026_60-69 ΕΞΟΔΑ+ΟΜ 2'!K104</f>
        <v/>
      </c>
      <c r="L467" s="532">
        <f>'[1]2026_60-69 ΕΞΟΔΑ+ΟΜ 2'!L104</f>
        <v/>
      </c>
      <c r="M467" s="532">
        <f>'[1]2026_60-69 ΕΞΟΔΑ+ΟΜ 2'!M104</f>
        <v/>
      </c>
      <c r="N467" s="532">
        <f>'[1]2026_60-69 ΕΞΟΔΑ+ΟΜ 2'!N104</f>
        <v/>
      </c>
      <c r="O467" s="532">
        <f>'[1]2026_60-69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'[1]2024_60-69 ΕΞΟΔΑ+ΟΜ 2'!D100</f>
        <v/>
      </c>
      <c r="E470" s="532">
        <f>'[1]2024_60-69 ΕΞΟΔΑ+ΟΜ 2'!E100</f>
        <v/>
      </c>
      <c r="F470" s="532">
        <f>'[1]2024_60-69 ΕΞΟΔΑ+ΟΜ 2'!F100</f>
        <v/>
      </c>
      <c r="G470" s="532">
        <f>'[1]2024_60-69 ΕΞΟΔΑ+ΟΜ 2'!G100</f>
        <v/>
      </c>
      <c r="H470" s="532">
        <f>'[1]2024_60-69 ΕΞΟΔΑ+ΟΜ 2'!H100</f>
        <v/>
      </c>
      <c r="I470" s="532">
        <f>'[1]2024_60-69 ΕΞΟΔΑ+ΟΜ 2'!I100</f>
        <v/>
      </c>
      <c r="J470" s="532">
        <f>'[1]2024_60-69 ΕΞΟΔΑ+ΟΜ 2'!J100</f>
        <v/>
      </c>
      <c r="K470" s="532">
        <f>'[1]2024_60-69 ΕΞΟΔΑ+ΟΜ 2'!K100</f>
        <v/>
      </c>
      <c r="L470" s="532">
        <f>'[1]2024_60-69 ΕΞΟΔΑ+ΟΜ 2'!L100</f>
        <v/>
      </c>
      <c r="M470" s="532">
        <f>'[1]2024_60-69 ΕΞΟΔΑ+ΟΜ 2'!M100</f>
        <v/>
      </c>
      <c r="N470" s="532">
        <f>'[1]2024_60-69 ΕΞΟΔΑ+ΟΜ 2'!N100</f>
        <v/>
      </c>
      <c r="O470" s="532">
        <f>'[1]2024_60-69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'[1]2026_60-69 ΕΞΟΔΑ+ΟΜ 2'!D105</f>
        <v/>
      </c>
      <c r="E472" s="532">
        <f>'[1]2026_60-69 ΕΞΟΔΑ+ΟΜ 2'!E105</f>
        <v/>
      </c>
      <c r="F472" s="532">
        <f>'[1]2026_60-69 ΕΞΟΔΑ+ΟΜ 2'!F105</f>
        <v/>
      </c>
      <c r="G472" s="532">
        <f>'[1]2026_60-69 ΕΞΟΔΑ+ΟΜ 2'!G105</f>
        <v/>
      </c>
      <c r="H472" s="532">
        <f>'[1]2026_60-69 ΕΞΟΔΑ+ΟΜ 2'!H105</f>
        <v/>
      </c>
      <c r="I472" s="532">
        <f>'[1]2026_60-69 ΕΞΟΔΑ+ΟΜ 2'!I105</f>
        <v/>
      </c>
      <c r="J472" s="532">
        <f>'[1]2026_60-69 ΕΞΟΔΑ+ΟΜ 2'!J105</f>
        <v/>
      </c>
      <c r="K472" s="532">
        <f>'[1]2026_60-69 ΕΞΟΔΑ+ΟΜ 2'!K105</f>
        <v/>
      </c>
      <c r="L472" s="532">
        <f>'[1]2026_60-69 ΕΞΟΔΑ+ΟΜ 2'!L105</f>
        <v/>
      </c>
      <c r="M472" s="532">
        <f>'[1]2026_60-69 ΕΞΟΔΑ+ΟΜ 2'!M105</f>
        <v/>
      </c>
      <c r="N472" s="532">
        <f>'[1]2026_60-69 ΕΞΟΔΑ+ΟΜ 2'!N105</f>
        <v/>
      </c>
      <c r="O472" s="532">
        <f>'[1]2026_60-69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'[1]2024_60-69 ΕΞΟΔΑ+ΟΜ 2'!D101</f>
        <v/>
      </c>
      <c r="E475" s="532">
        <f>'[1]2024_60-69 ΕΞΟΔΑ+ΟΜ 2'!E101</f>
        <v/>
      </c>
      <c r="F475" s="532">
        <f>'[1]2024_60-69 ΕΞΟΔΑ+ΟΜ 2'!F101</f>
        <v/>
      </c>
      <c r="G475" s="532">
        <f>'[1]2024_60-69 ΕΞΟΔΑ+ΟΜ 2'!G101</f>
        <v/>
      </c>
      <c r="H475" s="532">
        <f>'[1]2024_60-69 ΕΞΟΔΑ+ΟΜ 2'!H101</f>
        <v/>
      </c>
      <c r="I475" s="532">
        <f>'[1]2024_60-69 ΕΞΟΔΑ+ΟΜ 2'!I101</f>
        <v/>
      </c>
      <c r="J475" s="532">
        <f>'[1]2024_60-69 ΕΞΟΔΑ+ΟΜ 2'!J101</f>
        <v/>
      </c>
      <c r="K475" s="532">
        <f>'[1]2024_60-69 ΕΞΟΔΑ+ΟΜ 2'!K101</f>
        <v/>
      </c>
      <c r="L475" s="532">
        <f>'[1]2024_60-69 ΕΞΟΔΑ+ΟΜ 2'!L101</f>
        <v/>
      </c>
      <c r="M475" s="532">
        <f>'[1]2024_60-69 ΕΞΟΔΑ+ΟΜ 2'!M101</f>
        <v/>
      </c>
      <c r="N475" s="532">
        <f>'[1]2024_60-69 ΕΞΟΔΑ+ΟΜ 2'!N101</f>
        <v/>
      </c>
      <c r="O475" s="532">
        <f>'[1]2024_60-69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'[1]2026_60-69 ΕΞΟΔΑ+ΟΜ 2'!D106</f>
        <v/>
      </c>
      <c r="E477" s="532">
        <f>'[1]2026_60-69 ΕΞΟΔΑ+ΟΜ 2'!E106</f>
        <v/>
      </c>
      <c r="F477" s="532">
        <f>'[1]2026_60-69 ΕΞΟΔΑ+ΟΜ 2'!F106</f>
        <v/>
      </c>
      <c r="G477" s="532">
        <f>'[1]2026_60-69 ΕΞΟΔΑ+ΟΜ 2'!G106</f>
        <v/>
      </c>
      <c r="H477" s="532">
        <f>'[1]2026_60-69 ΕΞΟΔΑ+ΟΜ 2'!H106</f>
        <v/>
      </c>
      <c r="I477" s="532">
        <f>'[1]2026_60-69 ΕΞΟΔΑ+ΟΜ 2'!I106</f>
        <v/>
      </c>
      <c r="J477" s="532">
        <f>'[1]2026_60-69 ΕΞΟΔΑ+ΟΜ 2'!J106</f>
        <v/>
      </c>
      <c r="K477" s="532">
        <f>'[1]2026_60-69 ΕΞΟΔΑ+ΟΜ 2'!K106</f>
        <v/>
      </c>
      <c r="L477" s="532">
        <f>'[1]2026_60-69 ΕΞΟΔΑ+ΟΜ 2'!L106</f>
        <v/>
      </c>
      <c r="M477" s="532">
        <f>'[1]2026_60-69 ΕΞΟΔΑ+ΟΜ 2'!M106</f>
        <v/>
      </c>
      <c r="N477" s="532">
        <f>'[1]2026_60-69 ΕΞΟΔΑ+ΟΜ 2'!N106</f>
        <v/>
      </c>
      <c r="O477" s="532">
        <f>'[1]2026_60-69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'[1]2024_60-69 ΕΞΟΔΑ+ΟΜ 2'!D102</f>
        <v/>
      </c>
      <c r="E480" s="532">
        <f>'[1]2024_60-69 ΕΞΟΔΑ+ΟΜ 2'!E102</f>
        <v/>
      </c>
      <c r="F480" s="532">
        <f>'[1]2024_60-69 ΕΞΟΔΑ+ΟΜ 2'!F102</f>
        <v/>
      </c>
      <c r="G480" s="532">
        <f>'[1]2024_60-69 ΕΞΟΔΑ+ΟΜ 2'!G102</f>
        <v/>
      </c>
      <c r="H480" s="532">
        <f>'[1]2024_60-69 ΕΞΟΔΑ+ΟΜ 2'!H102</f>
        <v/>
      </c>
      <c r="I480" s="532">
        <f>'[1]2024_60-69 ΕΞΟΔΑ+ΟΜ 2'!I102</f>
        <v/>
      </c>
      <c r="J480" s="532">
        <f>'[1]2024_60-69 ΕΞΟΔΑ+ΟΜ 2'!J102</f>
        <v/>
      </c>
      <c r="K480" s="532">
        <f>'[1]2024_60-69 ΕΞΟΔΑ+ΟΜ 2'!K102</f>
        <v/>
      </c>
      <c r="L480" s="532">
        <f>'[1]2024_60-69 ΕΞΟΔΑ+ΟΜ 2'!L102</f>
        <v/>
      </c>
      <c r="M480" s="532">
        <f>'[1]2024_60-69 ΕΞΟΔΑ+ΟΜ 2'!M102</f>
        <v/>
      </c>
      <c r="N480" s="532">
        <f>'[1]2024_60-69 ΕΞΟΔΑ+ΟΜ 2'!N102</f>
        <v/>
      </c>
      <c r="O480" s="532">
        <f>'[1]2024_60-69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'[1]2026_60-69 ΕΞΟΔΑ+ΟΜ 2'!D107</f>
        <v/>
      </c>
      <c r="E482" s="532">
        <f>'[1]2026_60-69 ΕΞΟΔΑ+ΟΜ 2'!E107</f>
        <v/>
      </c>
      <c r="F482" s="532">
        <f>'[1]2026_60-69 ΕΞΟΔΑ+ΟΜ 2'!F107</f>
        <v/>
      </c>
      <c r="G482" s="532">
        <f>'[1]2026_60-69 ΕΞΟΔΑ+ΟΜ 2'!G107</f>
        <v/>
      </c>
      <c r="H482" s="532">
        <f>'[1]2026_60-69 ΕΞΟΔΑ+ΟΜ 2'!H107</f>
        <v/>
      </c>
      <c r="I482" s="532">
        <f>'[1]2026_60-69 ΕΞΟΔΑ+ΟΜ 2'!I107</f>
        <v/>
      </c>
      <c r="J482" s="532">
        <f>'[1]2026_60-69 ΕΞΟΔΑ+ΟΜ 2'!J107</f>
        <v/>
      </c>
      <c r="K482" s="532">
        <f>'[1]2026_60-69 ΕΞΟΔΑ+ΟΜ 2'!K107</f>
        <v/>
      </c>
      <c r="L482" s="532">
        <f>'[1]2026_60-69 ΕΞΟΔΑ+ΟΜ 2'!L107</f>
        <v/>
      </c>
      <c r="M482" s="532">
        <f>'[1]2026_60-69 ΕΞΟΔΑ+ΟΜ 2'!M107</f>
        <v/>
      </c>
      <c r="N482" s="532">
        <f>'[1]2026_60-69 ΕΞΟΔΑ+ΟΜ 2'!N107</f>
        <v/>
      </c>
      <c r="O482" s="532">
        <f>'[1]2026_60-69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B26" sqref="B26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topLeftCell="A97" zoomScale="70" zoomScaleNormal="70" workbookViewId="0">
      <selection activeCell="C108" sqref="C108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44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44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98" t="n">
        <v>37</v>
      </c>
      <c r="B7" s="199" t="n">
        <v>1</v>
      </c>
      <c r="C7" s="113" t="inlineStr">
        <is>
          <t>Μικτές Αποδοχές Developent Department (A.K.Ddep)</t>
        </is>
      </c>
      <c r="D7" s="192" t="n">
        <v>1656.34</v>
      </c>
      <c r="E7" s="192" t="n">
        <v>1739.37</v>
      </c>
      <c r="F7" s="192" t="n">
        <v>1747.2</v>
      </c>
      <c r="G7" s="192" t="n">
        <v>2675.96</v>
      </c>
      <c r="H7" s="192" t="n">
        <v>1632.17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9451.040000000001</v>
      </c>
    </row>
    <row r="8" ht="24.95" customHeight="1">
      <c r="A8" s="182" t="n">
        <v>38</v>
      </c>
      <c r="B8" s="182" t="n">
        <v>2</v>
      </c>
      <c r="C8" s="109" t="inlineStr">
        <is>
          <t>Μικτές Αποδοχές Reservation department (Α.Κ.RDep )</t>
        </is>
      </c>
      <c r="D8" s="192" t="n">
        <v>1671.24</v>
      </c>
      <c r="E8" s="192" t="n">
        <v>1747.2</v>
      </c>
      <c r="F8" s="192" t="n">
        <v>1785.18</v>
      </c>
      <c r="G8" s="192" t="n">
        <v>2645.07</v>
      </c>
      <c r="H8" s="192" t="n">
        <v>2304.38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10153.07</v>
      </c>
    </row>
    <row r="9" ht="24.95" customHeight="1">
      <c r="A9" s="182" t="n">
        <v>7</v>
      </c>
      <c r="B9" s="182" t="n">
        <v>4</v>
      </c>
      <c r="C9" s="115" t="inlineStr">
        <is>
          <t>Ασφαλιστικές εισφορές (Α.Κ.HOUSE KEEPING)</t>
        </is>
      </c>
      <c r="D9" s="192" t="n">
        <v>484.84</v>
      </c>
      <c r="E9" s="192" t="n">
        <v>439.85</v>
      </c>
      <c r="F9" s="192" t="n">
        <v>741.13</v>
      </c>
      <c r="G9" s="192" t="n">
        <v>1209.9</v>
      </c>
      <c r="H9" s="192" t="n">
        <v>797.23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3672.95</v>
      </c>
    </row>
    <row r="10" ht="24.95" customHeight="1">
      <c r="A10" s="182" t="n">
        <v>8</v>
      </c>
      <c r="B10" s="182" t="n">
        <v>5</v>
      </c>
      <c r="C10" s="115" t="inlineStr">
        <is>
          <t>Ασφαλιστικές εισφορές (Α.Κ. OPERATION DEP )</t>
        </is>
      </c>
      <c r="D10" s="192" t="n">
        <v>513.09</v>
      </c>
      <c r="E10" s="192" t="n">
        <v>734.1700000000001</v>
      </c>
      <c r="F10" s="192" t="n">
        <v>916.37</v>
      </c>
      <c r="G10" s="192" t="n">
        <v>1345.7</v>
      </c>
      <c r="H10" s="192" t="n">
        <v>999.1899999999999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4508.52</v>
      </c>
    </row>
    <row r="11" ht="24.95" customHeight="1">
      <c r="A11" s="182" t="n">
        <v>9</v>
      </c>
      <c r="B11" s="182" t="n">
        <v>6</v>
      </c>
      <c r="C11" s="115" t="inlineStr">
        <is>
          <t>Ασφαλιστικές εισφορές (Α.Κ. MAINTENANCE DEP )</t>
        </is>
      </c>
      <c r="D11" s="192" t="n">
        <v>382.68</v>
      </c>
      <c r="E11" s="192" t="n">
        <v>490.41</v>
      </c>
      <c r="F11" s="192" t="n">
        <v>627.1800000000001</v>
      </c>
      <c r="G11" s="192" t="n">
        <v>921.08</v>
      </c>
      <c r="H11" s="192" t="n">
        <v>611.53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3032.88</v>
      </c>
      <c r="Q11" s="28" t="n"/>
    </row>
    <row r="12" ht="31.5" customHeight="1">
      <c r="A12" s="198" t="n">
        <v>41</v>
      </c>
      <c r="B12" s="199" t="n">
        <v>5</v>
      </c>
      <c r="C12" s="544" t="inlineStr">
        <is>
          <t>Ασφαλιστικές εισφορές (Α.Κ.DDep)</t>
        </is>
      </c>
      <c r="D12" s="192" t="n">
        <v>339.13</v>
      </c>
      <c r="E12" s="192" t="n">
        <v>357.22</v>
      </c>
      <c r="F12" s="192" t="n">
        <v>358.92</v>
      </c>
      <c r="G12" s="192" t="n">
        <v>523.53</v>
      </c>
      <c r="H12" s="192" t="n">
        <v>334.43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1913.23</v>
      </c>
      <c r="Q12" s="28" t="n"/>
    </row>
    <row r="13" ht="31.5" customHeight="1">
      <c r="A13" s="182" t="n">
        <v>42</v>
      </c>
      <c r="B13" s="182" t="n">
        <v>6</v>
      </c>
      <c r="C13" s="545" t="inlineStr">
        <is>
          <t>Ασφαλιστικές εισφορές (Α.Κ.RDep)</t>
        </is>
      </c>
      <c r="D13" s="192" t="n">
        <v>342.37</v>
      </c>
      <c r="E13" s="192" t="n">
        <v>358.92</v>
      </c>
      <c r="F13" s="192" t="n">
        <v>367.2</v>
      </c>
      <c r="G13" s="192" t="n">
        <v>530.74</v>
      </c>
      <c r="H13" s="192" t="n">
        <v>481.17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2080.4</v>
      </c>
      <c r="Q13" s="28" t="n"/>
    </row>
    <row r="14" ht="24.95" customHeight="1">
      <c r="A14" s="182" t="n">
        <v>10</v>
      </c>
      <c r="B14" s="182" t="n">
        <v>7</v>
      </c>
      <c r="C14" s="113" t="inlineStr">
        <is>
          <t xml:space="preserve">Ενοίκια </t>
        </is>
      </c>
      <c r="D14" s="192" t="n">
        <v>9138.619999999999</v>
      </c>
      <c r="E14" s="192" t="n">
        <v>9138.619999999999</v>
      </c>
      <c r="F14" s="192" t="n">
        <v>9157.519999999999</v>
      </c>
      <c r="G14" s="192" t="n">
        <v>9916.120000000001</v>
      </c>
      <c r="H14" s="192" t="n">
        <v>9916.120000000001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47267</v>
      </c>
    </row>
    <row r="15" ht="24.95" customHeight="1">
      <c r="A15" s="182" t="n">
        <v>11</v>
      </c>
      <c r="B15" s="182" t="n">
        <v>8</v>
      </c>
      <c r="C15" s="113" t="inlineStr">
        <is>
          <t xml:space="preserve">Διαφορά Ενοικίου </t>
        </is>
      </c>
      <c r="D15" s="192" t="n">
        <v>0</v>
      </c>
      <c r="E15" s="192" t="n">
        <v>0</v>
      </c>
      <c r="F15" s="192" t="n">
        <v>0</v>
      </c>
      <c r="G15" s="192" t="n">
        <v>0</v>
      </c>
      <c r="H15" s="192" t="n">
        <v>0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0</v>
      </c>
    </row>
    <row r="16" ht="24.95" customHeight="1">
      <c r="A16" s="182" t="n">
        <v>12</v>
      </c>
      <c r="B16" s="182" t="n">
        <v>9</v>
      </c>
      <c r="C16" s="113" t="inlineStr">
        <is>
          <t xml:space="preserve">Χαρτόσημο ενοικίων </t>
        </is>
      </c>
      <c r="D16" s="192" t="n">
        <v>321.41</v>
      </c>
      <c r="E16" s="192" t="n">
        <v>321.41</v>
      </c>
      <c r="F16" s="192" t="n">
        <v>321.41</v>
      </c>
      <c r="G16" s="192" t="n">
        <v>350.21</v>
      </c>
      <c r="H16" s="192" t="n">
        <v>350.21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1664.65</v>
      </c>
    </row>
    <row r="17" ht="24.95" customHeight="1">
      <c r="A17" s="182" t="n">
        <v>13</v>
      </c>
      <c r="B17" s="182" t="n">
        <v>10</v>
      </c>
      <c r="C17" s="113" t="inlineStr">
        <is>
          <t xml:space="preserve">Κοινόχρηστες Δαπάνες </t>
        </is>
      </c>
      <c r="D17" s="192" t="n">
        <v>321.46</v>
      </c>
      <c r="E17" s="192" t="n">
        <v>433.18</v>
      </c>
      <c r="F17" s="192" t="n">
        <v>970.4200000000001</v>
      </c>
      <c r="G17" s="192" t="n">
        <v>506.0400000000001</v>
      </c>
      <c r="H17" s="192" t="n">
        <v>196.4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2427.5</v>
      </c>
    </row>
    <row r="18" ht="24.95" customHeight="1">
      <c r="A18" s="182" t="n">
        <v>14</v>
      </c>
      <c r="B18" s="182" t="n">
        <v>11</v>
      </c>
      <c r="C18" s="113" t="inlineStr">
        <is>
          <t xml:space="preserve">Ενέργεια </t>
        </is>
      </c>
      <c r="D18" s="192" t="n">
        <v>215.2</v>
      </c>
      <c r="E18" s="192" t="n">
        <v>738.5200000000001</v>
      </c>
      <c r="F18" s="192" t="n">
        <v>1191.53</v>
      </c>
      <c r="G18" s="192" t="n">
        <v>458.47</v>
      </c>
      <c r="H18" s="192" t="n">
        <v>779.78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3383.5</v>
      </c>
    </row>
    <row r="19" ht="24.95" customHeight="1">
      <c r="A19" s="182" t="n">
        <v>15</v>
      </c>
      <c r="B19" s="182" t="n">
        <v>12</v>
      </c>
      <c r="C19" s="113" t="inlineStr">
        <is>
          <t>Φυσικό αέριο</t>
        </is>
      </c>
      <c r="D19" s="192" t="n">
        <v>0</v>
      </c>
      <c r="E19" s="192" t="n">
        <v>66.64</v>
      </c>
      <c r="F19" s="192" t="n">
        <v>656.0500000000001</v>
      </c>
      <c r="G19" s="192" t="n">
        <v>0</v>
      </c>
      <c r="H19" s="192" t="n">
        <v>356.39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1079.08</v>
      </c>
    </row>
    <row r="20" ht="24.95" customHeight="1">
      <c r="A20" s="182" t="n">
        <v>16</v>
      </c>
      <c r="B20" s="182" t="n">
        <v>13</v>
      </c>
      <c r="C20" s="113" t="inlineStr">
        <is>
          <t xml:space="preserve">Τηλεπικοινωνίες (Τηλεφωνία &amp; Διαδίκτυο) </t>
        </is>
      </c>
      <c r="D20" s="192" t="n">
        <v>122.32</v>
      </c>
      <c r="E20" s="192" t="n">
        <v>426.33</v>
      </c>
      <c r="F20" s="192" t="n">
        <v>348.42</v>
      </c>
      <c r="G20" s="192" t="n">
        <v>407.89</v>
      </c>
      <c r="H20" s="192" t="n">
        <v>373.33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1678.29</v>
      </c>
    </row>
    <row r="21" ht="24.95" customHeight="1">
      <c r="A21" s="182" t="n">
        <v>17</v>
      </c>
      <c r="B21" s="182" t="n">
        <v>14</v>
      </c>
      <c r="C21" s="113" t="inlineStr">
        <is>
          <t xml:space="preserve">Ύδρευση </t>
        </is>
      </c>
      <c r="D21" s="192" t="n">
        <v>1.57</v>
      </c>
      <c r="E21" s="192" t="n">
        <v>74.06999999999999</v>
      </c>
      <c r="F21" s="192" t="n">
        <v>8.93</v>
      </c>
      <c r="G21" s="192" t="n">
        <v>43.87</v>
      </c>
      <c r="H21" s="192" t="n">
        <v>158.62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287.06</v>
      </c>
    </row>
    <row r="22" ht="24.95" customHeight="1">
      <c r="A22" s="182" t="n">
        <v>18</v>
      </c>
      <c r="B22" s="182" t="n">
        <v>15</v>
      </c>
      <c r="C22" s="113" t="inlineStr">
        <is>
          <t xml:space="preserve">Ασφάλιστρα </t>
        </is>
      </c>
      <c r="D22" s="192" t="n">
        <v>3780.7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3780.7</v>
      </c>
    </row>
    <row r="23" ht="24.95" customHeight="1">
      <c r="A23" s="182" t="n">
        <v>19</v>
      </c>
      <c r="B23" s="182" t="n">
        <v>16</v>
      </c>
      <c r="C23" s="113" t="inlineStr">
        <is>
          <t xml:space="preserve">Αναλώσιμα τρόφιμα  </t>
        </is>
      </c>
      <c r="D23" s="192" t="n">
        <v>35.32</v>
      </c>
      <c r="E23" s="192" t="n">
        <v>67.36</v>
      </c>
      <c r="F23" s="192" t="n">
        <v>126.37</v>
      </c>
      <c r="G23" s="192" t="n">
        <v>55.66</v>
      </c>
      <c r="H23" s="192" t="n">
        <v>78.54000000000001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363.2500000000001</v>
      </c>
    </row>
    <row r="24" ht="24.95" customHeight="1">
      <c r="A24" s="182" t="n">
        <v>20</v>
      </c>
      <c r="B24" s="182" t="n">
        <v>17</v>
      </c>
      <c r="C24" s="113" t="inlineStr">
        <is>
          <t xml:space="preserve">Εντυπα και γραφική ύλη </t>
        </is>
      </c>
      <c r="D24" s="192" t="n">
        <v>0</v>
      </c>
      <c r="E24" s="192" t="n">
        <v>0</v>
      </c>
      <c r="F24" s="192" t="n">
        <v>0</v>
      </c>
      <c r="G24" s="192" t="n">
        <v>0</v>
      </c>
      <c r="H24" s="192" t="n">
        <v>0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0</v>
      </c>
    </row>
    <row r="25" ht="24.95" customHeight="1">
      <c r="A25" s="182" t="n">
        <v>21</v>
      </c>
      <c r="B25" s="182" t="n">
        <v>18</v>
      </c>
      <c r="C25" s="113" t="inlineStr">
        <is>
          <t xml:space="preserve">Υλικά Καθαριότητας </t>
        </is>
      </c>
      <c r="D25" s="192" t="n">
        <v>0</v>
      </c>
      <c r="E25" s="192" t="n">
        <v>0</v>
      </c>
      <c r="F25" s="192" t="n">
        <v>0</v>
      </c>
      <c r="G25" s="192" t="n">
        <v>0</v>
      </c>
      <c r="H25" s="192" t="n">
        <v>0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0</v>
      </c>
    </row>
    <row r="26" ht="24.95" customHeight="1">
      <c r="A26" s="182" t="n">
        <v>22</v>
      </c>
      <c r="B26" s="182" t="n">
        <v>19</v>
      </c>
      <c r="C26" s="116" t="inlineStr">
        <is>
          <t>Υλικά Φαρμακείου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23</v>
      </c>
      <c r="B27" s="182" t="n">
        <v>20</v>
      </c>
      <c r="C27" s="183" t="inlineStr">
        <is>
          <t>Διάφορα αναλώσιμα</t>
        </is>
      </c>
      <c r="D27" s="192" t="n">
        <v>42.62</v>
      </c>
      <c r="E27" s="192" t="n">
        <v>50</v>
      </c>
      <c r="F27" s="192" t="n">
        <v>45.56</v>
      </c>
      <c r="G27" s="192" t="n">
        <v>49.57</v>
      </c>
      <c r="H27" s="192" t="n">
        <v>0.96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188.71</v>
      </c>
    </row>
    <row r="28" ht="37.5" customHeight="1">
      <c r="A28" s="182" t="n">
        <v>24</v>
      </c>
      <c r="B28" s="182" t="n">
        <v>21</v>
      </c>
      <c r="C28" s="184" t="inlineStr">
        <is>
          <t>Αμοιβές συνεργατών ( Μέσα ανεύρεσης Πελατείας Booking Airbnb κλπ)</t>
        </is>
      </c>
      <c r="D28" s="192" t="n">
        <v>14981.98</v>
      </c>
      <c r="E28" s="192" t="n">
        <v>4853.79</v>
      </c>
      <c r="F28" s="192" t="n">
        <v>5452.54</v>
      </c>
      <c r="G28" s="192" t="n">
        <v>4093.02</v>
      </c>
      <c r="H28" s="192" t="n">
        <v>6964.809999999999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36346.14</v>
      </c>
    </row>
    <row r="29" ht="37.5" customHeight="1">
      <c r="A29" s="182" t="n">
        <v>25</v>
      </c>
      <c r="B29" s="182" t="n">
        <v>22</v>
      </c>
      <c r="C29" s="184" t="inlineStr">
        <is>
          <t>Εξοδα για Αναψυχή Πελατών (Κρουαζιέρες Ποδήλατα - Μαθήματα)</t>
        </is>
      </c>
      <c r="D29" s="192" t="n">
        <v>0</v>
      </c>
      <c r="E29" s="192" t="n">
        <v>0</v>
      </c>
      <c r="F29" s="192" t="n">
        <v>768.5</v>
      </c>
      <c r="G29" s="192" t="n">
        <v>918.3199999999999</v>
      </c>
      <c r="H29" s="192" t="n">
        <v>1213.27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2900.09</v>
      </c>
    </row>
    <row r="30" ht="37.5" customHeight="1">
      <c r="A30" s="182" t="n">
        <v>26</v>
      </c>
      <c r="B30" s="182" t="n">
        <v>23</v>
      </c>
      <c r="C30" s="116" t="inlineStr">
        <is>
          <t>Εξοδα για Μεταφορά Πελατών</t>
        </is>
      </c>
      <c r="D30" s="192" t="n">
        <v>0</v>
      </c>
      <c r="E30" s="192" t="n">
        <v>0</v>
      </c>
      <c r="F30" s="192" t="n">
        <v>0</v>
      </c>
      <c r="G30" s="192" t="n">
        <v>0</v>
      </c>
      <c r="H30" s="192" t="n">
        <v>0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0</v>
      </c>
    </row>
    <row r="31" ht="24.95" customHeight="1">
      <c r="A31" s="182" t="n">
        <v>27</v>
      </c>
      <c r="B31" s="182" t="n">
        <v>24</v>
      </c>
      <c r="C31" s="184" t="inlineStr">
        <is>
          <t xml:space="preserve">Έξοδα για σύσταση πελατείας αποθήκευσης Αποσκευών ( Radical) </t>
        </is>
      </c>
      <c r="D31" s="192" t="n">
        <v>0</v>
      </c>
      <c r="E31" s="192" t="n">
        <v>0</v>
      </c>
      <c r="F31" s="192" t="n">
        <v>0</v>
      </c>
      <c r="G31" s="192" t="n">
        <v>141.5</v>
      </c>
      <c r="H31" s="192" t="n">
        <v>257.56</v>
      </c>
      <c r="I31" s="192" t="n">
        <v>0</v>
      </c>
      <c r="J31" s="192" t="n">
        <v>0</v>
      </c>
      <c r="K31" s="192" t="n">
        <v>0</v>
      </c>
      <c r="L31" s="192" t="n">
        <v>0</v>
      </c>
      <c r="M31" s="192" t="n">
        <v>0</v>
      </c>
      <c r="N31" s="192" t="n">
        <v>0</v>
      </c>
      <c r="O31" s="192" t="n">
        <v>0</v>
      </c>
      <c r="P31" s="193" t="n">
        <v>399.06</v>
      </c>
    </row>
    <row r="32" ht="49.5" customHeight="1">
      <c r="A32" s="182" t="n">
        <v>28</v>
      </c>
      <c r="B32" s="182" t="n">
        <v>25</v>
      </c>
      <c r="C32" s="184" t="inlineStr">
        <is>
          <t>Αμοιβές Τρίτων ( Καθαριστήριο και άλλα άμεσα έξοδα )</t>
        </is>
      </c>
      <c r="D32" s="192" t="n">
        <v>684.1</v>
      </c>
      <c r="E32" s="192" t="n">
        <v>577.27</v>
      </c>
      <c r="F32" s="192" t="n">
        <v>982.5700000000001</v>
      </c>
      <c r="G32" s="192" t="n">
        <v>1736.58</v>
      </c>
      <c r="H32" s="192" t="n">
        <v>2013.94</v>
      </c>
      <c r="I32" s="192" t="n">
        <v>0</v>
      </c>
      <c r="J32" s="192" t="n">
        <v>0</v>
      </c>
      <c r="K32" s="192" t="n">
        <v>0</v>
      </c>
      <c r="L32" s="192" t="n">
        <v>0</v>
      </c>
      <c r="M32" s="192" t="n">
        <v>0</v>
      </c>
      <c r="N32" s="192" t="n">
        <v>0</v>
      </c>
      <c r="O32" s="192" t="n">
        <v>0</v>
      </c>
      <c r="P32" s="193" t="n">
        <v>5994.46</v>
      </c>
    </row>
    <row r="33" ht="24.95" customHeight="1">
      <c r="A33" s="182" t="n">
        <v>29</v>
      </c>
      <c r="B33" s="182" t="n">
        <v>26</v>
      </c>
      <c r="C33" s="113" t="inlineStr">
        <is>
          <t>Επισκευές - Συντηρήσεις</t>
        </is>
      </c>
      <c r="D33" s="192" t="n">
        <v>0</v>
      </c>
      <c r="E33" s="192" t="n">
        <v>0</v>
      </c>
      <c r="F33" s="192" t="n">
        <v>0</v>
      </c>
      <c r="G33" s="192" t="n">
        <v>234.66</v>
      </c>
      <c r="H33" s="192" t="n">
        <v>1577.17</v>
      </c>
      <c r="I33" s="192" t="n">
        <v>0</v>
      </c>
      <c r="J33" s="192" t="n">
        <v>0</v>
      </c>
      <c r="K33" s="192" t="n">
        <v>0</v>
      </c>
      <c r="L33" s="192" t="n">
        <v>0</v>
      </c>
      <c r="M33" s="192" t="n">
        <v>0</v>
      </c>
      <c r="N33" s="192" t="n">
        <v>0</v>
      </c>
      <c r="O33" s="192" t="n">
        <v>0</v>
      </c>
      <c r="P33" s="193" t="n">
        <v>1811.83</v>
      </c>
    </row>
    <row r="34" ht="24.95" customHeight="1">
      <c r="A34" s="182" t="n">
        <v>30</v>
      </c>
      <c r="B34" s="182" t="n">
        <v>27</v>
      </c>
      <c r="C34" s="113" t="inlineStr">
        <is>
          <t>Φορος Παρεπιδημούντων</t>
        </is>
      </c>
      <c r="D34" s="192" t="n">
        <v>102.83</v>
      </c>
      <c r="E34" s="192" t="n">
        <v>102.63</v>
      </c>
      <c r="F34" s="192" t="n">
        <v>149.79</v>
      </c>
      <c r="G34" s="192" t="n">
        <v>412.28</v>
      </c>
      <c r="H34" s="192" t="n">
        <v>514.33</v>
      </c>
      <c r="I34" s="192" t="n">
        <v>0</v>
      </c>
      <c r="J34" s="192" t="n">
        <v>0</v>
      </c>
      <c r="K34" s="192" t="n">
        <v>0</v>
      </c>
      <c r="L34" s="192" t="n">
        <v>0</v>
      </c>
      <c r="M34" s="192" t="n">
        <v>0</v>
      </c>
      <c r="N34" s="192" t="n">
        <v>0</v>
      </c>
      <c r="O34" s="192" t="n">
        <v>0</v>
      </c>
      <c r="P34" s="193" t="n">
        <v>1281.86</v>
      </c>
    </row>
    <row r="35" ht="36.75" customHeight="1">
      <c r="A35" s="182" t="n">
        <v>31</v>
      </c>
      <c r="B35" s="182" t="n">
        <v>28</v>
      </c>
      <c r="C35" s="113" t="inlineStr">
        <is>
          <t>Αποσβέσεις ( Κτήρια - Μηχανήματα - Εξοπλισμός )</t>
        </is>
      </c>
      <c r="D35" s="194" t="n">
        <v>7839.976666666667</v>
      </c>
      <c r="E35" s="194" t="n">
        <v>7839.976666666667</v>
      </c>
      <c r="F35" s="194" t="n">
        <v>7839.976666666667</v>
      </c>
      <c r="G35" s="194" t="n">
        <v>7839.976666666667</v>
      </c>
      <c r="H35" s="194" t="n">
        <v>7839.976666666667</v>
      </c>
      <c r="I35" s="194" t="n">
        <v>7839.976666666667</v>
      </c>
      <c r="J35" s="194" t="n">
        <v>7839.976666666667</v>
      </c>
      <c r="K35" s="194" t="n">
        <v>7839.976666666667</v>
      </c>
      <c r="L35" s="194" t="n">
        <v>7839.976666666667</v>
      </c>
      <c r="M35" s="194" t="n">
        <v>7839.976666666667</v>
      </c>
      <c r="N35" s="194" t="n">
        <v>7839.976666666667</v>
      </c>
      <c r="O35" s="194" t="n">
        <v>7839.976666666667</v>
      </c>
      <c r="P35" s="193" t="n">
        <v>94079.72000000002</v>
      </c>
    </row>
    <row r="36" ht="18.75" customHeight="1">
      <c r="A36" s="182" t="n">
        <v>32</v>
      </c>
      <c r="B36" s="182" t="n">
        <v>29</v>
      </c>
      <c r="C36" s="184" t="inlineStr">
        <is>
          <t>Αναλώσιμα τρόφιμα  (Ομάδα 2**)</t>
        </is>
      </c>
      <c r="D36" s="194" t="n">
        <v>872.89</v>
      </c>
      <c r="E36" s="194" t="n">
        <v>861.08</v>
      </c>
      <c r="F36" s="194" t="n">
        <v>1172.59</v>
      </c>
      <c r="G36" s="194" t="n">
        <v>1346.45</v>
      </c>
      <c r="H36" s="194" t="n">
        <v>1553.22</v>
      </c>
      <c r="I36" s="194" t="n">
        <v>0</v>
      </c>
      <c r="J36" s="194" t="n">
        <v>0</v>
      </c>
      <c r="K36" s="194" t="n">
        <v>0</v>
      </c>
      <c r="L36" s="194" t="n">
        <v>0</v>
      </c>
      <c r="M36" s="194" t="n">
        <v>0</v>
      </c>
      <c r="N36" s="194" t="n">
        <v>0</v>
      </c>
      <c r="O36" s="194" t="n">
        <v>0</v>
      </c>
      <c r="P36" s="193" t="n">
        <v>5806.23</v>
      </c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</row>
    <row r="37" ht="18.75" customHeight="1">
      <c r="A37" s="182" t="n">
        <v>33</v>
      </c>
      <c r="B37" s="182" t="n">
        <v>30</v>
      </c>
      <c r="C37" s="184" t="inlineStr">
        <is>
          <t>Υλικά Καθαριότητας (Ομάδα 2**)</t>
        </is>
      </c>
      <c r="D37" s="194" t="n">
        <v>0</v>
      </c>
      <c r="E37" s="194" t="n">
        <v>0</v>
      </c>
      <c r="F37" s="194" t="n">
        <v>0</v>
      </c>
      <c r="G37" s="194" t="n">
        <v>493.78</v>
      </c>
      <c r="H37" s="194" t="n">
        <v>685.76</v>
      </c>
      <c r="I37" s="194" t="n">
        <v>0</v>
      </c>
      <c r="J37" s="194" t="n">
        <v>0</v>
      </c>
      <c r="K37" s="194" t="n">
        <v>0</v>
      </c>
      <c r="L37" s="194" t="n">
        <v>0</v>
      </c>
      <c r="M37" s="194" t="n">
        <v>0</v>
      </c>
      <c r="N37" s="194" t="n">
        <v>0</v>
      </c>
      <c r="O37" s="194" t="n">
        <v>0</v>
      </c>
      <c r="P37" s="193" t="n"/>
    </row>
    <row r="38" ht="39.95" customHeight="1">
      <c r="A38" s="187" t="n">
        <v>34</v>
      </c>
      <c r="B38" s="187" t="inlineStr">
        <is>
          <t>E2</t>
        </is>
      </c>
      <c r="C38" s="195" t="inlineStr">
        <is>
          <t xml:space="preserve">Περίοδος </t>
        </is>
      </c>
      <c r="D38" s="196" t="inlineStr">
        <is>
          <t>Ιανουάριος</t>
        </is>
      </c>
      <c r="E38" s="196" t="inlineStr">
        <is>
          <t xml:space="preserve"> Φεβρουάριος </t>
        </is>
      </c>
      <c r="F38" s="196" t="inlineStr">
        <is>
          <t xml:space="preserve">Μάρτιος </t>
        </is>
      </c>
      <c r="G38" s="196" t="inlineStr">
        <is>
          <t xml:space="preserve">Απρίλιος </t>
        </is>
      </c>
      <c r="H38" s="196" t="inlineStr">
        <is>
          <t xml:space="preserve">Μάιος </t>
        </is>
      </c>
      <c r="I38" s="196" t="inlineStr">
        <is>
          <t xml:space="preserve">Ιούνιος </t>
        </is>
      </c>
      <c r="J38" s="196" t="inlineStr">
        <is>
          <t xml:space="preserve">Ιούλιος </t>
        </is>
      </c>
      <c r="K38" s="196" t="inlineStr">
        <is>
          <t xml:space="preserve">Αύγουστος </t>
        </is>
      </c>
      <c r="L38" s="196" t="inlineStr">
        <is>
          <t xml:space="preserve">Σεπτέμβριος </t>
        </is>
      </c>
      <c r="M38" s="196" t="inlineStr">
        <is>
          <t xml:space="preserve">Οκτώβριος </t>
        </is>
      </c>
      <c r="N38" s="196" t="inlineStr">
        <is>
          <t xml:space="preserve">Νοέμβριος </t>
        </is>
      </c>
      <c r="O38" s="196" t="inlineStr">
        <is>
          <t xml:space="preserve">Δεκέμβριος </t>
        </is>
      </c>
      <c r="P38" s="188" t="inlineStr">
        <is>
          <t xml:space="preserve">Σύνολα </t>
        </is>
      </c>
      <c r="Q38" s="186" t="inlineStr">
        <is>
          <t>Ιανουάριος</t>
        </is>
      </c>
      <c r="R38" s="186" t="inlineStr">
        <is>
          <t>Φεβρουάριος</t>
        </is>
      </c>
      <c r="S38" s="186" t="inlineStr">
        <is>
          <t>Μάρτιος</t>
        </is>
      </c>
      <c r="T38" s="186" t="inlineStr">
        <is>
          <t>Απρίλιος</t>
        </is>
      </c>
      <c r="U38" s="186" t="inlineStr">
        <is>
          <t>Μάιος</t>
        </is>
      </c>
      <c r="V38" s="186" t="inlineStr">
        <is>
          <t>Ιούνιος</t>
        </is>
      </c>
      <c r="W38" s="186" t="inlineStr">
        <is>
          <t>Ιούλιος</t>
        </is>
      </c>
      <c r="X38" s="186" t="inlineStr">
        <is>
          <t>Αύγουστος</t>
        </is>
      </c>
      <c r="Y38" s="186" t="inlineStr">
        <is>
          <t>Σεπτέμβριος</t>
        </is>
      </c>
      <c r="Z38" s="186" t="inlineStr">
        <is>
          <t>Οκτώβριος</t>
        </is>
      </c>
      <c r="AA38" s="186" t="inlineStr">
        <is>
          <t>Νοέμβριος</t>
        </is>
      </c>
      <c r="AB38" s="186" t="inlineStr">
        <is>
          <t>Δεκέμβριος</t>
        </is>
      </c>
    </row>
    <row r="39" ht="30.75" customFormat="1" customHeight="1" s="36">
      <c r="A39" s="197" t="n">
        <v>35</v>
      </c>
      <c r="B39" s="197" t="n"/>
      <c r="C39" s="187" t="n"/>
      <c r="D39" s="188" t="inlineStr">
        <is>
          <t xml:space="preserve">Σύνολο Εξόδου </t>
        </is>
      </c>
      <c r="E39" s="188" t="inlineStr">
        <is>
          <t xml:space="preserve">Σύνολο Εξόδου </t>
        </is>
      </c>
      <c r="F39" s="188" t="inlineStr">
        <is>
          <t xml:space="preserve">Σύνολο Εξόδου </t>
        </is>
      </c>
      <c r="G39" s="188" t="inlineStr">
        <is>
          <t xml:space="preserve">Σύνολο Εξόδου </t>
        </is>
      </c>
      <c r="H39" s="188" t="inlineStr">
        <is>
          <t xml:space="preserve">Σύνολο Εξόδου </t>
        </is>
      </c>
      <c r="I39" s="188" t="inlineStr">
        <is>
          <t xml:space="preserve">Σύνολο Εξόδου </t>
        </is>
      </c>
      <c r="J39" s="188" t="inlineStr">
        <is>
          <t xml:space="preserve">Σύνολο Εξόδου </t>
        </is>
      </c>
      <c r="K39" s="188" t="inlineStr">
        <is>
          <t xml:space="preserve">Σύνολο Εξόδου </t>
        </is>
      </c>
      <c r="L39" s="188" t="inlineStr">
        <is>
          <t xml:space="preserve">Σύνολο Εξόδου </t>
        </is>
      </c>
      <c r="M39" s="188" t="inlineStr">
        <is>
          <t xml:space="preserve">Σύνολο Εξόδου </t>
        </is>
      </c>
      <c r="N39" s="188" t="inlineStr">
        <is>
          <t xml:space="preserve">Σύνολο Εξόδου </t>
        </is>
      </c>
      <c r="O39" s="188" t="inlineStr">
        <is>
          <t xml:space="preserve">Σύνολο Εξόδου </t>
        </is>
      </c>
      <c r="P39" s="188" t="inlineStr">
        <is>
          <t xml:space="preserve">Γενικό Σύνολο Εξόδου </t>
        </is>
      </c>
    </row>
    <row r="40" ht="34.5" customHeight="1">
      <c r="A40" s="189" t="n">
        <v>36</v>
      </c>
      <c r="B40" s="189" t="inlineStr">
        <is>
          <t>Α/Α</t>
        </is>
      </c>
      <c r="C40" s="190" t="inlineStr">
        <is>
          <t>Κόστος-  Sales &amp; Marketing</t>
        </is>
      </c>
      <c r="D40" s="191" t="n">
        <v>9618.77</v>
      </c>
      <c r="E40" s="191" t="n">
        <v>8756.210000000001</v>
      </c>
      <c r="F40" s="191" t="n">
        <v>7219.98</v>
      </c>
      <c r="G40" s="191" t="n">
        <v>12929.56</v>
      </c>
      <c r="H40" s="191" t="n">
        <v>7772.820000000002</v>
      </c>
      <c r="I40" s="191" t="n">
        <v>0</v>
      </c>
      <c r="J40" s="191" t="n">
        <v>0</v>
      </c>
      <c r="K40" s="191" t="n">
        <v>0</v>
      </c>
      <c r="L40" s="191" t="n">
        <v>0</v>
      </c>
      <c r="M40" s="191" t="n">
        <v>0</v>
      </c>
      <c r="N40" s="191" t="n">
        <v>0</v>
      </c>
      <c r="O40" s="191" t="n">
        <v>0</v>
      </c>
      <c r="P40" s="191" t="n">
        <v>46297.34</v>
      </c>
      <c r="Q40" s="101" t="n">
        <v>9618.77</v>
      </c>
      <c r="R40" s="101" t="n">
        <v>18374.98</v>
      </c>
      <c r="S40" s="101" t="n">
        <v>25594.96</v>
      </c>
      <c r="T40" s="101" t="n">
        <v>38524.52</v>
      </c>
      <c r="U40" s="101" t="n">
        <v>46297.34</v>
      </c>
      <c r="V40" s="101" t="n">
        <v>46297.34</v>
      </c>
      <c r="W40" s="101" t="n">
        <v>46297.34</v>
      </c>
      <c r="X40" s="101" t="n">
        <v>46297.34</v>
      </c>
      <c r="Y40" s="101" t="n">
        <v>46297.34</v>
      </c>
      <c r="Z40" s="101" t="n">
        <v>46297.34</v>
      </c>
      <c r="AA40" s="101" t="n">
        <v>46297.34</v>
      </c>
      <c r="AB40" s="101" t="n">
        <v>46297.34</v>
      </c>
      <c r="AC40" s="101" t="n"/>
    </row>
    <row r="41" ht="24.95" customHeight="1">
      <c r="A41" s="198" t="n">
        <v>39</v>
      </c>
      <c r="B41" s="199" t="n">
        <v>3</v>
      </c>
      <c r="C41" s="109" t="inlineStr">
        <is>
          <t>Μικτές Αποδοχές Marketing (Α.Κ.MDep )</t>
        </is>
      </c>
      <c r="D41" s="192" t="n">
        <v>1021.94</v>
      </c>
      <c r="E41" s="192" t="n">
        <v>1198.17</v>
      </c>
      <c r="F41" s="192" t="n">
        <v>1082.33</v>
      </c>
      <c r="G41" s="192" t="n">
        <v>1629.66</v>
      </c>
      <c r="H41" s="192" t="n">
        <v>988.92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5921.02</v>
      </c>
    </row>
    <row r="42" ht="24.95" customHeight="1">
      <c r="A42" s="182" t="n">
        <v>40</v>
      </c>
      <c r="B42" s="182" t="n">
        <v>4</v>
      </c>
      <c r="C42" s="109" t="inlineStr">
        <is>
          <t>Μικτές Αποδοχές Sales (Α.Κ.SDep )</t>
        </is>
      </c>
      <c r="D42" s="192" t="n">
        <v>1077.96</v>
      </c>
      <c r="E42" s="192" t="n">
        <v>1245.7</v>
      </c>
      <c r="F42" s="192" t="n">
        <v>1145.7</v>
      </c>
      <c r="G42" s="192" t="n">
        <v>1744.53</v>
      </c>
      <c r="H42" s="192" t="n">
        <v>1056.97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6270.86</v>
      </c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7" t="n"/>
      <c r="B69" s="187" t="n"/>
      <c r="C69" s="187" t="n"/>
      <c r="D69" s="188" t="n"/>
      <c r="E69" s="188" t="n"/>
      <c r="F69" s="188" t="n"/>
      <c r="G69" s="188" t="n"/>
      <c r="H69" s="188" t="n"/>
      <c r="I69" s="188" t="n"/>
      <c r="J69" s="188" t="n"/>
      <c r="K69" s="188" t="n"/>
      <c r="L69" s="188" t="n"/>
      <c r="M69" s="188" t="n"/>
      <c r="N69" s="188" t="n"/>
      <c r="O69" s="188" t="n"/>
      <c r="P69" s="188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203" t="n"/>
      <c r="ED69" s="203" t="n"/>
      <c r="EE69" s="203" t="n"/>
      <c r="EF69" s="203" t="n"/>
      <c r="EG69" s="203" t="n"/>
      <c r="EH69" s="203" t="n"/>
      <c r="EI69" s="203" t="n"/>
      <c r="EJ69" s="203" t="n"/>
      <c r="EK69" s="203" t="n"/>
      <c r="EL69" s="203" t="n"/>
      <c r="EM69" s="203" t="n"/>
      <c r="EN69" s="203" t="n"/>
      <c r="EO69" s="204" t="n"/>
      <c r="EP69" s="204" t="n"/>
      <c r="EQ69" s="204" t="n"/>
      <c r="ER69" s="203" t="n"/>
      <c r="ES69" s="203" t="n"/>
      <c r="ET69" s="203" t="n"/>
      <c r="EU69" s="203" t="n"/>
      <c r="EV69" s="203" t="n"/>
      <c r="EW69" s="203" t="n"/>
      <c r="EX69" s="203" t="n"/>
      <c r="EY69" s="203" t="n"/>
      <c r="EZ69" s="203" t="n"/>
      <c r="FA69" s="203" t="n"/>
      <c r="FB69" s="203" t="n"/>
      <c r="FC69" s="203" t="n"/>
      <c r="FD69" s="203" t="n"/>
      <c r="FE69" s="204" t="n"/>
      <c r="FF69" s="204" t="n"/>
      <c r="FG69" s="204" t="n"/>
      <c r="FH69" s="203" t="n"/>
      <c r="FI69" s="203" t="n"/>
      <c r="FJ69" s="203" t="n"/>
      <c r="FK69" s="203" t="n"/>
      <c r="FL69" s="203" t="n"/>
      <c r="FM69" s="203" t="n"/>
      <c r="FN69" s="203" t="n"/>
      <c r="FO69" s="203" t="n"/>
      <c r="FP69" s="203" t="n"/>
      <c r="FQ69" s="203" t="n"/>
      <c r="FR69" s="203" t="n"/>
      <c r="FS69" s="203" t="n"/>
      <c r="FT69" s="203" t="n"/>
      <c r="FU69" s="204" t="n"/>
      <c r="FV69" s="204" t="n"/>
      <c r="FW69" s="204" t="n"/>
      <c r="FX69" s="203" t="n"/>
      <c r="FY69" s="203" t="n"/>
      <c r="FZ69" s="203" t="n"/>
      <c r="GA69" s="203" t="n"/>
      <c r="GB69" s="203" t="n"/>
      <c r="GC69" s="203" t="n"/>
      <c r="GD69" s="203" t="n"/>
      <c r="GE69" s="203" t="n"/>
      <c r="GF69" s="203" t="n"/>
      <c r="GG69" s="203" t="n"/>
      <c r="GH69" s="203" t="n"/>
      <c r="GI69" s="203" t="n"/>
      <c r="GJ69" s="203" t="n"/>
      <c r="GK69" s="204" t="n"/>
      <c r="GL69" s="204" t="n"/>
      <c r="GM69" s="204" t="n"/>
      <c r="GN69" s="203" t="n"/>
      <c r="GO69" s="203" t="n"/>
      <c r="GP69" s="203" t="n"/>
      <c r="GQ69" s="203" t="n"/>
      <c r="GR69" s="203" t="n"/>
      <c r="GS69" s="203" t="n"/>
      <c r="GT69" s="203" t="n"/>
      <c r="GU69" s="203" t="n"/>
      <c r="GV69" s="203" t="n"/>
      <c r="GW69" s="203" t="n"/>
      <c r="GX69" s="203" t="n"/>
      <c r="GY69" s="203" t="n"/>
      <c r="GZ69" s="203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9" t="n">
        <v>69</v>
      </c>
      <c r="B70" s="189" t="inlineStr">
        <is>
          <t>Α/Α</t>
        </is>
      </c>
      <c r="C70" s="190" t="inlineStr">
        <is>
          <t xml:space="preserve">Κόστος Διοίκησης </t>
        </is>
      </c>
      <c r="D70" s="191" t="n">
        <v>9731.610000000001</v>
      </c>
      <c r="E70" s="191" t="n">
        <v>9507.030000000001</v>
      </c>
      <c r="F70" s="191" t="n">
        <v>10207.75</v>
      </c>
      <c r="G70" s="191" t="n">
        <v>10041.65</v>
      </c>
      <c r="H70" s="191" t="n">
        <v>7857.45</v>
      </c>
      <c r="I70" s="191" t="n">
        <v>777.6700000000001</v>
      </c>
      <c r="J70" s="191" t="n">
        <v>777.6700000000001</v>
      </c>
      <c r="K70" s="191" t="n">
        <v>777.6700000000001</v>
      </c>
      <c r="L70" s="191" t="n">
        <v>777.6700000000001</v>
      </c>
      <c r="M70" s="191" t="n">
        <v>777.6700000000001</v>
      </c>
      <c r="N70" s="191" t="n">
        <v>777.6700000000001</v>
      </c>
      <c r="O70" s="191" t="n">
        <v>777.6700000000001</v>
      </c>
      <c r="P70" s="191" t="n">
        <v>52789.18</v>
      </c>
      <c r="Q70" s="101" t="n">
        <v>9731.610000000001</v>
      </c>
      <c r="R70" s="101" t="n">
        <v>19238.64</v>
      </c>
      <c r="S70" s="101" t="n">
        <v>29446.39</v>
      </c>
      <c r="T70" s="101" t="n">
        <v>39488.04</v>
      </c>
      <c r="U70" s="101" t="n">
        <v>47345.49</v>
      </c>
      <c r="V70" s="101" t="n">
        <v>48123.16</v>
      </c>
      <c r="W70" s="101" t="n">
        <v>48900.82999999999</v>
      </c>
      <c r="X70" s="101" t="n">
        <v>49678.49999999999</v>
      </c>
      <c r="Y70" s="101" t="n">
        <v>50456.16999999999</v>
      </c>
      <c r="Z70" s="101" t="n">
        <v>51233.83999999999</v>
      </c>
      <c r="AA70" s="101" t="n">
        <v>52011.50999999999</v>
      </c>
      <c r="AB70" s="101" t="n">
        <v>52789.17999999999</v>
      </c>
      <c r="AC70" s="101" t="n"/>
    </row>
    <row r="71" ht="24.95" customHeight="1">
      <c r="A71" s="182" t="n">
        <v>70</v>
      </c>
      <c r="B71" s="182" t="n">
        <v>1</v>
      </c>
      <c r="C71" s="109" t="inlineStr">
        <is>
          <t>Μικτές Αποδοχές (Α.Κ.Διοικ.)</t>
        </is>
      </c>
      <c r="D71" s="192" t="n">
        <v>1057.42</v>
      </c>
      <c r="E71" s="192" t="n">
        <v>1229</v>
      </c>
      <c r="F71" s="192" t="n">
        <v>1179</v>
      </c>
      <c r="G71" s="192" t="n">
        <v>1839.83</v>
      </c>
      <c r="H71" s="192" t="n">
        <v>1144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6449.25</v>
      </c>
    </row>
    <row r="72" ht="24.95" customHeight="1">
      <c r="A72" s="182" t="n">
        <v>71</v>
      </c>
      <c r="B72" s="182" t="n">
        <v>2</v>
      </c>
      <c r="C72" s="115" t="inlineStr">
        <is>
          <t>Ασφαλιστικές εισφορές  (Α.Κ.Διοικ.)</t>
        </is>
      </c>
      <c r="D72" s="200" t="n">
        <v>230.41</v>
      </c>
      <c r="E72" s="200" t="n">
        <v>235.11</v>
      </c>
      <c r="F72" s="200" t="n">
        <v>235.11</v>
      </c>
      <c r="G72" s="200" t="n">
        <v>379.11</v>
      </c>
      <c r="H72" s="200" t="n">
        <v>249.28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1329.02</v>
      </c>
    </row>
    <row r="73" ht="24.95" customHeight="1">
      <c r="A73" s="182" t="n">
        <v>72</v>
      </c>
      <c r="B73" s="182" t="n">
        <v>3</v>
      </c>
      <c r="C73" s="119" t="inlineStr">
        <is>
          <t xml:space="preserve">Ενοίκια  Έδρας </t>
        </is>
      </c>
      <c r="D73" s="192" t="n">
        <v>875.5</v>
      </c>
      <c r="E73" s="192" t="n">
        <v>875.5</v>
      </c>
      <c r="F73" s="192" t="n">
        <v>875.5</v>
      </c>
      <c r="G73" s="192" t="n">
        <v>875.5</v>
      </c>
      <c r="H73" s="192" t="n">
        <v>875.5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4377.5</v>
      </c>
    </row>
    <row r="74" ht="24.95" customHeight="1">
      <c r="A74" s="182" t="n">
        <v>73</v>
      </c>
      <c r="B74" s="182" t="n">
        <v>4</v>
      </c>
      <c r="C74" s="119" t="inlineStr">
        <is>
          <t>Ενοίκιο Αποθήκης Β</t>
        </is>
      </c>
      <c r="D74" s="192" t="n">
        <v>0</v>
      </c>
      <c r="E74" s="192" t="n">
        <v>0</v>
      </c>
      <c r="F74" s="192" t="n">
        <v>0</v>
      </c>
      <c r="G74" s="192" t="n">
        <v>0</v>
      </c>
      <c r="H74" s="192" t="n">
        <v>0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0</v>
      </c>
    </row>
    <row r="75" ht="24.95" customHeight="1">
      <c r="A75" s="182" t="n">
        <v>74</v>
      </c>
      <c r="B75" s="182" t="n">
        <v>5</v>
      </c>
      <c r="C75" s="119" t="inlineStr">
        <is>
          <t>Ενοίκιο Αποθήκης Α</t>
        </is>
      </c>
      <c r="D75" s="192" t="n">
        <v>248.55</v>
      </c>
      <c r="E75" s="192" t="n">
        <v>248.55</v>
      </c>
      <c r="F75" s="192" t="n">
        <v>248.55</v>
      </c>
      <c r="G75" s="192" t="n">
        <v>248.55</v>
      </c>
      <c r="H75" s="192" t="n">
        <v>248.55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1242.75</v>
      </c>
    </row>
    <row r="76" ht="24.95" customHeight="1">
      <c r="A76" s="182" t="n">
        <v>75</v>
      </c>
      <c r="B76" s="182" t="n">
        <v>6</v>
      </c>
      <c r="C76" s="119" t="inlineStr">
        <is>
          <t>Ενοίκιο Αριστοφάνους 1</t>
        </is>
      </c>
      <c r="D76" s="192" t="n">
        <v>965.25</v>
      </c>
      <c r="E76" s="192" t="n">
        <v>965.25</v>
      </c>
      <c r="F76" s="192" t="n">
        <v>965.25</v>
      </c>
      <c r="G76" s="192" t="n">
        <v>965.25</v>
      </c>
      <c r="H76" s="192" t="n">
        <v>965.25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4826.25</v>
      </c>
    </row>
    <row r="77" ht="24.95" customHeight="1">
      <c r="A77" s="182" t="n">
        <v>76</v>
      </c>
      <c r="B77" s="182" t="n">
        <v>7</v>
      </c>
      <c r="C77" s="119" t="inlineStr">
        <is>
          <t xml:space="preserve">Χαρτόσημο ενοικίου Έδρας </t>
        </is>
      </c>
      <c r="D77" s="192" t="n">
        <v>31.52</v>
      </c>
      <c r="E77" s="192" t="n">
        <v>31.52</v>
      </c>
      <c r="F77" s="192" t="n">
        <v>31.52</v>
      </c>
      <c r="G77" s="192" t="n">
        <v>31.52</v>
      </c>
      <c r="H77" s="192" t="n">
        <v>31.52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157.6</v>
      </c>
    </row>
    <row r="78" ht="24.95" customHeight="1">
      <c r="A78" s="182" t="n">
        <v>77</v>
      </c>
      <c r="B78" s="182" t="n">
        <v>8</v>
      </c>
      <c r="C78" s="119" t="inlineStr">
        <is>
          <t xml:space="preserve">Χαρτόσημο Ενοικίου Αποθήκης Α </t>
        </is>
      </c>
      <c r="D78" s="192" t="n">
        <v>8.949999999999999</v>
      </c>
      <c r="E78" s="192" t="n">
        <v>8.949999999999999</v>
      </c>
      <c r="F78" s="192" t="n">
        <v>8.949999999999999</v>
      </c>
      <c r="G78" s="192" t="n">
        <v>8.949999999999999</v>
      </c>
      <c r="H78" s="192" t="n">
        <v>8.949999999999999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44.75</v>
      </c>
    </row>
    <row r="79" ht="24.95" customHeight="1">
      <c r="A79" s="182" t="n">
        <v>78</v>
      </c>
      <c r="B79" s="182" t="n">
        <v>9</v>
      </c>
      <c r="C79" s="119" t="inlineStr">
        <is>
          <t xml:space="preserve">Χαρτόσημο Ενοικίου Αποθήκης Β </t>
        </is>
      </c>
      <c r="D79" s="192" t="n">
        <v>0</v>
      </c>
      <c r="E79" s="192" t="n">
        <v>0</v>
      </c>
      <c r="F79" s="192" t="n">
        <v>0</v>
      </c>
      <c r="G79" s="192" t="n">
        <v>0</v>
      </c>
      <c r="H79" s="192" t="n">
        <v>0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0</v>
      </c>
    </row>
    <row r="80" ht="24.95" customHeight="1">
      <c r="A80" s="182" t="n">
        <v>79</v>
      </c>
      <c r="B80" s="182" t="n">
        <v>10</v>
      </c>
      <c r="C80" s="119" t="inlineStr">
        <is>
          <t>Χαρτόσημο Ενοικίου Αριστοφάνους 1</t>
        </is>
      </c>
      <c r="D80" s="192" t="n">
        <v>34.75</v>
      </c>
      <c r="E80" s="192" t="n">
        <v>34.75</v>
      </c>
      <c r="F80" s="192" t="n">
        <v>34.75</v>
      </c>
      <c r="G80" s="192" t="n">
        <v>34.75</v>
      </c>
      <c r="H80" s="192" t="n">
        <v>34.75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173.75</v>
      </c>
    </row>
    <row r="81" ht="24.95" customHeight="1">
      <c r="A81" s="182" t="n">
        <v>80</v>
      </c>
      <c r="B81" s="182" t="n">
        <v>11</v>
      </c>
      <c r="C81" s="119" t="inlineStr">
        <is>
          <t xml:space="preserve">Κοινόχρηστες Δαπάνες Έδρας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81</v>
      </c>
      <c r="B82" s="182" t="n">
        <v>12</v>
      </c>
      <c r="C82" s="119" t="inlineStr">
        <is>
          <t xml:space="preserve">Κοινόχρηστες Δαπάνες Αποθήκης Α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82</v>
      </c>
      <c r="B83" s="182" t="n">
        <v>13</v>
      </c>
      <c r="C83" s="119" t="inlineStr">
        <is>
          <t xml:space="preserve">Κοινόχρηστες Δαπάνες Αποθήκης Β </t>
        </is>
      </c>
      <c r="D83" s="192" t="n">
        <v>0</v>
      </c>
      <c r="E83" s="192" t="n">
        <v>0</v>
      </c>
      <c r="F83" s="192" t="n">
        <v>0</v>
      </c>
      <c r="G83" s="192" t="n">
        <v>0</v>
      </c>
      <c r="H83" s="192" t="n">
        <v>0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0</v>
      </c>
    </row>
    <row r="84" ht="24.95" customHeight="1">
      <c r="A84" s="182" t="n">
        <v>83</v>
      </c>
      <c r="B84" s="182" t="n">
        <v>14</v>
      </c>
      <c r="C84" s="119" t="inlineStr">
        <is>
          <t>Κοινόχρηστες Δαπάνες Αριστοφάνους 1</t>
        </is>
      </c>
      <c r="D84" s="192" t="n">
        <v>38</v>
      </c>
      <c r="E84" s="192" t="n">
        <v>33</v>
      </c>
      <c r="F84" s="192" t="n">
        <v>30.8</v>
      </c>
      <c r="G84" s="192" t="n">
        <v>39.7</v>
      </c>
      <c r="H84" s="192" t="n">
        <v>31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172.5</v>
      </c>
    </row>
    <row r="85" ht="24.95" customHeight="1">
      <c r="A85" s="182" t="n">
        <v>84</v>
      </c>
      <c r="B85" s="182" t="n">
        <v>15</v>
      </c>
      <c r="C85" s="115" t="inlineStr">
        <is>
          <t xml:space="preserve">Ενέργεια  Έδρας </t>
        </is>
      </c>
      <c r="D85" s="192" t="n">
        <v>70.83</v>
      </c>
      <c r="E85" s="192" t="n">
        <v>211.24</v>
      </c>
      <c r="F85" s="192" t="n">
        <v>151.55</v>
      </c>
      <c r="G85" s="192" t="n">
        <v>178.54</v>
      </c>
      <c r="H85" s="192" t="n">
        <v>139.48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751.64</v>
      </c>
    </row>
    <row r="86" ht="24.95" customHeight="1">
      <c r="A86" s="182" t="n">
        <v>85</v>
      </c>
      <c r="B86" s="182" t="n">
        <v>16</v>
      </c>
      <c r="C86" s="115" t="inlineStr">
        <is>
          <t xml:space="preserve">Ενέργεια Αποθήκης Α </t>
        </is>
      </c>
      <c r="D86" s="192" t="n">
        <v>6.55</v>
      </c>
      <c r="E86" s="192" t="n">
        <v>29.27</v>
      </c>
      <c r="F86" s="192" t="n">
        <v>14.17</v>
      </c>
      <c r="G86" s="192" t="n">
        <v>22.79</v>
      </c>
      <c r="H86" s="192" t="n">
        <v>15.9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88.68000000000001</v>
      </c>
    </row>
    <row r="87" ht="28.5" customHeight="1">
      <c r="A87" s="182" t="n">
        <v>86</v>
      </c>
      <c r="B87" s="182" t="n">
        <v>17</v>
      </c>
      <c r="C87" s="115" t="inlineStr">
        <is>
          <t>Ενέργεια Αποθήκης Β (OPERATION)</t>
        </is>
      </c>
      <c r="D87" s="192" t="n">
        <v>3.86</v>
      </c>
      <c r="E87" s="192" t="n">
        <v>6.42</v>
      </c>
      <c r="F87" s="192" t="n">
        <v>11.08</v>
      </c>
      <c r="G87" s="192" t="n">
        <v>11.49</v>
      </c>
      <c r="H87" s="192" t="n">
        <v>13.46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46.31</v>
      </c>
    </row>
    <row r="88" ht="24.95" customHeight="1">
      <c r="A88" s="182" t="n">
        <v>87</v>
      </c>
      <c r="B88" s="182" t="n">
        <v>18</v>
      </c>
      <c r="C88" s="115" t="inlineStr">
        <is>
          <t>Ενέργεια Αριστοφάνους 1</t>
        </is>
      </c>
      <c r="D88" s="192" t="n">
        <v>0</v>
      </c>
      <c r="E88" s="192" t="n">
        <v>22.48</v>
      </c>
      <c r="F88" s="192" t="n">
        <v>13.02</v>
      </c>
      <c r="G88" s="192" t="n">
        <v>14.13</v>
      </c>
      <c r="H88" s="192" t="n">
        <v>12.74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62.37</v>
      </c>
    </row>
    <row r="89" ht="24.95" customHeight="1">
      <c r="A89" s="182" t="n">
        <v>88</v>
      </c>
      <c r="B89" s="182" t="n">
        <v>19</v>
      </c>
      <c r="C89" s="183" t="inlineStr">
        <is>
          <t xml:space="preserve">Τηλεπικοινωνίες (Τηλεφωνία &amp; Διαδίκτυο) </t>
        </is>
      </c>
      <c r="D89" s="192" t="n">
        <v>232.19</v>
      </c>
      <c r="E89" s="192" t="n">
        <v>297.5</v>
      </c>
      <c r="F89" s="192" t="n">
        <v>300.63</v>
      </c>
      <c r="G89" s="192" t="n">
        <v>306.85</v>
      </c>
      <c r="H89" s="192" t="n">
        <v>345.63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1482.8</v>
      </c>
    </row>
    <row r="90" ht="44.25" customHeight="1">
      <c r="A90" s="182" t="n">
        <v>89</v>
      </c>
      <c r="B90" s="182" t="n">
        <v>20</v>
      </c>
      <c r="C90" s="119" t="inlineStr">
        <is>
          <t xml:space="preserve">Υδρευση </t>
        </is>
      </c>
      <c r="D90" s="200" t="n">
        <v>0</v>
      </c>
      <c r="E90" s="200" t="n">
        <v>8.050000000000001</v>
      </c>
      <c r="F90" s="200" t="n">
        <v>4.08</v>
      </c>
      <c r="G90" s="200" t="n">
        <v>0</v>
      </c>
      <c r="H90" s="200" t="n">
        <v>13.49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25.62</v>
      </c>
    </row>
    <row r="91" ht="42.75" customHeight="1">
      <c r="A91" s="182" t="n">
        <v>90</v>
      </c>
      <c r="B91" s="182" t="n">
        <v>21</v>
      </c>
      <c r="C91" s="119" t="inlineStr">
        <is>
          <t xml:space="preserve">Ασφάλιστρα </t>
        </is>
      </c>
      <c r="D91" s="192" t="n">
        <v>224.75</v>
      </c>
      <c r="E91" s="192" t="n">
        <v>0</v>
      </c>
      <c r="F91" s="192" t="n">
        <v>0</v>
      </c>
      <c r="G91" s="192" t="n">
        <v>74.5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299.25</v>
      </c>
    </row>
    <row r="92" ht="24.95" customHeight="1">
      <c r="A92" s="182" t="n">
        <v>91</v>
      </c>
      <c r="B92" s="182" t="n">
        <v>22</v>
      </c>
      <c r="C92" s="119" t="inlineStr">
        <is>
          <t xml:space="preserve">Έντυπα και γραφική Ύλη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92</v>
      </c>
      <c r="B93" s="182" t="n">
        <v>23</v>
      </c>
      <c r="C93" s="119" t="inlineStr">
        <is>
          <t xml:space="preserve">Υλικά Καθαριότητας 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93</v>
      </c>
      <c r="B94" s="182" t="n">
        <v>24</v>
      </c>
      <c r="C94" s="116" t="inlineStr">
        <is>
          <t>Υλικά Φαρμακείου</t>
        </is>
      </c>
      <c r="D94" s="192" t="n">
        <v>0</v>
      </c>
      <c r="E94" s="192" t="n">
        <v>0</v>
      </c>
      <c r="F94" s="192" t="n">
        <v>0</v>
      </c>
      <c r="G94" s="192" t="n">
        <v>0</v>
      </c>
      <c r="H94" s="192" t="n">
        <v>0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0</v>
      </c>
    </row>
    <row r="95" ht="43.5" customHeight="1">
      <c r="A95" s="182" t="n">
        <v>94</v>
      </c>
      <c r="B95" s="182" t="n">
        <v>25</v>
      </c>
      <c r="C95" s="116" t="inlineStr">
        <is>
          <t>Διάφορα αναλώσιμα</t>
        </is>
      </c>
      <c r="D95" s="192" t="n">
        <v>120.01</v>
      </c>
      <c r="E95" s="192" t="n">
        <v>368.53</v>
      </c>
      <c r="F95" s="192" t="n">
        <v>0</v>
      </c>
      <c r="G95" s="192" t="n">
        <v>0</v>
      </c>
      <c r="H95" s="192" t="n">
        <v>598.05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1086.59</v>
      </c>
    </row>
    <row r="96" ht="24.95" customHeight="1">
      <c r="A96" s="182" t="n">
        <v>95</v>
      </c>
      <c r="B96" s="182" t="n">
        <v>26</v>
      </c>
      <c r="C96" s="119" t="inlineStr">
        <is>
          <t>Αμοιβές συνεργατών ( Εξωτερικοί Συνεργάτες Λογιστής - Μισθοδοσία Δικηγόρος )</t>
        </is>
      </c>
      <c r="D96" s="192" t="n">
        <v>950</v>
      </c>
      <c r="E96" s="192" t="n">
        <v>1632.73</v>
      </c>
      <c r="F96" s="192" t="n">
        <v>950</v>
      </c>
      <c r="G96" s="192" t="n">
        <v>1210</v>
      </c>
      <c r="H96" s="192" t="n">
        <v>500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5242.73</v>
      </c>
    </row>
    <row r="97" ht="24.95" customHeight="1">
      <c r="A97" s="182" t="n">
        <v>96</v>
      </c>
      <c r="B97" s="182" t="n">
        <v>27</v>
      </c>
      <c r="C97" s="119" t="inlineStr">
        <is>
          <t>Αμοιβές Τρίτων (Αμοιβές - Συνδρομές για υποστήριξη Pylon Συναγερμός - Διατακτικές)</t>
        </is>
      </c>
      <c r="D97" s="192" t="n">
        <v>957.5400000000001</v>
      </c>
      <c r="E97" s="192" t="n">
        <v>117.04</v>
      </c>
      <c r="F97" s="192" t="n">
        <v>2570.94</v>
      </c>
      <c r="G97" s="192" t="n">
        <v>788.73</v>
      </c>
      <c r="H97" s="192" t="n">
        <v>166.37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4600.62</v>
      </c>
    </row>
    <row r="98" ht="24.95" customHeight="1">
      <c r="A98" s="182" t="n">
        <v>97</v>
      </c>
      <c r="B98" s="182" t="n">
        <v>28</v>
      </c>
      <c r="C98" s="119" t="inlineStr">
        <is>
          <t>Επισκευές - Συντηρήσεις</t>
        </is>
      </c>
      <c r="D98" s="192" t="n">
        <v>234.05</v>
      </c>
      <c r="E98" s="192" t="n">
        <v>934.62</v>
      </c>
      <c r="F98" s="192" t="n">
        <v>627.01</v>
      </c>
      <c r="G98" s="192" t="n">
        <v>172.38</v>
      </c>
      <c r="H98" s="192" t="n">
        <v>82.02000000000001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2050.08</v>
      </c>
    </row>
    <row r="99" ht="26.25" customHeight="1">
      <c r="A99" s="182" t="n">
        <v>98</v>
      </c>
      <c r="B99" s="182" t="n">
        <v>29</v>
      </c>
      <c r="C99" s="119" t="inlineStr">
        <is>
          <t xml:space="preserve">Εξοδα μεταφορών </t>
        </is>
      </c>
      <c r="D99" s="192" t="n">
        <v>62.44</v>
      </c>
      <c r="E99" s="192" t="n">
        <v>82.97</v>
      </c>
      <c r="F99" s="192" t="n">
        <v>68.77</v>
      </c>
      <c r="G99" s="192" t="n">
        <v>65.22</v>
      </c>
      <c r="H99" s="192" t="n">
        <v>66.34999999999999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345.75</v>
      </c>
    </row>
    <row r="100" ht="40.5" customHeight="1">
      <c r="A100" s="182" t="n">
        <v>99</v>
      </c>
      <c r="B100" s="182" t="n">
        <v>30</v>
      </c>
      <c r="C100" s="119" t="inlineStr">
        <is>
          <t xml:space="preserve">Εξοδα ταξιδίων </t>
        </is>
      </c>
      <c r="D100" s="192" t="n">
        <v>0</v>
      </c>
      <c r="E100" s="192" t="n">
        <v>0</v>
      </c>
      <c r="F100" s="192" t="n">
        <v>0</v>
      </c>
      <c r="G100" s="192" t="n">
        <v>0</v>
      </c>
      <c r="H100" s="192" t="n">
        <v>0</v>
      </c>
      <c r="I100" s="192" t="n">
        <v>0</v>
      </c>
      <c r="J100" s="192" t="n">
        <v>0</v>
      </c>
      <c r="K100" s="192" t="n">
        <v>0</v>
      </c>
      <c r="L100" s="192" t="n">
        <v>0</v>
      </c>
      <c r="M100" s="192" t="n">
        <v>0</v>
      </c>
      <c r="N100" s="192" t="n">
        <v>0</v>
      </c>
      <c r="O100" s="192" t="n">
        <v>0</v>
      </c>
      <c r="P100" s="193" t="n">
        <v>0</v>
      </c>
    </row>
    <row r="101" ht="24.95" customHeight="1">
      <c r="A101" s="182" t="n">
        <v>100</v>
      </c>
      <c r="B101" s="182" t="n">
        <v>31</v>
      </c>
      <c r="C101" s="119" t="inlineStr">
        <is>
          <t xml:space="preserve">Υλικά άμεσης ανάλωσης </t>
        </is>
      </c>
      <c r="D101" s="192" t="n"/>
      <c r="E101" s="192" t="n"/>
      <c r="F101" s="192" t="n"/>
      <c r="G101" s="192" t="n"/>
      <c r="H101" s="192" t="n"/>
      <c r="I101" s="192" t="n"/>
      <c r="J101" s="192" t="n"/>
      <c r="K101" s="192" t="n"/>
      <c r="L101" s="192" t="n"/>
      <c r="M101" s="192" t="n"/>
      <c r="N101" s="192" t="n"/>
      <c r="O101" s="192" t="n"/>
      <c r="P101" s="193" t="n">
        <v>0</v>
      </c>
    </row>
    <row r="102" ht="24.95" customHeight="1">
      <c r="A102" s="182" t="n">
        <v>101</v>
      </c>
      <c r="B102" s="182" t="n">
        <v>32</v>
      </c>
      <c r="C102" s="119" t="inlineStr">
        <is>
          <t xml:space="preserve">Φόροι και τέλη </t>
        </is>
      </c>
      <c r="D102" s="192" t="n">
        <v>499.48</v>
      </c>
      <c r="E102" s="192" t="n">
        <v>725.34</v>
      </c>
      <c r="F102" s="192" t="n">
        <v>606.23</v>
      </c>
      <c r="G102" s="192" t="n">
        <v>1130.75</v>
      </c>
      <c r="H102" s="192" t="n">
        <v>1175.57</v>
      </c>
      <c r="I102" s="192" t="n">
        <v>0</v>
      </c>
      <c r="J102" s="192" t="n">
        <v>0</v>
      </c>
      <c r="K102" s="192" t="n">
        <v>0</v>
      </c>
      <c r="L102" s="192" t="n">
        <v>0</v>
      </c>
      <c r="M102" s="192" t="n">
        <v>0</v>
      </c>
      <c r="N102" s="192" t="n">
        <v>0</v>
      </c>
      <c r="O102" s="192" t="n">
        <v>0</v>
      </c>
      <c r="P102" s="193" t="n">
        <v>4137.37</v>
      </c>
    </row>
    <row r="103" ht="24.95" customHeight="1">
      <c r="A103" s="182" t="n">
        <v>102</v>
      </c>
      <c r="B103" s="182" t="n">
        <v>33</v>
      </c>
      <c r="C103" s="119" t="inlineStr">
        <is>
          <t>Εξοδα δημοσιεύσεων</t>
        </is>
      </c>
      <c r="D103" s="192" t="n"/>
      <c r="E103" s="192" t="n"/>
      <c r="F103" s="192" t="n"/>
      <c r="G103" s="192" t="n"/>
      <c r="H103" s="192" t="n"/>
      <c r="I103" s="192" t="n"/>
      <c r="J103" s="192" t="n"/>
      <c r="K103" s="192" t="n"/>
      <c r="L103" s="192" t="n"/>
      <c r="M103" s="192" t="n"/>
      <c r="N103" s="192" t="n"/>
      <c r="O103" s="192" t="n"/>
      <c r="P103" s="193" t="n">
        <v>0</v>
      </c>
    </row>
    <row r="104" ht="24.95" customHeight="1">
      <c r="A104" s="182" t="n">
        <v>103</v>
      </c>
      <c r="B104" s="182" t="n">
        <v>34</v>
      </c>
      <c r="C104" s="119" t="inlineStr">
        <is>
          <t xml:space="preserve">Λοιπά Διάφορα έξοδα </t>
        </is>
      </c>
      <c r="D104" s="192" t="n">
        <v>613.27</v>
      </c>
      <c r="E104" s="192" t="n">
        <v>521.88</v>
      </c>
      <c r="F104" s="192" t="n">
        <v>425.62</v>
      </c>
      <c r="G104" s="192" t="n">
        <v>766.9299999999999</v>
      </c>
      <c r="H104" s="192" t="n">
        <v>65.72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2393.42</v>
      </c>
    </row>
    <row r="105" ht="24.95" customHeight="1">
      <c r="A105" s="182" t="n">
        <v>104</v>
      </c>
      <c r="B105" s="182" t="n">
        <v>35</v>
      </c>
      <c r="C105" s="119" t="inlineStr">
        <is>
          <t xml:space="preserve">Τόκοι και συναφή εξοδα </t>
        </is>
      </c>
      <c r="D105" s="192" t="n">
        <v>0</v>
      </c>
      <c r="E105" s="192" t="n">
        <v>0</v>
      </c>
      <c r="F105" s="192" t="n">
        <v>0</v>
      </c>
      <c r="G105" s="192" t="n">
        <v>0</v>
      </c>
      <c r="H105" s="192" t="n">
        <v>0</v>
      </c>
      <c r="I105" s="192" t="n">
        <v>0</v>
      </c>
      <c r="J105" s="192" t="n">
        <v>0</v>
      </c>
      <c r="K105" s="192" t="n">
        <v>0</v>
      </c>
      <c r="L105" s="192" t="n">
        <v>0</v>
      </c>
      <c r="M105" s="192" t="n">
        <v>0</v>
      </c>
      <c r="N105" s="192" t="n">
        <v>0</v>
      </c>
      <c r="O105" s="192" t="n">
        <v>0</v>
      </c>
      <c r="P105" s="193" t="n">
        <v>0</v>
      </c>
    </row>
    <row r="106" ht="30" customHeight="1">
      <c r="A106" s="182" t="n">
        <v>105</v>
      </c>
      <c r="B106" s="182" t="n">
        <v>36</v>
      </c>
      <c r="C106" s="119" t="inlineStr">
        <is>
          <t xml:space="preserve">Αποσβέσεις ( Εξοπλισμού Διοίκησης και εγκαταστάσεων στην έδρα και αποθήκες ) </t>
        </is>
      </c>
      <c r="D106" s="192" t="n">
        <v>777.6700000000001</v>
      </c>
      <c r="E106" s="192" t="n">
        <v>777.6700000000001</v>
      </c>
      <c r="F106" s="192" t="n">
        <v>777.6700000000001</v>
      </c>
      <c r="G106" s="192" t="n">
        <v>777.6700000000001</v>
      </c>
      <c r="H106" s="192" t="n">
        <v>777.6700000000001</v>
      </c>
      <c r="I106" s="192" t="n">
        <v>777.6700000000001</v>
      </c>
      <c r="J106" s="192" t="n">
        <v>777.6700000000001</v>
      </c>
      <c r="K106" s="192" t="n">
        <v>777.6700000000001</v>
      </c>
      <c r="L106" s="192" t="n">
        <v>777.6700000000001</v>
      </c>
      <c r="M106" s="192" t="n">
        <v>777.6700000000001</v>
      </c>
      <c r="N106" s="192" t="n">
        <v>777.6700000000001</v>
      </c>
      <c r="O106" s="192" t="n">
        <v>777.6700000000001</v>
      </c>
      <c r="P106" s="193" t="n">
        <v>9332.040000000001</v>
      </c>
    </row>
    <row r="107" ht="24.95" customHeight="1">
      <c r="A107" s="182" t="n">
        <v>106</v>
      </c>
      <c r="B107" s="182" t="n">
        <v>37</v>
      </c>
      <c r="C107" s="119" t="inlineStr">
        <is>
          <t xml:space="preserve">Ασυνήθη έξοδα </t>
        </is>
      </c>
      <c r="D107" s="192" t="n">
        <v>1488.62</v>
      </c>
      <c r="E107" s="192" t="n">
        <v>109.66</v>
      </c>
      <c r="F107" s="192" t="n">
        <v>77.55</v>
      </c>
      <c r="G107" s="192" t="n">
        <v>98.51000000000001</v>
      </c>
      <c r="H107" s="192" t="n">
        <v>296.2</v>
      </c>
      <c r="I107" s="192" t="n">
        <v>0</v>
      </c>
      <c r="J107" s="192" t="n">
        <v>0</v>
      </c>
      <c r="K107" s="192" t="n">
        <v>0</v>
      </c>
      <c r="L107" s="192" t="n">
        <v>0</v>
      </c>
      <c r="M107" s="192" t="n">
        <v>0</v>
      </c>
      <c r="N107" s="192" t="n">
        <v>0</v>
      </c>
      <c r="O107" s="192" t="n">
        <v>0</v>
      </c>
      <c r="P107" s="193" t="n">
        <v>2070.54</v>
      </c>
    </row>
    <row r="108" ht="24.95" customHeight="1">
      <c r="A108" s="182" t="n">
        <v>107</v>
      </c>
      <c r="B108" s="182" t="n">
        <v>38</v>
      </c>
      <c r="C108" s="119" t="inlineStr">
        <is>
          <t>Πρόβλεψη Μσθοδοσίας</t>
        </is>
      </c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108</v>
      </c>
      <c r="B109" s="182" t="n">
        <v>39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>
        <v>0</v>
      </c>
    </row>
    <row r="110" ht="28.5" customHeight="1">
      <c r="A110" s="182" t="n">
        <v>109</v>
      </c>
      <c r="B110" s="182" t="n">
        <v>40</v>
      </c>
      <c r="C110" s="119" t="n"/>
      <c r="D110" s="194" t="n"/>
      <c r="E110" s="194" t="n"/>
      <c r="F110" s="194" t="n"/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3" t="n"/>
    </row>
    <row r="111" ht="27.75" customHeight="1">
      <c r="A111" s="189" t="n"/>
      <c r="B111" s="189" t="n"/>
      <c r="C111" s="190" t="inlineStr">
        <is>
          <t>ΣΥΝΟΛΟ ΕΞΟΔΩΝ</t>
        </is>
      </c>
      <c r="D111" s="191" t="n">
        <v>66040.54666666666</v>
      </c>
      <c r="E111" s="191" t="n">
        <v>53868.24666666667</v>
      </c>
      <c r="F111" s="191" t="n">
        <v>59703.10666666667</v>
      </c>
      <c r="G111" s="191" t="n">
        <v>72310.38666666666</v>
      </c>
      <c r="H111" s="191" t="n">
        <v>66144.78666666667</v>
      </c>
      <c r="I111" s="191" t="n">
        <v>8617.646666666667</v>
      </c>
      <c r="J111" s="191" t="n">
        <v>8617.646666666667</v>
      </c>
      <c r="K111" s="191" t="n">
        <v>8617.646666666667</v>
      </c>
      <c r="L111" s="191" t="n">
        <v>8617.646666666667</v>
      </c>
      <c r="M111" s="191" t="n">
        <v>8617.646666666667</v>
      </c>
      <c r="N111" s="191" t="n">
        <v>8617.646666666667</v>
      </c>
      <c r="O111" s="191" t="n">
        <v>8617.646666666667</v>
      </c>
      <c r="P111" s="191" t="n">
        <v>377211.0599999999</v>
      </c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P115" s="36" t="n"/>
    </row>
    <row r="116" ht="35.1" customHeight="1">
      <c r="C116" s="209" t="inlineStr">
        <is>
          <t>ΣΥΝΟΛΙΚΑ ΚΟΣΤΗ (ΑΜΕΣΟ,ΠΡΟΒΟΛΗΣ,ΔΙΟΙΚΗΣΗΣ)</t>
        </is>
      </c>
      <c r="D116" s="4" t="inlineStr">
        <is>
          <t>Ιανουάριος</t>
        </is>
      </c>
      <c r="E116" s="4" t="inlineStr">
        <is>
          <t xml:space="preserve"> Φεβρουάριος </t>
        </is>
      </c>
      <c r="F116" s="4" t="inlineStr">
        <is>
          <t xml:space="preserve">Μάρτιος </t>
        </is>
      </c>
      <c r="G116" s="4" t="inlineStr">
        <is>
          <t xml:space="preserve">Απρίλιος </t>
        </is>
      </c>
      <c r="H116" s="4" t="inlineStr">
        <is>
          <t xml:space="preserve">Μάιος </t>
        </is>
      </c>
      <c r="I116" s="4" t="inlineStr">
        <is>
          <t xml:space="preserve">Ιούνιος </t>
        </is>
      </c>
      <c r="J116" s="4" t="inlineStr">
        <is>
          <t xml:space="preserve">Ιούλιος </t>
        </is>
      </c>
      <c r="K116" s="4" t="inlineStr">
        <is>
          <t xml:space="preserve">Αύγουστος </t>
        </is>
      </c>
      <c r="L116" s="4" t="inlineStr">
        <is>
          <t xml:space="preserve">Σεπτέμβριος </t>
        </is>
      </c>
      <c r="M116" s="4" t="inlineStr">
        <is>
          <t xml:space="preserve">Οκτώβριος </t>
        </is>
      </c>
      <c r="N116" s="4" t="inlineStr">
        <is>
          <t xml:space="preserve">Νοέμβριος </t>
        </is>
      </c>
      <c r="O116" s="4" t="inlineStr">
        <is>
          <t xml:space="preserve">Δεκέμβριος </t>
        </is>
      </c>
      <c r="P116" s="44" t="inlineStr">
        <is>
          <t xml:space="preserve">Σύνολα </t>
        </is>
      </c>
    </row>
    <row r="117" ht="35.1" customHeight="1">
      <c r="C117" s="13" t="inlineStr">
        <is>
          <t>Μισθοδοσία (Μικτές Αποδοχές)</t>
        </is>
      </c>
      <c r="D117" s="40" t="n">
        <v>13333.46</v>
      </c>
      <c r="E117" s="40" t="n">
        <v>15549.14</v>
      </c>
      <c r="F117" s="40" t="n">
        <v>17737.93</v>
      </c>
      <c r="G117" s="40" t="n">
        <v>27393.14999999999</v>
      </c>
      <c r="H117" s="40" t="n">
        <v>20402.62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94416.29999999999</v>
      </c>
    </row>
    <row r="118" ht="35.1" customHeight="1">
      <c r="C118" s="13" t="inlineStr">
        <is>
          <t>Ασφαλιστικές εισφορές</t>
        </is>
      </c>
      <c r="D118" s="40" t="n">
        <v>2610.24</v>
      </c>
      <c r="E118" s="40" t="n">
        <v>2924.910000000001</v>
      </c>
      <c r="F118" s="40" t="n">
        <v>3552.76</v>
      </c>
      <c r="G118" s="40" t="n">
        <v>5382.759999999999</v>
      </c>
      <c r="H118" s="40" t="n">
        <v>3848.23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18318.9</v>
      </c>
    </row>
    <row r="119" ht="35.1" customHeight="1">
      <c r="C119" s="12" t="inlineStr">
        <is>
          <t>Ενοίκια</t>
        </is>
      </c>
      <c r="D119" s="40" t="n">
        <v>11227.92</v>
      </c>
      <c r="E119" s="40" t="n">
        <v>10979.37</v>
      </c>
      <c r="F119" s="40" t="n">
        <v>10998.27</v>
      </c>
      <c r="G119" s="40" t="n">
        <v>11756.87</v>
      </c>
      <c r="H119" s="40" t="n">
        <v>11756.87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56719.3</v>
      </c>
    </row>
    <row r="120" ht="35.1" customHeight="1">
      <c r="C120" s="12" t="inlineStr">
        <is>
          <t>Χαρτόσημο ενοικίων</t>
        </is>
      </c>
      <c r="D120" s="40" t="n">
        <v>396.63</v>
      </c>
      <c r="E120" s="40" t="n">
        <v>396.63</v>
      </c>
      <c r="F120" s="40" t="n">
        <v>396.63</v>
      </c>
      <c r="G120" s="40" t="n">
        <v>425.43</v>
      </c>
      <c r="H120" s="40" t="n">
        <v>425.43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2040.75</v>
      </c>
    </row>
    <row r="121" ht="35.1" customHeight="1">
      <c r="C121" s="12" t="inlineStr">
        <is>
          <t>Κοινόχρηστες Δαπάνες</t>
        </is>
      </c>
      <c r="D121" s="40" t="n">
        <v>359.46</v>
      </c>
      <c r="E121" s="40" t="n">
        <v>466.18</v>
      </c>
      <c r="F121" s="40" t="n">
        <v>1001.22</v>
      </c>
      <c r="G121" s="40" t="n">
        <v>545.7400000000001</v>
      </c>
      <c r="H121" s="40" t="n">
        <v>227.4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2600</v>
      </c>
    </row>
    <row r="122" ht="35.1" customHeight="1">
      <c r="C122" s="10" t="inlineStr">
        <is>
          <t xml:space="preserve">Ενέργεια </t>
        </is>
      </c>
      <c r="D122" s="40" t="n">
        <v>296.44</v>
      </c>
      <c r="E122" s="40" t="n">
        <v>1007.93</v>
      </c>
      <c r="F122" s="40" t="n">
        <v>1381.35</v>
      </c>
      <c r="G122" s="40" t="n">
        <v>685.42</v>
      </c>
      <c r="H122" s="40" t="n">
        <v>961.36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4332.5</v>
      </c>
    </row>
    <row r="123" ht="35.1" customHeight="1">
      <c r="C123" s="10" t="inlineStr">
        <is>
          <t>Φυσικό αέριο</t>
        </is>
      </c>
      <c r="D123" s="40" t="n">
        <v>0</v>
      </c>
      <c r="E123" s="40" t="n">
        <v>66.64</v>
      </c>
      <c r="F123" s="40" t="n">
        <v>656.0500000000001</v>
      </c>
      <c r="G123" s="40" t="n">
        <v>0</v>
      </c>
      <c r="H123" s="40" t="n">
        <v>356.39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1079.08</v>
      </c>
    </row>
    <row r="124" ht="35.1" customHeight="1">
      <c r="C124" s="10" t="inlineStr">
        <is>
          <t xml:space="preserve">Τηλεπικοινωνίες (Τηλεφωνία &amp; Διαδίκτυο) </t>
        </is>
      </c>
      <c r="D124" s="40" t="n">
        <v>354.51</v>
      </c>
      <c r="E124" s="40" t="n">
        <v>723.83</v>
      </c>
      <c r="F124" s="40" t="n">
        <v>649.05</v>
      </c>
      <c r="G124" s="40" t="n">
        <v>714.74</v>
      </c>
      <c r="H124" s="40" t="n">
        <v>718.96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3161.09</v>
      </c>
    </row>
    <row r="125" ht="47.25" customHeight="1">
      <c r="C125" s="10" t="inlineStr">
        <is>
          <t xml:space="preserve">Ύδρευση </t>
        </is>
      </c>
      <c r="D125" s="40" t="n">
        <v>1.57</v>
      </c>
      <c r="E125" s="40" t="n">
        <v>82.11999999999999</v>
      </c>
      <c r="F125" s="40" t="n">
        <v>13.01</v>
      </c>
      <c r="G125" s="40" t="n">
        <v>43.87</v>
      </c>
      <c r="H125" s="40" t="n">
        <v>172.11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312.68</v>
      </c>
    </row>
    <row r="126" ht="47.25" customHeight="1">
      <c r="C126" s="10" t="inlineStr">
        <is>
          <t xml:space="preserve">Ασφάλιστρα </t>
        </is>
      </c>
      <c r="D126" s="40" t="n">
        <v>4005.45</v>
      </c>
      <c r="E126" s="40" t="n">
        <v>0</v>
      </c>
      <c r="F126" s="40" t="n">
        <v>0</v>
      </c>
      <c r="G126" s="40" t="n">
        <v>74.5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  <c r="M126" s="40" t="n">
        <v>0</v>
      </c>
      <c r="N126" s="40" t="n">
        <v>0</v>
      </c>
      <c r="O126" s="40" t="n">
        <v>0</v>
      </c>
      <c r="P126" s="45" t="n">
        <v>4079.95</v>
      </c>
    </row>
    <row r="127" ht="47.25" customHeight="1">
      <c r="C127" s="29" t="inlineStr">
        <is>
          <t>Αναλώσιμα (Τρόφιμα, Έντυπα &amp; γραφ. Ύλη, Υλικά καθαριότητας, Υλικά φαρμακείου, Διάφορα)</t>
        </is>
      </c>
      <c r="D127" s="41" t="n">
        <v>280.08</v>
      </c>
      <c r="E127" s="41" t="n">
        <v>647.8099999999999</v>
      </c>
      <c r="F127" s="41" t="n">
        <v>197.7</v>
      </c>
      <c r="G127" s="41" t="n">
        <v>139.63</v>
      </c>
      <c r="H127" s="41" t="n">
        <v>928.1099999999999</v>
      </c>
      <c r="I127" s="41" t="n">
        <v>0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n">
        <v>0</v>
      </c>
      <c r="O127" s="41" t="n">
        <v>0</v>
      </c>
      <c r="P127" s="45" t="n">
        <v>2193.33</v>
      </c>
    </row>
    <row r="128" ht="47.25" customHeight="1">
      <c r="C128" s="29" t="inlineStr">
        <is>
          <t>Aναλώσιμα που κατανεμήθηκαν στις Επισκευές-Συντηρήσεις</t>
        </is>
      </c>
      <c r="D128" s="37" t="n"/>
      <c r="E128" s="37" t="n"/>
      <c r="F128" s="37" t="n"/>
      <c r="G128" s="37" t="n"/>
      <c r="H128" s="37" t="n"/>
      <c r="I128" s="37" t="n"/>
      <c r="J128" s="38" t="n"/>
      <c r="K128" s="37" t="n"/>
      <c r="L128" s="37" t="n"/>
      <c r="M128" s="37" t="n"/>
      <c r="N128" s="37" t="n"/>
      <c r="O128" s="35" t="n"/>
      <c r="P128" s="45" t="n">
        <v>0</v>
      </c>
    </row>
    <row r="129" ht="35.1" customHeight="1">
      <c r="C129" s="29" t="inlineStr">
        <is>
          <t>Aναλώσιμα που κατανεμήθηκαν στα Έξοδα προβολής και διαφήμισης</t>
        </is>
      </c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27" t="n"/>
      <c r="P129" s="45" t="n">
        <v>0</v>
      </c>
    </row>
    <row r="130" ht="35.1" customHeight="1">
      <c r="C130" s="29" t="inlineStr">
        <is>
          <t>Υπηρεσίες διατακτικών που κατανεμήθηκαν στις Αμοιβές Τρίτων</t>
        </is>
      </c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45" t="n">
        <v>0</v>
      </c>
    </row>
    <row r="131" ht="35.1" customHeight="1">
      <c r="C131" s="14" t="inlineStr">
        <is>
          <t xml:space="preserve">Αμοιβές Συνεργατών-Τρίτων </t>
        </is>
      </c>
      <c r="D131" s="40" t="n">
        <v>18957.99</v>
      </c>
      <c r="E131" s="40" t="n">
        <v>7163.59</v>
      </c>
      <c r="F131" s="40" t="n">
        <v>10072.82</v>
      </c>
      <c r="G131" s="40" t="n">
        <v>9740.709999999999</v>
      </c>
      <c r="H131" s="40" t="n">
        <v>9179.1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55114.21</v>
      </c>
    </row>
    <row r="132" ht="41.25" customHeight="1">
      <c r="C132" s="30" t="inlineStr">
        <is>
          <t>Αμοιβές Τρίτων ( Καθαριστήριο και άλλα άμεσα έξοδα )</t>
        </is>
      </c>
      <c r="D132" s="40" t="n">
        <v>684.1</v>
      </c>
      <c r="E132" s="40" t="n">
        <v>577.27</v>
      </c>
      <c r="F132" s="40" t="n">
        <v>982.5700000000001</v>
      </c>
      <c r="G132" s="40" t="n">
        <v>1736.58</v>
      </c>
      <c r="H132" s="40" t="n">
        <v>2013.94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5994.46</v>
      </c>
    </row>
    <row r="133" ht="35.1" customHeight="1">
      <c r="C133" s="10" t="inlineStr">
        <is>
          <t>Επισκευές - Συντηρήσεις</t>
        </is>
      </c>
      <c r="D133" s="40" t="n">
        <v>234.05</v>
      </c>
      <c r="E133" s="40" t="n">
        <v>934.62</v>
      </c>
      <c r="F133" s="40" t="n">
        <v>627.01</v>
      </c>
      <c r="G133" s="40" t="n">
        <v>407.04</v>
      </c>
      <c r="H133" s="40" t="n">
        <v>1659.19</v>
      </c>
      <c r="I133" s="40" t="n">
        <v>0</v>
      </c>
      <c r="J133" s="40" t="n">
        <v>0</v>
      </c>
      <c r="K133" s="40" t="n">
        <v>0</v>
      </c>
      <c r="L133" s="40" t="n">
        <v>0</v>
      </c>
      <c r="M133" s="40" t="n">
        <v>0</v>
      </c>
      <c r="N133" s="40" t="n">
        <v>0</v>
      </c>
      <c r="O133" s="40" t="n">
        <v>0</v>
      </c>
      <c r="P133" s="45" t="n">
        <v>3861.91</v>
      </c>
    </row>
    <row r="134" ht="35.1" customHeight="1">
      <c r="C134" s="17" t="inlineStr">
        <is>
          <t>Εξοδα προβολής και διαφήμισης που κατανεμήθηκαν στις Αμοιβές συνεργατών</t>
        </is>
      </c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5" t="n">
        <v>0</v>
      </c>
    </row>
    <row r="135" ht="35.1" customHeight="1">
      <c r="C135" s="12" t="inlineStr">
        <is>
          <t xml:space="preserve">Εξοδα προβολής και διαφήμισης </t>
        </is>
      </c>
      <c r="D135" s="40" t="n">
        <v>1041.47</v>
      </c>
      <c r="E135" s="40" t="n">
        <v>1078.45</v>
      </c>
      <c r="F135" s="40" t="n">
        <v>69.98999999999999</v>
      </c>
      <c r="G135" s="40" t="n">
        <v>83.83</v>
      </c>
      <c r="H135" s="40" t="n">
        <v>271.73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2545.47</v>
      </c>
    </row>
    <row r="136" ht="35.1" customHeight="1">
      <c r="C136" s="10" t="inlineStr">
        <is>
          <t>Έξοδα μεταφορών</t>
        </is>
      </c>
      <c r="D136" s="40" t="n">
        <v>62.44</v>
      </c>
      <c r="E136" s="40" t="n">
        <v>82.97</v>
      </c>
      <c r="F136" s="40" t="n">
        <v>68.77</v>
      </c>
      <c r="G136" s="40" t="n">
        <v>65.22</v>
      </c>
      <c r="H136" s="40" t="n">
        <v>66.34999999999999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345.75</v>
      </c>
    </row>
    <row r="137" ht="35.1" customHeight="1">
      <c r="C137" s="10" t="inlineStr">
        <is>
          <t>Φόροι και τέλη</t>
        </is>
      </c>
      <c r="D137" s="40" t="n">
        <v>499.48</v>
      </c>
      <c r="E137" s="40" t="n">
        <v>725.34</v>
      </c>
      <c r="F137" s="40" t="n">
        <v>606.23</v>
      </c>
      <c r="G137" s="40" t="n">
        <v>1130.75</v>
      </c>
      <c r="H137" s="40" t="n">
        <v>1175.57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4137.37</v>
      </c>
    </row>
    <row r="138" ht="35.1" customHeight="1">
      <c r="C138" s="11" t="inlineStr">
        <is>
          <t xml:space="preserve">Λοιπά Διάφορα έξοδα </t>
        </is>
      </c>
      <c r="D138" s="40" t="n">
        <v>613.27</v>
      </c>
      <c r="E138" s="40" t="n">
        <v>521.88</v>
      </c>
      <c r="F138" s="40" t="n">
        <v>425.62</v>
      </c>
      <c r="G138" s="40" t="n">
        <v>766.9299999999999</v>
      </c>
      <c r="H138" s="40" t="n">
        <v>65.72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2393.42</v>
      </c>
    </row>
    <row r="139" ht="35.1" customHeight="1">
      <c r="C139" s="11" t="inlineStr">
        <is>
          <t>Έξοδα ταξιδίων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 xml:space="preserve">Τόκοι και συναφή εξοδα </t>
        </is>
      </c>
      <c r="D140" s="40" t="n"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  <c r="O140" s="40" t="n">
        <v>0</v>
      </c>
      <c r="P140" s="45" t="n">
        <v>0</v>
      </c>
    </row>
    <row r="141" ht="34.5" customHeight="1">
      <c r="C141" s="11" t="inlineStr">
        <is>
          <t>Αποσβέσεις</t>
        </is>
      </c>
      <c r="D141" s="40" t="n">
        <v>7839.976666666667</v>
      </c>
      <c r="E141" s="40" t="n">
        <v>7839.976666666667</v>
      </c>
      <c r="F141" s="40" t="n">
        <v>7839.976666666667</v>
      </c>
      <c r="G141" s="40" t="n">
        <v>7839.976666666667</v>
      </c>
      <c r="H141" s="40" t="n">
        <v>7839.976666666667</v>
      </c>
      <c r="I141" s="40" t="n">
        <v>7839.976666666667</v>
      </c>
      <c r="J141" s="40" t="n">
        <v>7839.976666666667</v>
      </c>
      <c r="K141" s="40" t="n">
        <v>7839.976666666667</v>
      </c>
      <c r="L141" s="40" t="n">
        <v>7839.976666666667</v>
      </c>
      <c r="M141" s="40" t="n">
        <v>7839.976666666667</v>
      </c>
      <c r="N141" s="40" t="n">
        <v>7839.976666666667</v>
      </c>
      <c r="O141" s="40" t="n">
        <v>7839.976666666667</v>
      </c>
      <c r="P141" s="45" t="n">
        <v>94079.72000000002</v>
      </c>
    </row>
    <row r="142" ht="31.5" customHeight="1">
      <c r="C142" s="11" t="inlineStr">
        <is>
          <t xml:space="preserve">Ασυνήθη έξοδα </t>
        </is>
      </c>
      <c r="D142" s="40" t="n">
        <v>1488.62</v>
      </c>
      <c r="E142" s="40" t="n">
        <v>109.66</v>
      </c>
      <c r="F142" s="40" t="n">
        <v>77.55</v>
      </c>
      <c r="G142" s="40" t="n">
        <v>98.51000000000001</v>
      </c>
      <c r="H142" s="40" t="n">
        <v>296.2</v>
      </c>
      <c r="I142" s="40" t="n">
        <v>0</v>
      </c>
      <c r="J142" s="40" t="n">
        <v>0</v>
      </c>
      <c r="K142" s="40" t="n">
        <v>0</v>
      </c>
      <c r="L142" s="40" t="n">
        <v>0</v>
      </c>
      <c r="M142" s="40" t="n">
        <v>0</v>
      </c>
      <c r="N142" s="40" t="n">
        <v>0</v>
      </c>
      <c r="O142" s="40" t="n">
        <v>0</v>
      </c>
      <c r="P142" s="45" t="n">
        <v>2070.54</v>
      </c>
    </row>
    <row r="143" ht="31.5" customHeight="1">
      <c r="C143" s="12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5" t="n">
        <v>0</v>
      </c>
    </row>
    <row r="144" ht="31.5" customHeight="1">
      <c r="C144" s="16" t="inlineStr">
        <is>
          <t>ΣΥΝΟΛΟ ΑΝΑ ΜΗΝΑ</t>
        </is>
      </c>
      <c r="D144" s="62" t="n">
        <v>64287.15666666668</v>
      </c>
      <c r="E144" s="62" t="n">
        <v>51878.31666666667</v>
      </c>
      <c r="F144" s="62" t="n">
        <v>57354.50666666668</v>
      </c>
      <c r="G144" s="62" t="n">
        <v>69031.65666666666</v>
      </c>
      <c r="H144" s="62" t="n">
        <v>62365.25666666668</v>
      </c>
      <c r="I144" s="62" t="n">
        <v>7839.976666666667</v>
      </c>
      <c r="J144" s="62" t="n">
        <v>7839.976666666667</v>
      </c>
      <c r="K144" s="62" t="n">
        <v>7839.976666666667</v>
      </c>
      <c r="L144" s="62" t="n">
        <v>7839.976666666667</v>
      </c>
      <c r="M144" s="62" t="n">
        <v>7839.976666666667</v>
      </c>
      <c r="N144" s="62" t="n">
        <v>7839.976666666667</v>
      </c>
      <c r="O144" s="62" t="n">
        <v>7839.976666666667</v>
      </c>
      <c r="P144" s="45" t="n">
        <v>359796.7300000002</v>
      </c>
    </row>
    <row r="145" ht="42" customHeight="1">
      <c r="C145" s="16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5" t="n"/>
    </row>
    <row r="146" ht="15" customHeight="1">
      <c r="C146" s="16" t="inlineStr">
        <is>
          <t>ΣΥΝΟΛΟ ΑΝΑ ΜΗΝΑ ΜΙΣΘΟΔΟΣΙΑ</t>
        </is>
      </c>
      <c r="D146" s="40" t="n">
        <v>15943.7</v>
      </c>
      <c r="E146" s="40" t="n">
        <v>18474.05</v>
      </c>
      <c r="F146" s="40" t="n">
        <v>21290.69</v>
      </c>
      <c r="G146" s="40" t="n">
        <v>32775.91</v>
      </c>
      <c r="H146" s="40" t="n">
        <v>24250.85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112735.2</v>
      </c>
    </row>
    <row r="147" ht="30" customHeight="1">
      <c r="C147" s="17" t="inlineStr">
        <is>
          <t>ΣΥΝΟΛΟ ΑΝΑ ΜΗΝΑ ΛΕΙΤΟΥΡΓΙΚΑ ΕΞΟΔΑ</t>
        </is>
      </c>
      <c r="D147" s="40" t="n">
        <v>39014.86000000001</v>
      </c>
      <c r="E147" s="40" t="n">
        <v>25454.63</v>
      </c>
      <c r="F147" s="40" t="n">
        <v>28146.29</v>
      </c>
      <c r="G147" s="40" t="n">
        <v>28317.26</v>
      </c>
      <c r="H147" s="40" t="n">
        <v>29978.23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  <c r="O147" s="40" t="n">
        <v>0</v>
      </c>
      <c r="P147" s="45" t="n">
        <v>150911.27</v>
      </c>
    </row>
    <row r="148" ht="21.75" customHeight="1">
      <c r="C148" s="7" t="inlineStr">
        <is>
          <t xml:space="preserve">Διαφορές Συνόλου </t>
        </is>
      </c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P152" s="48" t="n"/>
    </row>
    <row r="153" ht="24.95" customHeight="1">
      <c r="B153" s="20" t="n"/>
      <c r="C153" s="21" t="n"/>
      <c r="D153" s="22" t="inlineStr">
        <is>
          <t>Ιανουάριος</t>
        </is>
      </c>
      <c r="E153" s="32" t="inlineStr">
        <is>
          <t xml:space="preserve"> Φεβρουάριος </t>
        </is>
      </c>
      <c r="F153" s="23" t="inlineStr">
        <is>
          <t xml:space="preserve">Μάρτιος </t>
        </is>
      </c>
      <c r="G153" s="23" t="inlineStr">
        <is>
          <t xml:space="preserve">Απρίλιος </t>
        </is>
      </c>
      <c r="H153" s="23" t="inlineStr">
        <is>
          <t xml:space="preserve">Μάιος </t>
        </is>
      </c>
      <c r="I153" s="23" t="inlineStr">
        <is>
          <t xml:space="preserve">Ιούνιος </t>
        </is>
      </c>
      <c r="J153" s="23" t="inlineStr">
        <is>
          <t xml:space="preserve">Ιούλιος </t>
        </is>
      </c>
      <c r="K153" s="23" t="inlineStr">
        <is>
          <t xml:space="preserve">Αύγουστος </t>
        </is>
      </c>
      <c r="L153" s="23" t="inlineStr">
        <is>
          <t xml:space="preserve">Σεπτέμβριος </t>
        </is>
      </c>
      <c r="M153" s="23" t="inlineStr">
        <is>
          <t xml:space="preserve">Οκτώβριος </t>
        </is>
      </c>
      <c r="N153" s="23" t="inlineStr">
        <is>
          <t xml:space="preserve">Νοέμβριος </t>
        </is>
      </c>
      <c r="O153" s="23" t="inlineStr">
        <is>
          <t xml:space="preserve">Δεκέμβριος </t>
        </is>
      </c>
      <c r="P153" s="46" t="inlineStr">
        <is>
          <t xml:space="preserve">Σύνολα </t>
        </is>
      </c>
    </row>
    <row r="154" ht="24.95" customHeight="1">
      <c r="B154" s="207" t="inlineStr">
        <is>
          <t>6***</t>
        </is>
      </c>
      <c r="C154" s="208" t="inlineStr">
        <is>
          <t>ΟΜΑΔΑ 6.</t>
        </is>
      </c>
      <c r="D154" s="40" t="n">
        <v>56481.53</v>
      </c>
      <c r="E154" s="40" t="n">
        <v>44286.89000000001</v>
      </c>
      <c r="F154" s="40" t="n">
        <v>49763.08000000001</v>
      </c>
      <c r="G154" s="40" t="n">
        <v>61406.48000000001</v>
      </c>
      <c r="H154" s="40" t="n">
        <v>57459.9</v>
      </c>
      <c r="I154" s="40" t="n">
        <v>0</v>
      </c>
      <c r="J154" s="40" t="n">
        <v>0</v>
      </c>
      <c r="K154" s="40" t="n">
        <v>0</v>
      </c>
      <c r="L154" s="40" t="n">
        <v>0</v>
      </c>
      <c r="M154" s="40" t="n">
        <v>0</v>
      </c>
      <c r="N154" s="40" t="n">
        <v>0</v>
      </c>
      <c r="O154" s="40" t="n">
        <v>0</v>
      </c>
      <c r="P154" s="45" t="n">
        <v>269397.8800000001</v>
      </c>
    </row>
    <row r="155" ht="24.95" customHeight="1">
      <c r="B155" s="18" t="n">
        <v>60</v>
      </c>
      <c r="C155" s="24" t="inlineStr">
        <is>
          <t>Παροχές σε εργαζόμενους</t>
        </is>
      </c>
      <c r="D155" s="27" t="n">
        <v>15943.7</v>
      </c>
      <c r="E155" s="27" t="n">
        <v>18544.05</v>
      </c>
      <c r="F155" s="27" t="n">
        <v>21290.69</v>
      </c>
      <c r="G155" s="27" t="n">
        <v>32775.91</v>
      </c>
      <c r="H155" s="27" t="n">
        <v>25215.85</v>
      </c>
      <c r="I155" s="27" t="n">
        <v>0</v>
      </c>
      <c r="J155" s="27" t="n">
        <v>0</v>
      </c>
      <c r="K155" s="27" t="n">
        <v>0</v>
      </c>
      <c r="L155" s="27" t="n">
        <v>0</v>
      </c>
      <c r="M155" s="27" t="n">
        <v>0</v>
      </c>
      <c r="N155" s="27" t="n">
        <v>0</v>
      </c>
      <c r="O155" s="27" t="n">
        <v>0</v>
      </c>
      <c r="P155" s="45" t="n">
        <v>113770.2</v>
      </c>
    </row>
    <row r="156" ht="24.95" customHeight="1">
      <c r="B156" s="18" t="n"/>
      <c r="C156" s="24" t="n"/>
      <c r="D156" s="27" t="n"/>
      <c r="E156" s="27" t="n"/>
      <c r="F156" s="25" t="n"/>
      <c r="G156" s="25" t="n"/>
      <c r="H156" s="25" t="n"/>
      <c r="I156" s="25" t="n"/>
      <c r="J156" s="25" t="n"/>
      <c r="K156" s="19" t="n"/>
      <c r="L156" s="25" t="n"/>
      <c r="M156" s="34" t="n"/>
      <c r="N156" s="33" t="n"/>
      <c r="O156" s="19" t="n"/>
      <c r="P156" s="47" t="n"/>
    </row>
    <row r="157" ht="24.95" customHeight="1">
      <c r="B157" s="18" t="n">
        <v>64</v>
      </c>
      <c r="C157" s="24" t="inlineStr">
        <is>
          <t>Διάφορα λειτουργικά έξοδα</t>
        </is>
      </c>
      <c r="D157" s="40" t="n">
        <v>38435.94</v>
      </c>
      <c r="E157" s="40" t="n">
        <v>25111.3</v>
      </c>
      <c r="F157" s="40" t="n">
        <v>27969.22</v>
      </c>
      <c r="G157" s="40" t="n">
        <v>27765.13</v>
      </c>
      <c r="H157" s="40" t="n">
        <v>31355.75</v>
      </c>
      <c r="I157" s="40" t="n">
        <v>0</v>
      </c>
      <c r="J157" s="40" t="n">
        <v>0</v>
      </c>
      <c r="K157" s="40" t="n">
        <v>0</v>
      </c>
      <c r="L157" s="40" t="n">
        <v>0</v>
      </c>
      <c r="M157" s="40" t="n">
        <v>0</v>
      </c>
      <c r="N157" s="40" t="n">
        <v>0</v>
      </c>
      <c r="O157" s="40" t="n">
        <v>0</v>
      </c>
      <c r="P157" s="45" t="n">
        <v>150637.34</v>
      </c>
    </row>
    <row r="158" ht="24.95" customHeight="1">
      <c r="B158" s="15" t="inlineStr">
        <is>
          <t>64.01</t>
        </is>
      </c>
      <c r="C158" s="21" t="inlineStr">
        <is>
          <t>Αμοιβές για υπηρεσίες</t>
        </is>
      </c>
      <c r="D158" s="26" t="n">
        <v>18992.34</v>
      </c>
      <c r="E158" s="26" t="n">
        <v>7093.59</v>
      </c>
      <c r="F158" s="26" t="n">
        <v>10072.82</v>
      </c>
      <c r="G158" s="26" t="n">
        <v>9740.709999999999</v>
      </c>
      <c r="H158" s="26" t="n">
        <v>10214.14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56113.6</v>
      </c>
    </row>
    <row r="159" ht="24.95" customHeight="1">
      <c r="B159" s="15" t="inlineStr">
        <is>
          <t>64.02</t>
        </is>
      </c>
      <c r="C159" s="21" t="inlineStr">
        <is>
          <t>Ενέργεια</t>
        </is>
      </c>
      <c r="D159" s="26" t="n">
        <v>296.44</v>
      </c>
      <c r="E159" s="26" t="n">
        <v>1074.57</v>
      </c>
      <c r="F159" s="26" t="n">
        <v>2037.4</v>
      </c>
      <c r="G159" s="26" t="n">
        <v>685.42</v>
      </c>
      <c r="H159" s="26" t="n">
        <v>1317.75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5411.58</v>
      </c>
    </row>
    <row r="160" ht="24.95" customHeight="1">
      <c r="B160" s="15" t="inlineStr">
        <is>
          <t>64.03</t>
        </is>
      </c>
      <c r="C160" s="21" t="inlineStr">
        <is>
          <t>Ύδρευση</t>
        </is>
      </c>
      <c r="D160" s="26" t="n">
        <v>1.57</v>
      </c>
      <c r="E160" s="26" t="n">
        <v>82.12</v>
      </c>
      <c r="F160" s="26" t="n">
        <v>13.01</v>
      </c>
      <c r="G160" s="26" t="n">
        <v>43.87</v>
      </c>
      <c r="H160" s="26" t="n">
        <v>277.04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417.61</v>
      </c>
    </row>
    <row r="161" ht="24.95" customHeight="1">
      <c r="B161" s="15" t="inlineStr">
        <is>
          <t>64.04</t>
        </is>
      </c>
      <c r="C161" s="21" t="inlineStr">
        <is>
          <t>Τηλεπικοινωνίες</t>
        </is>
      </c>
      <c r="D161" s="26" t="n">
        <v>354.51</v>
      </c>
      <c r="E161" s="26" t="n">
        <v>723.83</v>
      </c>
      <c r="F161" s="26" t="n">
        <v>649.05</v>
      </c>
      <c r="G161" s="26" t="n">
        <v>714.74</v>
      </c>
      <c r="H161" s="26" t="n">
        <v>694.6900000000001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3136.82</v>
      </c>
    </row>
    <row r="162" ht="24.95" customHeight="1">
      <c r="B162" s="15" t="inlineStr">
        <is>
          <t>64.05</t>
        </is>
      </c>
      <c r="C162" s="21" t="inlineStr">
        <is>
          <t>Ενοίκια</t>
        </is>
      </c>
      <c r="D162" s="26" t="n">
        <v>11227.92</v>
      </c>
      <c r="E162" s="26" t="n">
        <v>11227.92</v>
      </c>
      <c r="F162" s="26" t="n">
        <v>11246.82</v>
      </c>
      <c r="G162" s="26" t="n">
        <v>12005.42</v>
      </c>
      <c r="H162" s="26" t="n">
        <v>12005.42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57713.5</v>
      </c>
    </row>
    <row r="163" ht="24.95" customHeight="1">
      <c r="B163" s="15" t="inlineStr">
        <is>
          <t>64.06</t>
        </is>
      </c>
      <c r="C163" s="21" t="inlineStr">
        <is>
          <t>Ασφάλιστρα</t>
        </is>
      </c>
      <c r="D163" s="26" t="n">
        <v>4005.45</v>
      </c>
      <c r="E163" s="26" t="n">
        <v>0</v>
      </c>
      <c r="F163" s="26" t="n">
        <v>0</v>
      </c>
      <c r="G163" s="26" t="n">
        <v>74.5</v>
      </c>
      <c r="H163" s="26" t="n">
        <v>0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4079.95</v>
      </c>
    </row>
    <row r="164" ht="24.95" customHeight="1">
      <c r="B164" s="20" t="inlineStr">
        <is>
          <t>64.07</t>
        </is>
      </c>
      <c r="C164" s="21" t="inlineStr">
        <is>
          <t>Μεταφορικά</t>
        </is>
      </c>
      <c r="D164" s="26" t="n">
        <v>62.44</v>
      </c>
      <c r="E164" s="26" t="n">
        <v>82.97</v>
      </c>
      <c r="F164" s="26" t="n">
        <v>68.77</v>
      </c>
      <c r="G164" s="26" t="n">
        <v>65.22</v>
      </c>
      <c r="H164" s="26" t="n">
        <v>66.34999999999999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345.75</v>
      </c>
    </row>
    <row r="165" ht="24.95" customHeight="1">
      <c r="B165" s="20" t="inlineStr">
        <is>
          <t>64.08</t>
        </is>
      </c>
      <c r="C165" s="21" t="inlineStr">
        <is>
          <t>Αναλώσιμα</t>
        </is>
      </c>
      <c r="D165" s="26" t="n">
        <v>280.08</v>
      </c>
      <c r="E165" s="26" t="n">
        <v>647.8099999999999</v>
      </c>
      <c r="F165" s="26" t="n">
        <v>197.7</v>
      </c>
      <c r="G165" s="26" t="n">
        <v>139.63</v>
      </c>
      <c r="H165" s="26" t="n">
        <v>982.04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2247.26</v>
      </c>
    </row>
    <row r="166" ht="24.95" customHeight="1">
      <c r="B166" s="20" t="inlineStr">
        <is>
          <t>64.09</t>
        </is>
      </c>
      <c r="C166" s="21" t="inlineStr">
        <is>
          <t>Επισκευές και συντηρήσεις</t>
        </is>
      </c>
      <c r="D166" s="26" t="n">
        <v>918.15</v>
      </c>
      <c r="E166" s="26" t="n">
        <v>1511.89</v>
      </c>
      <c r="F166" s="26" t="n">
        <v>1609.58</v>
      </c>
      <c r="G166" s="26" t="n">
        <v>2143.62</v>
      </c>
      <c r="H166" s="26" t="n">
        <v>3673.13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9856.369999999999</v>
      </c>
    </row>
    <row r="167" ht="24.95" customHeight="1">
      <c r="B167" s="20" t="inlineStr">
        <is>
          <t>64.10</t>
        </is>
      </c>
      <c r="C167" s="21" t="inlineStr">
        <is>
          <t>Διαφήμιση και προβολή</t>
        </is>
      </c>
      <c r="D167" s="26" t="n">
        <v>1041.47</v>
      </c>
      <c r="E167" s="26" t="n">
        <v>1078.45</v>
      </c>
      <c r="F167" s="26" t="n">
        <v>69.98999999999999</v>
      </c>
      <c r="G167" s="26" t="n">
        <v>83.83</v>
      </c>
      <c r="H167" s="26" t="n">
        <v>271.73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2545.47</v>
      </c>
    </row>
    <row r="168" ht="24.95" customHeight="1">
      <c r="B168" s="20" t="inlineStr">
        <is>
          <t>64.11</t>
        </is>
      </c>
      <c r="C168" s="21" t="inlineStr">
        <is>
          <t>Φόροι και τέλη (πλην φόρου εισοδήματος)</t>
        </is>
      </c>
      <c r="D168" s="26" t="n">
        <v>896.11</v>
      </c>
      <c r="E168" s="26" t="n">
        <v>1121.97</v>
      </c>
      <c r="F168" s="26" t="n">
        <v>1002.86</v>
      </c>
      <c r="G168" s="26" t="n">
        <v>1556.18</v>
      </c>
      <c r="H168" s="26" t="n">
        <v>1601.63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6178.75</v>
      </c>
    </row>
    <row r="169" ht="20.1" customHeight="1">
      <c r="B169" s="20" t="inlineStr">
        <is>
          <t>64.12</t>
        </is>
      </c>
      <c r="C169" s="21" t="inlineStr">
        <is>
          <t>Λοιπά έξοδα</t>
        </is>
      </c>
      <c r="D169" s="26" t="n">
        <v>359.46</v>
      </c>
      <c r="E169" s="26" t="n">
        <v>466.18</v>
      </c>
      <c r="F169" s="26" t="n">
        <v>1001.22</v>
      </c>
      <c r="G169" s="26" t="n">
        <v>511.99</v>
      </c>
      <c r="H169" s="26" t="n">
        <v>251.83</v>
      </c>
      <c r="I169" s="26" t="n">
        <v>0</v>
      </c>
      <c r="J169" s="26" t="n">
        <v>0</v>
      </c>
      <c r="K169" s="26" t="n">
        <v>0</v>
      </c>
      <c r="L169" s="26" t="n">
        <v>0</v>
      </c>
      <c r="M169" s="26" t="n">
        <v>0</v>
      </c>
      <c r="N169" s="26" t="n">
        <v>0</v>
      </c>
      <c r="O169" s="26" t="n">
        <v>0</v>
      </c>
      <c r="P169" s="45" t="n">
        <v>2590.68</v>
      </c>
    </row>
    <row r="170" ht="20.1" customHeight="1">
      <c r="B170" s="20" t="inlineStr">
        <is>
          <t>64.14</t>
        </is>
      </c>
      <c r="C170" s="21" t="inlineStr">
        <is>
          <t>Έξοδα ταξιδίων</t>
        </is>
      </c>
      <c r="D170" s="25" t="n">
        <v>0</v>
      </c>
      <c r="E170" s="25" t="n">
        <v>0</v>
      </c>
      <c r="F170" s="25" t="n">
        <v>0</v>
      </c>
      <c r="G170" s="25" t="n">
        <v>0</v>
      </c>
      <c r="H170" s="25" t="n">
        <v>0</v>
      </c>
      <c r="I170" s="25" t="n">
        <v>0</v>
      </c>
      <c r="J170" s="25" t="n">
        <v>0</v>
      </c>
      <c r="K170" s="25" t="n">
        <v>0</v>
      </c>
      <c r="L170" s="25" t="n">
        <v>0</v>
      </c>
      <c r="M170" s="25" t="n">
        <v>0</v>
      </c>
      <c r="N170" s="25" t="n">
        <v>0</v>
      </c>
      <c r="O170" s="25" t="n">
        <v>0</v>
      </c>
      <c r="P170" s="45" t="n">
        <v>0</v>
      </c>
    </row>
    <row r="171" ht="20.1" customHeight="1">
      <c r="B171" s="9" t="n"/>
      <c r="C171" s="12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 ht="20.1" customHeight="1">
      <c r="B172" s="31" t="n">
        <v>65</v>
      </c>
      <c r="C172" s="21" t="inlineStr">
        <is>
          <t>Χρεωστικοί τόκοι και συναφή έξοδα</t>
        </is>
      </c>
      <c r="D172" s="26" t="n">
        <v>613.27</v>
      </c>
      <c r="E172" s="26" t="n">
        <v>521.88</v>
      </c>
      <c r="F172" s="26" t="n">
        <v>425.62</v>
      </c>
      <c r="G172" s="26" t="n">
        <v>766.9299999999999</v>
      </c>
      <c r="H172" s="26" t="n">
        <v>501.95</v>
      </c>
      <c r="I172" s="26" t="n">
        <v>0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0</v>
      </c>
      <c r="P172" s="49" t="n">
        <v>2829.65</v>
      </c>
    </row>
    <row r="173" ht="20.1" customHeight="1">
      <c r="B173" s="9" t="n"/>
      <c r="C173" s="12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8" t="n"/>
    </row>
    <row r="174" ht="15.75" customHeight="1">
      <c r="B174" s="31" t="n">
        <v>67</v>
      </c>
      <c r="C174" s="21" t="inlineStr">
        <is>
          <t>Ασυνηθη έξοδα, ζημιές και πρόστιμα</t>
        </is>
      </c>
      <c r="D174" s="26" t="n">
        <v>1488.62</v>
      </c>
      <c r="E174" s="26" t="n">
        <v>109.66</v>
      </c>
      <c r="F174" s="26" t="n">
        <v>77.55</v>
      </c>
      <c r="G174" s="26" t="n">
        <v>98.51000000000001</v>
      </c>
      <c r="H174" s="26" t="n">
        <v>386.35</v>
      </c>
      <c r="I174" s="26" t="n">
        <v>0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0</v>
      </c>
      <c r="O174" s="26" t="n">
        <v>0</v>
      </c>
      <c r="P174" s="49" t="n">
        <v>2160.69</v>
      </c>
    </row>
    <row r="175">
      <c r="B175" s="9" t="n"/>
      <c r="C175" s="12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7" ht="20.1" customHeight="1">
      <c r="C177" s="12" t="n"/>
      <c r="D177" s="23" t="inlineStr">
        <is>
          <t>Ιανουάριος</t>
        </is>
      </c>
      <c r="E177" s="32" t="inlineStr">
        <is>
          <t xml:space="preserve"> Φεβρουάριος </t>
        </is>
      </c>
      <c r="F177" s="23" t="inlineStr">
        <is>
          <t xml:space="preserve">Μάρτιος </t>
        </is>
      </c>
      <c r="G177" s="23" t="inlineStr">
        <is>
          <t xml:space="preserve">Απρίλιος </t>
        </is>
      </c>
      <c r="H177" s="23" t="inlineStr">
        <is>
          <t xml:space="preserve">Μάιος </t>
        </is>
      </c>
      <c r="I177" s="23" t="inlineStr">
        <is>
          <t xml:space="preserve">Ιούνιος </t>
        </is>
      </c>
      <c r="J177" s="23" t="inlineStr">
        <is>
          <t xml:space="preserve">Ιούλιος </t>
        </is>
      </c>
      <c r="K177" s="23" t="inlineStr">
        <is>
          <t xml:space="preserve">Αύγουστος </t>
        </is>
      </c>
      <c r="L177" s="23" t="inlineStr">
        <is>
          <t xml:space="preserve">Σεπτέμβριος </t>
        </is>
      </c>
      <c r="M177" s="23" t="inlineStr">
        <is>
          <t xml:space="preserve">Οκτώβριος </t>
        </is>
      </c>
      <c r="N177" s="23" t="inlineStr">
        <is>
          <t xml:space="preserve">Νοέμβριος </t>
        </is>
      </c>
      <c r="O177" s="23" t="inlineStr">
        <is>
          <t xml:space="preserve">Δεκέμβριος </t>
        </is>
      </c>
      <c r="P177" s="46" t="inlineStr">
        <is>
          <t xml:space="preserve">Σύνολα </t>
        </is>
      </c>
    </row>
    <row r="178" ht="20.1" customHeight="1">
      <c r="C178" s="210" t="inlineStr">
        <is>
          <t>ΑΝΑΛΩΣΙΜΑ-ΟΜΑΔΑ 2</t>
        </is>
      </c>
      <c r="D178" s="104" t="n">
        <v>872.89</v>
      </c>
      <c r="E178" s="104" t="n">
        <v>861.08</v>
      </c>
      <c r="F178" s="104" t="n">
        <v>1172.59</v>
      </c>
      <c r="G178" s="104" t="n"/>
      <c r="H178" s="104" t="n"/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2906.56</v>
      </c>
    </row>
    <row r="179" ht="20.1" customHeight="1">
      <c r="C179" s="2" t="inlineStr">
        <is>
          <t>ΑΓΟΡΕΣ ΠΡΩΙΝΟΥ</t>
        </is>
      </c>
      <c r="D179" s="104" t="n">
        <v>0</v>
      </c>
      <c r="E179" s="104" t="n">
        <v>0</v>
      </c>
      <c r="F179" s="104" t="n">
        <v>0</v>
      </c>
      <c r="G179" s="104" t="n">
        <v>479.93</v>
      </c>
      <c r="H179" s="104" t="n">
        <v>527.46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1007.39</v>
      </c>
    </row>
    <row r="180" ht="20.1" customHeight="1">
      <c r="C180" s="2" t="inlineStr">
        <is>
          <t>ΠΡΩΤΕΣ ΥΛΕΣ</t>
        </is>
      </c>
      <c r="D180" s="104" t="n">
        <v>0</v>
      </c>
      <c r="E180" s="104" t="n">
        <v>0</v>
      </c>
      <c r="F180" s="104" t="n">
        <v>0</v>
      </c>
      <c r="G180" s="104" t="n">
        <v>866.52</v>
      </c>
      <c r="H180" s="104" t="n">
        <v>1025.76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1892.28</v>
      </c>
    </row>
    <row r="181" ht="20.1" customHeight="1">
      <c r="C181" s="2" t="inlineStr">
        <is>
          <t>ΑΝΑΛΩΣΙΜΑ ΚΑΘΑΡΙΟΤΗΤΑΣ</t>
        </is>
      </c>
      <c r="D181" s="104" t="n">
        <v>0</v>
      </c>
      <c r="E181" s="104" t="n">
        <v>0</v>
      </c>
      <c r="F181" s="104" t="n">
        <v>0</v>
      </c>
      <c r="G181" s="104" t="n">
        <v>493.78</v>
      </c>
      <c r="H181" s="104" t="n">
        <v>685.76</v>
      </c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1179.54</v>
      </c>
    </row>
    <row r="182" ht="20.1" customHeight="1">
      <c r="C182" s="12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M182" s="104" t="n"/>
      <c r="N182" s="104" t="n"/>
      <c r="O182" s="104" t="n"/>
      <c r="P182" s="104" t="n">
        <v>0</v>
      </c>
    </row>
    <row r="183" ht="20.1" customHeight="1">
      <c r="C183" s="12" t="n"/>
      <c r="D183" s="104" t="n">
        <v>872.89</v>
      </c>
      <c r="E183" s="104" t="n">
        <v>861.08</v>
      </c>
      <c r="F183" s="104" t="n">
        <v>1172.59</v>
      </c>
      <c r="G183" s="104" t="n">
        <v>1840.23</v>
      </c>
      <c r="H183" s="104" t="n">
        <v>2238.98</v>
      </c>
      <c r="I183" s="104" t="n">
        <v>0</v>
      </c>
      <c r="J183" s="104" t="n">
        <v>0</v>
      </c>
      <c r="K183" s="104" t="n">
        <v>0</v>
      </c>
      <c r="L183" s="104" t="n">
        <v>0</v>
      </c>
      <c r="M183" s="104" t="n">
        <v>0</v>
      </c>
      <c r="N183" s="104" t="n">
        <v>0</v>
      </c>
      <c r="O183" s="104" t="n">
        <v>0</v>
      </c>
      <c r="P183" s="104" t="n">
        <v>6985.77</v>
      </c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>
      <c r="S190" s="93" t="n"/>
      <c r="T190" s="93" t="n"/>
      <c r="U190" s="93" t="n"/>
      <c r="V190" s="93" t="n"/>
      <c r="W190" s="93" t="n"/>
    </row>
    <row r="191" ht="20.1" customHeight="1"/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57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2026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4"/>
  <sheetViews>
    <sheetView topLeftCell="A150" zoomScale="85" zoomScaleNormal="85" workbookViewId="0">
      <selection activeCell="C155" sqref="C155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ΑΝΤΙΣΤΟΙΧΙΣΗ!$F$106</f>
        <v/>
      </c>
      <c r="E3" s="551" t="n"/>
      <c r="F3" s="550" t="n"/>
      <c r="G3" s="107">
        <f>ΑΝΤΙΣΤΟΙΧΙΣΗ!$D$34</f>
        <v/>
      </c>
      <c r="H3" s="549">
        <f>ΑΝΤΙΣΤΟΙΧΙΣΗ!$F$106</f>
        <v/>
      </c>
      <c r="I3" s="551" t="n"/>
      <c r="J3" s="550" t="n"/>
      <c r="K3" s="107">
        <f>ΑΝΤΙΣΤΟΙΧΙΣΗ!$D$34</f>
        <v/>
      </c>
      <c r="L3" s="549">
        <f>ΑΝΤΙΣΤΟΙΧΙΣΗ!$F$120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'2024_60-69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'2024_60-69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'2024_60-69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'2024_60-69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'2024_60-69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'2024_60-69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'2024_60-69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'2024_60-69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'2024_60-69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'2024_60-69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'2024_60-69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'2024_60-69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'2024_60-69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'2024_60-69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'2024_60-69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'2024_60-69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'2024_60-69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'2024_60-69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'2024_60-69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'2024_60-69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'2024_60-69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'2024_60-69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'2024_60-69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'2024_60-69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'2024_60-69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'2024_60-69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'2024_60-69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'2024_60-69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'2024_60-69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'2024_60-69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'2026_ΕΣΟΔΑ'!C33</f>
        <v/>
      </c>
      <c r="E39" s="81" t="n"/>
      <c r="F39" s="64">
        <f>'2026_ΕΣΟΔΑ'!C35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ΑΝΤΙΣΤΟΙΧΙΣΗ!$F$106</f>
        <v/>
      </c>
      <c r="E42" s="551" t="n"/>
      <c r="F42" s="550" t="n"/>
      <c r="G42" s="107">
        <f>ΑΝΤΙΣΤΟΙΧΙΣΗ!$D$34</f>
        <v/>
      </c>
      <c r="H42" s="549">
        <f>ΑΝΤΙΣΤΟΙΧΙΣΗ!$F$106</f>
        <v/>
      </c>
      <c r="I42" s="551" t="n"/>
      <c r="J42" s="550" t="n"/>
      <c r="K42" s="107">
        <f>ΑΝΤΙΣΤΟΙΧΙΣΗ!$D$34</f>
        <v/>
      </c>
      <c r="L42" s="549">
        <f>ΑΝΤΙΣΤΟΙΧΙΣΗ!$F$120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'2024_60-69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'2024_60-69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'2024_60-69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2'!D7</f>
        <v/>
      </c>
      <c r="E48" s="75">
        <f>D48/$D$85</f>
        <v/>
      </c>
      <c r="F48" s="114">
        <f>D48</f>
        <v/>
      </c>
      <c r="G48" s="75">
        <f>F48/$F$85</f>
        <v/>
      </c>
      <c r="H48" s="56">
        <f>ΠΡΟΥΠΟΛΟΓΙΣΜΟΣ_ΕΞΟΔΑ!D167</f>
        <v/>
      </c>
      <c r="I48" s="546">
        <f>H48/$H$85</f>
        <v/>
      </c>
      <c r="J48" s="65">
        <f>H48</f>
        <v/>
      </c>
      <c r="K48" s="76">
        <f>J48/$J$85</f>
        <v/>
      </c>
      <c r="L48" s="114">
        <f>'2024_60-69 ΕΞΟΔΑ+ΟΜ 2'!D35</f>
        <v/>
      </c>
      <c r="M48" s="75">
        <f>L48/$L$85</f>
        <v/>
      </c>
      <c r="N48" s="65">
        <f>L48</f>
        <v/>
      </c>
      <c r="O48" s="75">
        <f>N48/$N$85</f>
        <v/>
      </c>
      <c r="P48" s="65">
        <f>F48-N48</f>
        <v/>
      </c>
      <c r="Q48" s="542">
        <f>N48/J48</f>
        <v/>
      </c>
    </row>
    <row r="49" ht="26.2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2'!D8</f>
        <v/>
      </c>
      <c r="E49" s="75">
        <f>D49/$D$85</f>
        <v/>
      </c>
      <c r="F49" s="114">
        <f>D49</f>
        <v/>
      </c>
      <c r="G49" s="75">
        <f>F49/$F$85</f>
        <v/>
      </c>
      <c r="H49" s="56">
        <f>ΠΡΟΥΠΟΛΟΓΙΣΜΟΣ_ΕΞΟΔΑ!D172</f>
        <v/>
      </c>
      <c r="I49" s="546">
        <f>H49/$H$85</f>
        <v/>
      </c>
      <c r="J49" s="65">
        <f>H49</f>
        <v/>
      </c>
      <c r="K49" s="76">
        <f>J49/$J$85</f>
        <v/>
      </c>
      <c r="L49" s="114">
        <f>'2024_60-69 ΕΞΟΔΑ+ΟΜ 2'!D36</f>
        <v/>
      </c>
      <c r="M49" s="75">
        <f>L49/$L$85</f>
        <v/>
      </c>
      <c r="N49" s="65">
        <f>L49</f>
        <v/>
      </c>
      <c r="O49" s="75">
        <f>N49/$N$85</f>
        <v/>
      </c>
      <c r="P49" s="65">
        <f>F49-N49</f>
        <v/>
      </c>
      <c r="Q49" s="542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2'!D9</f>
        <v/>
      </c>
      <c r="E50" s="75">
        <f>D50/$D$44</f>
        <v/>
      </c>
      <c r="F50" s="65">
        <f>D50</f>
        <v/>
      </c>
      <c r="G50" s="75">
        <f>F50/$F$44</f>
        <v/>
      </c>
      <c r="H50" s="56">
        <f>ΠΡΟΥΠΟΛΟΓΙΣΜΟΣ_ΕΞΟΔΑ!D23</f>
        <v/>
      </c>
      <c r="I50" s="400">
        <f>H50/$H$44</f>
        <v/>
      </c>
      <c r="J50" s="65">
        <f>H50</f>
        <v/>
      </c>
      <c r="K50" s="76">
        <f>J50/$J$39</f>
        <v/>
      </c>
      <c r="L50" s="56">
        <f>'2024_60-69 ΕΞΟΔΑ+ΟΜ 2'!D7</f>
        <v/>
      </c>
      <c r="M50" s="75">
        <f>L50/$L$44</f>
        <v/>
      </c>
      <c r="N50" s="65">
        <f>L50</f>
        <v/>
      </c>
      <c r="O50" s="75">
        <f>N50/$N$44</f>
        <v/>
      </c>
      <c r="P50" s="65">
        <f>F50-N50</f>
        <v/>
      </c>
      <c r="Q50" s="75">
        <f>N50/J50</f>
        <v/>
      </c>
      <c r="X50" s="235" t="n"/>
    </row>
    <row r="51" ht="38.2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2'!D10</f>
        <v/>
      </c>
      <c r="E51" s="75">
        <f>D51/$D$44</f>
        <v/>
      </c>
      <c r="F51" s="65">
        <f>D51</f>
        <v/>
      </c>
      <c r="G51" s="75">
        <f>F51/$F$44</f>
        <v/>
      </c>
      <c r="H51" s="56">
        <f>ΠΡΟΥΠΟΛΟΓΙΣΜΟΣ_ΕΞΟΔΑ!D28</f>
        <v/>
      </c>
      <c r="I51" s="400">
        <f>H51/$H$44</f>
        <v/>
      </c>
      <c r="J51" s="65">
        <f>H51</f>
        <v/>
      </c>
      <c r="K51" s="76">
        <f>J51/$J$39</f>
        <v/>
      </c>
      <c r="L51" s="56">
        <f>'2024_60-69 ΕΞΟΔΑ+ΟΜ 2'!D8</f>
        <v/>
      </c>
      <c r="M51" s="75">
        <f>L51/$L$44</f>
        <v/>
      </c>
      <c r="N51" s="65">
        <f>L51</f>
        <v/>
      </c>
      <c r="O51" s="75">
        <f>N51/$N$44</f>
        <v/>
      </c>
      <c r="P51" s="65">
        <f>F51-N51</f>
        <v/>
      </c>
      <c r="Q51" s="75">
        <f>N51/J51</f>
        <v/>
      </c>
      <c r="X51" s="235" t="n"/>
    </row>
    <row r="52" ht="37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2'!D11</f>
        <v/>
      </c>
      <c r="E52" s="75">
        <f>D52/$D$44</f>
        <v/>
      </c>
      <c r="F52" s="65">
        <f>D52</f>
        <v/>
      </c>
      <c r="G52" s="75">
        <f>F52/$F$44</f>
        <v/>
      </c>
      <c r="H52" s="56">
        <f>ΠΡΟΥΠΟΛΟΓΙΣΜΟΣ_ΕΞΟΔΑ!D33</f>
        <v/>
      </c>
      <c r="I52" s="400">
        <f>H52/$H$44</f>
        <v/>
      </c>
      <c r="J52" s="65">
        <f>H52</f>
        <v/>
      </c>
      <c r="K52" s="76">
        <f>J52/$J$39</f>
        <v/>
      </c>
      <c r="L52" s="56">
        <f>'2024_60-69 ΕΞΟΔΑ+ΟΜ 2'!D9</f>
        <v/>
      </c>
      <c r="M52" s="75">
        <f>L52/$L$44</f>
        <v/>
      </c>
      <c r="N52" s="65">
        <f>L52</f>
        <v/>
      </c>
      <c r="O52" s="75">
        <f>N52/$N$44</f>
        <v/>
      </c>
      <c r="P52" s="65">
        <f>F52-N52</f>
        <v/>
      </c>
      <c r="Q52" s="75">
        <f>N52/J52</f>
        <v/>
      </c>
      <c r="X52" s="235" t="n"/>
    </row>
    <row r="53" ht="30.75" customFormat="1" customHeight="1" s="547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2'!D12</f>
        <v/>
      </c>
      <c r="E53" s="75">
        <f>D53/$D$85</f>
        <v/>
      </c>
      <c r="F53" s="114">
        <f>D53</f>
        <v/>
      </c>
      <c r="G53" s="75">
        <f>F53/$F$85</f>
        <v/>
      </c>
      <c r="H53" s="56">
        <f>ΠΡΟΥΠΟΛΟΓΙΣΜΟΣ_ΕΞΟΔΑ!D187</f>
        <v/>
      </c>
      <c r="I53" s="546">
        <f>H53/$H$85</f>
        <v/>
      </c>
      <c r="J53" s="65">
        <f>H53</f>
        <v/>
      </c>
      <c r="K53" s="76">
        <f>J53/$J$85</f>
        <v/>
      </c>
      <c r="L53" s="114">
        <f>'2024_60-69 ΕΞΟΔΑ+ΟΜ 2'!D39</f>
        <v/>
      </c>
      <c r="M53" s="75">
        <f>L53/$L$85</f>
        <v/>
      </c>
      <c r="N53" s="65">
        <f>L53</f>
        <v/>
      </c>
      <c r="O53" s="75">
        <f>N53/$N$85</f>
        <v/>
      </c>
      <c r="P53" s="65">
        <f>F53-N53</f>
        <v/>
      </c>
      <c r="Q53" s="542">
        <f>N53/J53</f>
        <v/>
      </c>
    </row>
    <row r="54" ht="31.5" customFormat="1" customHeight="1" s="547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2'!D13</f>
        <v/>
      </c>
      <c r="E54" s="75">
        <f>D54/$D$85</f>
        <v/>
      </c>
      <c r="F54" s="114">
        <f>D54</f>
        <v/>
      </c>
      <c r="G54" s="75">
        <f>F54/$F$85</f>
        <v/>
      </c>
      <c r="H54" s="56">
        <f>ΠΡΟΥΠΟΛΟΓΙΣΜΟΣ_ΕΞΟΔΑ!D192</f>
        <v/>
      </c>
      <c r="I54" s="546">
        <f>H54/$H$85</f>
        <v/>
      </c>
      <c r="J54" s="65">
        <f>H54</f>
        <v/>
      </c>
      <c r="K54" s="76">
        <f>J54/$J$85</f>
        <v/>
      </c>
      <c r="L54" s="114">
        <f>'2024_60-69 ΕΞΟΔΑ+ΟΜ 2'!D40</f>
        <v/>
      </c>
      <c r="M54" s="75">
        <f>L54/$L$85</f>
        <v/>
      </c>
      <c r="N54" s="65">
        <f>L54</f>
        <v/>
      </c>
      <c r="O54" s="75">
        <f>N54/$N$85</f>
        <v/>
      </c>
      <c r="P54" s="65">
        <f>F54-N54</f>
        <v/>
      </c>
      <c r="Q54" s="542">
        <f>N54/J54</f>
        <v/>
      </c>
      <c r="X54" s="548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2'!D14</f>
        <v/>
      </c>
      <c r="E55" s="75">
        <f>D55/$D$44</f>
        <v/>
      </c>
      <c r="F55" s="65">
        <f>D55</f>
        <v/>
      </c>
      <c r="G55" s="75">
        <f>F55/$F$44</f>
        <v/>
      </c>
      <c r="H55" s="56">
        <f>ΠΡΟΥΠΟΛΟΓΙΣΜΟΣ_ΕΞΟΔΑ!D38</f>
        <v/>
      </c>
      <c r="I55" s="400">
        <f>H55/$H$44</f>
        <v/>
      </c>
      <c r="J55" s="65">
        <f>H55</f>
        <v/>
      </c>
      <c r="K55" s="76">
        <f>J55/$J$39</f>
        <v/>
      </c>
      <c r="L55" s="56">
        <f>'2024_60-69 ΕΞΟΔΑ+ΟΜ 2'!D10</f>
        <v/>
      </c>
      <c r="M55" s="75">
        <f>L55/$L$44</f>
        <v/>
      </c>
      <c r="N55" s="65">
        <f>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24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2'!D15</f>
        <v/>
      </c>
      <c r="E56" s="75">
        <f>D56/$D$44</f>
        <v/>
      </c>
      <c r="F56" s="65">
        <f>D56</f>
        <v/>
      </c>
      <c r="G56" s="75">
        <f>F56/$F$44</f>
        <v/>
      </c>
      <c r="H56" s="56">
        <f>ΠΡΟΥΠΟΛΟΓΙΣΜΟΣ_ΕΞΟΔΑ!D43</f>
        <v/>
      </c>
      <c r="I56" s="400">
        <f>H56/$H$44</f>
        <v/>
      </c>
      <c r="J56" s="65">
        <f>H56</f>
        <v/>
      </c>
      <c r="K56" s="76">
        <f>J56/$J$39</f>
        <v/>
      </c>
      <c r="L56" s="56">
        <f>'2024_60-69 ΕΞΟΔΑ+ΟΜ 2'!D11</f>
        <v/>
      </c>
      <c r="M56" s="75">
        <f>L56/$L$44</f>
        <v/>
      </c>
      <c r="N56" s="65">
        <f>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2'!D16</f>
        <v/>
      </c>
      <c r="E57" s="75">
        <f>D57/$D$44</f>
        <v/>
      </c>
      <c r="F57" s="65">
        <f>D57</f>
        <v/>
      </c>
      <c r="G57" s="75">
        <f>F57/$F$44</f>
        <v/>
      </c>
      <c r="H57" s="56">
        <f>ΠΡΟΥΠΟΛΟΓΙΣΜΟΣ_ΕΞΟΔΑ!D48</f>
        <v/>
      </c>
      <c r="I57" s="400">
        <f>H57/$H$44</f>
        <v/>
      </c>
      <c r="J57" s="65">
        <f>H57</f>
        <v/>
      </c>
      <c r="K57" s="76">
        <f>J57/$J$39</f>
        <v/>
      </c>
      <c r="L57" s="56">
        <f>'2024_60-69 ΕΞΟΔΑ+ΟΜ 2'!D12</f>
        <v/>
      </c>
      <c r="M57" s="75">
        <f>L57/$L$44</f>
        <v/>
      </c>
      <c r="N57" s="65">
        <f>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2'!D17</f>
        <v/>
      </c>
      <c r="E58" s="75">
        <f>D58/$D$44</f>
        <v/>
      </c>
      <c r="F58" s="65">
        <f>D58</f>
        <v/>
      </c>
      <c r="G58" s="75">
        <f>F58/$F$44</f>
        <v/>
      </c>
      <c r="H58" s="56">
        <f>ΠΡΟΥΠΟΛΟΓΙΣΜΟΣ_ΕΞΟΔΑ!D53</f>
        <v/>
      </c>
      <c r="I58" s="400">
        <f>H58/$H$44</f>
        <v/>
      </c>
      <c r="J58" s="65">
        <f>H58</f>
        <v/>
      </c>
      <c r="K58" s="76">
        <f>J58/$J$39</f>
        <v/>
      </c>
      <c r="L58" s="56">
        <f>'2024_60-69 ΕΞΟΔΑ+ΟΜ 2'!D13</f>
        <v/>
      </c>
      <c r="M58" s="75">
        <f>L58/$L$44</f>
        <v/>
      </c>
      <c r="N58" s="65">
        <f>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2'!D18</f>
        <v/>
      </c>
      <c r="E59" s="75">
        <f>D59/$D$44</f>
        <v/>
      </c>
      <c r="F59" s="65">
        <f>D59</f>
        <v/>
      </c>
      <c r="G59" s="75">
        <f>F59/$F$44</f>
        <v/>
      </c>
      <c r="H59" s="56">
        <f>ΠΡΟΥΠΟΛΟΓΙΣΜΟΣ_ΕΞΟΔΑ!D58</f>
        <v/>
      </c>
      <c r="I59" s="400">
        <f>H59/$H$44</f>
        <v/>
      </c>
      <c r="J59" s="65">
        <f>H59</f>
        <v/>
      </c>
      <c r="K59" s="76">
        <f>J59/$J$39</f>
        <v/>
      </c>
      <c r="L59" s="56">
        <f>'2024_60-69 ΕΞΟΔΑ+ΟΜ 2'!D14</f>
        <v/>
      </c>
      <c r="M59" s="75">
        <f>L59/$L$44</f>
        <v/>
      </c>
      <c r="N59" s="65">
        <f>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2'!D19</f>
        <v/>
      </c>
      <c r="E60" s="75">
        <f>D60/$D$44</f>
        <v/>
      </c>
      <c r="F60" s="65">
        <f>D60</f>
        <v/>
      </c>
      <c r="G60" s="75">
        <f>F60/$F$44</f>
        <v/>
      </c>
      <c r="H60" s="56">
        <f>ΠΡΟΥΠΟΛΟΓΙΣΜΟΣ_ΕΞΟΔΑ!D63</f>
        <v/>
      </c>
      <c r="I60" s="400">
        <f>H60/$H$44</f>
        <v/>
      </c>
      <c r="J60" s="65" t="n"/>
      <c r="K60" s="76">
        <f>J60/$J$39</f>
        <v/>
      </c>
      <c r="L60" s="56">
        <f>'2024_60-69 ΕΞΟΔΑ+ΟΜ 2'!D15</f>
        <v/>
      </c>
      <c r="M60" s="75">
        <f>L60/$L$44</f>
        <v/>
      </c>
      <c r="N60" s="65">
        <f>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2'!D20</f>
        <v/>
      </c>
      <c r="E61" s="75">
        <f>D61/$D$44</f>
        <v/>
      </c>
      <c r="F61" s="65">
        <f>D61</f>
        <v/>
      </c>
      <c r="G61" s="75">
        <f>F61/$F$44</f>
        <v/>
      </c>
      <c r="H61" s="56">
        <f>ΠΡΟΥΠΟΛΟΓΙΣΜΟΣ_ΕΞΟΔΑ!D68</f>
        <v/>
      </c>
      <c r="I61" s="400">
        <f>H61/$H$44</f>
        <v/>
      </c>
      <c r="J61" s="65">
        <f>H61</f>
        <v/>
      </c>
      <c r="K61" s="76">
        <f>J61/$J$39</f>
        <v/>
      </c>
      <c r="L61" s="56">
        <f>'2024_60-69 ΕΞΟΔΑ+ΟΜ 2'!D16</f>
        <v/>
      </c>
      <c r="M61" s="75">
        <f>L61/$L$44</f>
        <v/>
      </c>
      <c r="N61" s="65">
        <f>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2'!D21</f>
        <v/>
      </c>
      <c r="E62" s="75">
        <f>D62/$D$44</f>
        <v/>
      </c>
      <c r="F62" s="65">
        <f>D62</f>
        <v/>
      </c>
      <c r="G62" s="75">
        <f>F62/$F$44</f>
        <v/>
      </c>
      <c r="H62" s="56">
        <f>ΠΡΟΥΠΟΛΟΓΙΣΜΟΣ_ΕΞΟΔΑ!D73</f>
        <v/>
      </c>
      <c r="I62" s="400">
        <f>H62/$H$44</f>
        <v/>
      </c>
      <c r="J62" s="65">
        <f>H62</f>
        <v/>
      </c>
      <c r="K62" s="76">
        <f>J62/$J$39</f>
        <v/>
      </c>
      <c r="L62" s="56">
        <f>'2024_60-69 ΕΞΟΔΑ+ΟΜ 2'!D17</f>
        <v/>
      </c>
      <c r="M62" s="75">
        <f>L62/$L$44</f>
        <v/>
      </c>
      <c r="N62" s="65">
        <f>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2'!D22</f>
        <v/>
      </c>
      <c r="E63" s="75">
        <f>D63/$D$44</f>
        <v/>
      </c>
      <c r="F63" s="65">
        <f>D63</f>
        <v/>
      </c>
      <c r="G63" s="75">
        <f>F63/$F$44</f>
        <v/>
      </c>
      <c r="H63" s="56">
        <f>ΠΡΟΥΠΟΛΟΓΙΣΜΟΣ_ΕΞΟΔΑ!D78</f>
        <v/>
      </c>
      <c r="I63" s="400">
        <f>H63/$H$44</f>
        <v/>
      </c>
      <c r="J63" s="65">
        <f>H63</f>
        <v/>
      </c>
      <c r="K63" s="76">
        <f>J63/$J$39</f>
        <v/>
      </c>
      <c r="L63" s="56">
        <f>'2024_60-69 ΕΞΟΔΑ+ΟΜ 2'!D18</f>
        <v/>
      </c>
      <c r="M63" s="75">
        <f>L63/$L$44</f>
        <v/>
      </c>
      <c r="N63" s="65">
        <f>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2'!D23</f>
        <v/>
      </c>
      <c r="E64" s="75">
        <f>D64/$D$44</f>
        <v/>
      </c>
      <c r="F64" s="65">
        <f>D64</f>
        <v/>
      </c>
      <c r="G64" s="75">
        <f>F64/$F$44</f>
        <v/>
      </c>
      <c r="H64" s="56">
        <f>ΠΡΟΥΠΟΛΟΓΙΣΜΟΣ_ΕΞΟΔΑ!D83</f>
        <v/>
      </c>
      <c r="I64" s="400">
        <f>H64/$H$44</f>
        <v/>
      </c>
      <c r="J64" s="65">
        <f>H64</f>
        <v/>
      </c>
      <c r="K64" s="76">
        <f>J64/$J$39</f>
        <v/>
      </c>
      <c r="L64" s="56">
        <f>'2024_60-69 ΕΞΟΔΑ+ΟΜ 2'!D19</f>
        <v/>
      </c>
      <c r="M64" s="75">
        <f>L64/$L$44</f>
        <v/>
      </c>
      <c r="N64" s="65">
        <f>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2'!D24</f>
        <v/>
      </c>
      <c r="E65" s="75">
        <f>D65/$D$44</f>
        <v/>
      </c>
      <c r="F65" s="65">
        <f>D65</f>
        <v/>
      </c>
      <c r="G65" s="75">
        <f>F65/$F$44</f>
        <v/>
      </c>
      <c r="H65" s="56">
        <f>ΠΡΟΥΠΟΛΟΓΙΣΜΟΣ_ΕΞΟΔΑ!D88</f>
        <v/>
      </c>
      <c r="I65" s="400">
        <f>H65/$H$44</f>
        <v/>
      </c>
      <c r="J65" s="65">
        <f>H65</f>
        <v/>
      </c>
      <c r="K65" s="76">
        <f>J65/$J$39</f>
        <v/>
      </c>
      <c r="L65" s="56">
        <f>'2024_60-69 ΕΞΟΔΑ+ΟΜ 2'!D20</f>
        <v/>
      </c>
      <c r="M65" s="75">
        <f>L65/$L$44</f>
        <v/>
      </c>
      <c r="N65" s="65">
        <f>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2'!D25+'2026_60-69 ΕΞΟΔΑ+ΟΜ 2'!D181</f>
        <v/>
      </c>
      <c r="E66" s="75">
        <f>D66/$D$44</f>
        <v/>
      </c>
      <c r="F66" s="65">
        <f>D66</f>
        <v/>
      </c>
      <c r="G66" s="75">
        <f>F66/$F$44</f>
        <v/>
      </c>
      <c r="H66" s="56">
        <f>ΠΡΟΥΠΟΛΟΓΙΣΜΟΣ_ΕΞΟΔΑ!D93</f>
        <v/>
      </c>
      <c r="I66" s="400">
        <f>H66/$H$44</f>
        <v/>
      </c>
      <c r="J66" s="65">
        <f>H66</f>
        <v/>
      </c>
      <c r="K66" s="76">
        <f>J66/$J$39</f>
        <v/>
      </c>
      <c r="L66" s="56">
        <f>'2024_60-69 ΕΞΟΔΑ+ΟΜ 2'!D21</f>
        <v/>
      </c>
      <c r="M66" s="75">
        <f>L66/$L$44</f>
        <v/>
      </c>
      <c r="N66" s="65">
        <f>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2'!D26</f>
        <v/>
      </c>
      <c r="E67" s="75">
        <f>D67/$D$44</f>
        <v/>
      </c>
      <c r="F67" s="65">
        <f>D67</f>
        <v/>
      </c>
      <c r="G67" s="75">
        <f>F67/$F$44</f>
        <v/>
      </c>
      <c r="H67" s="56">
        <f>ΠΡΟΥΠΟΛΟΓΙΣΜΟΣ_ΕΞΟΔΑ!D98</f>
        <v/>
      </c>
      <c r="I67" s="400">
        <f>H67/$H$44</f>
        <v/>
      </c>
      <c r="J67" s="65">
        <f>H67</f>
        <v/>
      </c>
      <c r="K67" s="76">
        <f>J67/$J$39</f>
        <v/>
      </c>
      <c r="L67" s="56">
        <f>'2024_60-69 ΕΞΟΔΑ+ΟΜ 2'!D22</f>
        <v/>
      </c>
      <c r="M67" s="75">
        <f>L67/$L$44</f>
        <v/>
      </c>
      <c r="N67" s="65">
        <f>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2'!D27</f>
        <v/>
      </c>
      <c r="E68" s="75">
        <f>D68/$D$44</f>
        <v/>
      </c>
      <c r="F68" s="65">
        <f>D68</f>
        <v/>
      </c>
      <c r="G68" s="75">
        <f>F68/$F$44</f>
        <v/>
      </c>
      <c r="H68" s="56">
        <f>ΠΡΟΥΠΟΛΟΓΙΣΜΟΣ_ΕΞΟΔΑ!D103</f>
        <v/>
      </c>
      <c r="I68" s="400">
        <f>H68/$H$44</f>
        <v/>
      </c>
      <c r="J68" s="65">
        <f>H68</f>
        <v/>
      </c>
      <c r="K68" s="76">
        <f>J68/$J$39</f>
        <v/>
      </c>
      <c r="L68" s="56">
        <f>'2024_60-69 ΕΞΟΔΑ+ΟΜ 2'!D23</f>
        <v/>
      </c>
      <c r="M68" s="75">
        <f>L68/$L$44</f>
        <v/>
      </c>
      <c r="N68" s="65">
        <f>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2'!D28</f>
        <v/>
      </c>
      <c r="E69" s="75">
        <f>D69/$D$44</f>
        <v/>
      </c>
      <c r="F69" s="65">
        <f>D69</f>
        <v/>
      </c>
      <c r="G69" s="75">
        <f>F69/$F$44</f>
        <v/>
      </c>
      <c r="H69" s="56">
        <f>ΠΡΟΥΠΟΛΟΓΙΣΜΟΣ_ΕΞΟΔΑ!D108</f>
        <v/>
      </c>
      <c r="I69" s="400">
        <f>H69/$H$44</f>
        <v/>
      </c>
      <c r="J69" s="65">
        <f>H69</f>
        <v/>
      </c>
      <c r="K69" s="76">
        <f>J69/$J$39</f>
        <v/>
      </c>
      <c r="L69" s="56">
        <f>'2024_60-69 ΕΞΟΔΑ+ΟΜ 2'!D24</f>
        <v/>
      </c>
      <c r="M69" s="75">
        <f>L69/$L$44</f>
        <v/>
      </c>
      <c r="N69" s="65">
        <f>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2'!D29</f>
        <v/>
      </c>
      <c r="E70" s="75">
        <f>D70/$D$44</f>
        <v/>
      </c>
      <c r="F70" s="65">
        <f>D70</f>
        <v/>
      </c>
      <c r="G70" s="75">
        <f>F70/$F$44</f>
        <v/>
      </c>
      <c r="H70" s="56">
        <f>ΠΡΟΥΠΟΛΟΓΙΣΜΟΣ_ΕΞΟΔΑ!D113</f>
        <v/>
      </c>
      <c r="I70" s="400">
        <f>H70/$H$44</f>
        <v/>
      </c>
      <c r="J70" s="65">
        <f>H70</f>
        <v/>
      </c>
      <c r="K70" s="76">
        <f>J70/$J$39</f>
        <v/>
      </c>
      <c r="L70" s="56">
        <f>'2024_60-69 ΕΞΟΔΑ+ΟΜ 2'!D25</f>
        <v/>
      </c>
      <c r="M70" s="75">
        <f>L70/$L$44</f>
        <v/>
      </c>
      <c r="N70" s="65">
        <f>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2'!D30</f>
        <v/>
      </c>
      <c r="E71" s="75">
        <f>D71/$D$44</f>
        <v/>
      </c>
      <c r="F71" s="65">
        <f>D71</f>
        <v/>
      </c>
      <c r="G71" s="75">
        <f>F71/$F$44</f>
        <v/>
      </c>
      <c r="H71" s="56">
        <f>ΠΡΟΥΠΟΛΟΓΙΣΜΟΣ_ΕΞΟΔΑ!D118</f>
        <v/>
      </c>
      <c r="I71" s="400">
        <f>H71/$H$44</f>
        <v/>
      </c>
      <c r="J71" s="65">
        <f>H71</f>
        <v/>
      </c>
      <c r="K71" s="76">
        <f>J71/$J$39</f>
        <v/>
      </c>
      <c r="L71" s="56">
        <f>'2024_60-69 ΕΞΟΔΑ+ΟΜ 2'!D26</f>
        <v/>
      </c>
      <c r="M71" s="75">
        <f>L71/$L$44</f>
        <v/>
      </c>
      <c r="N71" s="65">
        <f>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2'!D31</f>
        <v/>
      </c>
      <c r="E72" s="75">
        <f>D72/$D$44</f>
        <v/>
      </c>
      <c r="F72" s="65">
        <f>D72</f>
        <v/>
      </c>
      <c r="G72" s="75">
        <f>F72/$F$44</f>
        <v/>
      </c>
      <c r="H72" s="56">
        <f>ΠΡΟΥΠΟΛΟΓΙΣΜΟΣ_ΕΞΟΔΑ!D123</f>
        <v/>
      </c>
      <c r="I72" s="400">
        <f>H72/$H$44</f>
        <v/>
      </c>
      <c r="J72" s="65">
        <f>H72</f>
        <v/>
      </c>
      <c r="K72" s="76">
        <f>J72/$J$39</f>
        <v/>
      </c>
      <c r="L72" s="56">
        <f>'2024_60-69 ΕΞΟΔΑ+ΟΜ 2'!D27</f>
        <v/>
      </c>
      <c r="M72" s="75">
        <f>L72/$L$44</f>
        <v/>
      </c>
      <c r="N72" s="65">
        <f>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2'!D32</f>
        <v/>
      </c>
      <c r="E73" s="75">
        <f>D73/$D$44</f>
        <v/>
      </c>
      <c r="F73" s="65">
        <f>D73</f>
        <v/>
      </c>
      <c r="G73" s="75">
        <f>F73/$F$44</f>
        <v/>
      </c>
      <c r="H73" s="56">
        <f>ΠΡΟΥΠΟΛΟΓΙΣΜΟΣ_ΕΞΟΔΑ!D128</f>
        <v/>
      </c>
      <c r="I73" s="400">
        <f>H73/$H$44</f>
        <v/>
      </c>
      <c r="J73" s="65">
        <f>H73</f>
        <v/>
      </c>
      <c r="K73" s="76">
        <f>J73/$J$39</f>
        <v/>
      </c>
      <c r="L73" s="56">
        <f>'2024_60-69 ΕΞΟΔΑ+ΟΜ 2'!D28</f>
        <v/>
      </c>
      <c r="M73" s="75">
        <f>L73/$L$44</f>
        <v/>
      </c>
      <c r="N73" s="65">
        <f>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7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2'!D33</f>
        <v/>
      </c>
      <c r="E74" s="75">
        <f>D74/$D$44</f>
        <v/>
      </c>
      <c r="F74" s="65">
        <f>D74</f>
        <v/>
      </c>
      <c r="G74" s="75">
        <f>F74/$F$44</f>
        <v/>
      </c>
      <c r="H74" s="56">
        <f>ΠΡΟΥΠΟΛΟΓΙΣΜΟΣ_ΕΞΟΔΑ!D133</f>
        <v/>
      </c>
      <c r="I74" s="400">
        <f>H74/$H$44</f>
        <v/>
      </c>
      <c r="J74" s="65">
        <f>H74</f>
        <v/>
      </c>
      <c r="K74" s="76">
        <f>J74/$J$39</f>
        <v/>
      </c>
      <c r="L74" s="56">
        <f>'2024_60-69 ΕΞΟΔΑ+ΟΜ 2'!D29</f>
        <v/>
      </c>
      <c r="M74" s="75">
        <f>L74/$L$44</f>
        <v/>
      </c>
      <c r="N74" s="65">
        <f>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</f>
        <v/>
      </c>
      <c r="G75" s="75">
        <f>F75/$F$44</f>
        <v/>
      </c>
      <c r="H75" s="56">
        <f>ΠΡΟΥΠΟΛΟΓΙΣΜΟΣ_ΕΞΟΔΑ!D138</f>
        <v/>
      </c>
      <c r="I75" s="400">
        <f>H75/$H$44</f>
        <v/>
      </c>
      <c r="J75" s="65">
        <f>H75</f>
        <v/>
      </c>
      <c r="K75" s="76">
        <f>J75/$J$39</f>
        <v/>
      </c>
      <c r="L75" s="56">
        <f>'2024_60-69 ΕΞΟΔΑ+ΟΜ 2'!D30</f>
        <v/>
      </c>
      <c r="M75" s="75">
        <f>L75/$L$44</f>
        <v/>
      </c>
      <c r="N75" s="65">
        <f>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2'!D35</f>
        <v/>
      </c>
      <c r="E76" s="75">
        <f>D76/$D$44</f>
        <v/>
      </c>
      <c r="F76" s="65">
        <f>D76</f>
        <v/>
      </c>
      <c r="G76" s="75">
        <f>F76/$F$44</f>
        <v/>
      </c>
      <c r="H76" s="56">
        <f>ΠΡΟΥΠΟΛΟΓΙΣΜΟΣ_ΕΞΟΔΑ!D143</f>
        <v/>
      </c>
      <c r="I76" s="400">
        <f>H76/$H$44</f>
        <v/>
      </c>
      <c r="J76" s="65">
        <f>H76</f>
        <v/>
      </c>
      <c r="K76" s="76">
        <f>J76/$J$39</f>
        <v/>
      </c>
      <c r="L76" s="56">
        <f>'2024_60-69 ΕΞΟΔΑ+ΟΜ 2'!D31</f>
        <v/>
      </c>
      <c r="M76" s="75">
        <f>L76/$L$44</f>
        <v/>
      </c>
      <c r="N76" s="65">
        <f>L76</f>
        <v/>
      </c>
      <c r="O76" s="75">
        <f>N76/$N$44</f>
        <v/>
      </c>
      <c r="P76" s="65">
        <f>F76-N76</f>
        <v/>
      </c>
      <c r="Q76" s="75">
        <f>N76/J76</f>
        <v/>
      </c>
      <c r="R76" s="108" t="n"/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2'!D36</f>
        <v/>
      </c>
      <c r="E77" s="75">
        <f>D77/$D$44</f>
        <v/>
      </c>
      <c r="F77" s="65">
        <f>D77</f>
        <v/>
      </c>
      <c r="G77" s="75">
        <f>F77/$F$44</f>
        <v/>
      </c>
      <c r="H77" s="56">
        <f>ΠΡΟΥΠΟΛΟΓΙΣΜΟΣ_ΕΞΟΔΑ!D148</f>
        <v/>
      </c>
      <c r="I77" s="400">
        <f>H77/$H$44</f>
        <v/>
      </c>
      <c r="J77" s="65">
        <f>H77</f>
        <v/>
      </c>
      <c r="K77" s="76">
        <f>J77/$J$39</f>
        <v/>
      </c>
      <c r="L77" s="56">
        <f>'2024_60-69 ΕΞΟΔΑ+ΟΜ 2'!D32</f>
        <v/>
      </c>
      <c r="M77" s="75" t="n"/>
      <c r="N77" s="65">
        <f>L77</f>
        <v/>
      </c>
      <c r="O77" s="75">
        <f>N77/$N$44</f>
        <v/>
      </c>
      <c r="P77" s="65">
        <f>F77-N77</f>
        <v/>
      </c>
      <c r="Q77" s="75">
        <f>N77/J77</f>
        <v/>
      </c>
      <c r="R77" s="87" t="n"/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2'!D37</f>
        <v/>
      </c>
      <c r="E78" s="75">
        <f>D78/$D$44</f>
        <v/>
      </c>
      <c r="F78" s="65">
        <f>D78</f>
        <v/>
      </c>
      <c r="G78" s="75">
        <f>F78/$F$44</f>
        <v/>
      </c>
      <c r="H78" s="56">
        <f>ΠΡΟΥΠΟΛΟΓΙΣΜΟΣ_ΕΞΟΔΑ!D153</f>
        <v/>
      </c>
      <c r="I78" s="400">
        <f>H78/$H$44</f>
        <v/>
      </c>
      <c r="J78" s="65">
        <f>H78</f>
        <v/>
      </c>
      <c r="K78" s="76">
        <f>J78/$J$39</f>
        <v/>
      </c>
      <c r="L78" s="56">
        <f>'2024_60-69 ΕΞΟΔΑ+ΟΜ 2'!D33</f>
        <v/>
      </c>
      <c r="M78" s="75" t="n"/>
      <c r="N78" s="65">
        <f>L78</f>
        <v/>
      </c>
      <c r="O78" s="75">
        <f>N78/$N$44</f>
        <v/>
      </c>
      <c r="P78" s="65">
        <f>F78-N78</f>
        <v/>
      </c>
      <c r="Q78" s="75">
        <f>N78/J78</f>
        <v/>
      </c>
      <c r="R78" s="87" t="n"/>
    </row>
    <row r="79" ht="35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2'!D3</f>
        <v/>
      </c>
      <c r="E79" s="297" t="n"/>
      <c r="F79" s="64">
        <f>'2026_60-69 ΕΞΟΔΑ+ΟΜ 2'!Q3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2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6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ΑΝΤΙΣΤΟΙΧΙΣΗ!$F$106</f>
        <v/>
      </c>
      <c r="E83" s="551" t="n"/>
      <c r="F83" s="550" t="n"/>
      <c r="G83" s="107">
        <f>ΑΝΤΙΣΤΟΙΧΙΣΗ!$D$34</f>
        <v/>
      </c>
      <c r="H83" s="549">
        <f>ΑΝΤΙΣΤΟΙΧΙΣΗ!$F$106</f>
        <v/>
      </c>
      <c r="I83" s="551" t="n"/>
      <c r="J83" s="550" t="n"/>
      <c r="K83" s="107">
        <f>ΑΝΤΙΣΤΟΙΧΙΣΗ!$D$34</f>
        <v/>
      </c>
      <c r="L83" s="549">
        <f>ΑΝΤΙΣΤΟΙΧΙΣΗ!$F$120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2.5" customHeight="1">
      <c r="A84" s="171" t="n">
        <v>88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9.2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2'!D41</f>
        <v/>
      </c>
      <c r="E86" s="75">
        <f>D86/$D$85</f>
        <v/>
      </c>
      <c r="F86" s="114">
        <f>D86</f>
        <v/>
      </c>
      <c r="G86" s="75">
        <f>F86/$F$85</f>
        <v/>
      </c>
      <c r="H86" s="56">
        <f>ΠΡΟΥΠΟΛΟΓΙΣΜΟΣ_ΕΞΟΔΑ!D177</f>
        <v/>
      </c>
      <c r="I86" s="401">
        <f>H86/$H$85</f>
        <v/>
      </c>
      <c r="J86" s="402">
        <f>H86</f>
        <v/>
      </c>
      <c r="K86" s="58">
        <f>J86/$J$85</f>
        <v/>
      </c>
      <c r="L86" s="114">
        <f>'2024_60-69 ΕΞΟΔΑ+ΟΜ 2'!D37</f>
        <v/>
      </c>
      <c r="M86" s="75">
        <f>L86/$L$85</f>
        <v/>
      </c>
      <c r="N86" s="65">
        <f>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7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2'!D42</f>
        <v/>
      </c>
      <c r="E87" s="75">
        <f>D87/$D$85</f>
        <v/>
      </c>
      <c r="F87" s="114">
        <f>D87</f>
        <v/>
      </c>
      <c r="G87" s="75">
        <f>F87/$F$85</f>
        <v/>
      </c>
      <c r="H87" s="56">
        <f>ΠΡΟΥΠΟΛΟΓΙΣΜΟΣ_ΕΞΟΔΑ!D182</f>
        <v/>
      </c>
      <c r="I87" s="401">
        <f>H87/$H$85</f>
        <v/>
      </c>
      <c r="J87" s="402">
        <f>H87</f>
        <v/>
      </c>
      <c r="K87" s="58">
        <f>J87/$J$85</f>
        <v/>
      </c>
      <c r="L87" s="114">
        <f>'2024_60-69 ΕΞΟΔΑ+ΟΜ 2'!D38</f>
        <v/>
      </c>
      <c r="M87" s="75">
        <f>L87/$L$85</f>
        <v/>
      </c>
      <c r="N87" s="65">
        <f>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18.75" customFormat="1" customHeight="1" s="5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2'!D43</f>
        <v/>
      </c>
      <c r="E88" s="75">
        <f>D88/$D$85</f>
        <v/>
      </c>
      <c r="F88" s="114">
        <f>D88</f>
        <v/>
      </c>
      <c r="G88" s="75">
        <f>F88/$F$85</f>
        <v/>
      </c>
      <c r="H88" s="56">
        <f>ΠΡΟΥΠΟΛΟΓΙΣΜΟΣ_ΕΞΟΔΑ!D197</f>
        <v/>
      </c>
      <c r="I88" s="401">
        <f>H88/$H$85</f>
        <v/>
      </c>
      <c r="J88" s="402">
        <f>H88</f>
        <v/>
      </c>
      <c r="K88" s="58">
        <f>J88/$J$85</f>
        <v/>
      </c>
      <c r="L88" s="114">
        <f>'2024_60-69 ΕΞΟΔΑ+ΟΜ 2'!D41</f>
        <v/>
      </c>
      <c r="M88" s="75">
        <f>L88/$L$85</f>
        <v/>
      </c>
      <c r="N88" s="65">
        <f>L88</f>
        <v/>
      </c>
      <c r="O88" s="75">
        <f>N88/$N$85</f>
        <v/>
      </c>
      <c r="P88" s="402">
        <f>F88-N88</f>
        <v/>
      </c>
      <c r="Q88" s="539">
        <f>N88/J88</f>
        <v/>
      </c>
      <c r="X88" s="235" t="n"/>
    </row>
    <row r="89" ht="14.25" customFormat="1" customHeight="1" s="5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2'!D44</f>
        <v/>
      </c>
      <c r="E89" s="75">
        <f>D89/$D$85</f>
        <v/>
      </c>
      <c r="F89" s="114">
        <f>D89</f>
        <v/>
      </c>
      <c r="G89" s="75">
        <f>F89/$F$85</f>
        <v/>
      </c>
      <c r="H89" s="56">
        <f>ΠΡΟΥΠΟΛΟΓΙΣΜΟΣ_ΕΞΟΔΑ!D202</f>
        <v/>
      </c>
      <c r="I89" s="401">
        <f>H89/$H$85</f>
        <v/>
      </c>
      <c r="J89" s="402">
        <f>H89</f>
        <v/>
      </c>
      <c r="K89" s="58">
        <f>J89/$J$85</f>
        <v/>
      </c>
      <c r="L89" s="114">
        <f>'2024_60-69 ΕΞΟΔΑ+ΟΜ 2'!D42</f>
        <v/>
      </c>
      <c r="M89" s="75">
        <f>L89/$L$85</f>
        <v/>
      </c>
      <c r="N89" s="65">
        <f>L89</f>
        <v/>
      </c>
      <c r="O89" s="75">
        <f>N89/$N$85</f>
        <v/>
      </c>
      <c r="P89" s="402">
        <f>F89-N89</f>
        <v/>
      </c>
      <c r="Q89" s="539">
        <f>N89/J89</f>
        <v/>
      </c>
      <c r="X89" s="235" t="n"/>
    </row>
    <row r="90" ht="17.25" customFormat="1" customHeight="1" s="5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2'!D45</f>
        <v/>
      </c>
      <c r="E90" s="75">
        <f>D90/$D$85</f>
        <v/>
      </c>
      <c r="F90" s="114">
        <f>D90</f>
        <v/>
      </c>
      <c r="G90" s="75">
        <f>F90/$F$85</f>
        <v/>
      </c>
      <c r="H90" s="399">
        <f>ΠΡΟΥΠΟΛΟΓΙΣΜΟΣ_ΕΞΟΔΑ!D207</f>
        <v/>
      </c>
      <c r="I90" s="401">
        <f>H90/$H$85</f>
        <v/>
      </c>
      <c r="J90" s="402">
        <f>H90</f>
        <v/>
      </c>
      <c r="K90" s="58">
        <f>J90/$J$85</f>
        <v/>
      </c>
      <c r="L90" s="114">
        <f>'2024_60-69 ΕΞΟΔΑ+ΟΜ 2'!D43</f>
        <v/>
      </c>
      <c r="M90" s="75">
        <f>L90/$L$85</f>
        <v/>
      </c>
      <c r="N90" s="65">
        <f>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2'!D46</f>
        <v/>
      </c>
      <c r="E91" s="75">
        <f>D91/$D$85</f>
        <v/>
      </c>
      <c r="F91" s="114">
        <f>D91</f>
        <v/>
      </c>
      <c r="G91" s="75">
        <f>F91/$F$85</f>
        <v/>
      </c>
      <c r="H91" s="399">
        <f>ΠΡΟΥΠΟΛΟΓΙΣΜΟΣ_ΕΞΟΔΑ!D212</f>
        <v/>
      </c>
      <c r="I91" s="401">
        <f>H91/$H$85</f>
        <v/>
      </c>
      <c r="J91" s="402">
        <f>H91</f>
        <v/>
      </c>
      <c r="K91" s="58">
        <f>J91/$J$85</f>
        <v/>
      </c>
      <c r="L91" s="114">
        <f>'2024_60-69 ΕΞΟΔΑ+ΟΜ 2'!D44</f>
        <v/>
      </c>
      <c r="M91" s="75">
        <f>L91/$L$85</f>
        <v/>
      </c>
      <c r="N91" s="65">
        <f>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30.7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2'!D47</f>
        <v/>
      </c>
      <c r="E92" s="75">
        <f>D92/$D$85</f>
        <v/>
      </c>
      <c r="F92" s="114">
        <f>D92</f>
        <v/>
      </c>
      <c r="G92" s="75">
        <f>F92/$F$85</f>
        <v/>
      </c>
      <c r="H92" s="399">
        <f>ΠΡΟΥΠΟΛΟΓΙΣΜΟΣ_ΕΞΟΔΑ!D217</f>
        <v/>
      </c>
      <c r="I92" s="401">
        <f>H92/$H$85</f>
        <v/>
      </c>
      <c r="J92" s="402">
        <f>H92</f>
        <v/>
      </c>
      <c r="K92" s="58">
        <f>J92/$J$85</f>
        <v/>
      </c>
      <c r="L92" s="114">
        <f>'2024_60-69 ΕΞΟΔΑ+ΟΜ 2'!D45</f>
        <v/>
      </c>
      <c r="M92" s="75">
        <f>L92/$L$85</f>
        <v/>
      </c>
      <c r="N92" s="65">
        <f>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95" customFormat="1" customHeight="1" s="5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2'!D48</f>
        <v/>
      </c>
      <c r="E93" s="75">
        <f>D93/$D$85</f>
        <v/>
      </c>
      <c r="F93" s="114">
        <f>D93</f>
        <v/>
      </c>
      <c r="G93" s="75">
        <f>F93/$F$85</f>
        <v/>
      </c>
      <c r="H93" s="56">
        <f>ΠΡΟΥΠΟΛΟΓΙΣΜΟΣ_ΕΞΟΔΑ!D222</f>
        <v/>
      </c>
      <c r="I93" s="401">
        <f>H93/$H$85</f>
        <v/>
      </c>
      <c r="J93" s="402">
        <f>H93</f>
        <v/>
      </c>
      <c r="K93" s="58">
        <f>J93/$J$85</f>
        <v/>
      </c>
      <c r="L93" s="114">
        <f>'2024_60-69 ΕΞΟΔΑ+ΟΜ 2'!D46</f>
        <v/>
      </c>
      <c r="M93" s="75">
        <f>L93/$L$85</f>
        <v/>
      </c>
      <c r="N93" s="65">
        <f>L93</f>
        <v/>
      </c>
      <c r="O93" s="75">
        <f>N93/$N$85</f>
        <v/>
      </c>
      <c r="P93" s="402">
        <f>F93-N93</f>
        <v/>
      </c>
      <c r="Q93" s="539">
        <f>N93/J93</f>
        <v/>
      </c>
      <c r="X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2'!D49</f>
        <v/>
      </c>
      <c r="E94" s="75">
        <f>D94/$D$85</f>
        <v/>
      </c>
      <c r="F94" s="114">
        <f>D94</f>
        <v/>
      </c>
      <c r="G94" s="75">
        <f>F94/$F$85</f>
        <v/>
      </c>
      <c r="H94" s="56">
        <f>ΠΡΟΥΠΟΛΟΓΙΣΜΟΣ_ΕΞΟΔΑ!D227</f>
        <v/>
      </c>
      <c r="I94" s="401">
        <f>H94/$H$85</f>
        <v/>
      </c>
      <c r="J94" s="402">
        <f>H94</f>
        <v/>
      </c>
      <c r="K94" s="58">
        <f>J94/$J$85</f>
        <v/>
      </c>
      <c r="L94" s="114">
        <f>'2024_60-69 ΕΞΟΔΑ+ΟΜ 2'!D47</f>
        <v/>
      </c>
      <c r="M94" s="75">
        <f>L94/$L$85</f>
        <v/>
      </c>
      <c r="N94" s="65">
        <f>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2'!D50</f>
        <v/>
      </c>
      <c r="E95" s="75">
        <f>D95/$D$85</f>
        <v/>
      </c>
      <c r="F95" s="114">
        <f>D95</f>
        <v/>
      </c>
      <c r="G95" s="75">
        <f>F95/$F$85</f>
        <v/>
      </c>
      <c r="H95" s="118">
        <f>ΠΡΟΥΠΟΛΟΓΙΣΜΟΣ_ΕΞΟΔΑ!D232</f>
        <v/>
      </c>
      <c r="I95" s="401">
        <f>H95/$H$85</f>
        <v/>
      </c>
      <c r="J95" s="402">
        <f>H95</f>
        <v/>
      </c>
      <c r="K95" s="58">
        <f>J95/$J$85</f>
        <v/>
      </c>
      <c r="L95" s="114">
        <f>'2024_60-69 ΕΞΟΔΑ+ΟΜ 2'!D48</f>
        <v/>
      </c>
      <c r="M95" s="75">
        <f>L95/$L$85</f>
        <v/>
      </c>
      <c r="N95" s="65">
        <f>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2'!D51</f>
        <v/>
      </c>
      <c r="E96" s="75">
        <f>D96/$D$85</f>
        <v/>
      </c>
      <c r="F96" s="114">
        <f>D96</f>
        <v/>
      </c>
      <c r="G96" s="75">
        <f>F96/$F$85</f>
        <v/>
      </c>
      <c r="H96" s="56">
        <f>ΠΡΟΥΠΟΛΟΓΙΣΜΟΣ_ΕΞΟΔΑ!D237</f>
        <v/>
      </c>
      <c r="I96" s="401">
        <f>H96/$H$85</f>
        <v/>
      </c>
      <c r="J96" s="402">
        <f>H96</f>
        <v/>
      </c>
      <c r="K96" s="58">
        <f>J96/$J$85</f>
        <v/>
      </c>
      <c r="L96" s="114">
        <f>'2024_60-69 ΕΞΟΔΑ+ΟΜ 2'!D49</f>
        <v/>
      </c>
      <c r="M96" s="75">
        <f>L96/$L$85</f>
        <v/>
      </c>
      <c r="N96" s="65">
        <f>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2'!D52</f>
        <v/>
      </c>
      <c r="E97" s="75">
        <f>D97/$D$85</f>
        <v/>
      </c>
      <c r="F97" s="114">
        <f>D97</f>
        <v/>
      </c>
      <c r="G97" s="75">
        <f>F97/$F$85</f>
        <v/>
      </c>
      <c r="H97" s="56">
        <f>ΠΡΟΥΠΟΛΟΓΙΣΜΟΣ_ΕΞΟΔΑ!D242</f>
        <v/>
      </c>
      <c r="I97" s="401">
        <f>H97/$H$85</f>
        <v/>
      </c>
      <c r="J97" s="402">
        <f>H97</f>
        <v/>
      </c>
      <c r="K97" s="58">
        <f>J97/$J$85</f>
        <v/>
      </c>
      <c r="L97" s="114">
        <f>'2024_60-69 ΕΞΟΔΑ+ΟΜ 2'!D50</f>
        <v/>
      </c>
      <c r="M97" s="75">
        <f>L97/$L$85</f>
        <v/>
      </c>
      <c r="N97" s="65">
        <f>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2'!D53</f>
        <v/>
      </c>
      <c r="E98" s="75">
        <f>D98/$D$85</f>
        <v/>
      </c>
      <c r="F98" s="114">
        <f>D98</f>
        <v/>
      </c>
      <c r="G98" s="75">
        <f>F98/$F$85</f>
        <v/>
      </c>
      <c r="H98" s="56">
        <f>ΠΡΟΥΠΟΛΟΓΙΣΜΟΣ_ΕΞΟΔΑ!D247</f>
        <v/>
      </c>
      <c r="I98" s="401">
        <f>H98/$H$85</f>
        <v/>
      </c>
      <c r="J98" s="402">
        <f>H98</f>
        <v/>
      </c>
      <c r="K98" s="58">
        <f>J98/$J$85</f>
        <v/>
      </c>
      <c r="L98" s="114">
        <f>'2024_60-69 ΕΞΟΔΑ+ΟΜ 2'!D51</f>
        <v/>
      </c>
      <c r="M98" s="75">
        <f>L98/$L$85</f>
        <v/>
      </c>
      <c r="N98" s="65">
        <f>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2'!D54</f>
        <v/>
      </c>
      <c r="E99" s="75">
        <f>D99/$D$85</f>
        <v/>
      </c>
      <c r="F99" s="114">
        <f>D99</f>
        <v/>
      </c>
      <c r="G99" s="75">
        <f>F99/$F$85</f>
        <v/>
      </c>
      <c r="H99" s="56">
        <f>ΠΡΟΥΠΟΛΟΓΙΣΜΟΣ_ΕΞΟΔΑ!D252</f>
        <v/>
      </c>
      <c r="I99" s="401">
        <f>H99/$H$85</f>
        <v/>
      </c>
      <c r="J99" s="402">
        <f>H99</f>
        <v/>
      </c>
      <c r="K99" s="58">
        <f>J99/$J$85</f>
        <v/>
      </c>
      <c r="L99" s="114">
        <f>'2024_60-69 ΕΞΟΔΑ+ΟΜ 2'!D52</f>
        <v/>
      </c>
      <c r="M99" s="75">
        <f>L99/$L$85</f>
        <v/>
      </c>
      <c r="N99" s="65">
        <f>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2'!D55</f>
        <v/>
      </c>
      <c r="E100" s="75">
        <f>D100/$D$85</f>
        <v/>
      </c>
      <c r="F100" s="114">
        <f>D100</f>
        <v/>
      </c>
      <c r="G100" s="75">
        <f>F100/$F$85</f>
        <v/>
      </c>
      <c r="H100" s="56">
        <f>ΠΡΟΥΠΟΛΟΓΙΣΜΟΣ_ΕΞΟΔΑ!D257</f>
        <v/>
      </c>
      <c r="I100" s="401">
        <f>H100/$H$85</f>
        <v/>
      </c>
      <c r="J100" s="402">
        <f>H100</f>
        <v/>
      </c>
      <c r="K100" s="58">
        <f>J100/$J$85</f>
        <v/>
      </c>
      <c r="L100" s="114">
        <f>'2024_60-69 ΕΞΟΔΑ+ΟΜ 2'!D53</f>
        <v/>
      </c>
      <c r="M100" s="75">
        <f>L100/$L$85</f>
        <v/>
      </c>
      <c r="N100" s="65">
        <f>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9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2'!D56</f>
        <v/>
      </c>
      <c r="E101" s="75">
        <f>D101/$D$85</f>
        <v/>
      </c>
      <c r="F101" s="114">
        <f>D101</f>
        <v/>
      </c>
      <c r="G101" s="75">
        <f>F101/$F$85</f>
        <v/>
      </c>
      <c r="H101" s="56">
        <f>ΠΡΟΥΠΟΛΟΓΙΣΜΟΣ_ΕΞΟΔΑ!D262</f>
        <v/>
      </c>
      <c r="I101" s="401">
        <f>H101/$H$85</f>
        <v/>
      </c>
      <c r="J101" s="402">
        <f>H101</f>
        <v/>
      </c>
      <c r="K101" s="58">
        <f>J101/$J$85</f>
        <v/>
      </c>
      <c r="L101" s="114">
        <f>'2024_60-69 ΕΞΟΔΑ+ΟΜ 2'!D54</f>
        <v/>
      </c>
      <c r="M101" s="75">
        <f>L101/$L$85</f>
        <v/>
      </c>
      <c r="N101" s="65">
        <f>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2'!D57</f>
        <v/>
      </c>
      <c r="E102" s="75">
        <f>D102/$D$85</f>
        <v/>
      </c>
      <c r="F102" s="114">
        <f>D102</f>
        <v/>
      </c>
      <c r="G102" s="75">
        <f>F102/$F$85</f>
        <v/>
      </c>
      <c r="H102" s="56">
        <f>ΠΡΟΥΠΟΛΟΓΙΣΜΟΣ_ΕΞΟΔΑ!D267</f>
        <v/>
      </c>
      <c r="I102" s="401">
        <f>H102/$H$85</f>
        <v/>
      </c>
      <c r="J102" s="402">
        <f>H102</f>
        <v/>
      </c>
      <c r="K102" s="58">
        <f>J102/$J$85</f>
        <v/>
      </c>
      <c r="L102" s="114">
        <f>'2024_60-69 ΕΞΟΔΑ+ΟΜ 2'!D55</f>
        <v/>
      </c>
      <c r="M102" s="75">
        <f>L102/$L$85</f>
        <v/>
      </c>
      <c r="N102" s="65">
        <f>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2'!D58</f>
        <v/>
      </c>
      <c r="E103" s="75">
        <f>D103/$D$85</f>
        <v/>
      </c>
      <c r="F103" s="114">
        <f>D103</f>
        <v/>
      </c>
      <c r="G103" s="75">
        <f>F103/$F$85</f>
        <v/>
      </c>
      <c r="H103" s="56">
        <f>ΠΡΟΥΠΟΛΟΓΙΣΜΟΣ_ΕΞΟΔΑ!D272</f>
        <v/>
      </c>
      <c r="I103" s="401">
        <f>H103/$H$85</f>
        <v/>
      </c>
      <c r="J103" s="402">
        <f>H103</f>
        <v/>
      </c>
      <c r="K103" s="58">
        <f>J103/$J$85</f>
        <v/>
      </c>
      <c r="L103" s="114">
        <f>'2024_60-69 ΕΞΟΔΑ+ΟΜ 2'!D56</f>
        <v/>
      </c>
      <c r="M103" s="75">
        <f>L103/$L$85</f>
        <v/>
      </c>
      <c r="N103" s="65">
        <f>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2'!D59</f>
        <v/>
      </c>
      <c r="E104" s="75">
        <f>D104/$D$85</f>
        <v/>
      </c>
      <c r="F104" s="114">
        <f>D104</f>
        <v/>
      </c>
      <c r="G104" s="75">
        <f>F104/$F$85</f>
        <v/>
      </c>
      <c r="H104" s="56">
        <f>ΠΡΟΥΠΟΛΟΓΙΣΜΟΣ_ΕΞΟΔΑ!D277</f>
        <v/>
      </c>
      <c r="I104" s="401">
        <f>H104/$H$85</f>
        <v/>
      </c>
      <c r="J104" s="402">
        <f>H104</f>
        <v/>
      </c>
      <c r="K104" s="58">
        <f>J104/$J$85</f>
        <v/>
      </c>
      <c r="L104" s="114">
        <f>'2024_60-69 ΕΞΟΔΑ+ΟΜ 2'!D57</f>
        <v/>
      </c>
      <c r="M104" s="75">
        <f>L104/$L$85</f>
        <v/>
      </c>
      <c r="N104" s="65">
        <f>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2'!D60</f>
        <v/>
      </c>
      <c r="E105" s="75">
        <f>D105/$D$85</f>
        <v/>
      </c>
      <c r="F105" s="114">
        <f>D105</f>
        <v/>
      </c>
      <c r="G105" s="75">
        <f>F105/$F$85</f>
        <v/>
      </c>
      <c r="H105" s="56">
        <f>ΠΡΟΥΠΟΛΟΓΙΣΜΟΣ_ΕΞΟΔΑ!D282</f>
        <v/>
      </c>
      <c r="I105" s="401">
        <f>H105/$H$85</f>
        <v/>
      </c>
      <c r="J105" s="402">
        <f>H105</f>
        <v/>
      </c>
      <c r="K105" s="58">
        <f>J105/$J$85</f>
        <v/>
      </c>
      <c r="L105" s="114">
        <f>'2024_60-69 ΕΞΟΔΑ+ΟΜ 2'!D58</f>
        <v/>
      </c>
      <c r="M105" s="75">
        <f>L105/$L$85</f>
        <v/>
      </c>
      <c r="N105" s="65">
        <f>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2'!D61</f>
        <v/>
      </c>
      <c r="E106" s="75">
        <f>D106/$D$85</f>
        <v/>
      </c>
      <c r="F106" s="114">
        <f>D106</f>
        <v/>
      </c>
      <c r="G106" s="75">
        <f>F106/$F$85</f>
        <v/>
      </c>
      <c r="H106" s="56">
        <f>ΠΡΟΥΠΟΛΟΓΙΣΜΟΣ_ΕΞΟΔΑ!D287</f>
        <v/>
      </c>
      <c r="I106" s="401">
        <f>H106/$H$85</f>
        <v/>
      </c>
      <c r="J106" s="402">
        <f>H106</f>
        <v/>
      </c>
      <c r="K106" s="58">
        <f>J106/$J$85</f>
        <v/>
      </c>
      <c r="L106" s="114">
        <f>'2024_60-69 ΕΞΟΔΑ+ΟΜ 2'!D59</f>
        <v/>
      </c>
      <c r="M106" s="75">
        <f>L106/$L$85</f>
        <v/>
      </c>
      <c r="N106" s="65">
        <f>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6.2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4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2'!D40</f>
        <v/>
      </c>
      <c r="E112" s="81" t="n"/>
      <c r="F112" s="64">
        <f>'2026_60-69 ΕΞΟΔΑ+ΟΜ 2'!Q40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0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ΑΝΤΙΣΤΟΙΧΙΣΗ!$F$106</f>
        <v/>
      </c>
      <c r="E115" s="551" t="n"/>
      <c r="F115" s="550" t="n"/>
      <c r="G115" s="107">
        <f>ΑΝΤΙΣΤΟΙΧΙΣΗ!$D$34</f>
        <v/>
      </c>
      <c r="H115" s="549">
        <f>ΑΝΤΙΣΤΟΙΧΙΣΗ!$F$106</f>
        <v/>
      </c>
      <c r="I115" s="551" t="n"/>
      <c r="J115" s="550" t="n"/>
      <c r="K115" s="107">
        <f>ΑΝΤΙΣΤΟΙΧΙΣΗ!$D$34</f>
        <v/>
      </c>
      <c r="L115" s="549">
        <f>ΑΝΤΙΣΤΟΙΧΙΣΗ!$F$120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>% Προοδ. Σύν Εσόδων Μηνός/ Προοδ. Σύν Εσόδων Προυπ</t>
        </is>
      </c>
    </row>
    <row r="117" ht="29.2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2'!D71</f>
        <v/>
      </c>
      <c r="E118" s="75">
        <f>D118/$D$117</f>
        <v/>
      </c>
      <c r="F118" s="65">
        <f>D118</f>
        <v/>
      </c>
      <c r="G118" s="75">
        <f>F118/$F$117</f>
        <v/>
      </c>
      <c r="H118" s="56">
        <f>ΠΡΟΥΠΟΛΟΓΙΣΜΟΣ_ΕΞΟΔΑ!D301</f>
        <v/>
      </c>
      <c r="I118" s="400">
        <f>H118/$H$117</f>
        <v/>
      </c>
      <c r="J118" s="65">
        <f>H118</f>
        <v/>
      </c>
      <c r="K118" s="65">
        <f>J118/$J$117</f>
        <v/>
      </c>
      <c r="L118" s="56">
        <f>'2024_60-69 ΕΞΟΔΑ+ΟΜ 2'!D66</f>
        <v/>
      </c>
      <c r="M118" s="75">
        <f>L118/$L$117</f>
        <v/>
      </c>
      <c r="N118" s="65">
        <f>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2'!D72</f>
        <v/>
      </c>
      <c r="E119" s="75">
        <f>D119/$D$117</f>
        <v/>
      </c>
      <c r="F119" s="65">
        <f>D119</f>
        <v/>
      </c>
      <c r="G119" s="75">
        <f>F119/$F$117</f>
        <v/>
      </c>
      <c r="H119" s="56">
        <f>ΠΡΟΥΠΟΛΟΓΙΣΜΟΣ_ΕΞΟΔΑ!D306</f>
        <v/>
      </c>
      <c r="I119" s="400">
        <f>H119/$H$117</f>
        <v/>
      </c>
      <c r="J119" s="65">
        <f>H119</f>
        <v/>
      </c>
      <c r="K119" s="65">
        <f>J119/$J$117</f>
        <v/>
      </c>
      <c r="L119" s="56">
        <f>'2024_60-69 ΕΞΟΔΑ+ΟΜ 2'!D67</f>
        <v/>
      </c>
      <c r="M119" s="75">
        <f>L119/$L$117</f>
        <v/>
      </c>
      <c r="N119" s="65">
        <f>L119</f>
        <v/>
      </c>
      <c r="O119" s="75">
        <f>N119/$N$117</f>
        <v/>
      </c>
      <c r="P119" s="65">
        <f>F119-N119</f>
        <v/>
      </c>
      <c r="Q119" s="541">
        <f>N119/J119</f>
        <v/>
      </c>
      <c r="X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2'!D73</f>
        <v/>
      </c>
      <c r="E120" s="75">
        <f>D120/$D$117</f>
        <v/>
      </c>
      <c r="F120" s="65">
        <f>D120</f>
        <v/>
      </c>
      <c r="G120" s="75">
        <f>F120/$F$117</f>
        <v/>
      </c>
      <c r="H120" s="56">
        <f>ΠΡΟΥΠΟΛΟΓΙΣΜΟΣ_ΕΞΟΔΑ!D311</f>
        <v/>
      </c>
      <c r="I120" s="400">
        <f>H120/$H$117</f>
        <v/>
      </c>
      <c r="J120" s="65">
        <f>H120</f>
        <v/>
      </c>
      <c r="K120" s="65">
        <f>J120/$J$117</f>
        <v/>
      </c>
      <c r="L120" s="56">
        <f>'2024_60-69 ΕΞΟΔΑ+ΟΜ 2'!D68</f>
        <v/>
      </c>
      <c r="M120" s="75">
        <f>L120/$L$117</f>
        <v/>
      </c>
      <c r="N120" s="65">
        <f>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2'!D74</f>
        <v/>
      </c>
      <c r="E121" s="75">
        <f>D121/$D$117</f>
        <v/>
      </c>
      <c r="F121" s="65">
        <f>D121</f>
        <v/>
      </c>
      <c r="G121" s="75">
        <f>F121/$F$117</f>
        <v/>
      </c>
      <c r="H121" s="56">
        <f>ΠΡΟΥΠΟΛΟΓΙΣΜΟΣ_ΕΞΟΔΑ!D316</f>
        <v/>
      </c>
      <c r="I121" s="400">
        <f>H121/$H$117</f>
        <v/>
      </c>
      <c r="J121" s="65">
        <f>H121</f>
        <v/>
      </c>
      <c r="K121" s="65">
        <f>J121/$J$117</f>
        <v/>
      </c>
      <c r="L121" s="56">
        <f>'2024_60-69 ΕΞΟΔΑ+ΟΜ 2'!D69</f>
        <v/>
      </c>
      <c r="M121" s="75">
        <f>L121/$L$117</f>
        <v/>
      </c>
      <c r="N121" s="65">
        <f>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2'!D75</f>
        <v/>
      </c>
      <c r="E122" s="75">
        <f>D122/$D$117</f>
        <v/>
      </c>
      <c r="F122" s="65">
        <f>D122</f>
        <v/>
      </c>
      <c r="G122" s="75">
        <f>F122/$F$117</f>
        <v/>
      </c>
      <c r="H122" s="56">
        <f>ΠΡΟΥΠΟΛΟΓΙΣΜΟΣ_ΕΞΟΔΑ!D321</f>
        <v/>
      </c>
      <c r="I122" s="400">
        <f>H122/$H$117</f>
        <v/>
      </c>
      <c r="J122" s="65">
        <f>H122</f>
        <v/>
      </c>
      <c r="K122" s="65">
        <f>J122/$J$117</f>
        <v/>
      </c>
      <c r="L122" s="56">
        <f>'2024_60-69 ΕΞΟΔΑ+ΟΜ 2'!D70</f>
        <v/>
      </c>
      <c r="M122" s="75">
        <f>L122/$L$117</f>
        <v/>
      </c>
      <c r="N122" s="65">
        <f>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2'!D76</f>
        <v/>
      </c>
      <c r="E123" s="75">
        <f>D123/$D$117</f>
        <v/>
      </c>
      <c r="F123" s="65">
        <f>D123</f>
        <v/>
      </c>
      <c r="G123" s="75">
        <f>F123/$F$117</f>
        <v/>
      </c>
      <c r="H123" s="56">
        <f>ΠΡΟΥΠΟΛΟΓΙΣΜΟΣ_ΕΞΟΔΑ!D326</f>
        <v/>
      </c>
      <c r="I123" s="400">
        <f>H123/$H$117</f>
        <v/>
      </c>
      <c r="J123" s="65">
        <f>H123</f>
        <v/>
      </c>
      <c r="K123" s="65">
        <f>J123/$J$117</f>
        <v/>
      </c>
      <c r="L123" s="56">
        <f>'2024_60-69 ΕΞΟΔΑ+ΟΜ 2'!D71</f>
        <v/>
      </c>
      <c r="M123" s="75">
        <f>L123/$L$117</f>
        <v/>
      </c>
      <c r="N123" s="65">
        <f>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2'!D77</f>
        <v/>
      </c>
      <c r="E124" s="75">
        <f>D124/$D$117</f>
        <v/>
      </c>
      <c r="F124" s="65">
        <f>D124</f>
        <v/>
      </c>
      <c r="G124" s="75">
        <f>F124/$F$117</f>
        <v/>
      </c>
      <c r="H124" s="56">
        <f>ΠΡΟΥΠΟΛΟΓΙΣΜΟΣ_ΕΞΟΔΑ!D331</f>
        <v/>
      </c>
      <c r="I124" s="400">
        <f>H124/$H$117</f>
        <v/>
      </c>
      <c r="J124" s="65">
        <f>H124</f>
        <v/>
      </c>
      <c r="K124" s="65">
        <f>J124/$J$117</f>
        <v/>
      </c>
      <c r="L124" s="56">
        <f>'2024_60-69 ΕΞΟΔΑ+ΟΜ 2'!D72</f>
        <v/>
      </c>
      <c r="M124" s="75">
        <f>L124/$L$117</f>
        <v/>
      </c>
      <c r="N124" s="65">
        <f>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2'!D78</f>
        <v/>
      </c>
      <c r="E125" s="75">
        <f>D125/$D$117</f>
        <v/>
      </c>
      <c r="F125" s="65">
        <f>D125</f>
        <v/>
      </c>
      <c r="G125" s="75">
        <f>F125/$F$117</f>
        <v/>
      </c>
      <c r="H125" s="56">
        <f>ΠΡΟΥΠΟΛΟΓΙΣΜΟΣ_ΕΞΟΔΑ!D336</f>
        <v/>
      </c>
      <c r="I125" s="400">
        <f>H125/$H$117</f>
        <v/>
      </c>
      <c r="J125" s="65">
        <f>H125</f>
        <v/>
      </c>
      <c r="K125" s="65">
        <f>J125/$J$117</f>
        <v/>
      </c>
      <c r="L125" s="56">
        <f>'2024_60-69 ΕΞΟΔΑ+ΟΜ 2'!D73</f>
        <v/>
      </c>
      <c r="M125" s="75">
        <f>L125/$L$117</f>
        <v/>
      </c>
      <c r="N125" s="65">
        <f>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2'!D79</f>
        <v/>
      </c>
      <c r="E126" s="75">
        <f>D126/$D$117</f>
        <v/>
      </c>
      <c r="F126" s="65">
        <f>D126</f>
        <v/>
      </c>
      <c r="G126" s="75">
        <f>F126/$F$117</f>
        <v/>
      </c>
      <c r="H126" s="56">
        <f>ΠΡΟΥΠΟΛΟΓΙΣΜΟΣ_ΕΞΟΔΑ!D341</f>
        <v/>
      </c>
      <c r="I126" s="400">
        <f>H126/$H$117</f>
        <v/>
      </c>
      <c r="J126" s="65">
        <f>H126</f>
        <v/>
      </c>
      <c r="K126" s="65">
        <f>J126/$J$117</f>
        <v/>
      </c>
      <c r="L126" s="56">
        <f>'2024_60-69 ΕΞΟΔΑ+ΟΜ 2'!D74</f>
        <v/>
      </c>
      <c r="M126" s="75">
        <f>L126/$L$117</f>
        <v/>
      </c>
      <c r="N126" s="65">
        <f>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2'!D80</f>
        <v/>
      </c>
      <c r="E127" s="75">
        <f>D127/$D$117</f>
        <v/>
      </c>
      <c r="F127" s="65">
        <f>D127</f>
        <v/>
      </c>
      <c r="G127" s="75">
        <f>F127/$F$117</f>
        <v/>
      </c>
      <c r="H127" s="56">
        <f>ΠΡΟΥΠΟΛΟΓΙΣΜΟΣ_ΕΞΟΔΑ!D346</f>
        <v/>
      </c>
      <c r="I127" s="400">
        <f>H127/$H$117</f>
        <v/>
      </c>
      <c r="J127" s="65">
        <f>H127</f>
        <v/>
      </c>
      <c r="K127" s="65">
        <f>J127/$J$117</f>
        <v/>
      </c>
      <c r="L127" s="56">
        <f>'2024_60-69 ΕΞΟΔΑ+ΟΜ 2'!D75</f>
        <v/>
      </c>
      <c r="M127" s="75">
        <f>L127/$L$117</f>
        <v/>
      </c>
      <c r="N127" s="65">
        <f>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2'!D81</f>
        <v/>
      </c>
      <c r="E128" s="75">
        <f>D128/$D$117</f>
        <v/>
      </c>
      <c r="F128" s="65">
        <f>D128</f>
        <v/>
      </c>
      <c r="G128" s="75">
        <f>F128/$F$117</f>
        <v/>
      </c>
      <c r="H128" s="56">
        <f>ΠΡΟΥΠΟΛΟΓΙΣΜΟΣ_ΕΞΟΔΑ!D351</f>
        <v/>
      </c>
      <c r="I128" s="400">
        <f>H128/$H$117</f>
        <v/>
      </c>
      <c r="J128" s="65">
        <f>H128</f>
        <v/>
      </c>
      <c r="K128" s="65">
        <f>J128/$J$117</f>
        <v/>
      </c>
      <c r="L128" s="56">
        <f>'2024_60-69 ΕΞΟΔΑ+ΟΜ 2'!D76</f>
        <v/>
      </c>
      <c r="M128" s="75">
        <f>L128/$L$117</f>
        <v/>
      </c>
      <c r="N128" s="65">
        <f>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2'!D82</f>
        <v/>
      </c>
      <c r="E129" s="75">
        <f>D129/$D$117</f>
        <v/>
      </c>
      <c r="F129" s="65">
        <f>D129</f>
        <v/>
      </c>
      <c r="G129" s="75">
        <f>F129/$F$117</f>
        <v/>
      </c>
      <c r="H129" s="56">
        <f>ΠΡΟΥΠΟΛΟΓΙΣΜΟΣ_ΕΞΟΔΑ!D356</f>
        <v/>
      </c>
      <c r="I129" s="400">
        <f>H129/$H$117</f>
        <v/>
      </c>
      <c r="J129" s="65">
        <f>H129</f>
        <v/>
      </c>
      <c r="K129" s="65">
        <f>J129/$J$117</f>
        <v/>
      </c>
      <c r="L129" s="56">
        <f>'2024_60-69 ΕΞΟΔΑ+ΟΜ 2'!D77</f>
        <v/>
      </c>
      <c r="M129" s="75">
        <f>L129/$L$117</f>
        <v/>
      </c>
      <c r="N129" s="65">
        <f>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2'!D83</f>
        <v/>
      </c>
      <c r="E130" s="75">
        <f>D130/$D$117</f>
        <v/>
      </c>
      <c r="F130" s="65">
        <f>D130</f>
        <v/>
      </c>
      <c r="G130" s="75">
        <f>F130/$F$117</f>
        <v/>
      </c>
      <c r="H130" s="56">
        <f>ΠΡΟΥΠΟΛΟΓΙΣΜΟΣ_ΕΞΟΔΑ!D361</f>
        <v/>
      </c>
      <c r="I130" s="400">
        <f>H130/$H$117</f>
        <v/>
      </c>
      <c r="J130" s="65">
        <f>H130</f>
        <v/>
      </c>
      <c r="K130" s="65">
        <f>J130/$J$117</f>
        <v/>
      </c>
      <c r="L130" s="56">
        <f>'2024_60-69 ΕΞΟΔΑ+ΟΜ 2'!D78</f>
        <v/>
      </c>
      <c r="M130" s="75">
        <f>L130/$L$117</f>
        <v/>
      </c>
      <c r="N130" s="65">
        <f>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2'!D84</f>
        <v/>
      </c>
      <c r="E131" s="75">
        <f>D131/$D$117</f>
        <v/>
      </c>
      <c r="F131" s="65">
        <f>D131</f>
        <v/>
      </c>
      <c r="G131" s="75">
        <f>F131/$F$117</f>
        <v/>
      </c>
      <c r="H131" s="56">
        <f>ΠΡΟΥΠΟΛΟΓΙΣΜΟΣ_ΕΞΟΔΑ!D366</f>
        <v/>
      </c>
      <c r="I131" s="400">
        <f>H131/$H$117</f>
        <v/>
      </c>
      <c r="J131" s="65">
        <f>H131</f>
        <v/>
      </c>
      <c r="K131" s="65">
        <f>J131/$J$117</f>
        <v/>
      </c>
      <c r="L131" s="56">
        <f>'2024_60-69 ΕΞΟΔΑ+ΟΜ 2'!D79</f>
        <v/>
      </c>
      <c r="M131" s="75">
        <f>L131/$L$117</f>
        <v/>
      </c>
      <c r="N131" s="65">
        <f>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2'!D85</f>
        <v/>
      </c>
      <c r="E132" s="75">
        <f>D132/$D$117</f>
        <v/>
      </c>
      <c r="F132" s="65">
        <f>D132</f>
        <v/>
      </c>
      <c r="G132" s="75">
        <f>F132/$F$117</f>
        <v/>
      </c>
      <c r="H132" s="56">
        <f>ΠΡΟΥΠΟΛΟΓΙΣΜΟΣ_ΕΞΟΔΑ!D371</f>
        <v/>
      </c>
      <c r="I132" s="400">
        <f>H132/$H$117</f>
        <v/>
      </c>
      <c r="J132" s="65">
        <f>H132</f>
        <v/>
      </c>
      <c r="K132" s="65">
        <f>J132/$J$117</f>
        <v/>
      </c>
      <c r="L132" s="56">
        <f>'2024_60-69 ΕΞΟΔΑ+ΟΜ 2'!D80</f>
        <v/>
      </c>
      <c r="M132" s="75">
        <f>L132/$L$117</f>
        <v/>
      </c>
      <c r="N132" s="65">
        <f>L132</f>
        <v/>
      </c>
      <c r="O132" s="75">
        <f>N132/$N$117</f>
        <v/>
      </c>
      <c r="P132" s="65">
        <f>F132-N132</f>
        <v/>
      </c>
      <c r="Q132" s="541">
        <f>N132/J132</f>
        <v/>
      </c>
      <c r="X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2'!D86</f>
        <v/>
      </c>
      <c r="E133" s="75">
        <f>D133/$D$117</f>
        <v/>
      </c>
      <c r="F133" s="65">
        <f>D133</f>
        <v/>
      </c>
      <c r="G133" s="75">
        <f>F133/$F$117</f>
        <v/>
      </c>
      <c r="H133" s="56">
        <f>ΠΡΟΥΠΟΛΟΓΙΣΜΟΣ_ΕΞΟΔΑ!D376</f>
        <v/>
      </c>
      <c r="I133" s="400">
        <f>H133/$H$117</f>
        <v/>
      </c>
      <c r="J133" s="65">
        <f>H133</f>
        <v/>
      </c>
      <c r="K133" s="65">
        <f>J133/$J$117</f>
        <v/>
      </c>
      <c r="L133" s="56">
        <f>'2024_60-69 ΕΞΟΔΑ+ΟΜ 2'!D81</f>
        <v/>
      </c>
      <c r="M133" s="75">
        <f>L133/$L$117</f>
        <v/>
      </c>
      <c r="N133" s="65">
        <f>L133</f>
        <v/>
      </c>
      <c r="O133" s="75">
        <f>N133/$N$117</f>
        <v/>
      </c>
      <c r="P133" s="65">
        <f>F133-N133</f>
        <v/>
      </c>
      <c r="Q133" s="541">
        <f>N133/J133</f>
        <v/>
      </c>
      <c r="X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2'!D87</f>
        <v/>
      </c>
      <c r="E134" s="75">
        <f>D134/$D$117</f>
        <v/>
      </c>
      <c r="F134" s="65">
        <f>D134</f>
        <v/>
      </c>
      <c r="G134" s="75">
        <f>F134/$F$117</f>
        <v/>
      </c>
      <c r="H134" s="56">
        <f>ΠΡΟΥΠΟΛΟΓΙΣΜΟΣ_ΕΞΟΔΑ!D381</f>
        <v/>
      </c>
      <c r="I134" s="400">
        <f>H134/$H$117</f>
        <v/>
      </c>
      <c r="J134" s="65">
        <f>H134</f>
        <v/>
      </c>
      <c r="K134" s="65">
        <f>J134/$J$117</f>
        <v/>
      </c>
      <c r="L134" s="56">
        <f>'2024_60-69 ΕΞΟΔΑ+ΟΜ 2'!D82</f>
        <v/>
      </c>
      <c r="M134" s="75">
        <f>L134/$L$117</f>
        <v/>
      </c>
      <c r="N134" s="65">
        <f>L134</f>
        <v/>
      </c>
      <c r="O134" s="75">
        <f>N134/$N$117</f>
        <v/>
      </c>
      <c r="P134" s="65">
        <f>F134-N134</f>
        <v/>
      </c>
      <c r="Q134" s="541">
        <f>N134/J134</f>
        <v/>
      </c>
      <c r="X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2'!D88</f>
        <v/>
      </c>
      <c r="E135" s="75">
        <f>D135/$D$117</f>
        <v/>
      </c>
      <c r="F135" s="65">
        <f>D135</f>
        <v/>
      </c>
      <c r="G135" s="75">
        <f>F135/$F$117</f>
        <v/>
      </c>
      <c r="H135" s="56">
        <f>ΠΡΟΥΠΟΛΟΓΙΣΜΟΣ_ΕΞΟΔΑ!D386</f>
        <v/>
      </c>
      <c r="I135" s="400">
        <f>H135/$H$117</f>
        <v/>
      </c>
      <c r="J135" s="65">
        <f>H135</f>
        <v/>
      </c>
      <c r="K135" s="65">
        <f>J135/$J$117</f>
        <v/>
      </c>
      <c r="L135" s="56">
        <f>'2024_60-69 ΕΞΟΔΑ+ΟΜ 2'!D83</f>
        <v/>
      </c>
      <c r="M135" s="75">
        <f>L135/$L$117</f>
        <v/>
      </c>
      <c r="N135" s="65">
        <f>L135</f>
        <v/>
      </c>
      <c r="O135" s="75">
        <f>N135/$N$117</f>
        <v/>
      </c>
      <c r="P135" s="65">
        <f>F135-N135</f>
        <v/>
      </c>
      <c r="Q135" s="541">
        <f>N135/J135</f>
        <v/>
      </c>
      <c r="X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2'!D89</f>
        <v/>
      </c>
      <c r="E136" s="75">
        <f>D136/$D$117</f>
        <v/>
      </c>
      <c r="F136" s="65">
        <f>D136</f>
        <v/>
      </c>
      <c r="G136" s="75">
        <f>F136/$F$117</f>
        <v/>
      </c>
      <c r="H136" s="56">
        <f>ΠΡΟΥΠΟΛΟΓΙΣΜΟΣ_ΕΞΟΔΑ!D391</f>
        <v/>
      </c>
      <c r="I136" s="400">
        <f>H136/$H$117</f>
        <v/>
      </c>
      <c r="J136" s="65">
        <f>H136</f>
        <v/>
      </c>
      <c r="K136" s="65">
        <f>J136/$J$117</f>
        <v/>
      </c>
      <c r="L136" s="56">
        <f>'2024_60-69 ΕΞΟΔΑ+ΟΜ 2'!D84</f>
        <v/>
      </c>
      <c r="M136" s="75">
        <f>L136/$L$117</f>
        <v/>
      </c>
      <c r="N136" s="65">
        <f>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2'!D90</f>
        <v/>
      </c>
      <c r="E137" s="75">
        <f>D137/$D$117</f>
        <v/>
      </c>
      <c r="F137" s="65">
        <f>D137</f>
        <v/>
      </c>
      <c r="G137" s="75">
        <f>F137/$F$117</f>
        <v/>
      </c>
      <c r="H137" s="56">
        <f>ΠΡΟΥΠΟΛΟΓΙΣΜΟΣ_ΕΞΟΔΑ!D396</f>
        <v/>
      </c>
      <c r="I137" s="400">
        <f>H137/$H$117</f>
        <v/>
      </c>
      <c r="J137" s="65">
        <f>H137</f>
        <v/>
      </c>
      <c r="K137" s="65">
        <f>J137/$J$117</f>
        <v/>
      </c>
      <c r="L137" s="56">
        <f>'2024_60-69 ΕΞΟΔΑ+ΟΜ 2'!D85</f>
        <v/>
      </c>
      <c r="M137" s="75">
        <f>L137/$L$117</f>
        <v/>
      </c>
      <c r="N137" s="65">
        <f>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2'!D91</f>
        <v/>
      </c>
      <c r="E138" s="75">
        <f>D138/$D$117</f>
        <v/>
      </c>
      <c r="F138" s="65">
        <f>D138</f>
        <v/>
      </c>
      <c r="G138" s="75">
        <f>F138/$F$117</f>
        <v/>
      </c>
      <c r="H138" s="56">
        <f>ΠΡΟΥΠΟΛΟΓΙΣΜΟΣ_ΕΞΟΔΑ!D401</f>
        <v/>
      </c>
      <c r="I138" s="400">
        <f>H138/$H$117</f>
        <v/>
      </c>
      <c r="J138" s="65">
        <f>H138</f>
        <v/>
      </c>
      <c r="K138" s="65">
        <f>J138/$J$117</f>
        <v/>
      </c>
      <c r="L138" s="56">
        <f>'2024_60-69 ΕΞΟΔΑ+ΟΜ 2'!D86</f>
        <v/>
      </c>
      <c r="M138" s="75">
        <f>L138/$L$117</f>
        <v/>
      </c>
      <c r="N138" s="65">
        <f>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2'!D92</f>
        <v/>
      </c>
      <c r="E139" s="75">
        <f>D139/$D$117</f>
        <v/>
      </c>
      <c r="F139" s="65">
        <f>D139</f>
        <v/>
      </c>
      <c r="G139" s="75">
        <f>F139/$F$117</f>
        <v/>
      </c>
      <c r="H139" s="56">
        <f>ΠΡΟΥΠΟΛΟΓΙΣΜΟΣ_ΕΞΟΔΑ!D406</f>
        <v/>
      </c>
      <c r="I139" s="400">
        <f>H139/$H$117</f>
        <v/>
      </c>
      <c r="J139" s="65">
        <f>H139</f>
        <v/>
      </c>
      <c r="K139" s="65">
        <f>J139/$J$117</f>
        <v/>
      </c>
      <c r="L139" s="56">
        <f>'2024_60-69 ΕΞΟΔΑ+ΟΜ 2'!D87</f>
        <v/>
      </c>
      <c r="M139" s="75">
        <f>L139/$L$117</f>
        <v/>
      </c>
      <c r="N139" s="65">
        <f>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2'!D93</f>
        <v/>
      </c>
      <c r="E140" s="75">
        <f>D140/$D$117</f>
        <v/>
      </c>
      <c r="F140" s="65">
        <f>D140</f>
        <v/>
      </c>
      <c r="G140" s="75">
        <f>F140/$F$117</f>
        <v/>
      </c>
      <c r="H140" s="56">
        <f>ΠΡΟΥΠΟΛΟΓΙΣΜΟΣ_ΕΞΟΔΑ!D411</f>
        <v/>
      </c>
      <c r="I140" s="400">
        <f>H140/$H$117</f>
        <v/>
      </c>
      <c r="J140" s="65">
        <f>H140</f>
        <v/>
      </c>
      <c r="K140" s="65">
        <f>J140/$J$117</f>
        <v/>
      </c>
      <c r="L140" s="56">
        <f>'2024_60-69 ΕΞΟΔΑ+ΟΜ 2'!D88</f>
        <v/>
      </c>
      <c r="M140" s="75">
        <f>L140/$L$117</f>
        <v/>
      </c>
      <c r="N140" s="65">
        <f>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2'!D94</f>
        <v/>
      </c>
      <c r="E141" s="75">
        <f>D141/$D$117</f>
        <v/>
      </c>
      <c r="F141" s="65">
        <f>D141</f>
        <v/>
      </c>
      <c r="G141" s="75">
        <f>F141/$F$117</f>
        <v/>
      </c>
      <c r="H141" s="56">
        <f>ΠΡΟΥΠΟΛΟΓΙΣΜΟΣ_ΕΞΟΔΑ!D416</f>
        <v/>
      </c>
      <c r="I141" s="400">
        <f>H141/$H$117</f>
        <v/>
      </c>
      <c r="J141" s="65">
        <f>H141</f>
        <v/>
      </c>
      <c r="K141" s="65">
        <f>J141/$J$117</f>
        <v/>
      </c>
      <c r="L141" s="56">
        <f>'2024_60-69 ΕΞΟΔΑ+ΟΜ 2'!D89</f>
        <v/>
      </c>
      <c r="M141" s="75">
        <f>L141/$L$117</f>
        <v/>
      </c>
      <c r="N141" s="65">
        <f>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2'!D95</f>
        <v/>
      </c>
      <c r="E142" s="75">
        <f>D142/$D$117</f>
        <v/>
      </c>
      <c r="F142" s="65">
        <f>D142</f>
        <v/>
      </c>
      <c r="G142" s="75">
        <f>F142/$F$117</f>
        <v/>
      </c>
      <c r="H142" s="56">
        <f>ΠΡΟΥΠΟΛΟΓΙΣΜΟΣ_ΕΞΟΔΑ!D421</f>
        <v/>
      </c>
      <c r="I142" s="400">
        <f>H142/$H$117</f>
        <v/>
      </c>
      <c r="J142" s="65">
        <f>H142</f>
        <v/>
      </c>
      <c r="K142" s="65">
        <f>J142/$J$117</f>
        <v/>
      </c>
      <c r="L142" s="56">
        <f>'2024_60-69 ΕΞΟΔΑ+ΟΜ 2'!D90</f>
        <v/>
      </c>
      <c r="M142" s="75">
        <f>L142/$L$117</f>
        <v/>
      </c>
      <c r="N142" s="65">
        <f>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42.7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2'!D96</f>
        <v/>
      </c>
      <c r="E143" s="75">
        <f>D143/$D$117</f>
        <v/>
      </c>
      <c r="F143" s="65">
        <f>D143</f>
        <v/>
      </c>
      <c r="G143" s="75">
        <f>F143/$F$117</f>
        <v/>
      </c>
      <c r="H143" s="56">
        <f>ΠΡΟΥΠΟΛΟΓΙΣΜΟΣ_ΕΞΟΔΑ!D426</f>
        <v/>
      </c>
      <c r="I143" s="400">
        <f>H143/$H$117</f>
        <v/>
      </c>
      <c r="J143" s="65">
        <f>H143</f>
        <v/>
      </c>
      <c r="K143" s="65">
        <f>J143/$J$117</f>
        <v/>
      </c>
      <c r="L143" s="56">
        <f>'2024_60-69 ΕΞΟΔΑ+ΟΜ 2'!D91</f>
        <v/>
      </c>
      <c r="M143" s="75">
        <f>L143/$L$117</f>
        <v/>
      </c>
      <c r="N143" s="65">
        <f>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42.7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2'!D97</f>
        <v/>
      </c>
      <c r="E144" s="75">
        <f>D144/$D$117</f>
        <v/>
      </c>
      <c r="F144" s="65">
        <f>D144</f>
        <v/>
      </c>
      <c r="G144" s="75">
        <f>F144/$F$117</f>
        <v/>
      </c>
      <c r="H144" s="56">
        <f>ΠΡΟΥΠΟΛΟΓΙΣΜΟΣ_ΕΞΟΔΑ!D431</f>
        <v/>
      </c>
      <c r="I144" s="400">
        <f>H144/$H$117</f>
        <v/>
      </c>
      <c r="J144" s="65">
        <f>H144</f>
        <v/>
      </c>
      <c r="K144" s="65">
        <f>J144/$J$117</f>
        <v/>
      </c>
      <c r="L144" s="56">
        <f>'2024_60-69 ΕΞΟΔΑ+ΟΜ 2'!D92</f>
        <v/>
      </c>
      <c r="M144" s="75">
        <f>L144/$L$117</f>
        <v/>
      </c>
      <c r="N144" s="65">
        <f>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2'!D98</f>
        <v/>
      </c>
      <c r="E145" s="75">
        <f>D145/$D$117</f>
        <v/>
      </c>
      <c r="F145" s="65">
        <f>D145</f>
        <v/>
      </c>
      <c r="G145" s="75">
        <f>F145/$F$117</f>
        <v/>
      </c>
      <c r="H145" s="56">
        <f>ΠΡΟΥΠΟΛΟΓΙΣΜΟΣ_ΕΞΟΔΑ!D436</f>
        <v/>
      </c>
      <c r="I145" s="400">
        <f>H145/$H$117</f>
        <v/>
      </c>
      <c r="J145" s="65">
        <f>H145</f>
        <v/>
      </c>
      <c r="K145" s="65">
        <f>J145/$J$117</f>
        <v/>
      </c>
      <c r="L145" s="56">
        <f>'2024_60-69 ΕΞΟΔΑ+ΟΜ 2'!D93</f>
        <v/>
      </c>
      <c r="M145" s="75">
        <f>L145/$L$117</f>
        <v/>
      </c>
      <c r="N145" s="65">
        <f>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2'!D99</f>
        <v/>
      </c>
      <c r="E146" s="75">
        <f>D146/$D$117</f>
        <v/>
      </c>
      <c r="F146" s="65">
        <f>D146</f>
        <v/>
      </c>
      <c r="G146" s="75">
        <f>F146/$F$117</f>
        <v/>
      </c>
      <c r="H146" s="56">
        <f>ΠΡΟΥΠΟΛΟΓΙΣΜΟΣ_ΕΞΟΔΑ!D441</f>
        <v/>
      </c>
      <c r="I146" s="400">
        <f>H146/$H$117</f>
        <v/>
      </c>
      <c r="J146" s="65">
        <f>H146</f>
        <v/>
      </c>
      <c r="K146" s="65">
        <f>J146/$J$117</f>
        <v/>
      </c>
      <c r="L146" s="56">
        <f>'2024_60-69 ΕΞΟΔΑ+ΟΜ 2'!D94</f>
        <v/>
      </c>
      <c r="M146" s="75">
        <f>L146/$L$117</f>
        <v/>
      </c>
      <c r="N146" s="65">
        <f>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2'!D100</f>
        <v/>
      </c>
      <c r="E147" s="75">
        <f>D147/$D$117</f>
        <v/>
      </c>
      <c r="F147" s="65">
        <f>D147</f>
        <v/>
      </c>
      <c r="G147" s="75">
        <f>F147/$F$117</f>
        <v/>
      </c>
      <c r="H147" s="56">
        <f>ΠΡΟΥΠΟΛΟΓΙΣΜΟΣ_ΕΞΟΔΑ!D446</f>
        <v/>
      </c>
      <c r="I147" s="400">
        <f>H147/$H$117</f>
        <v/>
      </c>
      <c r="J147" s="65">
        <f>H147</f>
        <v/>
      </c>
      <c r="K147" s="65">
        <f>J147/$J$117</f>
        <v/>
      </c>
      <c r="L147" s="56">
        <f>'2024_60-69 ΕΞΟΔΑ+ΟΜ 2'!D95</f>
        <v/>
      </c>
      <c r="M147" s="75">
        <f>L147/$L$117</f>
        <v/>
      </c>
      <c r="N147" s="65">
        <f>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2'!D101</f>
        <v/>
      </c>
      <c r="E148" s="75">
        <f>D148/$D$117</f>
        <v/>
      </c>
      <c r="F148" s="65">
        <f>D148</f>
        <v/>
      </c>
      <c r="G148" s="75">
        <f>F148/$F$117</f>
        <v/>
      </c>
      <c r="H148" s="56">
        <f>ΠΡΟΥΠΟΛΟΓΙΣΜΟΣ_ΕΞΟΔΑ!D451</f>
        <v/>
      </c>
      <c r="I148" s="400">
        <f>H148/$H$117</f>
        <v/>
      </c>
      <c r="J148" s="65">
        <f>H148</f>
        <v/>
      </c>
      <c r="K148" s="65">
        <f>J148/$J$117</f>
        <v/>
      </c>
      <c r="L148" s="56">
        <f>'2024_60-69 ΕΞΟΔΑ+ΟΜ 2'!D96</f>
        <v/>
      </c>
      <c r="M148" s="75">
        <f>L148/$L$117</f>
        <v/>
      </c>
      <c r="N148" s="65">
        <f>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2'!D102</f>
        <v/>
      </c>
      <c r="E149" s="75">
        <f>D149/$D$117</f>
        <v/>
      </c>
      <c r="F149" s="65">
        <f>D149</f>
        <v/>
      </c>
      <c r="G149" s="75">
        <f>F149/$F$117</f>
        <v/>
      </c>
      <c r="H149" s="56">
        <f>ΠΡΟΥΠΟΛΟΓΙΣΜΟΣ_ΕΞΟΔΑ!D456</f>
        <v/>
      </c>
      <c r="I149" s="400">
        <f>H149/$H$117</f>
        <v/>
      </c>
      <c r="J149" s="65">
        <f>H149</f>
        <v/>
      </c>
      <c r="K149" s="65">
        <f>J149/$J$117</f>
        <v/>
      </c>
      <c r="L149" s="56">
        <f>'2024_60-69 ΕΞΟΔΑ+ΟΜ 2'!D97</f>
        <v/>
      </c>
      <c r="M149" s="75">
        <f>L149/$L$117</f>
        <v/>
      </c>
      <c r="N149" s="65">
        <f>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2'!D103</f>
        <v/>
      </c>
      <c r="E150" s="75">
        <f>D150/$D$117</f>
        <v/>
      </c>
      <c r="F150" s="65">
        <f>D150</f>
        <v/>
      </c>
      <c r="G150" s="75">
        <f>F150/$F$117</f>
        <v/>
      </c>
      <c r="H150" s="56">
        <f>ΠΡΟΥΠΟΛΟΓΙΣΜΟΣ_ΕΞΟΔΑ!D461</f>
        <v/>
      </c>
      <c r="I150" s="400">
        <f>H150/$H$117</f>
        <v/>
      </c>
      <c r="J150" s="65">
        <f>H150</f>
        <v/>
      </c>
      <c r="K150" s="65">
        <f>J150/$J$117</f>
        <v/>
      </c>
      <c r="L150" s="56">
        <f>'2024_60-69 ΕΞΟΔΑ+ΟΜ 2'!D98</f>
        <v/>
      </c>
      <c r="M150" s="75">
        <f>L150/$L$117</f>
        <v/>
      </c>
      <c r="N150" s="65">
        <f>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2'!D104</f>
        <v/>
      </c>
      <c r="E151" s="75">
        <f>D151/$D$117</f>
        <v/>
      </c>
      <c r="F151" s="65">
        <f>D151</f>
        <v/>
      </c>
      <c r="G151" s="75">
        <f>F151/$F$117</f>
        <v/>
      </c>
      <c r="H151" s="56">
        <f>ΠΡΟΥΠΟΛΟΓΙΣΜΟΣ_ΕΞΟΔΑ!D466</f>
        <v/>
      </c>
      <c r="I151" s="400">
        <f>H151/$H$117</f>
        <v/>
      </c>
      <c r="J151" s="65">
        <f>H151</f>
        <v/>
      </c>
      <c r="K151" s="65">
        <f>J151/$J$117</f>
        <v/>
      </c>
      <c r="L151" s="56">
        <f>'2024_60-69 ΕΞΟΔΑ+ΟΜ 2'!D99</f>
        <v/>
      </c>
      <c r="M151" s="75">
        <f>L151/$L$117</f>
        <v/>
      </c>
      <c r="N151" s="65">
        <f>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2'!D105</f>
        <v/>
      </c>
      <c r="E152" s="75">
        <f>D152/$D$117</f>
        <v/>
      </c>
      <c r="F152" s="65">
        <f>D152</f>
        <v/>
      </c>
      <c r="G152" s="75">
        <f>F152/$F$117</f>
        <v/>
      </c>
      <c r="H152" s="56">
        <f>ΠΡΟΥΠΟΛΟΓΙΣΜΟΣ_ΕΞΟΔΑ!D471</f>
        <v/>
      </c>
      <c r="I152" s="400">
        <f>H152/$H$117</f>
        <v/>
      </c>
      <c r="J152" s="65">
        <f>H152</f>
        <v/>
      </c>
      <c r="K152" s="65">
        <f>J152/$J$117</f>
        <v/>
      </c>
      <c r="L152" s="56">
        <f>'2024_60-69 ΕΞΟΔΑ+ΟΜ 2'!D100</f>
        <v/>
      </c>
      <c r="M152" s="75">
        <f>L152/$L$117</f>
        <v/>
      </c>
      <c r="N152" s="65">
        <f>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2'!D106</f>
        <v/>
      </c>
      <c r="E153" s="75">
        <f>D153/$D$117</f>
        <v/>
      </c>
      <c r="F153" s="65">
        <f>D153</f>
        <v/>
      </c>
      <c r="G153" s="75">
        <f>F153/$F$117</f>
        <v/>
      </c>
      <c r="H153" s="56">
        <f>ΠΡΟΥΠΟΛΟΓΙΣΜΟΣ_ΕΞΟΔΑ!D476</f>
        <v/>
      </c>
      <c r="I153" s="400">
        <f>H153/$H$117</f>
        <v/>
      </c>
      <c r="J153" s="65">
        <f>H153</f>
        <v/>
      </c>
      <c r="K153" s="65">
        <f>J153/$J$117</f>
        <v/>
      </c>
      <c r="L153" s="56">
        <f>'2024_60-69 ΕΞΟΔΑ+ΟΜ 2'!D101</f>
        <v/>
      </c>
      <c r="M153" s="75">
        <f>L153/$L$117</f>
        <v/>
      </c>
      <c r="N153" s="65">
        <f>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2'!D107</f>
        <v/>
      </c>
      <c r="E154" s="75">
        <f>D154/$D$117</f>
        <v/>
      </c>
      <c r="F154" s="65">
        <f>D154</f>
        <v/>
      </c>
      <c r="G154" s="75">
        <f>F154/$F$117</f>
        <v/>
      </c>
      <c r="H154" s="56">
        <f>ΠΡΟΥΠΟΛΟΓΙΣΜΟΣ_ΕΞΟΔΑ!D481</f>
        <v/>
      </c>
      <c r="I154" s="400">
        <f>H154/$H$117</f>
        <v/>
      </c>
      <c r="J154" s="65">
        <f>H154</f>
        <v/>
      </c>
      <c r="K154" s="65">
        <f>J154/$J$117</f>
        <v/>
      </c>
      <c r="L154" s="56">
        <f>'2024_60-69 ΕΞΟΔΑ+ΟΜ 2'!D102</f>
        <v/>
      </c>
      <c r="M154" s="75">
        <f>L154/$L$117</f>
        <v/>
      </c>
      <c r="N154" s="65">
        <f>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2'!D108</f>
        <v/>
      </c>
      <c r="E155" s="75">
        <f>D155/$D$117</f>
        <v/>
      </c>
      <c r="F155" s="65">
        <f>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48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2'!D70</f>
        <v/>
      </c>
      <c r="E158" s="81" t="n"/>
      <c r="F158" s="64">
        <f>'2026_60-69 ΕΞΟΔΑ+ΟΜ 2'!Q70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6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4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8" customHeight="1">
      <c r="A161" s="552" t="n"/>
      <c r="B161" s="551" t="n"/>
      <c r="C161" s="551" t="n"/>
      <c r="D161" s="551" t="n"/>
      <c r="E161" s="551" t="n"/>
      <c r="F161" s="551" t="n"/>
      <c r="G161" s="551" t="n"/>
      <c r="H161" s="551" t="n"/>
      <c r="I161" s="551" t="n"/>
      <c r="J161" s="551" t="n"/>
      <c r="K161" s="551" t="n"/>
      <c r="L161" s="551" t="n"/>
      <c r="M161" s="551" t="n"/>
      <c r="N161" s="551" t="n"/>
      <c r="O161" s="551" t="n"/>
      <c r="P161" s="551" t="n"/>
      <c r="Q161" s="550" t="n"/>
    </row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  <row r="981">
      <c r="L981" s="60" t="n"/>
    </row>
    <row r="982">
      <c r="L982" s="60" t="n"/>
    </row>
    <row r="983">
      <c r="L983" s="60" t="n"/>
    </row>
    <row r="984">
      <c r="L984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H83:J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43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ΑΝΤΙΣΤΟΙΧΙΣΗ!$F$107</f>
        <v/>
      </c>
      <c r="E3" s="551" t="n"/>
      <c r="F3" s="550" t="n"/>
      <c r="G3" s="107">
        <f>ΑΝΤΙΣΤΟΙΧΙΣΗ!$D$34</f>
        <v/>
      </c>
      <c r="H3" s="549">
        <f>ΑΝΤΙΣΤΟΙΧΙΣΗ!$F$107</f>
        <v/>
      </c>
      <c r="I3" s="551" t="n"/>
      <c r="J3" s="550" t="n"/>
      <c r="K3" s="107">
        <f>ΑΝΤΙΣΤΟΙΧΙΣΗ!$D$34</f>
        <v/>
      </c>
      <c r="L3" s="549">
        <f>ΑΝΤΙΣΤΟΙΧΙΣΗ!$F$121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'2026_ΕΣΟΔΑ'!D2</f>
        <v/>
      </c>
      <c r="E8" s="53">
        <f>D8/$D$7</f>
        <v/>
      </c>
      <c r="F8" s="54">
        <f>'2026 Ιανουάριος'!F8+'2026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H8+'2026 Ιανουάριος'!J8</f>
        <v/>
      </c>
      <c r="K8" s="53">
        <f>J8/$J$7</f>
        <v/>
      </c>
      <c r="L8" s="89">
        <f>'2024_60-69 ΕΞΟΔΑ+ΟΜ 2'!D114</f>
        <v/>
      </c>
      <c r="M8" s="53">
        <f>L8/$L$7</f>
        <v/>
      </c>
      <c r="N8" s="54">
        <f>L8+'2026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'2026_ΕΣΟΔΑ'!D3</f>
        <v/>
      </c>
      <c r="E9" s="53">
        <f>D9/$D$7</f>
        <v/>
      </c>
      <c r="F9" s="54">
        <f>'2026 Ιανουάριος'!F9+'2026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H9+'2026 Ιανουάριος'!J9</f>
        <v/>
      </c>
      <c r="K9" s="53">
        <f>J9/$J$7</f>
        <v/>
      </c>
      <c r="L9" s="89">
        <f>'2024_60-69 ΕΞΟΔΑ+ΟΜ 2'!D115</f>
        <v/>
      </c>
      <c r="M9" s="53">
        <f>L9/$L$7</f>
        <v/>
      </c>
      <c r="N9" s="54">
        <f>L9+'2026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'2026_ΕΣΟΔΑ'!D4</f>
        <v/>
      </c>
      <c r="E10" s="53">
        <f>D10/$D$7</f>
        <v/>
      </c>
      <c r="F10" s="54">
        <f>'2026 Ιανουάριος'!F10+'2026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H10+'2026 Ιανουάριος'!J10</f>
        <v/>
      </c>
      <c r="K10" s="53">
        <f>J10/$J$7</f>
        <v/>
      </c>
      <c r="L10" s="89">
        <f>'2024_60-69 ΕΞΟΔΑ+ΟΜ 2'!D116</f>
        <v/>
      </c>
      <c r="M10" s="53">
        <f>L10/$L$7</f>
        <v/>
      </c>
      <c r="N10" s="54">
        <f>L10+'2026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'2026_ΕΣΟΔΑ'!D5</f>
        <v/>
      </c>
      <c r="E11" s="53">
        <f>D11/$D$7</f>
        <v/>
      </c>
      <c r="F11" s="54">
        <f>'2026 Ιανουάριος'!F11+'2026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H11+'2026 Ιανουάριος'!J11</f>
        <v/>
      </c>
      <c r="K11" s="53">
        <f>J11/$J$7</f>
        <v/>
      </c>
      <c r="L11" s="89">
        <f>'2024_60-69 ΕΞΟΔΑ+ΟΜ 2'!D117</f>
        <v/>
      </c>
      <c r="M11" s="53">
        <f>L11/$L$7</f>
        <v/>
      </c>
      <c r="N11" s="54">
        <f>L11+'2026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'2026_ΕΣΟΔΑ'!D6</f>
        <v/>
      </c>
      <c r="E12" s="53">
        <f>D12/$D$7</f>
        <v/>
      </c>
      <c r="F12" s="54">
        <f>'2026 Ιανουάριος'!F12+'2026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H12+'2026 Ιανουάριος'!J12</f>
        <v/>
      </c>
      <c r="K12" s="53">
        <f>J12/$J$7</f>
        <v/>
      </c>
      <c r="L12" s="89">
        <f>'2024_60-69 ΕΞΟΔΑ+ΟΜ 2'!D118</f>
        <v/>
      </c>
      <c r="M12" s="53">
        <f>L12/$L$7</f>
        <v/>
      </c>
      <c r="N12" s="54">
        <f>L12+'2026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'2026_ΕΣΟΔΑ'!D7</f>
        <v/>
      </c>
      <c r="E13" s="53">
        <f>D13/$D$7</f>
        <v/>
      </c>
      <c r="F13" s="54">
        <f>'2026 Ιανουάριος'!F13+'2026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H13+'2026 Ιανουάριος'!J13</f>
        <v/>
      </c>
      <c r="K13" s="53">
        <f>J13/$J$7</f>
        <v/>
      </c>
      <c r="L13" s="89">
        <f>'2024_60-69 ΕΞΟΔΑ+ΟΜ 2'!D119</f>
        <v/>
      </c>
      <c r="M13" s="53">
        <f>L13/$L$7</f>
        <v/>
      </c>
      <c r="N13" s="54">
        <f>L13+'2026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'2026_ΕΣΟΔΑ'!D8</f>
        <v/>
      </c>
      <c r="E14" s="53">
        <f>D14/$D$7</f>
        <v/>
      </c>
      <c r="F14" s="54">
        <f>'2026 Ιανουάριος'!F14+'2026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H14+'2026 Ιανουάριος'!J14</f>
        <v/>
      </c>
      <c r="K14" s="53">
        <f>J14/$J$7</f>
        <v/>
      </c>
      <c r="L14" s="89">
        <f>'2024_60-69 ΕΞΟΔΑ+ΟΜ 2'!D120</f>
        <v/>
      </c>
      <c r="M14" s="53">
        <f>L14/$L$7</f>
        <v/>
      </c>
      <c r="N14" s="54">
        <f>L14+'2026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'2026_ΕΣΟΔΑ'!D9</f>
        <v/>
      </c>
      <c r="E15" s="53">
        <f>D15/$D$7</f>
        <v/>
      </c>
      <c r="F15" s="54">
        <f>'2026 Ιανουάριος'!F15+'2026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H15+'2026 Ιανουάριος'!J15</f>
        <v/>
      </c>
      <c r="K15" s="53">
        <f>J15/$J$7</f>
        <v/>
      </c>
      <c r="L15" s="89">
        <f>'2024_60-69 ΕΞΟΔΑ+ΟΜ 2'!D121</f>
        <v/>
      </c>
      <c r="M15" s="53">
        <f>L15/$L$7</f>
        <v/>
      </c>
      <c r="N15" s="54">
        <f>L15+'2026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'2026_ΕΣΟΔΑ'!D10</f>
        <v/>
      </c>
      <c r="E16" s="53">
        <f>D16/$D$7</f>
        <v/>
      </c>
      <c r="F16" s="54">
        <f>'2026 Ιανουάριος'!F16+'2026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H16+'2026 Ιανουάριος'!J16</f>
        <v/>
      </c>
      <c r="K16" s="53">
        <f>J16/$J$7</f>
        <v/>
      </c>
      <c r="L16" s="89">
        <f>'2024_60-69 ΕΞΟΔΑ+ΟΜ 2'!D122</f>
        <v/>
      </c>
      <c r="M16" s="53">
        <f>L16/$L$7</f>
        <v/>
      </c>
      <c r="N16" s="54">
        <f>L16+'2026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'2026_ΕΣΟΔΑ'!D11</f>
        <v/>
      </c>
      <c r="E17" s="53">
        <f>D17/$D$7</f>
        <v/>
      </c>
      <c r="F17" s="54">
        <f>'2026 Ιανουάριος'!F17+'2026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H17+'2026 Ιανουάριος'!J17</f>
        <v/>
      </c>
      <c r="K17" s="53">
        <f>J17/$J$7</f>
        <v/>
      </c>
      <c r="L17" s="89">
        <f>'2024_60-69 ΕΞΟΔΑ+ΟΜ 2'!D123</f>
        <v/>
      </c>
      <c r="M17" s="53">
        <f>L17/$L$7</f>
        <v/>
      </c>
      <c r="N17" s="54">
        <f>L17+'2026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'2026_ΕΣΟΔΑ'!D12</f>
        <v/>
      </c>
      <c r="E18" s="53">
        <f>D18/$D$7</f>
        <v/>
      </c>
      <c r="F18" s="54">
        <f>'2026 Ιανουάριος'!F18+'2026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H18+'2026 Ιανουάριος'!J18</f>
        <v/>
      </c>
      <c r="K18" s="53">
        <f>J18/$J$7</f>
        <v/>
      </c>
      <c r="L18" s="89">
        <f>'2024_60-69 ΕΞΟΔΑ+ΟΜ 2'!D124</f>
        <v/>
      </c>
      <c r="M18" s="53">
        <f>L18/$L$7</f>
        <v/>
      </c>
      <c r="N18" s="54">
        <f>L18+'2026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'2026_ΕΣΟΔΑ'!D13</f>
        <v/>
      </c>
      <c r="E19" s="53">
        <f>D19/$D$7</f>
        <v/>
      </c>
      <c r="F19" s="54">
        <f>'2026 Ιανουάριος'!F19+'2026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H19+'2026 Ιανουάριος'!J19</f>
        <v/>
      </c>
      <c r="K19" s="53">
        <f>J19/$J$7</f>
        <v/>
      </c>
      <c r="L19" s="89">
        <f>'2024_60-69 ΕΞΟΔΑ+ΟΜ 2'!D125</f>
        <v/>
      </c>
      <c r="M19" s="53">
        <f>L19/$L$7</f>
        <v/>
      </c>
      <c r="N19" s="54">
        <f>L19+'2026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'2026_ΕΣΟΔΑ'!D14</f>
        <v/>
      </c>
      <c r="E20" s="53">
        <f>D20/$D$7</f>
        <v/>
      </c>
      <c r="F20" s="54">
        <f>'2026 Ιανουάριος'!F20+'2026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H20+'2026 Ιανουάριος'!J20</f>
        <v/>
      </c>
      <c r="K20" s="53">
        <f>J20/$J$7</f>
        <v/>
      </c>
      <c r="L20" s="89">
        <f>'2024_60-69 ΕΞΟΔΑ+ΟΜ 2'!D126</f>
        <v/>
      </c>
      <c r="M20" s="53">
        <f>L20/$L$7</f>
        <v/>
      </c>
      <c r="N20" s="54">
        <f>L20+'2026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'2026_ΕΣΟΔΑ'!D15</f>
        <v/>
      </c>
      <c r="E21" s="53">
        <f>D21/$D$7</f>
        <v/>
      </c>
      <c r="F21" s="54">
        <f>'2026 Ιανουάριος'!F21+'2026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H21+'2026 Ιανουάριος'!J21</f>
        <v/>
      </c>
      <c r="K21" s="53">
        <f>J21/$J$7</f>
        <v/>
      </c>
      <c r="L21" s="89">
        <f>'2024_60-69 ΕΞΟΔΑ+ΟΜ 2'!D127</f>
        <v/>
      </c>
      <c r="M21" s="53">
        <f>L21/$L$7</f>
        <v/>
      </c>
      <c r="N21" s="54">
        <f>L21+'2026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'2026_ΕΣΟΔΑ'!D16</f>
        <v/>
      </c>
      <c r="E22" s="53">
        <f>D22/$D$7</f>
        <v/>
      </c>
      <c r="F22" s="54">
        <f>'2026 Ιανουάριος'!F22+'2026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H22+'2026 Ιανουάριος'!J22</f>
        <v/>
      </c>
      <c r="K22" s="53">
        <f>J22/$J$7</f>
        <v/>
      </c>
      <c r="L22" s="89">
        <f>'2024_60-69 ΕΞΟΔΑ+ΟΜ 2'!D128</f>
        <v/>
      </c>
      <c r="M22" s="53">
        <f>L22/$L$7</f>
        <v/>
      </c>
      <c r="N22" s="54">
        <f>L22+'2026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'2026_ΕΣΟΔΑ'!D17</f>
        <v/>
      </c>
      <c r="E23" s="53">
        <f>D23/$D$7</f>
        <v/>
      </c>
      <c r="F23" s="54">
        <f>'2026 Ιανουάριος'!F23+'2026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H23+'2026 Ιανουάριος'!J23</f>
        <v/>
      </c>
      <c r="K23" s="53">
        <f>J23/$J$7</f>
        <v/>
      </c>
      <c r="L23" s="89">
        <f>'2024_60-69 ΕΞΟΔΑ+ΟΜ 2'!D129</f>
        <v/>
      </c>
      <c r="M23" s="53">
        <f>L23/$L$7</f>
        <v/>
      </c>
      <c r="N23" s="54">
        <f>L23+'2026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'2026_ΕΣΟΔΑ'!D19</f>
        <v/>
      </c>
      <c r="E25" s="53">
        <f>D25/$D$7</f>
        <v/>
      </c>
      <c r="F25" s="54">
        <f>'2026 Ιανουάριος'!F25+'2026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H25+'2026 Ιανουάριος'!J25</f>
        <v/>
      </c>
      <c r="K25" s="53">
        <f>J25/$J$7</f>
        <v/>
      </c>
      <c r="L25" s="89">
        <f>'2024_60-69 ΕΞΟΔΑ+ΟΜ 2'!D130</f>
        <v/>
      </c>
      <c r="M25" s="53">
        <f>L25/$L$7</f>
        <v/>
      </c>
      <c r="N25" s="54">
        <f>L25+'2026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'2026_ΕΣΟΔΑ'!D20</f>
        <v/>
      </c>
      <c r="E26" s="53">
        <f>D26/$D$7</f>
        <v/>
      </c>
      <c r="F26" s="54">
        <f>'2026 Ιανουάριος'!F26+'2026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H26+'2026 Ιανουάριος'!J26</f>
        <v/>
      </c>
      <c r="K26" s="53">
        <f>J26/$J$7</f>
        <v/>
      </c>
      <c r="L26" s="89">
        <f>'2024_60-69 ΕΞΟΔΑ+ΟΜ 2'!D131</f>
        <v/>
      </c>
      <c r="M26" s="53">
        <f>L26/$L$7</f>
        <v/>
      </c>
      <c r="N26" s="54">
        <f>L26+'2026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'2026_ΕΣΟΔΑ'!D21</f>
        <v/>
      </c>
      <c r="E27" s="53">
        <f>D27/$D$7</f>
        <v/>
      </c>
      <c r="F27" s="54">
        <f>'2026 Ιανουάριος'!F27+'2026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H27+'2026 Ιανουάριος'!J27</f>
        <v/>
      </c>
      <c r="K27" s="53">
        <f>J27/$J$7</f>
        <v/>
      </c>
      <c r="L27" s="89">
        <f>'2024_60-69 ΕΞΟΔΑ+ΟΜ 2'!D132</f>
        <v/>
      </c>
      <c r="M27" s="53">
        <f>L27/$L$7</f>
        <v/>
      </c>
      <c r="N27" s="54">
        <f>L27+'2026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'2026_ΕΣΟΔΑ'!D22</f>
        <v/>
      </c>
      <c r="E28" s="53">
        <f>D28/$D$7</f>
        <v/>
      </c>
      <c r="F28" s="54">
        <f>'2026 Ιανουάριος'!F28+'2026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H28+'2026 Ιανουάριος'!J28</f>
        <v/>
      </c>
      <c r="K28" s="53">
        <f>J28/$J$7</f>
        <v/>
      </c>
      <c r="L28" s="89">
        <f>'2024_60-69 ΕΞΟΔΑ+ΟΜ 2'!D133</f>
        <v/>
      </c>
      <c r="M28" s="53">
        <f>L28/$L$7</f>
        <v/>
      </c>
      <c r="N28" s="54">
        <f>L28+'2026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'2026_ΕΣΟΔΑ'!D23</f>
        <v/>
      </c>
      <c r="E29" s="53">
        <f>D29/$D$7</f>
        <v/>
      </c>
      <c r="F29" s="54">
        <f>'2026 Ιανουάριος'!F29+'2026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H29+'2026 Ιανουάριος'!J29</f>
        <v/>
      </c>
      <c r="K29" s="53">
        <f>J29/$J$7</f>
        <v/>
      </c>
      <c r="L29" s="89">
        <f>'2024_60-69 ΕΞΟΔΑ+ΟΜ 2'!D134</f>
        <v/>
      </c>
      <c r="M29" s="53">
        <f>L29/$L$7</f>
        <v/>
      </c>
      <c r="N29" s="54">
        <f>L29+'2026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'2026_ΕΣΟΔΑ'!D24</f>
        <v/>
      </c>
      <c r="E30" s="53">
        <f>D30/$D$7</f>
        <v/>
      </c>
      <c r="F30" s="54">
        <f>'2026 Ιανουάριος'!F30+'2026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H30+'2026 Ιανουάριος'!J30</f>
        <v/>
      </c>
      <c r="K30" s="53">
        <f>J30/$J$7</f>
        <v/>
      </c>
      <c r="L30" s="89">
        <f>'2024_60-69 ΕΞΟΔΑ+ΟΜ 2'!D135</f>
        <v/>
      </c>
      <c r="M30" s="53">
        <f>L30/$L$7</f>
        <v/>
      </c>
      <c r="N30" s="54">
        <f>L30+'2026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'2026_ΕΣΟΔΑ'!D25</f>
        <v/>
      </c>
      <c r="E31" s="53">
        <f>D31/$D$7</f>
        <v/>
      </c>
      <c r="F31" s="54">
        <f>'2026 Ιανουάριος'!F31+'2026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H31+'2026 Ιανουάριος'!J31</f>
        <v/>
      </c>
      <c r="K31" s="53">
        <f>J31/$J$7</f>
        <v/>
      </c>
      <c r="L31" s="89">
        <f>'2024_60-69 ΕΞΟΔΑ+ΟΜ 2'!D136</f>
        <v/>
      </c>
      <c r="M31" s="53">
        <f>L31/$L$7</f>
        <v/>
      </c>
      <c r="N31" s="54">
        <f>L31+'2026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'2026_ΕΣΟΔΑ'!D26</f>
        <v/>
      </c>
      <c r="E32" s="53">
        <f>D32/$D$7</f>
        <v/>
      </c>
      <c r="F32" s="54">
        <f>'2026 Ιανουάριος'!F32+'2026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H32+'2026 Ιανουάριος'!J32</f>
        <v/>
      </c>
      <c r="K32" s="53">
        <f>J32/$J$7</f>
        <v/>
      </c>
      <c r="L32" s="89">
        <f>'2024_60-69 ΕΞΟΔΑ+ΟΜ 2'!D137</f>
        <v/>
      </c>
      <c r="M32" s="53">
        <f>L32/$L$7</f>
        <v/>
      </c>
      <c r="N32" s="54">
        <f>L32+'2026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'2026_ΕΣΟΔΑ'!D27</f>
        <v/>
      </c>
      <c r="E33" s="53">
        <f>D33/$D$7</f>
        <v/>
      </c>
      <c r="F33" s="54">
        <f>'2026 Ιανουάριος'!F33+'2026 Φεβρουάριος'!D33</f>
        <v/>
      </c>
      <c r="G33" s="53">
        <f>F33/$F$7</f>
        <v/>
      </c>
      <c r="H33" s="54" t="n"/>
      <c r="I33" s="53">
        <f>H33/$H$7</f>
        <v/>
      </c>
      <c r="J33" s="54">
        <f>H33+'2026 Ιανουάριος'!J33</f>
        <v/>
      </c>
      <c r="K33" s="53">
        <f>J33/$J$7</f>
        <v/>
      </c>
      <c r="L33" s="89">
        <f>'2024_60-69 ΕΞΟΔΑ+ΟΜ 2'!D138</f>
        <v/>
      </c>
      <c r="M33" s="53">
        <f>L33/$L$7</f>
        <v/>
      </c>
      <c r="N33" s="54">
        <f>L33+'2026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'2026_ΕΣΟΔΑ'!D28</f>
        <v/>
      </c>
      <c r="E34" s="53">
        <f>D34/$D$7</f>
        <v/>
      </c>
      <c r="F34" s="54">
        <f>'2026 Ιανουάριος'!F34+'2026 Φεβρουάριος'!D34</f>
        <v/>
      </c>
      <c r="G34" s="53">
        <f>F34/$F$7</f>
        <v/>
      </c>
      <c r="H34" s="54" t="n"/>
      <c r="I34" s="53">
        <f>H34/$H$7</f>
        <v/>
      </c>
      <c r="J34" s="54">
        <f>H34+'2026 Ιανουάριος'!J34</f>
        <v/>
      </c>
      <c r="K34" s="53">
        <f>J34/$J$7</f>
        <v/>
      </c>
      <c r="L34" s="89">
        <f>'2024_60-69 ΕΞΟΔΑ+ΟΜ 2'!D139</f>
        <v/>
      </c>
      <c r="M34" s="53">
        <f>L34/$L$7</f>
        <v/>
      </c>
      <c r="N34" s="54">
        <f>L34+'2026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'2026_ΕΣΟΔΑ'!D29</f>
        <v/>
      </c>
      <c r="E35" s="53">
        <f>D35/$D$7</f>
        <v/>
      </c>
      <c r="F35" s="54">
        <f>'2026 Ιανουάριος'!F35+'2026 Φεβρουάριος'!D35</f>
        <v/>
      </c>
      <c r="G35" s="53">
        <f>F35/$F$7</f>
        <v/>
      </c>
      <c r="H35" s="54" t="n"/>
      <c r="I35" s="53">
        <f>H35/$H$7</f>
        <v/>
      </c>
      <c r="J35" s="54">
        <f>H35+'2026 Ιανουάριος'!J35</f>
        <v/>
      </c>
      <c r="K35" s="53">
        <f>J35/$J$7</f>
        <v/>
      </c>
      <c r="L35" s="89">
        <f>'2024_60-69 ΕΞΟΔΑ+ΟΜ 2'!D140</f>
        <v/>
      </c>
      <c r="M35" s="53">
        <f>L35/$L$7</f>
        <v/>
      </c>
      <c r="N35" s="54">
        <f>L35+'2026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'2026_ΕΣΟΔΑ'!D30</f>
        <v/>
      </c>
      <c r="E36" s="53">
        <f>D36/$D$7</f>
        <v/>
      </c>
      <c r="F36" s="54">
        <f>'2026 Ιανουάριος'!F36+'2026 Φεβρουάριος'!D36</f>
        <v/>
      </c>
      <c r="G36" s="53">
        <f>F36/$F$7</f>
        <v/>
      </c>
      <c r="H36" s="54" t="n"/>
      <c r="I36" s="53">
        <f>H36/$H$7</f>
        <v/>
      </c>
      <c r="J36" s="54">
        <f>H36+'2026 Ιανουάριος'!J36</f>
        <v/>
      </c>
      <c r="K36" s="53">
        <f>J36/$J$7</f>
        <v/>
      </c>
      <c r="L36" s="89">
        <f>'2024_60-69 ΕΞΟΔΑ+ΟΜ 2'!D141</f>
        <v/>
      </c>
      <c r="M36" s="53">
        <f>L36/$L$7</f>
        <v/>
      </c>
      <c r="N36" s="54">
        <f>L36+'2026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'2026_ΕΣΟΔΑ'!D31</f>
        <v/>
      </c>
      <c r="E37" s="53">
        <f>D37/$D$7</f>
        <v/>
      </c>
      <c r="F37" s="54">
        <f>'2026 Ιανουάριος'!F37+'2026 Φεβρουάριος'!D37</f>
        <v/>
      </c>
      <c r="G37" s="53">
        <f>F37/$F$7</f>
        <v/>
      </c>
      <c r="H37" s="54" t="n"/>
      <c r="I37" s="53">
        <f>H37/$H$7</f>
        <v/>
      </c>
      <c r="J37" s="54">
        <f>H37+'2026 Ιανουάριος'!J37</f>
        <v/>
      </c>
      <c r="K37" s="53">
        <f>J37/$J$7</f>
        <v/>
      </c>
      <c r="L37" s="89">
        <f>'2024_60-69 ΕΞΟΔΑ+ΟΜ 2'!D142</f>
        <v/>
      </c>
      <c r="M37" s="53">
        <f>L37/$L$7</f>
        <v/>
      </c>
      <c r="N37" s="54">
        <f>L37+'2026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'2026_ΕΣΟΔΑ'!D32</f>
        <v/>
      </c>
      <c r="E38" s="53">
        <f>D38/$D$7</f>
        <v/>
      </c>
      <c r="F38" s="54">
        <f>'2026 Ιανουάριος'!F38+'2026 Φεβρουάριος'!D38</f>
        <v/>
      </c>
      <c r="G38" s="53">
        <f>F38/$F$7</f>
        <v/>
      </c>
      <c r="H38" s="54" t="n"/>
      <c r="I38" s="53">
        <f>H38/$H$7</f>
        <v/>
      </c>
      <c r="J38" s="54">
        <f>H38+'2026 Ιανουάριος'!J38</f>
        <v/>
      </c>
      <c r="K38" s="53">
        <f>J38/$J$7</f>
        <v/>
      </c>
      <c r="L38" s="89">
        <f>'2024_60-69 ΕΞΟΔΑ+ΟΜ 2'!D143</f>
        <v/>
      </c>
      <c r="M38" s="53">
        <f>L38/$L$7</f>
        <v/>
      </c>
      <c r="N38" s="54">
        <f>L38+'2026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'2026_ΕΣΟΔΑ'!D33</f>
        <v/>
      </c>
      <c r="E39" s="81" t="n"/>
      <c r="F39" s="64">
        <f>'2026_ΕΣΟΔΑ'!D35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ΑΝΤΙΣΤΟΙΧΙΣΗ!$F$107</f>
        <v/>
      </c>
      <c r="E42" s="551" t="n"/>
      <c r="F42" s="550" t="n"/>
      <c r="G42" s="107">
        <f>ΑΝΤΙΣΤΟΙΧΙΣΗ!$D$34</f>
        <v/>
      </c>
      <c r="H42" s="549">
        <f>ΑΝΤΙΣΤΟΙΧΙΣΗ!$F$107</f>
        <v/>
      </c>
      <c r="I42" s="551" t="n"/>
      <c r="J42" s="550" t="n"/>
      <c r="K42" s="107">
        <f>ΑΝΤΙΣΤΟΙΧΙΣΗ!$D$34</f>
        <v/>
      </c>
      <c r="L42" s="549">
        <f>ΑΝΤΙΣΤΟΙΧΙΣΗ!$F$121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2'!E4</f>
        <v/>
      </c>
      <c r="E45" s="75">
        <f>D45/$D$79</f>
        <v/>
      </c>
      <c r="F45" s="65">
        <f>'2026 Ιανουάριος'!F45+'2026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H45+'2026 Ιανουάριος'!J45</f>
        <v/>
      </c>
      <c r="K45" s="404">
        <f>J45/J44</f>
        <v/>
      </c>
      <c r="L45" s="56">
        <f>'2024_60-69 ΕΞΟΔΑ+ΟΜ 2'!E4</f>
        <v/>
      </c>
      <c r="M45" s="75">
        <f>L45/$L$44</f>
        <v/>
      </c>
      <c r="N45" s="65">
        <f>L45+'2026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2'!E5</f>
        <v/>
      </c>
      <c r="E46" s="75">
        <f>D46/$D$79</f>
        <v/>
      </c>
      <c r="F46" s="65">
        <f>'2026 Ιανουάριος'!F46+'2026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H46+'2026 Ιανουάριος'!J46</f>
        <v/>
      </c>
      <c r="K46" s="404">
        <f>J46/J44</f>
        <v/>
      </c>
      <c r="L46" s="56">
        <f>'2024_60-69 ΕΞΟΔΑ+ΟΜ 2'!E5</f>
        <v/>
      </c>
      <c r="M46" s="75">
        <f>L46/$L$44</f>
        <v/>
      </c>
      <c r="N46" s="65">
        <f>L46+'2026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2'!E6</f>
        <v/>
      </c>
      <c r="E47" s="75">
        <f>D47/$D$79</f>
        <v/>
      </c>
      <c r="F47" s="65">
        <f>'2026 Ιανουάριος'!F47+'2026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H47+'2026 Ιανουάριος'!J47</f>
        <v/>
      </c>
      <c r="K47" s="404">
        <f>J47/J44</f>
        <v/>
      </c>
      <c r="L47" s="56">
        <f>'2024_60-69 ΕΞΟΔΑ+ΟΜ 2'!E6</f>
        <v/>
      </c>
      <c r="M47" s="75">
        <f>L47/$L$44</f>
        <v/>
      </c>
      <c r="N47" s="65">
        <f>L47+'2026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2'!E7</f>
        <v/>
      </c>
      <c r="E48" s="75">
        <f>D48/$D$112</f>
        <v/>
      </c>
      <c r="F48" s="114">
        <f>'2026 Ιανουάριος'!F48+'2026 Φεβρουάριος'!D48</f>
        <v/>
      </c>
      <c r="G48" s="75">
        <f>F48/$F$85</f>
        <v/>
      </c>
      <c r="H48" s="56">
        <f>ΠΡΟΥΠΟΛΟΓΙΣΜΟΣ_ΕΞΟΔΑ!E167</f>
        <v/>
      </c>
      <c r="I48" s="401">
        <f>H48/$H$85</f>
        <v/>
      </c>
      <c r="J48" s="402">
        <f>H48+'2026 Ιανουάριος'!J48</f>
        <v/>
      </c>
      <c r="K48" s="403">
        <f>J48/$J$85</f>
        <v/>
      </c>
      <c r="L48" s="114">
        <f>'2024_60-69 ΕΞΟΔΑ+ΟΜ 2'!E35</f>
        <v/>
      </c>
      <c r="M48" s="75">
        <f>L48/$L$85</f>
        <v/>
      </c>
      <c r="N48" s="65">
        <f>L48+'2026 Ιανουάριος'!L48</f>
        <v/>
      </c>
      <c r="O48" s="75">
        <f>N48/$N$85</f>
        <v/>
      </c>
      <c r="P48" s="402">
        <f>F48-N48</f>
        <v/>
      </c>
      <c r="Q48" s="539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2'!E8</f>
        <v/>
      </c>
      <c r="E49" s="75">
        <f>D49/$D$112</f>
        <v/>
      </c>
      <c r="F49" s="114">
        <f>'2026 Ιανουάριος'!F49+'2026 Φεβρουάριος'!D49</f>
        <v/>
      </c>
      <c r="G49" s="75">
        <f>F49/$F$85</f>
        <v/>
      </c>
      <c r="H49" s="56">
        <f>ΠΡΟΥΠΟΛΟΓΙΣΜΟΣ_ΕΞΟΔΑ!E172</f>
        <v/>
      </c>
      <c r="I49" s="401">
        <f>H49/$H$85</f>
        <v/>
      </c>
      <c r="J49" s="402">
        <f>H49+'2026 Ιανουάριος'!J49</f>
        <v/>
      </c>
      <c r="K49" s="403">
        <f>J49/$J$85</f>
        <v/>
      </c>
      <c r="L49" s="114">
        <f>'2024_60-69 ΕΞΟΔΑ+ΟΜ 2'!E36</f>
        <v/>
      </c>
      <c r="M49" s="75">
        <f>L49/$L$85</f>
        <v/>
      </c>
      <c r="N49" s="65">
        <f>L49+'2026 Ιανουάριος'!L49</f>
        <v/>
      </c>
      <c r="O49" s="75">
        <f>N49/$N$85</f>
        <v/>
      </c>
      <c r="P49" s="402">
        <f>F49-N49</f>
        <v/>
      </c>
      <c r="Q49" s="539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2'!E9</f>
        <v/>
      </c>
      <c r="E50" s="75">
        <f>D50/$D$79</f>
        <v/>
      </c>
      <c r="F50" s="65">
        <f>'2026 Ιανουάριος'!F50+'2026 Φεβρουάριος'!D50</f>
        <v/>
      </c>
      <c r="G50" s="75">
        <f>F50/$F$44</f>
        <v/>
      </c>
      <c r="H50" s="56">
        <f>ΠΡΟΥΠΟΛΟΓΙΣΜΟΣ_ΕΞΟΔΑ!E23</f>
        <v/>
      </c>
      <c r="I50" s="400">
        <f>H50/$H$44</f>
        <v/>
      </c>
      <c r="J50" s="65">
        <f>H50+'2026 Ιανουάριος'!J50</f>
        <v/>
      </c>
      <c r="K50" s="404">
        <f>J50/J44</f>
        <v/>
      </c>
      <c r="L50" s="56">
        <f>'2024_60-69 ΕΞΟΔΑ+ΟΜ 2'!E7</f>
        <v/>
      </c>
      <c r="M50" s="75">
        <f>L50/$L$44</f>
        <v/>
      </c>
      <c r="N50" s="65">
        <f>L50+'2026 Ιανουάριος'!L50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2'!E10</f>
        <v/>
      </c>
      <c r="E51" s="75">
        <f>D51/$D$79</f>
        <v/>
      </c>
      <c r="F51" s="65">
        <f>'2026 Ιανουάριος'!F51+'2026 Φεβρουάριος'!D51</f>
        <v/>
      </c>
      <c r="G51" s="75">
        <f>F51/$F$44</f>
        <v/>
      </c>
      <c r="H51" s="56">
        <f>ΠΡΟΥΠΟΛΟΓΙΣΜΟΣ_ΕΞΟΔΑ!E28</f>
        <v/>
      </c>
      <c r="I51" s="400">
        <f>H51/$H$44</f>
        <v/>
      </c>
      <c r="J51" s="65">
        <f>H51+'2026 Ιανουάριος'!J51</f>
        <v/>
      </c>
      <c r="K51" s="404">
        <f>J51/J44</f>
        <v/>
      </c>
      <c r="L51" s="56">
        <f>'2024_60-69 ΕΞΟΔΑ+ΟΜ 2'!E8</f>
        <v/>
      </c>
      <c r="M51" s="75">
        <f>L51/$L$44</f>
        <v/>
      </c>
      <c r="N51" s="65">
        <f>L51+'2026 Ιανουάριος'!L51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2'!E11</f>
        <v/>
      </c>
      <c r="E52" s="75">
        <f>D52/$D$79</f>
        <v/>
      </c>
      <c r="F52" s="65">
        <f>'2026 Ιανουάριος'!F52+'2026 Φεβρουάριος'!D52</f>
        <v/>
      </c>
      <c r="G52" s="75">
        <f>F52/$F$44</f>
        <v/>
      </c>
      <c r="H52" s="56">
        <f>ΠΡΟΥΠΟΛΟΓΙΣΜΟΣ_ΕΞΟΔΑ!E33</f>
        <v/>
      </c>
      <c r="I52" s="400">
        <f>H52/$H$44</f>
        <v/>
      </c>
      <c r="J52" s="65">
        <f>H52+'2026 Ιανουάριος'!J52</f>
        <v/>
      </c>
      <c r="K52" s="404">
        <f>J52/J44</f>
        <v/>
      </c>
      <c r="L52" s="56">
        <f>'2024_60-69 ΕΞΟΔΑ+ΟΜ 2'!E9</f>
        <v/>
      </c>
      <c r="M52" s="75">
        <f>L52/$L$44</f>
        <v/>
      </c>
      <c r="N52" s="65">
        <f>L52+'2026 Ιανουάριος'!L52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2'!E12</f>
        <v/>
      </c>
      <c r="E53" s="75">
        <f>D53/$D$112</f>
        <v/>
      </c>
      <c r="F53" s="114">
        <f>'2026 Ιανουάριος'!F53+'2026 Φεβρουάριος'!D53</f>
        <v/>
      </c>
      <c r="G53" s="75">
        <f>F53/$F$85</f>
        <v/>
      </c>
      <c r="H53" s="56">
        <f>ΠΡΟΥΠΟΛΟΓΙΣΜΟΣ_ΕΞΟΔΑ!E187</f>
        <v/>
      </c>
      <c r="I53" s="401">
        <f>H53/$H$85</f>
        <v/>
      </c>
      <c r="J53" s="402">
        <f>H53+'2026 Ιανουάριος'!J53</f>
        <v/>
      </c>
      <c r="K53" s="403">
        <f>J53/$J$85</f>
        <v/>
      </c>
      <c r="L53" s="114">
        <f>'2024_60-69 ΕΞΟΔΑ+ΟΜ 2'!E39</f>
        <v/>
      </c>
      <c r="M53" s="75">
        <f>L53/$L$85</f>
        <v/>
      </c>
      <c r="N53" s="65">
        <f>L53+'2026 Ιανουάριος'!L53</f>
        <v/>
      </c>
      <c r="O53" s="75">
        <f>N53/$N$85</f>
        <v/>
      </c>
      <c r="P53" s="402">
        <f>F53-N53</f>
        <v/>
      </c>
      <c r="Q53" s="539">
        <f>N53/J53</f>
        <v/>
      </c>
    </row>
    <row r="54" ht="30.7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2'!E13</f>
        <v/>
      </c>
      <c r="E54" s="75">
        <f>D54/$D$112</f>
        <v/>
      </c>
      <c r="F54" s="114">
        <f>'2026 Ιανουάριος'!F54+'2026 Φεβρουάριος'!D54</f>
        <v/>
      </c>
      <c r="G54" s="75">
        <f>F54/$F$85</f>
        <v/>
      </c>
      <c r="H54" s="56">
        <f>ΠΡΟΥΠΟΛΟΓΙΣΜΟΣ_ΕΞΟΔΑ!E192</f>
        <v/>
      </c>
      <c r="I54" s="401">
        <f>H54/$H$85</f>
        <v/>
      </c>
      <c r="J54" s="402">
        <f>H54+'2026 Ιανουάριος'!J54</f>
        <v/>
      </c>
      <c r="K54" s="403">
        <f>J54/$J$85</f>
        <v/>
      </c>
      <c r="L54" s="114">
        <f>'2024_60-69 ΕΞΟΔΑ+ΟΜ 2'!E40</f>
        <v/>
      </c>
      <c r="M54" s="75">
        <f>L54/$L$85</f>
        <v/>
      </c>
      <c r="N54" s="65">
        <f>L54+'2026 Ιανουάριος'!L54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2'!E14</f>
        <v/>
      </c>
      <c r="E55" s="75">
        <f>D55/$D$79</f>
        <v/>
      </c>
      <c r="F55" s="65">
        <f>'2026 Ιανουάριος'!F55+'2026 Φεβρουάριος'!D55</f>
        <v/>
      </c>
      <c r="G55" s="75">
        <f>F55/$F$44</f>
        <v/>
      </c>
      <c r="H55" s="56">
        <f>ΠΡΟΥΠΟΛΟΓΙΣΜΟΣ_ΕΞΟΔΑ!E38</f>
        <v/>
      </c>
      <c r="I55" s="400">
        <f>H55/$H$44</f>
        <v/>
      </c>
      <c r="J55" s="65">
        <f>H55+'2026 Ιανουάριος'!J55</f>
        <v/>
      </c>
      <c r="K55" s="404">
        <f>J55/J44</f>
        <v/>
      </c>
      <c r="L55" s="56">
        <f>'2024_60-69 ΕΞΟΔΑ+ΟΜ 2'!E10</f>
        <v/>
      </c>
      <c r="M55" s="75">
        <f>L55/$L$44</f>
        <v/>
      </c>
      <c r="N55" s="65">
        <f>L55+'2026 Ιανουάριος'!L55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2'!E15</f>
        <v/>
      </c>
      <c r="E56" s="75">
        <f>D56/$D$79</f>
        <v/>
      </c>
      <c r="F56" s="65">
        <f>'2026 Ιανουάριος'!F56+'2026 Φεβρουάριος'!D56</f>
        <v/>
      </c>
      <c r="G56" s="75">
        <f>F56/$F$44</f>
        <v/>
      </c>
      <c r="H56" s="56">
        <f>ΠΡΟΥΠΟΛΟΓΙΣΜΟΣ_ΕΞΟΔΑ!E43</f>
        <v/>
      </c>
      <c r="I56" s="400">
        <f>H56/$H$44</f>
        <v/>
      </c>
      <c r="J56" s="65">
        <f>H56+'2026 Ιανουάριος'!J56</f>
        <v/>
      </c>
      <c r="K56" s="404">
        <f>J56/J44</f>
        <v/>
      </c>
      <c r="L56" s="56">
        <f>'2024_60-69 ΕΞΟΔΑ+ΟΜ 2'!E11</f>
        <v/>
      </c>
      <c r="M56" s="75">
        <f>L56/$L$44</f>
        <v/>
      </c>
      <c r="N56" s="65">
        <f>L56+'2026 Ιανουάριος'!L56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2'!E16</f>
        <v/>
      </c>
      <c r="E57" s="75">
        <f>D57/$D$79</f>
        <v/>
      </c>
      <c r="F57" s="65">
        <f>'2026 Ιανουάριος'!F57+'2026 Φεβρουάριος'!D57</f>
        <v/>
      </c>
      <c r="G57" s="75">
        <f>F57/$F$44</f>
        <v/>
      </c>
      <c r="H57" s="56">
        <f>ΠΡΟΥΠΟΛΟΓΙΣΜΟΣ_ΕΞΟΔΑ!E48</f>
        <v/>
      </c>
      <c r="I57" s="400">
        <f>H57/$H$44</f>
        <v/>
      </c>
      <c r="J57" s="65">
        <f>H57+'2026 Ιανουάριος'!J57</f>
        <v/>
      </c>
      <c r="K57" s="404">
        <f>J57/J44</f>
        <v/>
      </c>
      <c r="L57" s="56">
        <f>'2024_60-69 ΕΞΟΔΑ+ΟΜ 2'!E12</f>
        <v/>
      </c>
      <c r="M57" s="75">
        <f>L57/$L$44</f>
        <v/>
      </c>
      <c r="N57" s="65">
        <f>L57+'2026 Ιανουάριος'!L57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2'!E17</f>
        <v/>
      </c>
      <c r="E58" s="75">
        <f>D58/$D$79</f>
        <v/>
      </c>
      <c r="F58" s="65">
        <f>'2026 Ιανουάριος'!F58+'2026 Φεβρουάριος'!D58</f>
        <v/>
      </c>
      <c r="G58" s="75">
        <f>F58/$F$44</f>
        <v/>
      </c>
      <c r="H58" s="56">
        <f>ΠΡΟΥΠΟΛΟΓΙΣΜΟΣ_ΕΞΟΔΑ!E53</f>
        <v/>
      </c>
      <c r="I58" s="400">
        <f>H58/$H$44</f>
        <v/>
      </c>
      <c r="J58" s="65">
        <f>H58+'2026 Ιανουάριος'!J58</f>
        <v/>
      </c>
      <c r="K58" s="404">
        <f>J58/J44</f>
        <v/>
      </c>
      <c r="L58" s="56">
        <f>'2024_60-69 ΕΞΟΔΑ+ΟΜ 2'!E13</f>
        <v/>
      </c>
      <c r="M58" s="75">
        <f>L58/$L$44</f>
        <v/>
      </c>
      <c r="N58" s="65">
        <f>L58+'2026 Ιανουάριος'!L58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2'!E18</f>
        <v/>
      </c>
      <c r="E59" s="75">
        <f>D59/$D$79</f>
        <v/>
      </c>
      <c r="F59" s="65">
        <f>'2026 Ιανουάριος'!F59+'2026 Φεβρουάριος'!D59</f>
        <v/>
      </c>
      <c r="G59" s="75">
        <f>F59/$F$44</f>
        <v/>
      </c>
      <c r="H59" s="56">
        <f>ΠΡΟΥΠΟΛΟΓΙΣΜΟΣ_ΕΞΟΔΑ!E58</f>
        <v/>
      </c>
      <c r="I59" s="400">
        <f>H59/$H$44</f>
        <v/>
      </c>
      <c r="J59" s="65">
        <f>H59+'2026 Ιανουάριος'!J59</f>
        <v/>
      </c>
      <c r="K59" s="404">
        <f>J59/J44</f>
        <v/>
      </c>
      <c r="L59" s="56">
        <f>'2024_60-69 ΕΞΟΔΑ+ΟΜ 2'!E14</f>
        <v/>
      </c>
      <c r="M59" s="75">
        <f>L59/$L$44</f>
        <v/>
      </c>
      <c r="N59" s="65">
        <f>L59+'2026 Ιανουάριος'!L59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2'!E19</f>
        <v/>
      </c>
      <c r="E60" s="75">
        <f>D60/$D$79</f>
        <v/>
      </c>
      <c r="F60" s="65">
        <f>'2026 Ιανουάριος'!F60+'2026 Φεβρουάριος'!D60</f>
        <v/>
      </c>
      <c r="G60" s="75">
        <f>F60/$F$44</f>
        <v/>
      </c>
      <c r="H60" s="56">
        <f>ΠΡΟΥΠΟΛΟΓΙΣΜΟΣ_ΕΞΟΔΑ!E63</f>
        <v/>
      </c>
      <c r="I60" s="400">
        <f>H60/$H$44</f>
        <v/>
      </c>
      <c r="J60" s="65">
        <f>H60+'2026 Ιανουάριος'!J60</f>
        <v/>
      </c>
      <c r="K60" s="404">
        <f>J60/J44</f>
        <v/>
      </c>
      <c r="L60" s="56">
        <f>'2024_60-69 ΕΞΟΔΑ+ΟΜ 2'!E15</f>
        <v/>
      </c>
      <c r="M60" s="75" t="n"/>
      <c r="N60" s="65">
        <f>L60+'2026 Ιανουάριος'!L60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2'!E20</f>
        <v/>
      </c>
      <c r="E61" s="75">
        <f>D61/$D$79</f>
        <v/>
      </c>
      <c r="F61" s="65">
        <f>'2026 Ιανουάριος'!F61+'2026 Φεβρουάριος'!D61</f>
        <v/>
      </c>
      <c r="G61" s="75">
        <f>F61/$F$44</f>
        <v/>
      </c>
      <c r="H61" s="56">
        <f>ΠΡΟΥΠΟΛΟΓΙΣΜΟΣ_ΕΞΟΔΑ!E68</f>
        <v/>
      </c>
      <c r="I61" s="400">
        <f>H61/$H$44</f>
        <v/>
      </c>
      <c r="J61" s="65">
        <f>H61+'2026 Ιανουάριος'!J61</f>
        <v/>
      </c>
      <c r="K61" s="404">
        <f>J61/J44</f>
        <v/>
      </c>
      <c r="L61" s="56">
        <f>'2024_60-69 ΕΞΟΔΑ+ΟΜ 2'!E16</f>
        <v/>
      </c>
      <c r="M61" s="75">
        <f>L61/$L$44</f>
        <v/>
      </c>
      <c r="N61" s="65">
        <f>L61+'2026 Ιανουάριος'!L61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2'!E21</f>
        <v/>
      </c>
      <c r="E62" s="75">
        <f>D62/$D$79</f>
        <v/>
      </c>
      <c r="F62" s="65">
        <f>'2026 Ιανουάριος'!F62+'2026 Φεβρουάριος'!D62</f>
        <v/>
      </c>
      <c r="G62" s="75">
        <f>F62/$F$44</f>
        <v/>
      </c>
      <c r="H62" s="56">
        <f>ΠΡΟΥΠΟΛΟΓΙΣΜΟΣ_ΕΞΟΔΑ!E73</f>
        <v/>
      </c>
      <c r="I62" s="400">
        <f>H62/$H$44</f>
        <v/>
      </c>
      <c r="J62" s="65">
        <f>H62+'2026 Ιανουάριος'!J62</f>
        <v/>
      </c>
      <c r="K62" s="404">
        <f>J62/J44</f>
        <v/>
      </c>
      <c r="L62" s="56">
        <f>'2024_60-69 ΕΞΟΔΑ+ΟΜ 2'!E17</f>
        <v/>
      </c>
      <c r="M62" s="75">
        <f>L62/$L$44</f>
        <v/>
      </c>
      <c r="N62" s="65">
        <f>L62+'2026 Ιανουάριος'!L62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2'!E22</f>
        <v/>
      </c>
      <c r="E63" s="75">
        <f>D63/$D$79</f>
        <v/>
      </c>
      <c r="F63" s="65">
        <f>'2026 Ιανουάριος'!F63+'2026 Φεβρουάριος'!D63</f>
        <v/>
      </c>
      <c r="G63" s="75">
        <f>F63/$F$44</f>
        <v/>
      </c>
      <c r="H63" s="56">
        <f>ΠΡΟΥΠΟΛΟΓΙΣΜΟΣ_ΕΞΟΔΑ!E78</f>
        <v/>
      </c>
      <c r="I63" s="400">
        <f>H63/$H$44</f>
        <v/>
      </c>
      <c r="J63" s="65">
        <f>H63+'2026 Ιανουάριος'!J63</f>
        <v/>
      </c>
      <c r="K63" s="404">
        <f>J63/J44</f>
        <v/>
      </c>
      <c r="L63" s="56">
        <f>'2024_60-69 ΕΞΟΔΑ+ΟΜ 2'!E18</f>
        <v/>
      </c>
      <c r="M63" s="75">
        <f>L63/$L$44</f>
        <v/>
      </c>
      <c r="N63" s="65">
        <f>L63+'2026 Ιανουάριος'!L63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2'!E23</f>
        <v/>
      </c>
      <c r="E64" s="75">
        <f>D64/$D$79</f>
        <v/>
      </c>
      <c r="F64" s="65">
        <f>'2026 Ιανουάριος'!F64+'2026 Φεβρουάριος'!D64</f>
        <v/>
      </c>
      <c r="G64" s="75">
        <f>F64/$F$44</f>
        <v/>
      </c>
      <c r="H64" s="56">
        <f>ΠΡΟΥΠΟΛΟΓΙΣΜΟΣ_ΕΞΟΔΑ!E83</f>
        <v/>
      </c>
      <c r="I64" s="400">
        <f>H64/$H$44</f>
        <v/>
      </c>
      <c r="J64" s="65">
        <f>H64+'2026 Ιανουάριος'!J64</f>
        <v/>
      </c>
      <c r="K64" s="404">
        <f>J64/J44</f>
        <v/>
      </c>
      <c r="L64" s="56">
        <f>'2024_60-69 ΕΞΟΔΑ+ΟΜ 2'!E19</f>
        <v/>
      </c>
      <c r="M64" s="75">
        <f>L64/$L$44</f>
        <v/>
      </c>
      <c r="N64" s="65">
        <f>L64+'2026 Ιανουάριος'!L64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2'!E24</f>
        <v/>
      </c>
      <c r="E65" s="75">
        <f>D65/$D$79</f>
        <v/>
      </c>
      <c r="F65" s="65">
        <f>'2026 Ιανουάριος'!F65+'2026 Φεβρουάριος'!D65</f>
        <v/>
      </c>
      <c r="G65" s="75">
        <f>F65/$F$44</f>
        <v/>
      </c>
      <c r="H65" s="56">
        <f>ΠΡΟΥΠΟΛΟΓΙΣΜΟΣ_ΕΞΟΔΑ!E88</f>
        <v/>
      </c>
      <c r="I65" s="400">
        <f>H65/$H$44</f>
        <v/>
      </c>
      <c r="J65" s="65">
        <f>H65+'2026 Ιανουάριος'!J65</f>
        <v/>
      </c>
      <c r="K65" s="404">
        <f>J65/J44</f>
        <v/>
      </c>
      <c r="L65" s="56">
        <f>'2024_60-69 ΕΞΟΔΑ+ΟΜ 2'!E20</f>
        <v/>
      </c>
      <c r="M65" s="75">
        <f>L65/$L$44</f>
        <v/>
      </c>
      <c r="N65" s="65">
        <f>L65+'2026 Ιανουάριος'!L65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D66/$D$79</f>
        <v/>
      </c>
      <c r="F66" s="65">
        <f>'2026 Ιανουάριος'!F66+'2026 Φεβρουάριος'!D66</f>
        <v/>
      </c>
      <c r="G66" s="75">
        <f>F66/$F$44</f>
        <v/>
      </c>
      <c r="H66" s="56">
        <f>ΠΡΟΥΠΟΛΟΓΙΣΜΟΣ_ΕΞΟΔΑ!E93</f>
        <v/>
      </c>
      <c r="I66" s="400">
        <f>H66/$H$44</f>
        <v/>
      </c>
      <c r="J66" s="65">
        <f>H66+'2026 Ιανουάριος'!J66</f>
        <v/>
      </c>
      <c r="K66" s="404">
        <f>J66/J44</f>
        <v/>
      </c>
      <c r="L66" s="56">
        <f>'2024_60-69 ΕΞΟΔΑ+ΟΜ 2'!E21</f>
        <v/>
      </c>
      <c r="M66" s="75">
        <f>L66/$L$44</f>
        <v/>
      </c>
      <c r="N66" s="65">
        <f>L66+'2026 Ιανουάριος'!L66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2'!E26</f>
        <v/>
      </c>
      <c r="E67" s="75">
        <f>D67/$D$79</f>
        <v/>
      </c>
      <c r="F67" s="65">
        <f>'2026 Ιανουάριος'!F67+'2026 Φεβρουάριος'!D67</f>
        <v/>
      </c>
      <c r="G67" s="75">
        <f>F67/$F$44</f>
        <v/>
      </c>
      <c r="H67" s="56">
        <f>ΠΡΟΥΠΟΛΟΓΙΣΜΟΣ_ΕΞΟΔΑ!E98</f>
        <v/>
      </c>
      <c r="I67" s="400">
        <f>H67/$H$44</f>
        <v/>
      </c>
      <c r="J67" s="65">
        <f>H67+'2026 Ιανουάριος'!J67</f>
        <v/>
      </c>
      <c r="K67" s="404">
        <f>J67/J44</f>
        <v/>
      </c>
      <c r="L67" s="56">
        <f>'2024_60-69 ΕΞΟΔΑ+ΟΜ 2'!E22</f>
        <v/>
      </c>
      <c r="M67" s="75">
        <f>L67/$L$44</f>
        <v/>
      </c>
      <c r="N67" s="65">
        <f>L67+'2026 Ιανουάριος'!L67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2'!E27</f>
        <v/>
      </c>
      <c r="E68" s="75">
        <f>D68/$D$79</f>
        <v/>
      </c>
      <c r="F68" s="65">
        <f>'2026 Ιανουάριος'!F68+'2026 Φεβρουάριος'!D68</f>
        <v/>
      </c>
      <c r="G68" s="75">
        <f>F68/$F$44</f>
        <v/>
      </c>
      <c r="H68" s="56">
        <f>ΠΡΟΥΠΟΛΟΓΙΣΜΟΣ_ΕΞΟΔΑ!E103</f>
        <v/>
      </c>
      <c r="I68" s="400">
        <f>H68/$H$44</f>
        <v/>
      </c>
      <c r="J68" s="65">
        <f>H68+'2026 Ιανουάριος'!J68</f>
        <v/>
      </c>
      <c r="K68" s="404">
        <f>J68/J44</f>
        <v/>
      </c>
      <c r="L68" s="56">
        <f>'2024_60-69 ΕΞΟΔΑ+ΟΜ 2'!E23</f>
        <v/>
      </c>
      <c r="M68" s="75">
        <f>L68/$L$44</f>
        <v/>
      </c>
      <c r="N68" s="65">
        <f>L68+'2026 Ιανουάριος'!L68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2'!E28</f>
        <v/>
      </c>
      <c r="E69" s="75">
        <f>D69/$D$79</f>
        <v/>
      </c>
      <c r="F69" s="65">
        <f>'2026 Ιανουάριος'!F69+'2026 Φεβρουάριος'!D69</f>
        <v/>
      </c>
      <c r="G69" s="75">
        <f>F69/$F$44</f>
        <v/>
      </c>
      <c r="H69" s="56">
        <f>ΠΡΟΥΠΟΛΟΓΙΣΜΟΣ_ΕΞΟΔΑ!E108</f>
        <v/>
      </c>
      <c r="I69" s="400">
        <f>H69/$H$44</f>
        <v/>
      </c>
      <c r="J69" s="65">
        <f>H69+'2026 Ιανουάριος'!J69</f>
        <v/>
      </c>
      <c r="K69" s="404">
        <f>J69/J44</f>
        <v/>
      </c>
      <c r="L69" s="56">
        <f>'2024_60-69 ΕΞΟΔΑ+ΟΜ 2'!E24</f>
        <v/>
      </c>
      <c r="M69" s="75">
        <f>L69/$L$44</f>
        <v/>
      </c>
      <c r="N69" s="65">
        <f>L69+'2026 Ιανουάριος'!L69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2'!E29</f>
        <v/>
      </c>
      <c r="E70" s="75">
        <f>D70/$D$79</f>
        <v/>
      </c>
      <c r="F70" s="65">
        <f>'2026 Ιανουάριος'!F70+'2026 Φεβρουάριος'!D70</f>
        <v/>
      </c>
      <c r="G70" s="75">
        <f>F70/$F$44</f>
        <v/>
      </c>
      <c r="H70" s="56">
        <f>ΠΡΟΥΠΟΛΟΓΙΣΜΟΣ_ΕΞΟΔΑ!E113</f>
        <v/>
      </c>
      <c r="I70" s="400">
        <f>H70/$H$44</f>
        <v/>
      </c>
      <c r="J70" s="65">
        <f>H70+'2026 Ιανουάριος'!J70</f>
        <v/>
      </c>
      <c r="K70" s="404">
        <f>J70/J44</f>
        <v/>
      </c>
      <c r="L70" s="56">
        <f>'2024_60-69 ΕΞΟΔΑ+ΟΜ 2'!E25</f>
        <v/>
      </c>
      <c r="M70" s="75">
        <f>L70/$L$44</f>
        <v/>
      </c>
      <c r="N70" s="65">
        <f>L70+'2026 Ιανουάριος'!L70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2'!E30</f>
        <v/>
      </c>
      <c r="E71" s="75">
        <f>D71/$D$79</f>
        <v/>
      </c>
      <c r="F71" s="65">
        <f>'2026 Ιανουάριος'!F71+'2026 Φεβρουάριος'!D71</f>
        <v/>
      </c>
      <c r="G71" s="75">
        <f>F71/$F$44</f>
        <v/>
      </c>
      <c r="H71" s="56">
        <f>ΠΡΟΥΠΟΛΟΓΙΣΜΟΣ_ΕΞΟΔΑ!E118</f>
        <v/>
      </c>
      <c r="I71" s="400">
        <f>H71/$H$44</f>
        <v/>
      </c>
      <c r="J71" s="65">
        <f>H71+'2026 Ιανουάριος'!J71</f>
        <v/>
      </c>
      <c r="K71" s="404">
        <f>J71/J44</f>
        <v/>
      </c>
      <c r="L71" s="56">
        <f>'2024_60-69 ΕΞΟΔΑ+ΟΜ 2'!E26</f>
        <v/>
      </c>
      <c r="M71" s="75">
        <f>L71/$L$44</f>
        <v/>
      </c>
      <c r="N71" s="65">
        <f>L71+'2026 Ιανουάριος'!L71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2'!E31</f>
        <v/>
      </c>
      <c r="E72" s="75">
        <f>D72/$D$79</f>
        <v/>
      </c>
      <c r="F72" s="65">
        <f>'2026 Ιανουάριος'!F72+'2026 Φεβρουάριος'!D72</f>
        <v/>
      </c>
      <c r="G72" s="75">
        <f>F72/$F$44</f>
        <v/>
      </c>
      <c r="H72" s="56">
        <f>ΠΡΟΥΠΟΛΟΓΙΣΜΟΣ_ΕΞΟΔΑ!E123</f>
        <v/>
      </c>
      <c r="I72" s="400">
        <f>H72/$H$44</f>
        <v/>
      </c>
      <c r="J72" s="65">
        <f>H72+'2026 Ιανουάριος'!J72</f>
        <v/>
      </c>
      <c r="K72" s="404">
        <f>J72/J44</f>
        <v/>
      </c>
      <c r="L72" s="56">
        <f>'2024_60-69 ΕΞΟΔΑ+ΟΜ 2'!E27</f>
        <v/>
      </c>
      <c r="M72" s="75">
        <f>L72/$L$44</f>
        <v/>
      </c>
      <c r="N72" s="65">
        <f>L72+'2026 Ιανουάριος'!L72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2'!E32</f>
        <v/>
      </c>
      <c r="E73" s="75">
        <f>D73/$D$79</f>
        <v/>
      </c>
      <c r="F73" s="65">
        <f>'2026 Ιανουάριος'!F73+'2026 Φεβρουάριος'!D73</f>
        <v/>
      </c>
      <c r="G73" s="75">
        <f>F73/$F$44</f>
        <v/>
      </c>
      <c r="H73" s="56">
        <f>ΠΡΟΥΠΟΛΟΓΙΣΜΟΣ_ΕΞΟΔΑ!E128</f>
        <v/>
      </c>
      <c r="I73" s="400">
        <f>H73/$H$44</f>
        <v/>
      </c>
      <c r="J73" s="65">
        <f>H73+'2026 Ιανουάριος'!J73</f>
        <v/>
      </c>
      <c r="K73" s="404">
        <f>J73/J44</f>
        <v/>
      </c>
      <c r="L73" s="56">
        <f>'2024_60-69 ΕΞΟΔΑ+ΟΜ 2'!E28</f>
        <v/>
      </c>
      <c r="M73" s="75">
        <f>L73/$L$44</f>
        <v/>
      </c>
      <c r="N73" s="65">
        <f>L73+'2026 Ιανουάριος'!L73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2.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2'!E33</f>
        <v/>
      </c>
      <c r="E74" s="75">
        <f>D74/$D$79</f>
        <v/>
      </c>
      <c r="F74" s="65">
        <f>'2026 Ιανουάριος'!F74+'2026 Φεβρουάριος'!D74</f>
        <v/>
      </c>
      <c r="G74" s="75">
        <f>F74/$F$44</f>
        <v/>
      </c>
      <c r="H74" s="56">
        <f>ΠΡΟΥΠΟΛΟΓΙΣΜΟΣ_ΕΞΟΔΑ!E133</f>
        <v/>
      </c>
      <c r="I74" s="400">
        <f>H74/$H$44</f>
        <v/>
      </c>
      <c r="J74" s="65">
        <f>H74+'2026 Ιανουάριος'!J74</f>
        <v/>
      </c>
      <c r="K74" s="404">
        <f>J74/J44</f>
        <v/>
      </c>
      <c r="L74" s="56">
        <f>'2024_60-69 ΕΞΟΔΑ+ΟΜ 2'!E29</f>
        <v/>
      </c>
      <c r="M74" s="75">
        <f>L74/$L$44</f>
        <v/>
      </c>
      <c r="N74" s="65">
        <f>L74+'2026 Ιανουάριος'!L74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D75/$D$79</f>
        <v/>
      </c>
      <c r="F75" s="65">
        <f>'2026 Ιανουάριος'!F75+'2026 Φεβρουάριος'!D75</f>
        <v/>
      </c>
      <c r="G75" s="75">
        <f>F75/$F$44</f>
        <v/>
      </c>
      <c r="H75" s="56">
        <f>ΠΡΟΥΠΟΛΟΓΙΣΜΟΣ_ΕΞΟΔΑ!E138</f>
        <v/>
      </c>
      <c r="I75" s="400">
        <f>H75/$H$44</f>
        <v/>
      </c>
      <c r="J75" s="65">
        <f>H75+'2026 Ιανουάριος'!J75</f>
        <v/>
      </c>
      <c r="K75" s="404">
        <f>J75/J44</f>
        <v/>
      </c>
      <c r="L75" s="56">
        <f>'2024_60-69 ΕΞΟΔΑ+ΟΜ 2'!E30</f>
        <v/>
      </c>
      <c r="M75" s="75">
        <f>L75/$L$44</f>
        <v/>
      </c>
      <c r="N75" s="65">
        <f>L75+'2026 Ιανουάριος'!L75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2'!E35</f>
        <v/>
      </c>
      <c r="E76" s="75">
        <f>D76/$D$79</f>
        <v/>
      </c>
      <c r="F76" s="65">
        <f>'2026 Ιανουάριος'!F76+'2026 Φεβρουάριος'!D76</f>
        <v/>
      </c>
      <c r="G76" s="75">
        <f>F76/$F$44</f>
        <v/>
      </c>
      <c r="H76" s="56">
        <f>ΠΡΟΥΠΟΛΟΓΙΣΜΟΣ_ΕΞΟΔΑ!E143</f>
        <v/>
      </c>
      <c r="I76" s="400">
        <f>H76/$H$44</f>
        <v/>
      </c>
      <c r="J76" s="65">
        <f>H76+'2026 Ιανουάριος'!J76</f>
        <v/>
      </c>
      <c r="K76" s="404">
        <f>J76/J44</f>
        <v/>
      </c>
      <c r="L76" s="56">
        <f>'2024_60-69 ΕΞΟΔΑ+ΟΜ 2'!E31</f>
        <v/>
      </c>
      <c r="M76" s="75">
        <f>L76/$L$44</f>
        <v/>
      </c>
      <c r="N76" s="65">
        <f>L76+'2026 Ιανουάριος'!L76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2'!E36</f>
        <v/>
      </c>
      <c r="E77" s="75">
        <f>D77/$D$79</f>
        <v/>
      </c>
      <c r="F77" s="65">
        <f>'2026 Ιανουάριος'!F77+'2026 Φεβρουάριος'!D77</f>
        <v/>
      </c>
      <c r="G77" s="75">
        <f>F77/$F$44</f>
        <v/>
      </c>
      <c r="H77" s="56">
        <f>ΠΡΟΥΠΟΛΟΓΙΣΜΟΣ_ΕΞΟΔΑ!E148</f>
        <v/>
      </c>
      <c r="I77" s="400">
        <f>H77/$H$44</f>
        <v/>
      </c>
      <c r="J77" s="65">
        <f>H77+'2026 Ιανουάριος'!J77</f>
        <v/>
      </c>
      <c r="K77" s="404">
        <f>J77/J44</f>
        <v/>
      </c>
      <c r="L77" s="56">
        <f>'2024_60-69 ΕΞΟΔΑ+ΟΜ 2'!E32</f>
        <v/>
      </c>
      <c r="M77" s="75">
        <f>L77/$L$44</f>
        <v/>
      </c>
      <c r="N77" s="65">
        <f>L77+'2026 Ιανουάριος'!L77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2'!E37</f>
        <v/>
      </c>
      <c r="E78" s="75">
        <f>D78/$D$79</f>
        <v/>
      </c>
      <c r="F78" s="65">
        <f>'2026 Ιανουάριος'!F78+'2026 Φεβρουάριος'!D78</f>
        <v/>
      </c>
      <c r="G78" s="75">
        <f>F78/$F$44</f>
        <v/>
      </c>
      <c r="H78" s="56">
        <f>ΠΡΟΥΠΟΛΟΓΙΣΜΟΣ_ΕΞΟΔΑ!E153</f>
        <v/>
      </c>
      <c r="I78" s="400">
        <f>H78/$H$44</f>
        <v/>
      </c>
      <c r="J78" s="65">
        <f>H78+'2026 Ιανουάριος'!J78</f>
        <v/>
      </c>
      <c r="K78" s="404">
        <f>J78/J44</f>
        <v/>
      </c>
      <c r="L78" s="56">
        <f>'2024_60-69 ΕΞΟΔΑ+ΟΜ 2'!E33</f>
        <v/>
      </c>
      <c r="M78" s="75">
        <f>L78/$L$44</f>
        <v/>
      </c>
      <c r="N78" s="65">
        <f>L78+'2026 Ιανουάριος'!L78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2'!E3</f>
        <v/>
      </c>
      <c r="E79" s="297" t="n"/>
      <c r="F79" s="64">
        <f>'2026_60-69 ΕΞΟΔΑ+ΟΜ 2'!R3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7.7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ΑΝΤΙΣΤΟΙΧΙΣΗ!$F$107</f>
        <v/>
      </c>
      <c r="E83" s="551" t="n"/>
      <c r="F83" s="550" t="n"/>
      <c r="G83" s="107">
        <f>ΑΝΤΙΣΤΟΙΧΙΣΗ!$D$34</f>
        <v/>
      </c>
      <c r="H83" s="549">
        <f>ΑΝΤΙΣΤΟΙΧΙΣΗ!$F$107</f>
        <v/>
      </c>
      <c r="I83" s="551" t="n"/>
      <c r="J83" s="550" t="n"/>
      <c r="K83" s="107">
        <f>ΑΝΤΙΣΤΟΙΧΙΣΗ!$D$34</f>
        <v/>
      </c>
      <c r="L83" s="549">
        <f>ΑΝΤΙΣΤΟΙΧΙΣΗ!$F$121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7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Εξοδα Sales and Marketing Μηνός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Εσόδων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Εσόδων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Εσόδων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33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2'!E41</f>
        <v/>
      </c>
      <c r="E86" s="75">
        <f>D86/$D$112</f>
        <v/>
      </c>
      <c r="F86" s="114">
        <f>'2026 Ιανουάριος'!F86+'2026 Φεβρουάριος'!D86</f>
        <v/>
      </c>
      <c r="G86" s="75">
        <f>F86/$F$85</f>
        <v/>
      </c>
      <c r="H86" s="56">
        <f>ΠΡΟΥΠΟΛΟΓΙΣΜΟΣ_ΕΞΟΔΑ!E177</f>
        <v/>
      </c>
      <c r="I86" s="401">
        <f>H86/$H$85</f>
        <v/>
      </c>
      <c r="J86" s="402">
        <f>H86+'2026 Ιανουάριος'!J86</f>
        <v/>
      </c>
      <c r="K86" s="403">
        <f>J86/$J$85</f>
        <v/>
      </c>
      <c r="L86" s="114">
        <f>'2024_60-69 ΕΞΟΔΑ+ΟΜ 2'!E37</f>
        <v/>
      </c>
      <c r="M86" s="75">
        <f>L86/$L$85</f>
        <v/>
      </c>
      <c r="N86" s="65">
        <f>L86+'2026 Ιανουάριος'!L86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33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2'!E42</f>
        <v/>
      </c>
      <c r="E87" s="75">
        <f>D87/$D$112</f>
        <v/>
      </c>
      <c r="F87" s="114">
        <f>'2026 Ιανουάριος'!F87+'2026 Φεβρουάριος'!D87</f>
        <v/>
      </c>
      <c r="G87" s="75">
        <f>F87/$F$85</f>
        <v/>
      </c>
      <c r="H87" s="56">
        <f>ΠΡΟΥΠΟΛΟΓΙΣΜΟΣ_ΕΞΟΔΑ!E182</f>
        <v/>
      </c>
      <c r="I87" s="401">
        <f>H87/$H$85</f>
        <v/>
      </c>
      <c r="J87" s="402">
        <f>H87+'2026 Ιανουάριος'!J87</f>
        <v/>
      </c>
      <c r="K87" s="403">
        <f>J87/$J$85</f>
        <v/>
      </c>
      <c r="L87" s="114">
        <f>'2024_60-69 ΕΞΟΔΑ+ΟΜ 2'!E38</f>
        <v/>
      </c>
      <c r="M87" s="75">
        <f>L87/$L$85</f>
        <v/>
      </c>
      <c r="N87" s="65">
        <f>L87+'2026 Ιανουάριος'!L87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4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2'!E43</f>
        <v/>
      </c>
      <c r="E88" s="75">
        <f>D88/$D$112</f>
        <v/>
      </c>
      <c r="F88" s="114">
        <f>'2026 Ιανουάριος'!F88+'2026 Φεβρουάριος'!D88</f>
        <v/>
      </c>
      <c r="G88" s="75">
        <f>F88/$F$85</f>
        <v/>
      </c>
      <c r="H88" s="56">
        <f>ΠΡΟΥΠΟΛΟΓΙΣΜΟΣ_ΕΞΟΔΑ!E197</f>
        <v/>
      </c>
      <c r="I88" s="401">
        <f>H88/$H$85</f>
        <v/>
      </c>
      <c r="J88" s="402">
        <f>H88+'2026 Ιανουάριος'!J88</f>
        <v/>
      </c>
      <c r="K88" s="403">
        <f>J88/$J$85</f>
        <v/>
      </c>
      <c r="L88" s="114">
        <f>'2024_60-69 ΕΞΟΔΑ+ΟΜ 2'!E41</f>
        <v/>
      </c>
      <c r="M88" s="75">
        <f>L88/$L$85</f>
        <v/>
      </c>
      <c r="N88" s="65">
        <f>L88+'2026 Ιανουάριος'!L88</f>
        <v/>
      </c>
      <c r="O88" s="75">
        <f>N88/$N$85</f>
        <v/>
      </c>
      <c r="P88" s="402">
        <f>F88-N88</f>
        <v/>
      </c>
      <c r="Q88" s="539">
        <f>N88/J88</f>
        <v/>
      </c>
      <c r="V88" s="235" t="n"/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2'!E44</f>
        <v/>
      </c>
      <c r="E89" s="75">
        <f>D89/$D$112</f>
        <v/>
      </c>
      <c r="F89" s="114">
        <f>'2026 Ιανουάριος'!F89+'2026 Φεβρουάριος'!D89</f>
        <v/>
      </c>
      <c r="G89" s="75">
        <f>F89/$F$85</f>
        <v/>
      </c>
      <c r="H89" s="56">
        <f>ΠΡΟΥΠΟΛΟΓΙΣΜΟΣ_ΕΞΟΔΑ!E202</f>
        <v/>
      </c>
      <c r="I89" s="401">
        <f>H89/$H$85</f>
        <v/>
      </c>
      <c r="J89" s="402">
        <f>H89+'2026 Ιανουάριος'!J89</f>
        <v/>
      </c>
      <c r="K89" s="403">
        <f>J89/$J$85</f>
        <v/>
      </c>
      <c r="L89" s="114">
        <f>'2024_60-69 ΕΞΟΔΑ+ΟΜ 2'!E42</f>
        <v/>
      </c>
      <c r="M89" s="75">
        <f>L89/$L$85</f>
        <v/>
      </c>
      <c r="N89" s="65">
        <f>L89+'2026 Ιανουάριος'!L89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2'!E45</f>
        <v/>
      </c>
      <c r="E90" s="75">
        <f>D90/$D$112</f>
        <v/>
      </c>
      <c r="F90" s="114">
        <f>'2026 Ιανουάριος'!F90+'2026 Φεβρουάριος'!D90</f>
        <v/>
      </c>
      <c r="G90" s="75">
        <f>F90/$F$85</f>
        <v/>
      </c>
      <c r="H90" s="399">
        <f>ΠΡΟΥΠΟΛΟΓΙΣΜΟΣ_ΕΞΟΔΑ!E207</f>
        <v/>
      </c>
      <c r="I90" s="401">
        <f>H90/$H$85</f>
        <v/>
      </c>
      <c r="J90" s="402">
        <f>H90+'2026 Ιανουάριος'!J90</f>
        <v/>
      </c>
      <c r="K90" s="403">
        <f>J90/$J$85</f>
        <v/>
      </c>
      <c r="L90" s="114">
        <f>'2024_60-69 ΕΞΟΔΑ+ΟΜ 2'!E43</f>
        <v/>
      </c>
      <c r="M90" s="75">
        <f>L90/$L$85</f>
        <v/>
      </c>
      <c r="N90" s="65">
        <f>L90+'2026 Ιανουάριος'!L90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2'!E46</f>
        <v/>
      </c>
      <c r="E91" s="75">
        <f>D91/$D$112</f>
        <v/>
      </c>
      <c r="F91" s="114">
        <f>'2026 Ιανουάριος'!F91+'2026 Φεβρουάριος'!D91</f>
        <v/>
      </c>
      <c r="G91" s="75">
        <f>F91/$F$85</f>
        <v/>
      </c>
      <c r="H91" s="399">
        <f>ΠΡΟΥΠΟΛΟΓΙΣΜΟΣ_ΕΞΟΔΑ!E212</f>
        <v/>
      </c>
      <c r="I91" s="401">
        <f>H91/$H$85</f>
        <v/>
      </c>
      <c r="J91" s="402">
        <f>H91+'2026 Ιανουάριος'!J91</f>
        <v/>
      </c>
      <c r="K91" s="403">
        <f>J91/$J$85</f>
        <v/>
      </c>
      <c r="L91" s="114">
        <f>'2024_60-69 ΕΞΟΔΑ+ΟΜ 2'!E44</f>
        <v/>
      </c>
      <c r="M91" s="75">
        <f>L91/$L$85</f>
        <v/>
      </c>
      <c r="N91" s="65">
        <f>L91+'2026 Ιανουάριος'!L91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2'!E47</f>
        <v/>
      </c>
      <c r="E92" s="75">
        <f>D92/$D$112</f>
        <v/>
      </c>
      <c r="F92" s="114">
        <f>'2026 Ιανουάριος'!F92+'2026 Φεβρουάριος'!D92</f>
        <v/>
      </c>
      <c r="G92" s="75">
        <f>F92/$F$85</f>
        <v/>
      </c>
      <c r="H92" s="399">
        <f>ΠΡΟΥΠΟΛΟΓΙΣΜΟΣ_ΕΞΟΔΑ!E217</f>
        <v/>
      </c>
      <c r="I92" s="401">
        <f>H92/$H$85</f>
        <v/>
      </c>
      <c r="J92" s="402">
        <f>H92+'2026 Ιανουάριος'!J92</f>
        <v/>
      </c>
      <c r="K92" s="403">
        <f>J92/$J$85</f>
        <v/>
      </c>
      <c r="L92" s="114">
        <f>'2024_60-69 ΕΞΟΔΑ+ΟΜ 2'!E45</f>
        <v/>
      </c>
      <c r="M92" s="75">
        <f>L92/$L$85</f>
        <v/>
      </c>
      <c r="N92" s="65">
        <f>L92+'2026 Ιανουάριος'!L92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7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2'!E48</f>
        <v/>
      </c>
      <c r="E93" s="75">
        <f>D93/$D$112</f>
        <v/>
      </c>
      <c r="F93" s="114">
        <f>'2026 Ιανουάριος'!F93+'2026 Φεβρουάριος'!D93</f>
        <v/>
      </c>
      <c r="G93" s="75">
        <f>F93/$F$85</f>
        <v/>
      </c>
      <c r="H93" s="56">
        <f>ΠΡΟΥΠΟΛΟΓΙΣΜΟΣ_ΕΞΟΔΑ!E222</f>
        <v/>
      </c>
      <c r="I93" s="401">
        <f>H93/$H$85</f>
        <v/>
      </c>
      <c r="J93" s="402">
        <f>H93+'2026 Ιανουάριος'!J93</f>
        <v/>
      </c>
      <c r="K93" s="403">
        <f>J93/$J$85</f>
        <v/>
      </c>
      <c r="L93" s="114">
        <f>'2024_60-69 ΕΞΟΔΑ+ΟΜ 2'!E46</f>
        <v/>
      </c>
      <c r="M93" s="75">
        <f>L93/$L$85</f>
        <v/>
      </c>
      <c r="N93" s="65">
        <f>L93+'2026 Ιανουάριος'!L93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2'!E49</f>
        <v/>
      </c>
      <c r="E94" s="75">
        <f>D94/$D$112</f>
        <v/>
      </c>
      <c r="F94" s="114">
        <f>'2026 Ιανουάριος'!F94+'2026 Φεβρουάριος'!D94</f>
        <v/>
      </c>
      <c r="G94" s="75">
        <f>F94/$F$85</f>
        <v/>
      </c>
      <c r="H94" s="56">
        <f>ΠΡΟΥΠΟΛΟΓΙΣΜΟΣ_ΕΞΟΔΑ!E227</f>
        <v/>
      </c>
      <c r="I94" s="401">
        <f>H94/$H$85</f>
        <v/>
      </c>
      <c r="J94" s="402">
        <f>H94+'2026 Ιανουάριος'!J94</f>
        <v/>
      </c>
      <c r="K94" s="403">
        <f>J94/$J$85</f>
        <v/>
      </c>
      <c r="L94" s="114">
        <f>'2024_60-69 ΕΞΟΔΑ+ΟΜ 2'!E47</f>
        <v/>
      </c>
      <c r="M94" s="75">
        <f>L94/$L$85</f>
        <v/>
      </c>
      <c r="N94" s="65">
        <f>L94+'2026 Ιανουάριος'!L94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2'!E50</f>
        <v/>
      </c>
      <c r="E95" s="75">
        <f>D95/$D$112</f>
        <v/>
      </c>
      <c r="F95" s="114">
        <f>'2026 Ιανουάριος'!F95+'2026 Φεβρουάριος'!D95</f>
        <v/>
      </c>
      <c r="G95" s="75">
        <f>F95/$F$85</f>
        <v/>
      </c>
      <c r="H95" s="118">
        <f>ΠΡΟΥΠΟΛΟΓΙΣΜΟΣ_ΕΞΟΔΑ!E232</f>
        <v/>
      </c>
      <c r="I95" s="401">
        <f>H95/$H$85</f>
        <v/>
      </c>
      <c r="J95" s="402">
        <f>H95+'2026 Ιανουάριος'!J95</f>
        <v/>
      </c>
      <c r="K95" s="403">
        <f>J95/$J$85</f>
        <v/>
      </c>
      <c r="L95" s="114">
        <f>'2024_60-69 ΕΞΟΔΑ+ΟΜ 2'!E48</f>
        <v/>
      </c>
      <c r="M95" s="75">
        <f>L95/$L$85</f>
        <v/>
      </c>
      <c r="N95" s="65">
        <f>L95+'2026 Ιανουάριος'!L95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2'!E51</f>
        <v/>
      </c>
      <c r="E96" s="75">
        <f>D96/$D$112</f>
        <v/>
      </c>
      <c r="F96" s="114">
        <f>'2026 Ιανουάριος'!F96+'2026 Φεβρουάριος'!D96</f>
        <v/>
      </c>
      <c r="G96" s="75">
        <f>F96/$F$85</f>
        <v/>
      </c>
      <c r="H96" s="56">
        <f>ΠΡΟΥΠΟΛΟΓΙΣΜΟΣ_ΕΞΟΔΑ!E237</f>
        <v/>
      </c>
      <c r="I96" s="401">
        <f>H96/$H$85</f>
        <v/>
      </c>
      <c r="J96" s="402">
        <f>H96+'2026 Ιανουάριος'!J96</f>
        <v/>
      </c>
      <c r="K96" s="403">
        <f>J96/$J$85</f>
        <v/>
      </c>
      <c r="L96" s="114">
        <f>'2024_60-69 ΕΞΟΔΑ+ΟΜ 2'!E49</f>
        <v/>
      </c>
      <c r="M96" s="75">
        <f>L96/$L$85</f>
        <v/>
      </c>
      <c r="N96" s="65">
        <f>L96+'2026 Ιανουάριος'!L96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2'!E52</f>
        <v/>
      </c>
      <c r="E97" s="75">
        <f>D97/$D$112</f>
        <v/>
      </c>
      <c r="F97" s="114">
        <f>'2026 Ιανουάριος'!F97+'2026 Φεβρουάριος'!D97</f>
        <v/>
      </c>
      <c r="G97" s="75">
        <f>F97/$F$85</f>
        <v/>
      </c>
      <c r="H97" s="56">
        <f>ΠΡΟΥΠΟΛΟΓΙΣΜΟΣ_ΕΞΟΔΑ!E242</f>
        <v/>
      </c>
      <c r="I97" s="401">
        <f>H97/$H$85</f>
        <v/>
      </c>
      <c r="J97" s="402">
        <f>H97+'2026 Ιανουάριος'!J97</f>
        <v/>
      </c>
      <c r="K97" s="403">
        <f>J97/$J$85</f>
        <v/>
      </c>
      <c r="L97" s="114">
        <f>'2024_60-69 ΕΞΟΔΑ+ΟΜ 2'!E50</f>
        <v/>
      </c>
      <c r="M97" s="75">
        <f>L97/$L$85</f>
        <v/>
      </c>
      <c r="N97" s="65">
        <f>L97+'2026 Ιανουάριος'!L97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2'!E53</f>
        <v/>
      </c>
      <c r="E98" s="75">
        <f>D98/$D$112</f>
        <v/>
      </c>
      <c r="F98" s="114">
        <f>'2026 Ιανουάριος'!F98+'2026 Φεβρουάριος'!D98</f>
        <v/>
      </c>
      <c r="G98" s="75">
        <f>F98/$F$85</f>
        <v/>
      </c>
      <c r="H98" s="56">
        <f>ΠΡΟΥΠΟΛΟΓΙΣΜΟΣ_ΕΞΟΔΑ!E247</f>
        <v/>
      </c>
      <c r="I98" s="401">
        <f>H98/$H$85</f>
        <v/>
      </c>
      <c r="J98" s="402">
        <f>H98+'2026 Ιανουάριος'!J98</f>
        <v/>
      </c>
      <c r="K98" s="403">
        <f>J98/$J$85</f>
        <v/>
      </c>
      <c r="L98" s="114">
        <f>'2024_60-69 ΕΞΟΔΑ+ΟΜ 2'!E51</f>
        <v/>
      </c>
      <c r="M98" s="75">
        <f>L98/$L$85</f>
        <v/>
      </c>
      <c r="N98" s="65">
        <f>L98+'2026 Ιανουάριος'!L98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2'!E54</f>
        <v/>
      </c>
      <c r="E99" s="75">
        <f>D99/$D$112</f>
        <v/>
      </c>
      <c r="F99" s="114">
        <f>'2026 Ιανουάριος'!F99+'2026 Φεβρουάριος'!D99</f>
        <v/>
      </c>
      <c r="G99" s="75">
        <f>F99/$F$85</f>
        <v/>
      </c>
      <c r="H99" s="56">
        <f>ΠΡΟΥΠΟΛΟΓΙΣΜΟΣ_ΕΞΟΔΑ!E252</f>
        <v/>
      </c>
      <c r="I99" s="401">
        <f>H99/$H$85</f>
        <v/>
      </c>
      <c r="J99" s="402">
        <f>H99+'2026 Ιανουάριος'!J99</f>
        <v/>
      </c>
      <c r="K99" s="403">
        <f>J99/$J$85</f>
        <v/>
      </c>
      <c r="L99" s="114">
        <f>'2024_60-69 ΕΞΟΔΑ+ΟΜ 2'!E52</f>
        <v/>
      </c>
      <c r="M99" s="75">
        <f>L99/$L$85</f>
        <v/>
      </c>
      <c r="N99" s="65">
        <f>L99+'2026 Ιανουάριος'!L99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2'!E55</f>
        <v/>
      </c>
      <c r="E100" s="75">
        <f>D100/$D$112</f>
        <v/>
      </c>
      <c r="F100" s="114">
        <f>'2026 Ιανουάριος'!F100+'2026 Φεβρουάριος'!D100</f>
        <v/>
      </c>
      <c r="G100" s="75">
        <f>F100/$F$85</f>
        <v/>
      </c>
      <c r="H100" s="56">
        <f>ΠΡΟΥΠΟΛΟΓΙΣΜΟΣ_ΕΞΟΔΑ!E257</f>
        <v/>
      </c>
      <c r="I100" s="401">
        <f>H100/$H$85</f>
        <v/>
      </c>
      <c r="J100" s="402">
        <f>H100+'2026 Ιανουάριος'!J100</f>
        <v/>
      </c>
      <c r="K100" s="403">
        <f>J100/$J$85</f>
        <v/>
      </c>
      <c r="L100" s="114">
        <f>'2024_60-69 ΕΞΟΔΑ+ΟΜ 2'!E53</f>
        <v/>
      </c>
      <c r="M100" s="75">
        <f>L100/$L$85</f>
        <v/>
      </c>
      <c r="N100" s="65">
        <f>L100+'2026 Ιανουάριος'!L100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2'!E56</f>
        <v/>
      </c>
      <c r="E101" s="75">
        <f>D101/$D$112</f>
        <v/>
      </c>
      <c r="F101" s="114">
        <f>'2026 Ιανουάριος'!F101+'2026 Φεβρουάριος'!D101</f>
        <v/>
      </c>
      <c r="G101" s="75">
        <f>F101/$F$85</f>
        <v/>
      </c>
      <c r="H101" s="56">
        <f>ΠΡΟΥΠΟΛΟΓΙΣΜΟΣ_ΕΞΟΔΑ!E262</f>
        <v/>
      </c>
      <c r="I101" s="401">
        <f>H101/$H$85</f>
        <v/>
      </c>
      <c r="J101" s="402">
        <f>H101+'2026 Ιανουάριος'!J101</f>
        <v/>
      </c>
      <c r="K101" s="403">
        <f>J101/$J$85</f>
        <v/>
      </c>
      <c r="L101" s="114">
        <f>'2024_60-69 ΕΞΟΔΑ+ΟΜ 2'!E54</f>
        <v/>
      </c>
      <c r="M101" s="75">
        <f>L101/$L$85</f>
        <v/>
      </c>
      <c r="N101" s="65">
        <f>L101+'2026 Ιανουάριος'!L101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2'!E57</f>
        <v/>
      </c>
      <c r="E102" s="75">
        <f>D102/$D$112</f>
        <v/>
      </c>
      <c r="F102" s="114">
        <f>'2026 Ιανουάριος'!F102+'2026 Φεβρουάριος'!D102</f>
        <v/>
      </c>
      <c r="G102" s="75">
        <f>F102/$F$85</f>
        <v/>
      </c>
      <c r="H102" s="56">
        <f>ΠΡΟΥΠΟΛΟΓΙΣΜΟΣ_ΕΞΟΔΑ!E267</f>
        <v/>
      </c>
      <c r="I102" s="401">
        <f>H102/$H$85</f>
        <v/>
      </c>
      <c r="J102" s="402">
        <f>H102+'2026 Ιανουάριος'!J102</f>
        <v/>
      </c>
      <c r="K102" s="403">
        <f>J102/$J$85</f>
        <v/>
      </c>
      <c r="L102" s="114">
        <f>'2024_60-69 ΕΞΟΔΑ+ΟΜ 2'!E55</f>
        <v/>
      </c>
      <c r="M102" s="75">
        <f>L102/$L$85</f>
        <v/>
      </c>
      <c r="N102" s="65">
        <f>L102+'2026 Ιανουάριος'!L102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2'!E58</f>
        <v/>
      </c>
      <c r="E103" s="75">
        <f>D103/$D$112</f>
        <v/>
      </c>
      <c r="F103" s="114">
        <f>'2026 Ιανουάριος'!F103+'2026 Φεβρουάριος'!D103</f>
        <v/>
      </c>
      <c r="G103" s="75">
        <f>F103/$F$85</f>
        <v/>
      </c>
      <c r="H103" s="56">
        <f>ΠΡΟΥΠΟΛΟΓΙΣΜΟΣ_ΕΞΟΔΑ!E272</f>
        <v/>
      </c>
      <c r="I103" s="401">
        <f>H103/$H$85</f>
        <v/>
      </c>
      <c r="J103" s="402">
        <f>H103+'2026 Ιανουάριος'!J103</f>
        <v/>
      </c>
      <c r="K103" s="403">
        <f>J103/$J$85</f>
        <v/>
      </c>
      <c r="L103" s="114">
        <f>'2024_60-69 ΕΞΟΔΑ+ΟΜ 2'!E56</f>
        <v/>
      </c>
      <c r="M103" s="75">
        <f>L103/$L$85</f>
        <v/>
      </c>
      <c r="N103" s="65">
        <f>L103+'2026 Ιανουάριος'!L103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2'!E59</f>
        <v/>
      </c>
      <c r="E104" s="75">
        <f>D104/$D$112</f>
        <v/>
      </c>
      <c r="F104" s="114">
        <f>'2026 Ιανουάριος'!F104+'2026 Φεβρουάριος'!D104</f>
        <v/>
      </c>
      <c r="G104" s="75">
        <f>F104/$F$85</f>
        <v/>
      </c>
      <c r="H104" s="56">
        <f>ΠΡΟΥΠΟΛΟΓΙΣΜΟΣ_ΕΞΟΔΑ!E277</f>
        <v/>
      </c>
      <c r="I104" s="401">
        <f>H104/$H$85</f>
        <v/>
      </c>
      <c r="J104" s="402">
        <f>H104+'2026 Ιανουάριος'!J104</f>
        <v/>
      </c>
      <c r="K104" s="403">
        <f>J104/$J$85</f>
        <v/>
      </c>
      <c r="L104" s="114">
        <f>'2024_60-69 ΕΞΟΔΑ+ΟΜ 2'!E57</f>
        <v/>
      </c>
      <c r="M104" s="75">
        <f>L104/$L$85</f>
        <v/>
      </c>
      <c r="N104" s="65">
        <f>L104+'2026 Ιανουάριος'!L104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2'!E60</f>
        <v/>
      </c>
      <c r="E105" s="75">
        <f>D105/$D$112</f>
        <v/>
      </c>
      <c r="F105" s="114">
        <f>'2026 Ιανουάριος'!F105+'2026 Φεβρουάριος'!D105</f>
        <v/>
      </c>
      <c r="G105" s="75">
        <f>F105/$F$85</f>
        <v/>
      </c>
      <c r="H105" s="56">
        <f>ΠΡΟΥΠΟΛΟΓΙΣΜΟΣ_ΕΞΟΔΑ!E282</f>
        <v/>
      </c>
      <c r="I105" s="401">
        <f>H105/$H$85</f>
        <v/>
      </c>
      <c r="J105" s="402">
        <f>H105+'2026 Ιανουάριος'!J105</f>
        <v/>
      </c>
      <c r="K105" s="403">
        <f>J105/$J$85</f>
        <v/>
      </c>
      <c r="L105" s="114">
        <f>'2024_60-69 ΕΞΟΔΑ+ΟΜ 2'!E58</f>
        <v/>
      </c>
      <c r="M105" s="75">
        <f>L105/$L$85</f>
        <v/>
      </c>
      <c r="N105" s="65">
        <f>L105+'2026 Ιανουάριος'!L105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2'!E61</f>
        <v/>
      </c>
      <c r="E106" s="75">
        <f>D106/$D$112</f>
        <v/>
      </c>
      <c r="F106" s="114">
        <f>'2026 Ιανουάριος'!F106+'2026 Φεβρουάριος'!D106</f>
        <v/>
      </c>
      <c r="G106" s="75">
        <f>F106/$F$85</f>
        <v/>
      </c>
      <c r="H106" s="56">
        <f>ΠΡΟΥΠΟΛΟΓΙΣΜΟΣ_ΕΞΟΔΑ!E287</f>
        <v/>
      </c>
      <c r="I106" s="401">
        <f>H106/$H$85</f>
        <v/>
      </c>
      <c r="J106" s="402">
        <f>H106+'2026 Ιανουάριος'!J106</f>
        <v/>
      </c>
      <c r="K106" s="403">
        <f>J106/$J$85</f>
        <v/>
      </c>
      <c r="L106" s="114">
        <f>'2024_60-69 ΕΞΟΔΑ+ΟΜ 2'!E59</f>
        <v/>
      </c>
      <c r="M106" s="75">
        <f>L106/$L$85</f>
        <v/>
      </c>
      <c r="N106" s="65">
        <f>L106+'2026 Ιανουάριος'!L106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5.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2'!E40</f>
        <v/>
      </c>
      <c r="E112" s="81" t="n"/>
      <c r="F112" s="64">
        <f>'2026_60-69 ΕΞΟΔΑ+ΟΜ 2'!R40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ΑΝΤΙΣΤΟΙΧΙΣΗ!$F$107</f>
        <v/>
      </c>
      <c r="E115" s="551" t="n"/>
      <c r="F115" s="550" t="n"/>
      <c r="G115" s="107">
        <f>ΑΝΤΙΣΤΟΙΧΙΣΗ!$D$34</f>
        <v/>
      </c>
      <c r="H115" s="549">
        <f>ΑΝΤΙΣΤΟΙΧΙΣΗ!$F$107</f>
        <v/>
      </c>
      <c r="I115" s="551" t="n"/>
      <c r="J115" s="550" t="n"/>
      <c r="K115" s="107">
        <f>ΑΝΤΙΣΤΟΙΧΙΣΗ!$D$34</f>
        <v/>
      </c>
      <c r="L115" s="549">
        <f>ΑΝΤΙΣΤΟΙΧΙΣΗ!$F$121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Συν. Πραγμ.Τρ. Έτους - Αντιστ. Προοδ. Σύν. Πραγμ. Προηγ. Έτους </t>
        </is>
      </c>
      <c r="Q116" s="537" t="inlineStr">
        <is>
          <t>% Προοδ. Σύν Εσόδων Μηνός/ Προοδ. Σύν Εσόδων Προυπ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2'!E71</f>
        <v/>
      </c>
      <c r="E118" s="75">
        <f>D118/$D$117</f>
        <v/>
      </c>
      <c r="F118" s="65">
        <f>'2026 Ιανουάριος'!F118+'2026 Φεβρουάριος'!D118</f>
        <v/>
      </c>
      <c r="G118" s="75">
        <f>F118/$F$117</f>
        <v/>
      </c>
      <c r="H118" s="56">
        <f>ΠΡΟΥΠΟΛΟΓΙΣΜΟΣ_ΕΞΟΔΑ!E301</f>
        <v/>
      </c>
      <c r="I118" s="400">
        <f>H118/$H$117</f>
        <v/>
      </c>
      <c r="J118" s="65">
        <f>H118+'2026 Ιανουάριος'!J118</f>
        <v/>
      </c>
      <c r="K118" s="65">
        <f>J118/$J$117</f>
        <v/>
      </c>
      <c r="L118" s="56">
        <f>'2024_60-69 ΕΞΟΔΑ+ΟΜ 2'!E66</f>
        <v/>
      </c>
      <c r="M118" s="75">
        <f>L118/$L$117</f>
        <v/>
      </c>
      <c r="N118" s="65">
        <f>L118+'2026 Ιανουάριος'!L118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2'!E72</f>
        <v/>
      </c>
      <c r="E119" s="75">
        <f>D119/$D$117</f>
        <v/>
      </c>
      <c r="F119" s="65">
        <f>'2026 Ιανουάριος'!F119+'2026 Φεβρουάριος'!D119</f>
        <v/>
      </c>
      <c r="G119" s="75">
        <f>F119/$F$117</f>
        <v/>
      </c>
      <c r="H119" s="56">
        <f>ΠΡΟΥΠΟΛΟΓΙΣΜΟΣ_ΕΞΟΔΑ!E306</f>
        <v/>
      </c>
      <c r="I119" s="400">
        <f>H119/$H$117</f>
        <v/>
      </c>
      <c r="J119" s="65">
        <f>H119+'2026 Ιανουάριος'!J119</f>
        <v/>
      </c>
      <c r="K119" s="65">
        <f>J119/$J$117</f>
        <v/>
      </c>
      <c r="L119" s="56">
        <f>'2024_60-69 ΕΞΟΔΑ+ΟΜ 2'!E67</f>
        <v/>
      </c>
      <c r="M119" s="75">
        <f>L119/$L$117</f>
        <v/>
      </c>
      <c r="N119" s="65">
        <f>L119+'2026 Ιανουάριος'!L119</f>
        <v/>
      </c>
      <c r="O119" s="75">
        <f>N119/$N$117</f>
        <v/>
      </c>
      <c r="P119" s="65">
        <f>F119-N119</f>
        <v/>
      </c>
      <c r="Q119" s="541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2'!E73</f>
        <v/>
      </c>
      <c r="E120" s="75">
        <f>D120/$D$117</f>
        <v/>
      </c>
      <c r="F120" s="65">
        <f>'2026 Ιανουάριος'!F120+'2026 Φεβρουάριος'!D120</f>
        <v/>
      </c>
      <c r="G120" s="75">
        <f>F120/$F$117</f>
        <v/>
      </c>
      <c r="H120" s="56">
        <f>ΠΡΟΥΠΟΛΟΓΙΣΜΟΣ_ΕΞΟΔΑ!E311</f>
        <v/>
      </c>
      <c r="I120" s="400">
        <f>H120/$H$117</f>
        <v/>
      </c>
      <c r="J120" s="65">
        <f>H120+'2026 Ιανουάριος'!J120</f>
        <v/>
      </c>
      <c r="K120" s="65">
        <f>J120/$J$117</f>
        <v/>
      </c>
      <c r="L120" s="56">
        <f>'2024_60-69 ΕΞΟΔΑ+ΟΜ 2'!E68</f>
        <v/>
      </c>
      <c r="M120" s="75">
        <f>L120/$L$117</f>
        <v/>
      </c>
      <c r="N120" s="65">
        <f>L120+'2026 Ιανουάριος'!L120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2'!E74</f>
        <v/>
      </c>
      <c r="E121" s="75">
        <f>D121/$D$117</f>
        <v/>
      </c>
      <c r="F121" s="65">
        <f>'2026 Ιανουάριος'!F121+'2026 Φεβρουάριος'!D121</f>
        <v/>
      </c>
      <c r="G121" s="75">
        <f>F121/$F$117</f>
        <v/>
      </c>
      <c r="H121" s="56">
        <f>ΠΡΟΥΠΟΛΟΓΙΣΜΟΣ_ΕΞΟΔΑ!E316</f>
        <v/>
      </c>
      <c r="I121" s="400">
        <f>H121/$H$117</f>
        <v/>
      </c>
      <c r="J121" s="65">
        <f>H121+'2026 Ιανουάριος'!J121</f>
        <v/>
      </c>
      <c r="K121" s="65">
        <f>J121/$J$117</f>
        <v/>
      </c>
      <c r="L121" s="56">
        <f>'2024_60-69 ΕΞΟΔΑ+ΟΜ 2'!E69</f>
        <v/>
      </c>
      <c r="M121" s="75">
        <f>L121/$L$117</f>
        <v/>
      </c>
      <c r="N121" s="65">
        <f>L121+'2026 Ιανουάριος'!L121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2'!E75</f>
        <v/>
      </c>
      <c r="E122" s="75">
        <f>D122/$D$117</f>
        <v/>
      </c>
      <c r="F122" s="65">
        <f>'2026 Ιανουάριος'!F122+'2026 Φεβρουάριος'!D122</f>
        <v/>
      </c>
      <c r="G122" s="75">
        <f>F122/$F$117</f>
        <v/>
      </c>
      <c r="H122" s="56">
        <f>ΠΡΟΥΠΟΛΟΓΙΣΜΟΣ_ΕΞΟΔΑ!E321</f>
        <v/>
      </c>
      <c r="I122" s="400">
        <f>H122/$H$117</f>
        <v/>
      </c>
      <c r="J122" s="65">
        <f>H122+'2026 Ιανουάριος'!J122</f>
        <v/>
      </c>
      <c r="K122" s="65">
        <f>J122/$J$117</f>
        <v/>
      </c>
      <c r="L122" s="56">
        <f>'2024_60-69 ΕΞΟΔΑ+ΟΜ 2'!E70</f>
        <v/>
      </c>
      <c r="M122" s="75">
        <f>L122/$L$117</f>
        <v/>
      </c>
      <c r="N122" s="65">
        <f>L122+'2026 Ιανουάριος'!L122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2'!E76</f>
        <v/>
      </c>
      <c r="E123" s="75">
        <f>D123/$D$117</f>
        <v/>
      </c>
      <c r="F123" s="65">
        <f>'2026 Ιανουάριος'!F123+'2026 Φεβρουάριος'!D123</f>
        <v/>
      </c>
      <c r="G123" s="75">
        <f>F123/$F$117</f>
        <v/>
      </c>
      <c r="H123" s="56">
        <f>ΠΡΟΥΠΟΛΟΓΙΣΜΟΣ_ΕΞΟΔΑ!E326</f>
        <v/>
      </c>
      <c r="I123" s="400">
        <f>H123/$H$117</f>
        <v/>
      </c>
      <c r="J123" s="65">
        <f>H123+'2026 Ιανουάριος'!J123</f>
        <v/>
      </c>
      <c r="K123" s="65">
        <f>J123/$J$117</f>
        <v/>
      </c>
      <c r="L123" s="56">
        <f>'2024_60-69 ΕΞΟΔΑ+ΟΜ 2'!E71</f>
        <v/>
      </c>
      <c r="M123" s="75">
        <f>L123/$L$117</f>
        <v/>
      </c>
      <c r="N123" s="65">
        <f>L123+'2026 Ιανουάριος'!L123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2'!E77</f>
        <v/>
      </c>
      <c r="E124" s="75">
        <f>D124/$D$117</f>
        <v/>
      </c>
      <c r="F124" s="65">
        <f>'2026 Ιανουάριος'!F124+'2026 Φεβρουάριος'!D124</f>
        <v/>
      </c>
      <c r="G124" s="75">
        <f>F124/$F$117</f>
        <v/>
      </c>
      <c r="H124" s="56">
        <f>ΠΡΟΥΠΟΛΟΓΙΣΜΟΣ_ΕΞΟΔΑ!E331</f>
        <v/>
      </c>
      <c r="I124" s="400">
        <f>H124/$H$117</f>
        <v/>
      </c>
      <c r="J124" s="65">
        <f>H124+'2026 Ιανουάριος'!J124</f>
        <v/>
      </c>
      <c r="K124" s="65">
        <f>J124/$J$117</f>
        <v/>
      </c>
      <c r="L124" s="56">
        <f>'2024_60-69 ΕΞΟΔΑ+ΟΜ 2'!E72</f>
        <v/>
      </c>
      <c r="M124" s="75">
        <f>L124/$L$117</f>
        <v/>
      </c>
      <c r="N124" s="65">
        <f>L124+'2026 Ιανουάριος'!L124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2'!E78</f>
        <v/>
      </c>
      <c r="E125" s="75">
        <f>D125/$D$117</f>
        <v/>
      </c>
      <c r="F125" s="65">
        <f>'2026 Ιανουάριος'!F125+'2026 Φεβρουάριος'!D125</f>
        <v/>
      </c>
      <c r="G125" s="75">
        <f>F125/$F$117</f>
        <v/>
      </c>
      <c r="H125" s="56">
        <f>ΠΡΟΥΠΟΛΟΓΙΣΜΟΣ_ΕΞΟΔΑ!E336</f>
        <v/>
      </c>
      <c r="I125" s="400">
        <f>H125/$H$117</f>
        <v/>
      </c>
      <c r="J125" s="65">
        <f>H125+'2026 Ιανουάριος'!J125</f>
        <v/>
      </c>
      <c r="K125" s="65">
        <f>J125/$J$117</f>
        <v/>
      </c>
      <c r="L125" s="56">
        <f>'2024_60-69 ΕΞΟΔΑ+ΟΜ 2'!E73</f>
        <v/>
      </c>
      <c r="M125" s="75">
        <f>L125/$L$117</f>
        <v/>
      </c>
      <c r="N125" s="65">
        <f>L125+'2026 Ιανουάριος'!L125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2'!E79</f>
        <v/>
      </c>
      <c r="E126" s="75">
        <f>D126/$D$117</f>
        <v/>
      </c>
      <c r="F126" s="65">
        <f>'2026 Ιανουάριος'!F126+'2026 Φεβρουάριος'!D126</f>
        <v/>
      </c>
      <c r="G126" s="75">
        <f>F126/$F$117</f>
        <v/>
      </c>
      <c r="H126" s="56">
        <f>ΠΡΟΥΠΟΛΟΓΙΣΜΟΣ_ΕΞΟΔΑ!E341</f>
        <v/>
      </c>
      <c r="I126" s="400">
        <f>H126/$H$117</f>
        <v/>
      </c>
      <c r="J126" s="65">
        <f>H126+'2026 Ιανουάριος'!J126</f>
        <v/>
      </c>
      <c r="K126" s="65">
        <f>J126/$J$117</f>
        <v/>
      </c>
      <c r="L126" s="56">
        <f>'2024_60-69 ΕΞΟΔΑ+ΟΜ 2'!E74</f>
        <v/>
      </c>
      <c r="M126" s="75">
        <f>L126/$L$117</f>
        <v/>
      </c>
      <c r="N126" s="65">
        <f>L126+'2026 Ιανουάριος'!L126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2'!E80</f>
        <v/>
      </c>
      <c r="E127" s="75">
        <f>D127/$D$117</f>
        <v/>
      </c>
      <c r="F127" s="65">
        <f>'2026 Ιανουάριος'!F127+'2026 Φεβρουάριος'!D127</f>
        <v/>
      </c>
      <c r="G127" s="75">
        <f>F127/$F$117</f>
        <v/>
      </c>
      <c r="H127" s="56">
        <f>ΠΡΟΥΠΟΛΟΓΙΣΜΟΣ_ΕΞΟΔΑ!E346</f>
        <v/>
      </c>
      <c r="I127" s="400">
        <f>H127/$H$117</f>
        <v/>
      </c>
      <c r="J127" s="65">
        <f>H127+'2026 Ιανουάριος'!J127</f>
        <v/>
      </c>
      <c r="K127" s="65">
        <f>J127/$J$117</f>
        <v/>
      </c>
      <c r="L127" s="56">
        <f>'2024_60-69 ΕΞΟΔΑ+ΟΜ 2'!E75</f>
        <v/>
      </c>
      <c r="M127" s="75">
        <f>L127/$L$117</f>
        <v/>
      </c>
      <c r="N127" s="65">
        <f>L127+'2026 Ιανουάριος'!L127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2'!E81</f>
        <v/>
      </c>
      <c r="E128" s="75">
        <f>D128/$D$117</f>
        <v/>
      </c>
      <c r="F128" s="65">
        <f>'2026 Ιανουάριος'!F128+'2026 Φεβρουάριος'!D128</f>
        <v/>
      </c>
      <c r="G128" s="75">
        <f>F128/$F$117</f>
        <v/>
      </c>
      <c r="H128" s="56">
        <f>ΠΡΟΥΠΟΛΟΓΙΣΜΟΣ_ΕΞΟΔΑ!E351</f>
        <v/>
      </c>
      <c r="I128" s="400">
        <f>H128/$H$117</f>
        <v/>
      </c>
      <c r="J128" s="65">
        <f>H128+'2026 Ιανουάριος'!J128</f>
        <v/>
      </c>
      <c r="K128" s="65">
        <f>J128/$J$117</f>
        <v/>
      </c>
      <c r="L128" s="56">
        <f>'2024_60-69 ΕΞΟΔΑ+ΟΜ 2'!E76</f>
        <v/>
      </c>
      <c r="M128" s="75">
        <f>L128/$L$117</f>
        <v/>
      </c>
      <c r="N128" s="65">
        <f>L128+'2026 Ιανουάριος'!L128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2'!E82</f>
        <v/>
      </c>
      <c r="E129" s="75">
        <f>D129/$D$117</f>
        <v/>
      </c>
      <c r="F129" s="65">
        <f>'2026 Ιανουάριος'!F129+'2026 Φεβρουάριος'!D129</f>
        <v/>
      </c>
      <c r="G129" s="75">
        <f>F129/$F$117</f>
        <v/>
      </c>
      <c r="H129" s="56">
        <f>ΠΡΟΥΠΟΛΟΓΙΣΜΟΣ_ΕΞΟΔΑ!E356</f>
        <v/>
      </c>
      <c r="I129" s="400">
        <f>H129/$H$117</f>
        <v/>
      </c>
      <c r="J129" s="65">
        <f>H129+'2026 Ιανουάριος'!J129</f>
        <v/>
      </c>
      <c r="K129" s="65">
        <f>J129/$J$117</f>
        <v/>
      </c>
      <c r="L129" s="56">
        <f>'2024_60-69 ΕΞΟΔΑ+ΟΜ 2'!E77</f>
        <v/>
      </c>
      <c r="M129" s="75">
        <f>L129/$L$117</f>
        <v/>
      </c>
      <c r="N129" s="65">
        <f>L129+'2026 Ιανουάριος'!L129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2'!E83</f>
        <v/>
      </c>
      <c r="E130" s="75">
        <f>D130/$D$117</f>
        <v/>
      </c>
      <c r="F130" s="65">
        <f>'2026 Ιανουάριος'!F130+'2026 Φεβρουάριος'!D130</f>
        <v/>
      </c>
      <c r="G130" s="75">
        <f>F130/$F$117</f>
        <v/>
      </c>
      <c r="H130" s="56">
        <f>ΠΡΟΥΠΟΛΟΓΙΣΜΟΣ_ΕΞΟΔΑ!E361</f>
        <v/>
      </c>
      <c r="I130" s="400">
        <f>H130/$H$117</f>
        <v/>
      </c>
      <c r="J130" s="65">
        <f>H130+'2026 Ιανουάριος'!J130</f>
        <v/>
      </c>
      <c r="K130" s="65">
        <f>J130/$J$117</f>
        <v/>
      </c>
      <c r="L130" s="56">
        <f>'2024_60-69 ΕΞΟΔΑ+ΟΜ 2'!E78</f>
        <v/>
      </c>
      <c r="M130" s="75">
        <f>L130/$L$117</f>
        <v/>
      </c>
      <c r="N130" s="65">
        <f>L130+'2026 Ιανουάριος'!L130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2'!E84</f>
        <v/>
      </c>
      <c r="E131" s="75">
        <f>D131/$D$117</f>
        <v/>
      </c>
      <c r="F131" s="65">
        <f>'2026 Ιανουάριος'!F131+'2026 Φεβρουάριος'!D131</f>
        <v/>
      </c>
      <c r="G131" s="75">
        <f>F131/$F$117</f>
        <v/>
      </c>
      <c r="H131" s="56">
        <f>ΠΡΟΥΠΟΛΟΓΙΣΜΟΣ_ΕΞΟΔΑ!E366</f>
        <v/>
      </c>
      <c r="I131" s="400">
        <f>H131/$H$117</f>
        <v/>
      </c>
      <c r="J131" s="65">
        <f>H131+'2026 Ιανουάριος'!J131</f>
        <v/>
      </c>
      <c r="K131" s="65">
        <f>J131/$J$117</f>
        <v/>
      </c>
      <c r="L131" s="56">
        <f>'2024_60-69 ΕΞΟΔΑ+ΟΜ 2'!E79</f>
        <v/>
      </c>
      <c r="M131" s="75">
        <f>L131/$L$117</f>
        <v/>
      </c>
      <c r="N131" s="65">
        <f>L131+'2026 Ιανουάριος'!L131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2'!E85</f>
        <v/>
      </c>
      <c r="E132" s="75">
        <f>D132/$D$117</f>
        <v/>
      </c>
      <c r="F132" s="65">
        <f>'2026 Ιανουάριος'!F132+'2026 Φεβρουάριος'!D132</f>
        <v/>
      </c>
      <c r="G132" s="75">
        <f>F132/$F$117</f>
        <v/>
      </c>
      <c r="H132" s="56">
        <f>ΠΡΟΥΠΟΛΟΓΙΣΜΟΣ_ΕΞΟΔΑ!E371</f>
        <v/>
      </c>
      <c r="I132" s="400">
        <f>H132/$H$117</f>
        <v/>
      </c>
      <c r="J132" s="65">
        <f>H132+'2026 Ιανουάριος'!J132</f>
        <v/>
      </c>
      <c r="K132" s="65">
        <f>J132/$J$117</f>
        <v/>
      </c>
      <c r="L132" s="56">
        <f>'2024_60-69 ΕΞΟΔΑ+ΟΜ 2'!E80</f>
        <v/>
      </c>
      <c r="M132" s="75">
        <f>L132/$L$117</f>
        <v/>
      </c>
      <c r="N132" s="65">
        <f>L132+'2026 Ιανουάριος'!L132</f>
        <v/>
      </c>
      <c r="O132" s="75">
        <f>N132/$N$117</f>
        <v/>
      </c>
      <c r="P132" s="65">
        <f>F132-N132</f>
        <v/>
      </c>
      <c r="Q132" s="541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2'!E86</f>
        <v/>
      </c>
      <c r="E133" s="75">
        <f>D133/$D$117</f>
        <v/>
      </c>
      <c r="F133" s="65">
        <f>'2026 Ιανουάριος'!F133+'2026 Φεβρουάριος'!D133</f>
        <v/>
      </c>
      <c r="G133" s="75">
        <f>F133/$F$117</f>
        <v/>
      </c>
      <c r="H133" s="56">
        <f>ΠΡΟΥΠΟΛΟΓΙΣΜΟΣ_ΕΞΟΔΑ!E376</f>
        <v/>
      </c>
      <c r="I133" s="400">
        <f>H133/$H$117</f>
        <v/>
      </c>
      <c r="J133" s="65">
        <f>H133+'2026 Ιανουάριος'!J133</f>
        <v/>
      </c>
      <c r="K133" s="65">
        <f>J133/$J$117</f>
        <v/>
      </c>
      <c r="L133" s="56">
        <f>'2024_60-69 ΕΞΟΔΑ+ΟΜ 2'!E81</f>
        <v/>
      </c>
      <c r="M133" s="75">
        <f>L133/$L$117</f>
        <v/>
      </c>
      <c r="N133" s="65">
        <f>L133+'2026 Ιανουάριος'!L133</f>
        <v/>
      </c>
      <c r="O133" s="75">
        <f>N133/$N$117</f>
        <v/>
      </c>
      <c r="P133" s="65">
        <f>F133-N133</f>
        <v/>
      </c>
      <c r="Q133" s="541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2'!E87</f>
        <v/>
      </c>
      <c r="E134" s="75">
        <f>D134/$D$117</f>
        <v/>
      </c>
      <c r="F134" s="65">
        <f>'2026 Ιανουάριος'!F134+'2026 Φεβρουάριος'!D134</f>
        <v/>
      </c>
      <c r="G134" s="75">
        <f>F134/$F$117</f>
        <v/>
      </c>
      <c r="H134" s="56">
        <f>ΠΡΟΥΠΟΛΟΓΙΣΜΟΣ_ΕΞΟΔΑ!E381</f>
        <v/>
      </c>
      <c r="I134" s="400">
        <f>H134/$H$117</f>
        <v/>
      </c>
      <c r="J134" s="65">
        <f>H134+'2026 Ιανουάριος'!J134</f>
        <v/>
      </c>
      <c r="K134" s="65">
        <f>J134/$J$117</f>
        <v/>
      </c>
      <c r="L134" s="56">
        <f>'2024_60-69 ΕΞΟΔΑ+ΟΜ 2'!E82</f>
        <v/>
      </c>
      <c r="M134" s="75">
        <f>L134/$L$117</f>
        <v/>
      </c>
      <c r="N134" s="65">
        <f>L134+'2026 Ιανουάριος'!L134</f>
        <v/>
      </c>
      <c r="O134" s="75">
        <f>N134/$N$117</f>
        <v/>
      </c>
      <c r="P134" s="65">
        <f>F134-N134</f>
        <v/>
      </c>
      <c r="Q134" s="541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2'!E88</f>
        <v/>
      </c>
      <c r="E135" s="75">
        <f>D135/$D$117</f>
        <v/>
      </c>
      <c r="F135" s="65">
        <f>'2026 Ιανουάριος'!F135+'2026 Φεβρουάριος'!D135</f>
        <v/>
      </c>
      <c r="G135" s="75">
        <f>F135/$F$117</f>
        <v/>
      </c>
      <c r="H135" s="56">
        <f>ΠΡΟΥΠΟΛΟΓΙΣΜΟΣ_ΕΞΟΔΑ!E386</f>
        <v/>
      </c>
      <c r="I135" s="400">
        <f>H135/$H$117</f>
        <v/>
      </c>
      <c r="J135" s="65">
        <f>H135+'2026 Ιανουάριος'!J135</f>
        <v/>
      </c>
      <c r="K135" s="65">
        <f>J135/$J$117</f>
        <v/>
      </c>
      <c r="L135" s="56">
        <f>'2024_60-69 ΕΞΟΔΑ+ΟΜ 2'!E83</f>
        <v/>
      </c>
      <c r="M135" s="75">
        <f>L135/$L$117</f>
        <v/>
      </c>
      <c r="N135" s="65">
        <f>L135+'2026 Ιανουάριος'!L135</f>
        <v/>
      </c>
      <c r="O135" s="75">
        <f>N135/$N$117</f>
        <v/>
      </c>
      <c r="P135" s="65">
        <f>F135-N135</f>
        <v/>
      </c>
      <c r="Q135" s="541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2'!E89</f>
        <v/>
      </c>
      <c r="E136" s="75">
        <f>D136/$D$117</f>
        <v/>
      </c>
      <c r="F136" s="65">
        <f>'2026 Ιανουάριος'!F136+'2026 Φεβρουάριος'!D136</f>
        <v/>
      </c>
      <c r="G136" s="75">
        <f>F136/$F$117</f>
        <v/>
      </c>
      <c r="H136" s="56">
        <f>ΠΡΟΥΠΟΛΟΓΙΣΜΟΣ_ΕΞΟΔΑ!E391</f>
        <v/>
      </c>
      <c r="I136" s="400">
        <f>H136/$H$117</f>
        <v/>
      </c>
      <c r="J136" s="65">
        <f>H136+'2026 Ιανουάριος'!J136</f>
        <v/>
      </c>
      <c r="K136" s="65">
        <f>J136/$J$117</f>
        <v/>
      </c>
      <c r="L136" s="56">
        <f>'2024_60-69 ΕΞΟΔΑ+ΟΜ 2'!E84</f>
        <v/>
      </c>
      <c r="M136" s="75">
        <f>L136/$L$117</f>
        <v/>
      </c>
      <c r="N136" s="65">
        <f>L136+'2026 Ιανουάριος'!L136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2'!E90</f>
        <v/>
      </c>
      <c r="E137" s="75">
        <f>D137/$D$117</f>
        <v/>
      </c>
      <c r="F137" s="65">
        <f>'2026 Ιανουάριος'!F137+'2026 Φεβρουάριος'!D137</f>
        <v/>
      </c>
      <c r="G137" s="75">
        <f>F137/$F$117</f>
        <v/>
      </c>
      <c r="H137" s="56">
        <f>ΠΡΟΥΠΟΛΟΓΙΣΜΟΣ_ΕΞΟΔΑ!E396</f>
        <v/>
      </c>
      <c r="I137" s="400">
        <f>H137/$H$117</f>
        <v/>
      </c>
      <c r="J137" s="65">
        <f>H137+'2026 Ιανουάριος'!J137</f>
        <v/>
      </c>
      <c r="K137" s="65">
        <f>J137/$J$117</f>
        <v/>
      </c>
      <c r="L137" s="56">
        <f>'2024_60-69 ΕΞΟΔΑ+ΟΜ 2'!E85</f>
        <v/>
      </c>
      <c r="M137" s="75">
        <f>L137/$L$117</f>
        <v/>
      </c>
      <c r="N137" s="65">
        <f>L137+'2026 Ιανουάριος'!L137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2'!E91</f>
        <v/>
      </c>
      <c r="E138" s="75">
        <f>D138/$D$117</f>
        <v/>
      </c>
      <c r="F138" s="65">
        <f>'2026 Ιανουάριος'!F138+'2026 Φεβρουάριος'!D138</f>
        <v/>
      </c>
      <c r="G138" s="75">
        <f>F138/$F$117</f>
        <v/>
      </c>
      <c r="H138" s="56">
        <f>ΠΡΟΥΠΟΛΟΓΙΣΜΟΣ_ΕΞΟΔΑ!E401</f>
        <v/>
      </c>
      <c r="I138" s="400">
        <f>H138/$H$117</f>
        <v/>
      </c>
      <c r="J138" s="65">
        <f>H138+'2026 Ιανουάριος'!J138</f>
        <v/>
      </c>
      <c r="K138" s="65">
        <f>J138/$J$117</f>
        <v/>
      </c>
      <c r="L138" s="56">
        <f>'2024_60-69 ΕΞΟΔΑ+ΟΜ 2'!E86</f>
        <v/>
      </c>
      <c r="M138" s="75">
        <f>L138/$L$117</f>
        <v/>
      </c>
      <c r="N138" s="65">
        <f>L138+'2026 Ιανουάριος'!L138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2'!E92</f>
        <v/>
      </c>
      <c r="E139" s="75">
        <f>D139/$D$117</f>
        <v/>
      </c>
      <c r="F139" s="65">
        <f>'2026 Ιανουάριος'!F139+'2026 Φεβρουάριος'!D139</f>
        <v/>
      </c>
      <c r="G139" s="75">
        <f>F139/$F$117</f>
        <v/>
      </c>
      <c r="H139" s="56">
        <f>ΠΡΟΥΠΟΛΟΓΙΣΜΟΣ_ΕΞΟΔΑ!E406</f>
        <v/>
      </c>
      <c r="I139" s="400">
        <f>H139/$H$117</f>
        <v/>
      </c>
      <c r="J139" s="65">
        <f>H139+'2026 Ιανουάριος'!J139</f>
        <v/>
      </c>
      <c r="K139" s="65">
        <f>J139/$J$117</f>
        <v/>
      </c>
      <c r="L139" s="56">
        <f>'2024_60-69 ΕΞΟΔΑ+ΟΜ 2'!E87</f>
        <v/>
      </c>
      <c r="M139" s="75">
        <f>L139/$L$117</f>
        <v/>
      </c>
      <c r="N139" s="65">
        <f>L139+'2026 Ιανουάριος'!L139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2'!E93</f>
        <v/>
      </c>
      <c r="E140" s="75">
        <f>D140/$D$117</f>
        <v/>
      </c>
      <c r="F140" s="65">
        <f>'2026 Ιανουάριος'!F140+'2026 Φεβρουάριος'!D140</f>
        <v/>
      </c>
      <c r="G140" s="75">
        <f>F140/$F$117</f>
        <v/>
      </c>
      <c r="H140" s="56">
        <f>ΠΡΟΥΠΟΛΟΓΙΣΜΟΣ_ΕΞΟΔΑ!E411</f>
        <v/>
      </c>
      <c r="I140" s="400">
        <f>H140/$H$117</f>
        <v/>
      </c>
      <c r="J140" s="65">
        <f>H140+'2026 Ιανουάριος'!J140</f>
        <v/>
      </c>
      <c r="K140" s="65">
        <f>J140/$J$117</f>
        <v/>
      </c>
      <c r="L140" s="56">
        <f>'2024_60-69 ΕΞΟΔΑ+ΟΜ 2'!E88</f>
        <v/>
      </c>
      <c r="M140" s="75">
        <f>L140/$L$117</f>
        <v/>
      </c>
      <c r="N140" s="65">
        <f>L140+'2026 Ιανουάριος'!L140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2'!E94</f>
        <v/>
      </c>
      <c r="E141" s="75">
        <f>D141/$D$117</f>
        <v/>
      </c>
      <c r="F141" s="65">
        <f>'2026 Ιανουάριος'!F141+'2026 Φεβρουάριος'!D141</f>
        <v/>
      </c>
      <c r="G141" s="75">
        <f>F141/$F$117</f>
        <v/>
      </c>
      <c r="H141" s="56">
        <f>ΠΡΟΥΠΟΛΟΓΙΣΜΟΣ_ΕΞΟΔΑ!E416</f>
        <v/>
      </c>
      <c r="I141" s="400">
        <f>H141/$H$117</f>
        <v/>
      </c>
      <c r="J141" s="65">
        <f>H141+'2026 Ιανουάριος'!J141</f>
        <v/>
      </c>
      <c r="K141" s="65">
        <f>J141/$J$117</f>
        <v/>
      </c>
      <c r="L141" s="56">
        <f>'2024_60-69 ΕΞΟΔΑ+ΟΜ 2'!E89</f>
        <v/>
      </c>
      <c r="M141" s="75">
        <f>L141/$L$117</f>
        <v/>
      </c>
      <c r="N141" s="65">
        <f>L141+'2026 Ιανουάριος'!L141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2'!E95</f>
        <v/>
      </c>
      <c r="E142" s="75">
        <f>D142/$D$117</f>
        <v/>
      </c>
      <c r="F142" s="65">
        <f>'2026 Ιανουάριος'!F142+'2026 Φεβρουάριος'!D142</f>
        <v/>
      </c>
      <c r="G142" s="75">
        <f>F142/$F$117</f>
        <v/>
      </c>
      <c r="H142" s="56">
        <f>ΠΡΟΥΠΟΛΟΓΙΣΜΟΣ_ΕΞΟΔΑ!E421</f>
        <v/>
      </c>
      <c r="I142" s="400">
        <f>H142/$H$117</f>
        <v/>
      </c>
      <c r="J142" s="65">
        <f>H142+'2026 Ιανουάριος'!J142</f>
        <v/>
      </c>
      <c r="K142" s="65">
        <f>J142/$J$117</f>
        <v/>
      </c>
      <c r="L142" s="56">
        <f>'2024_60-69 ΕΞΟΔΑ+ΟΜ 2'!E90</f>
        <v/>
      </c>
      <c r="M142" s="75">
        <f>L142/$L$117</f>
        <v/>
      </c>
      <c r="N142" s="65">
        <f>L142+'2026 Ιανουάριος'!L142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2'!E96</f>
        <v/>
      </c>
      <c r="E143" s="75">
        <f>D143/$D$117</f>
        <v/>
      </c>
      <c r="F143" s="65">
        <f>'2026 Ιανουάριος'!F143+'2026 Φεβρουάριος'!D143</f>
        <v/>
      </c>
      <c r="G143" s="75">
        <f>F143/$F$117</f>
        <v/>
      </c>
      <c r="H143" s="56">
        <f>ΠΡΟΥΠΟΛΟΓΙΣΜΟΣ_ΕΞΟΔΑ!E426</f>
        <v/>
      </c>
      <c r="I143" s="400">
        <f>H143/$H$117</f>
        <v/>
      </c>
      <c r="J143" s="65">
        <f>H143+'2026 Ιανουάριος'!J143</f>
        <v/>
      </c>
      <c r="K143" s="65">
        <f>J143/$J$117</f>
        <v/>
      </c>
      <c r="L143" s="56">
        <f>'2024_60-69 ΕΞΟΔΑ+ΟΜ 2'!E91</f>
        <v/>
      </c>
      <c r="M143" s="75">
        <f>L143/$L$117</f>
        <v/>
      </c>
      <c r="N143" s="65">
        <f>L143+'2026 Ιανουάριος'!L143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2'!E97</f>
        <v/>
      </c>
      <c r="E144" s="75">
        <f>D144/$D$117</f>
        <v/>
      </c>
      <c r="F144" s="65">
        <f>'2026 Ιανουάριος'!F144+'2026 Φεβρουάριος'!D144</f>
        <v/>
      </c>
      <c r="G144" s="75">
        <f>F144/$F$117</f>
        <v/>
      </c>
      <c r="H144" s="56">
        <f>ΠΡΟΥΠΟΛΟΓΙΣΜΟΣ_ΕΞΟΔΑ!E431</f>
        <v/>
      </c>
      <c r="I144" s="400">
        <f>H144/$H$117</f>
        <v/>
      </c>
      <c r="J144" s="65">
        <f>H144+'2026 Ιανουάριος'!J144</f>
        <v/>
      </c>
      <c r="K144" s="65">
        <f>J144/$J$117</f>
        <v/>
      </c>
      <c r="L144" s="56">
        <f>'2024_60-69 ΕΞΟΔΑ+ΟΜ 2'!E92</f>
        <v/>
      </c>
      <c r="M144" s="75">
        <f>L144/$L$117</f>
        <v/>
      </c>
      <c r="N144" s="65">
        <f>L144+'2026 Ιανουάριος'!L144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2'!E98</f>
        <v/>
      </c>
      <c r="E145" s="75">
        <f>D145/$D$117</f>
        <v/>
      </c>
      <c r="F145" s="65">
        <f>'2026 Ιανουάριος'!F145+'2026 Φεβρουάριος'!D145</f>
        <v/>
      </c>
      <c r="G145" s="75">
        <f>F145/$F$117</f>
        <v/>
      </c>
      <c r="H145" s="56">
        <f>ΠΡΟΥΠΟΛΟΓΙΣΜΟΣ_ΕΞΟΔΑ!E436</f>
        <v/>
      </c>
      <c r="I145" s="400">
        <f>H145/$H$117</f>
        <v/>
      </c>
      <c r="J145" s="65">
        <f>H145+'2026 Ιανουάριος'!J145</f>
        <v/>
      </c>
      <c r="K145" s="65">
        <f>J145/$J$117</f>
        <v/>
      </c>
      <c r="L145" s="56">
        <f>'2024_60-69 ΕΞΟΔΑ+ΟΜ 2'!E93</f>
        <v/>
      </c>
      <c r="M145" s="75">
        <f>L145/$L$117</f>
        <v/>
      </c>
      <c r="N145" s="65">
        <f>L145+'2026 Ιανουάριος'!L145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2'!E99</f>
        <v/>
      </c>
      <c r="E146" s="75">
        <f>D146/$D$117</f>
        <v/>
      </c>
      <c r="F146" s="65">
        <f>'2026 Ιανουάριος'!F146+'2026 Φεβρουάριος'!D146</f>
        <v/>
      </c>
      <c r="G146" s="75">
        <f>F146/$F$117</f>
        <v/>
      </c>
      <c r="H146" s="56">
        <f>ΠΡΟΥΠΟΛΟΓΙΣΜΟΣ_ΕΞΟΔΑ!E441</f>
        <v/>
      </c>
      <c r="I146" s="400">
        <f>H146/$H$117</f>
        <v/>
      </c>
      <c r="J146" s="65">
        <f>H146+'2026 Ιανουάριος'!J146</f>
        <v/>
      </c>
      <c r="K146" s="65">
        <f>J146/$J$117</f>
        <v/>
      </c>
      <c r="L146" s="56">
        <f>'2024_60-69 ΕΞΟΔΑ+ΟΜ 2'!E94</f>
        <v/>
      </c>
      <c r="M146" s="75">
        <f>L146/$L$117</f>
        <v/>
      </c>
      <c r="N146" s="65">
        <f>L146+'2026 Ιανουάριος'!L146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2'!E100</f>
        <v/>
      </c>
      <c r="E147" s="75">
        <f>D147/$D$117</f>
        <v/>
      </c>
      <c r="F147" s="65">
        <f>'2026 Ιανουάριος'!F147+'2026 Φεβρουάριος'!D147</f>
        <v/>
      </c>
      <c r="G147" s="75">
        <f>F147/$F$117</f>
        <v/>
      </c>
      <c r="H147" s="56">
        <f>ΠΡΟΥΠΟΛΟΓΙΣΜΟΣ_ΕΞΟΔΑ!E446</f>
        <v/>
      </c>
      <c r="I147" s="400">
        <f>H147/$H$117</f>
        <v/>
      </c>
      <c r="J147" s="65">
        <f>H147+'2026 Ιανουάριος'!J147</f>
        <v/>
      </c>
      <c r="K147" s="65">
        <f>J147/$J$117</f>
        <v/>
      </c>
      <c r="L147" s="56">
        <f>'2024_60-69 ΕΞΟΔΑ+ΟΜ 2'!E95</f>
        <v/>
      </c>
      <c r="M147" s="75">
        <f>L147/$L$117</f>
        <v/>
      </c>
      <c r="N147" s="65">
        <f>L147+'2026 Ιανουάριος'!L147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2'!E101</f>
        <v/>
      </c>
      <c r="E148" s="75">
        <f>D148/$D$117</f>
        <v/>
      </c>
      <c r="F148" s="65">
        <f>'2026 Ιανουάριος'!F148+'2026 Φεβρουάριος'!D148</f>
        <v/>
      </c>
      <c r="G148" s="75">
        <f>F148/$F$117</f>
        <v/>
      </c>
      <c r="H148" s="56">
        <f>ΠΡΟΥΠΟΛΟΓΙΣΜΟΣ_ΕΞΟΔΑ!E451</f>
        <v/>
      </c>
      <c r="I148" s="400">
        <f>H148/$H$117</f>
        <v/>
      </c>
      <c r="J148" s="65">
        <f>H148+'2026 Ιανουάριος'!J148</f>
        <v/>
      </c>
      <c r="K148" s="65">
        <f>J148/$J$117</f>
        <v/>
      </c>
      <c r="L148" s="56">
        <f>'2024_60-69 ΕΞΟΔΑ+ΟΜ 2'!E96</f>
        <v/>
      </c>
      <c r="M148" s="75">
        <f>L148/$L$117</f>
        <v/>
      </c>
      <c r="N148" s="65">
        <f>L148+'2026 Ιανουάριος'!L148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2'!E102</f>
        <v/>
      </c>
      <c r="E149" s="75">
        <f>D149/$D$117</f>
        <v/>
      </c>
      <c r="F149" s="65">
        <f>'2026 Ιανουάριος'!F149+'2026 Φεβρουάριος'!D149</f>
        <v/>
      </c>
      <c r="G149" s="75">
        <f>F149/$F$117</f>
        <v/>
      </c>
      <c r="H149" s="56">
        <f>ΠΡΟΥΠΟΛΟΓΙΣΜΟΣ_ΕΞΟΔΑ!E456</f>
        <v/>
      </c>
      <c r="I149" s="400">
        <f>H149/$H$117</f>
        <v/>
      </c>
      <c r="J149" s="65">
        <f>H149+'2026 Ιανουάριος'!J149</f>
        <v/>
      </c>
      <c r="K149" s="65">
        <f>J149/$J$117</f>
        <v/>
      </c>
      <c r="L149" s="56">
        <f>'2024_60-69 ΕΞΟΔΑ+ΟΜ 2'!E97</f>
        <v/>
      </c>
      <c r="M149" s="75">
        <f>L149/$L$117</f>
        <v/>
      </c>
      <c r="N149" s="65">
        <f>L149+'2026 Ιανουάριος'!L149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2'!E103</f>
        <v/>
      </c>
      <c r="E150" s="75">
        <f>D150/$D$117</f>
        <v/>
      </c>
      <c r="F150" s="65">
        <f>'2026 Ιανουάριος'!F150+'2026 Φεβρουάριος'!D150</f>
        <v/>
      </c>
      <c r="G150" s="75">
        <f>F150/$F$117</f>
        <v/>
      </c>
      <c r="H150" s="56">
        <f>ΠΡΟΥΠΟΛΟΓΙΣΜΟΣ_ΕΞΟΔΑ!E461</f>
        <v/>
      </c>
      <c r="I150" s="400">
        <f>H150/$H$117</f>
        <v/>
      </c>
      <c r="J150" s="65">
        <f>H150+'2026 Ιανουάριος'!J150</f>
        <v/>
      </c>
      <c r="K150" s="65">
        <f>J150/$J$117</f>
        <v/>
      </c>
      <c r="L150" s="56">
        <f>'2024_60-69 ΕΞΟΔΑ+ΟΜ 2'!E98</f>
        <v/>
      </c>
      <c r="M150" s="75">
        <f>L150/$L$117</f>
        <v/>
      </c>
      <c r="N150" s="65">
        <f>L150+'2026 Ιανουάριος'!L150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2'!E104</f>
        <v/>
      </c>
      <c r="E151" s="75">
        <f>D151/$D$117</f>
        <v/>
      </c>
      <c r="F151" s="65">
        <f>'2026 Ιανουάριος'!F151+'2026 Φεβρουάριος'!D151</f>
        <v/>
      </c>
      <c r="G151" s="75">
        <f>F151/$F$117</f>
        <v/>
      </c>
      <c r="H151" s="56">
        <f>ΠΡΟΥΠΟΛΟΓΙΣΜΟΣ_ΕΞΟΔΑ!E466</f>
        <v/>
      </c>
      <c r="I151" s="400">
        <f>H151/$H$117</f>
        <v/>
      </c>
      <c r="J151" s="65">
        <f>H151+'2026 Ιανουάριος'!J151</f>
        <v/>
      </c>
      <c r="K151" s="65">
        <f>J151/$J$117</f>
        <v/>
      </c>
      <c r="L151" s="56">
        <f>'2024_60-69 ΕΞΟΔΑ+ΟΜ 2'!E99</f>
        <v/>
      </c>
      <c r="M151" s="75">
        <f>L151/$L$117</f>
        <v/>
      </c>
      <c r="N151" s="65">
        <f>L151+'2026 Ιανουάριος'!L151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2'!E105</f>
        <v/>
      </c>
      <c r="E152" s="75">
        <f>D152/$D$117</f>
        <v/>
      </c>
      <c r="F152" s="65">
        <f>'2026 Ιανουάριος'!F152+'2026 Φεβρουάριος'!D152</f>
        <v/>
      </c>
      <c r="G152" s="75">
        <f>F152/$F$117</f>
        <v/>
      </c>
      <c r="H152" s="56">
        <f>ΠΡΟΥΠΟΛΟΓΙΣΜΟΣ_ΕΞΟΔΑ!E471</f>
        <v/>
      </c>
      <c r="I152" s="400">
        <f>H152/$H$117</f>
        <v/>
      </c>
      <c r="J152" s="65">
        <f>H152+'2026 Ιανουάριος'!J152</f>
        <v/>
      </c>
      <c r="K152" s="65">
        <f>J152/$J$117</f>
        <v/>
      </c>
      <c r="L152" s="56">
        <f>'2024_60-69 ΕΞΟΔΑ+ΟΜ 2'!E100</f>
        <v/>
      </c>
      <c r="M152" s="75">
        <f>L152/$L$117</f>
        <v/>
      </c>
      <c r="N152" s="65">
        <f>L152+'2026 Ιανουάριος'!L152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2'!E106</f>
        <v/>
      </c>
      <c r="E153" s="75">
        <f>D153/$D$117</f>
        <v/>
      </c>
      <c r="F153" s="65">
        <f>'2026 Ιανουάριος'!F153+'2026 Φεβρουάριος'!D153</f>
        <v/>
      </c>
      <c r="G153" s="75">
        <f>F153/$F$117</f>
        <v/>
      </c>
      <c r="H153" s="56">
        <f>ΠΡΟΥΠΟΛΟΓΙΣΜΟΣ_ΕΞΟΔΑ!E476</f>
        <v/>
      </c>
      <c r="I153" s="400">
        <f>H153/$H$117</f>
        <v/>
      </c>
      <c r="J153" s="65">
        <f>H153+'2026 Ιανουάριος'!J153</f>
        <v/>
      </c>
      <c r="K153" s="65">
        <f>J153/$J$117</f>
        <v/>
      </c>
      <c r="L153" s="56">
        <f>'2024_60-69 ΕΞΟΔΑ+ΟΜ 2'!E101</f>
        <v/>
      </c>
      <c r="M153" s="75">
        <f>L153/$L$117</f>
        <v/>
      </c>
      <c r="N153" s="65">
        <f>L153+'2026 Ιανουάριος'!L153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2'!E107</f>
        <v/>
      </c>
      <c r="E154" s="75">
        <f>D154/$D$117</f>
        <v/>
      </c>
      <c r="F154" s="65">
        <f>'2026 Ιανουάριος'!F154+'2026 Φεβρουάριος'!D154</f>
        <v/>
      </c>
      <c r="G154" s="75">
        <f>F154/$F$117</f>
        <v/>
      </c>
      <c r="H154" s="56">
        <f>ΠΡΟΥΠΟΛΟΓΙΣΜΟΣ_ΕΞΟΔΑ!E481</f>
        <v/>
      </c>
      <c r="I154" s="400">
        <f>H154/$H$117</f>
        <v/>
      </c>
      <c r="J154" s="65">
        <f>H154+'2026 Ιανουάριος'!J154</f>
        <v/>
      </c>
      <c r="K154" s="65">
        <f>J154/$J$117</f>
        <v/>
      </c>
      <c r="L154" s="56">
        <f>'2024_60-69 ΕΞΟΔΑ+ΟΜ 2'!E102</f>
        <v/>
      </c>
      <c r="M154" s="75">
        <f>L154/$L$117</f>
        <v/>
      </c>
      <c r="N154" s="65">
        <f>L154+'2026 Ιανουάριος'!L154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2'!E108</f>
        <v/>
      </c>
      <c r="E155" s="75">
        <f>D155/$D$117</f>
        <v/>
      </c>
      <c r="F155" s="65">
        <f>'2026 Ιανουάριος'!F155+'2026 Φεβρουάριος'!D155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2'!E70</f>
        <v/>
      </c>
      <c r="E158" s="81" t="n"/>
      <c r="F158" s="64">
        <f>'2026_60-69 ΕΞΟΔΑ+ΟΜ 2'!R70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ΑΝΤΙΣΤΟΙΧΙΣΗ!$F$108</f>
        <v/>
      </c>
      <c r="E3" s="551" t="n"/>
      <c r="F3" s="550" t="n"/>
      <c r="G3" s="107">
        <f>ΑΝΤΙΣΤΟΙΧΙΣΗ!$D$34</f>
        <v/>
      </c>
      <c r="H3" s="549">
        <f>ΑΝΤΙΣΤΟΙΧΙΣΗ!$F$108</f>
        <v/>
      </c>
      <c r="I3" s="551" t="n"/>
      <c r="J3" s="550" t="n"/>
      <c r="K3" s="107">
        <f>ΑΝΤΙΣΤΟΙΧΙΣΗ!$D$34</f>
        <v/>
      </c>
      <c r="L3" s="549">
        <f>ΑΝΤΙΣΤΟΙΧΙΣΗ!$F$122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'2026_ΕΣΟΔΑ'!E2</f>
        <v/>
      </c>
      <c r="E8" s="53">
        <f>D8/$D$7</f>
        <v/>
      </c>
      <c r="F8" s="54">
        <f>D8+'2026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H8+'2026 Φεβρουάριος'!J8</f>
        <v/>
      </c>
      <c r="K8" s="53">
        <f>J8/$J$7</f>
        <v/>
      </c>
      <c r="L8" s="89">
        <f>'2024_60-69 ΕΞΟΔΑ+ΟΜ 2'!E114</f>
        <v/>
      </c>
      <c r="M8" s="53">
        <f>L8/$L$7</f>
        <v/>
      </c>
      <c r="N8" s="54">
        <f>L8+'2026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'2026_ΕΣΟΔΑ'!E3</f>
        <v/>
      </c>
      <c r="E9" s="53">
        <f>D9/$D$7</f>
        <v/>
      </c>
      <c r="F9" s="54">
        <f>D9+'2026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H9+'2026 Φεβρουάριος'!J9</f>
        <v/>
      </c>
      <c r="K9" s="53">
        <f>J9/$J$7</f>
        <v/>
      </c>
      <c r="L9" s="89">
        <f>'2024_60-69 ΕΞΟΔΑ+ΟΜ 2'!E115</f>
        <v/>
      </c>
      <c r="M9" s="53">
        <f>L9/$L$7</f>
        <v/>
      </c>
      <c r="N9" s="54">
        <f>L9+'2026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'2026_ΕΣΟΔΑ'!E4</f>
        <v/>
      </c>
      <c r="E10" s="53">
        <f>D10/$D$7</f>
        <v/>
      </c>
      <c r="F10" s="54">
        <f>D10+'2026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H10+'2026 Φεβρουάριος'!J10</f>
        <v/>
      </c>
      <c r="K10" s="53">
        <f>J10/$J$7</f>
        <v/>
      </c>
      <c r="L10" s="89">
        <f>'2024_60-69 ΕΞΟΔΑ+ΟΜ 2'!E116</f>
        <v/>
      </c>
      <c r="M10" s="53">
        <f>L10/$L$7</f>
        <v/>
      </c>
      <c r="N10" s="54">
        <f>L10+'2026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'2026_ΕΣΟΔΑ'!E5</f>
        <v/>
      </c>
      <c r="E11" s="53">
        <f>D11/$D$7</f>
        <v/>
      </c>
      <c r="F11" s="54">
        <f>D11+'2026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H11+'2026 Φεβρουάριος'!J11</f>
        <v/>
      </c>
      <c r="K11" s="53">
        <f>J11/$J$7</f>
        <v/>
      </c>
      <c r="L11" s="89">
        <f>'2024_60-69 ΕΞΟΔΑ+ΟΜ 2'!E117</f>
        <v/>
      </c>
      <c r="M11" s="53">
        <f>L11/$L$7</f>
        <v/>
      </c>
      <c r="N11" s="54">
        <f>L11+'2026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'2026_ΕΣΟΔΑ'!E6</f>
        <v/>
      </c>
      <c r="E12" s="53">
        <f>D12/$D$7</f>
        <v/>
      </c>
      <c r="F12" s="54">
        <f>D12+'2026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H12+'2026 Φεβρουάριος'!J12</f>
        <v/>
      </c>
      <c r="K12" s="53">
        <f>J12/$J$7</f>
        <v/>
      </c>
      <c r="L12" s="89">
        <f>'2024_60-69 ΕΞΟΔΑ+ΟΜ 2'!E118</f>
        <v/>
      </c>
      <c r="M12" s="53">
        <f>L12/$L$7</f>
        <v/>
      </c>
      <c r="N12" s="54">
        <f>L12+'2026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'2026_ΕΣΟΔΑ'!E7</f>
        <v/>
      </c>
      <c r="E13" s="53">
        <f>D13/$D$7</f>
        <v/>
      </c>
      <c r="F13" s="54">
        <f>D13+'2026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H13+'2026 Φεβρουάριος'!J13</f>
        <v/>
      </c>
      <c r="K13" s="53">
        <f>J13/$J$7</f>
        <v/>
      </c>
      <c r="L13" s="89">
        <f>'2024_60-69 ΕΞΟΔΑ+ΟΜ 2'!E119</f>
        <v/>
      </c>
      <c r="M13" s="53">
        <f>L13/$L$7</f>
        <v/>
      </c>
      <c r="N13" s="54">
        <f>L13+'2026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'2026_ΕΣΟΔΑ'!E8</f>
        <v/>
      </c>
      <c r="E14" s="53">
        <f>D14/$D$7</f>
        <v/>
      </c>
      <c r="F14" s="54">
        <f>D14+'2026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H14+'2026 Φεβρουάριος'!J14</f>
        <v/>
      </c>
      <c r="K14" s="53">
        <f>J14/$J$7</f>
        <v/>
      </c>
      <c r="L14" s="89">
        <f>'2024_60-69 ΕΞΟΔΑ+ΟΜ 2'!E120</f>
        <v/>
      </c>
      <c r="M14" s="53">
        <f>L14/$L$7</f>
        <v/>
      </c>
      <c r="N14" s="54">
        <f>L14+'2026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'2026_ΕΣΟΔΑ'!E9</f>
        <v/>
      </c>
      <c r="E15" s="53">
        <f>D15/$D$7</f>
        <v/>
      </c>
      <c r="F15" s="54">
        <f>D15+'2026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H15+'2026 Φεβρουάριος'!J15</f>
        <v/>
      </c>
      <c r="K15" s="53">
        <f>J15/$J$7</f>
        <v/>
      </c>
      <c r="L15" s="89">
        <f>'2024_60-69 ΕΞΟΔΑ+ΟΜ 2'!E121</f>
        <v/>
      </c>
      <c r="M15" s="53">
        <f>L15/$L$7</f>
        <v/>
      </c>
      <c r="N15" s="54">
        <f>L15+'2026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'2026_ΕΣΟΔΑ'!E10</f>
        <v/>
      </c>
      <c r="E16" s="53">
        <f>D16/$D$7</f>
        <v/>
      </c>
      <c r="F16" s="54">
        <f>D16+'2026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H16+'2026 Φεβρουάριος'!J16</f>
        <v/>
      </c>
      <c r="K16" s="53">
        <f>J16/$J$7</f>
        <v/>
      </c>
      <c r="L16" s="89">
        <f>'2024_60-69 ΕΞΟΔΑ+ΟΜ 2'!E122</f>
        <v/>
      </c>
      <c r="M16" s="53">
        <f>L16/$L$7</f>
        <v/>
      </c>
      <c r="N16" s="54">
        <f>L16+'2026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'2026_ΕΣΟΔΑ'!E11</f>
        <v/>
      </c>
      <c r="E17" s="53">
        <f>D17/$D$7</f>
        <v/>
      </c>
      <c r="F17" s="54">
        <f>D17+'2026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H17+'2026 Φεβρουάριος'!J17</f>
        <v/>
      </c>
      <c r="K17" s="53">
        <f>J17/$J$7</f>
        <v/>
      </c>
      <c r="L17" s="89">
        <f>'2024_60-69 ΕΞΟΔΑ+ΟΜ 2'!E123</f>
        <v/>
      </c>
      <c r="M17" s="53">
        <f>L17/$L$7</f>
        <v/>
      </c>
      <c r="N17" s="54">
        <f>L17+'2026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'2026_ΕΣΟΔΑ'!E12</f>
        <v/>
      </c>
      <c r="E18" s="53">
        <f>D18/$D$7</f>
        <v/>
      </c>
      <c r="F18" s="54">
        <f>D18+'2026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H18+'2026 Φεβρουάριος'!J18</f>
        <v/>
      </c>
      <c r="K18" s="53">
        <f>J18/$J$7</f>
        <v/>
      </c>
      <c r="L18" s="89">
        <f>'2024_60-69 ΕΞΟΔΑ+ΟΜ 2'!E124</f>
        <v/>
      </c>
      <c r="M18" s="53">
        <f>L18/$L$7</f>
        <v/>
      </c>
      <c r="N18" s="54">
        <f>L18+'2026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'2026_ΕΣΟΔΑ'!E13</f>
        <v/>
      </c>
      <c r="E19" s="53">
        <f>D19/$D$7</f>
        <v/>
      </c>
      <c r="F19" s="54">
        <f>D19+'2026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H19+'2026 Φεβρουάριος'!J19</f>
        <v/>
      </c>
      <c r="K19" s="53">
        <f>J19/$J$7</f>
        <v/>
      </c>
      <c r="L19" s="89">
        <f>'2024_60-69 ΕΞΟΔΑ+ΟΜ 2'!E125</f>
        <v/>
      </c>
      <c r="M19" s="53">
        <f>L19/$L$7</f>
        <v/>
      </c>
      <c r="N19" s="54">
        <f>L19+'2026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'2026_ΕΣΟΔΑ'!E14</f>
        <v/>
      </c>
      <c r="E20" s="53">
        <f>D20/$D$7</f>
        <v/>
      </c>
      <c r="F20" s="54">
        <f>D20+'2026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H20+'2026 Φεβρουάριος'!J20</f>
        <v/>
      </c>
      <c r="K20" s="53">
        <f>J20/$J$7</f>
        <v/>
      </c>
      <c r="L20" s="89">
        <f>'2024_60-69 ΕΞΟΔΑ+ΟΜ 2'!E126</f>
        <v/>
      </c>
      <c r="M20" s="53">
        <f>L20/$L$7</f>
        <v/>
      </c>
      <c r="N20" s="54">
        <f>L20+'2026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'2026_ΕΣΟΔΑ'!E15</f>
        <v/>
      </c>
      <c r="E21" s="53">
        <f>D21/$D$7</f>
        <v/>
      </c>
      <c r="F21" s="54">
        <f>D21+'2026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H21+'2026 Φεβρουάριος'!J21</f>
        <v/>
      </c>
      <c r="K21" s="53">
        <f>J21/$J$7</f>
        <v/>
      </c>
      <c r="L21" s="89">
        <f>'2024_60-69 ΕΞΟΔΑ+ΟΜ 2'!E127</f>
        <v/>
      </c>
      <c r="M21" s="53">
        <f>L21/$L$7</f>
        <v/>
      </c>
      <c r="N21" s="54">
        <f>L21+'2026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'2026_ΕΣΟΔΑ'!E16</f>
        <v/>
      </c>
      <c r="E22" s="53">
        <f>D22/$D$7</f>
        <v/>
      </c>
      <c r="F22" s="54">
        <f>D22+'2026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H22+'2026 Φεβρουάριος'!J22</f>
        <v/>
      </c>
      <c r="K22" s="53">
        <f>J22/$J$7</f>
        <v/>
      </c>
      <c r="L22" s="89">
        <f>'2024_60-69 ΕΞΟΔΑ+ΟΜ 2'!E128</f>
        <v/>
      </c>
      <c r="M22" s="53">
        <f>L22/$L$7</f>
        <v/>
      </c>
      <c r="N22" s="54">
        <f>L22+'2026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'2026_ΕΣΟΔΑ'!E17</f>
        <v/>
      </c>
      <c r="E23" s="53">
        <f>D23/$D$7</f>
        <v/>
      </c>
      <c r="F23" s="54">
        <f>D23+'2026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H23+'2026 Φεβρουάριος'!J23</f>
        <v/>
      </c>
      <c r="K23" s="53">
        <f>J23/$J$7</f>
        <v/>
      </c>
      <c r="L23" s="89">
        <f>'2024_60-69 ΕΞΟΔΑ+ΟΜ 2'!E129</f>
        <v/>
      </c>
      <c r="M23" s="53">
        <f>L23/$L$7</f>
        <v/>
      </c>
      <c r="N23" s="54">
        <f>L23+'2026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'2026_ΕΣΟΔΑ'!E19</f>
        <v/>
      </c>
      <c r="E25" s="53">
        <f>D25/$D$7</f>
        <v/>
      </c>
      <c r="F25" s="54">
        <f>D25+'2026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H25+'2026 Φεβρουάριος'!J25</f>
        <v/>
      </c>
      <c r="K25" s="53">
        <f>J25/$J$7</f>
        <v/>
      </c>
      <c r="L25" s="89">
        <f>'2024_60-69 ΕΞΟΔΑ+ΟΜ 2'!E130</f>
        <v/>
      </c>
      <c r="M25" s="53">
        <f>L25/$L$7</f>
        <v/>
      </c>
      <c r="N25" s="54">
        <f>L25+'2026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'2026_ΕΣΟΔΑ'!E20</f>
        <v/>
      </c>
      <c r="E26" s="53">
        <f>D26/$D$7</f>
        <v/>
      </c>
      <c r="F26" s="54">
        <f>D26+'2026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H26+'2026 Φεβρουάριος'!J26</f>
        <v/>
      </c>
      <c r="K26" s="53">
        <f>J26/$J$7</f>
        <v/>
      </c>
      <c r="L26" s="89">
        <f>'2024_60-69 ΕΞΟΔΑ+ΟΜ 2'!E131</f>
        <v/>
      </c>
      <c r="M26" s="53">
        <f>L26/$L$7</f>
        <v/>
      </c>
      <c r="N26" s="54">
        <f>L26+'2026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'2026_ΕΣΟΔΑ'!E21</f>
        <v/>
      </c>
      <c r="E27" s="53">
        <f>D27/$D$7</f>
        <v/>
      </c>
      <c r="F27" s="54">
        <f>D27+'2026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H27+'2026 Φεβρουάριος'!J27</f>
        <v/>
      </c>
      <c r="K27" s="53">
        <f>J27/$J$7</f>
        <v/>
      </c>
      <c r="L27" s="89">
        <f>'2024_60-69 ΕΞΟΔΑ+ΟΜ 2'!E132</f>
        <v/>
      </c>
      <c r="M27" s="53">
        <f>L27/$L$7</f>
        <v/>
      </c>
      <c r="N27" s="54">
        <f>L27+'2026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'2026_ΕΣΟΔΑ'!E22</f>
        <v/>
      </c>
      <c r="E28" s="53">
        <f>D28/$D$7</f>
        <v/>
      </c>
      <c r="F28" s="54">
        <f>D28+'2026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H28+'2026 Φεβρουάριος'!J28</f>
        <v/>
      </c>
      <c r="K28" s="53">
        <f>J28/$J$7</f>
        <v/>
      </c>
      <c r="L28" s="89">
        <f>'2024_60-69 ΕΞΟΔΑ+ΟΜ 2'!E133</f>
        <v/>
      </c>
      <c r="M28" s="53">
        <f>L28/$L$7</f>
        <v/>
      </c>
      <c r="N28" s="54">
        <f>L28+'2026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'2026_ΕΣΟΔΑ'!E23</f>
        <v/>
      </c>
      <c r="E29" s="53">
        <f>D29/$D$7</f>
        <v/>
      </c>
      <c r="F29" s="54">
        <f>D29+'2026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H29+'2026 Φεβρουάριος'!J29</f>
        <v/>
      </c>
      <c r="K29" s="53">
        <f>J29/$J$7</f>
        <v/>
      </c>
      <c r="L29" s="89">
        <f>'2024_60-69 ΕΞΟΔΑ+ΟΜ 2'!E134</f>
        <v/>
      </c>
      <c r="M29" s="53">
        <f>L29/$L$7</f>
        <v/>
      </c>
      <c r="N29" s="54">
        <f>L29+'2026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'2026_ΕΣΟΔΑ'!E24</f>
        <v/>
      </c>
      <c r="E30" s="53">
        <f>D30/$D$7</f>
        <v/>
      </c>
      <c r="F30" s="54">
        <f>D30+'2026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H30+'2026 Φεβρουάριος'!J30</f>
        <v/>
      </c>
      <c r="K30" s="53">
        <f>J30/$J$7</f>
        <v/>
      </c>
      <c r="L30" s="89">
        <f>'2024_60-69 ΕΞΟΔΑ+ΟΜ 2'!E135</f>
        <v/>
      </c>
      <c r="M30" s="53">
        <f>L30/$L$7</f>
        <v/>
      </c>
      <c r="N30" s="54">
        <f>L30+'2026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'2026_ΕΣΟΔΑ'!E25</f>
        <v/>
      </c>
      <c r="E31" s="53">
        <f>D31/$D$7</f>
        <v/>
      </c>
      <c r="F31" s="54">
        <f>D31+'2026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H31+'2026 Φεβρουάριος'!J31</f>
        <v/>
      </c>
      <c r="K31" s="53">
        <f>J31/$J$7</f>
        <v/>
      </c>
      <c r="L31" s="89">
        <f>'2024_60-69 ΕΞΟΔΑ+ΟΜ 2'!E136</f>
        <v/>
      </c>
      <c r="M31" s="53">
        <f>L31/$L$7</f>
        <v/>
      </c>
      <c r="N31" s="54">
        <f>L31+'2026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'2026_ΕΣΟΔΑ'!E26</f>
        <v/>
      </c>
      <c r="E32" s="53">
        <f>D32/$D$7</f>
        <v/>
      </c>
      <c r="F32" s="54">
        <f>D32+'2026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H32+'2026 Φεβρουάριος'!J32</f>
        <v/>
      </c>
      <c r="K32" s="53">
        <f>J32/$J$7</f>
        <v/>
      </c>
      <c r="L32" s="89">
        <f>'2024_60-69 ΕΞΟΔΑ+ΟΜ 2'!E137</f>
        <v/>
      </c>
      <c r="M32" s="53">
        <f>L32/$L$7</f>
        <v/>
      </c>
      <c r="N32" s="54">
        <f>L32+'2026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'2026_ΕΣΟΔΑ'!E27</f>
        <v/>
      </c>
      <c r="E33" s="53">
        <f>D33/$D$7</f>
        <v/>
      </c>
      <c r="F33" s="54">
        <f>D33+'2026 Φεβρουάριος'!F33</f>
        <v/>
      </c>
      <c r="G33" s="53">
        <f>F33/$F$7</f>
        <v/>
      </c>
      <c r="H33" s="54" t="n"/>
      <c r="I33" s="53">
        <f>H33/$H$7</f>
        <v/>
      </c>
      <c r="J33" s="54">
        <f>H33+'2026 Φεβρουάριος'!J33</f>
        <v/>
      </c>
      <c r="K33" s="53">
        <f>J33/$J$7</f>
        <v/>
      </c>
      <c r="L33" s="89">
        <f>'2024_60-69 ΕΞΟΔΑ+ΟΜ 2'!E138</f>
        <v/>
      </c>
      <c r="M33" s="53">
        <f>L33/$L$7</f>
        <v/>
      </c>
      <c r="N33" s="54">
        <f>L33+'2026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'2026_ΕΣΟΔΑ'!E28</f>
        <v/>
      </c>
      <c r="E34" s="53">
        <f>D34/$D$7</f>
        <v/>
      </c>
      <c r="F34" s="54">
        <f>D34+'2026 Φεβρουάριος'!F34</f>
        <v/>
      </c>
      <c r="G34" s="53">
        <f>F34/$F$7</f>
        <v/>
      </c>
      <c r="H34" s="54" t="n"/>
      <c r="I34" s="53">
        <f>H34/$H$7</f>
        <v/>
      </c>
      <c r="J34" s="54">
        <f>H34+'2026 Φεβρουάριος'!J34</f>
        <v/>
      </c>
      <c r="K34" s="53">
        <f>J34/$J$7</f>
        <v/>
      </c>
      <c r="L34" s="89">
        <f>'2024_60-69 ΕΞΟΔΑ+ΟΜ 2'!E139</f>
        <v/>
      </c>
      <c r="M34" s="53">
        <f>L34/$L$7</f>
        <v/>
      </c>
      <c r="N34" s="54">
        <f>L34+'2026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'2026_ΕΣΟΔΑ'!E29</f>
        <v/>
      </c>
      <c r="E35" s="53">
        <f>D35/$D$7</f>
        <v/>
      </c>
      <c r="F35" s="54">
        <f>D35+'2026 Φεβρουάριος'!F35</f>
        <v/>
      </c>
      <c r="G35" s="53">
        <f>F35/$F$7</f>
        <v/>
      </c>
      <c r="H35" s="54" t="n"/>
      <c r="I35" s="53">
        <f>H35/$H$7</f>
        <v/>
      </c>
      <c r="J35" s="54">
        <f>H35+'2026 Φεβρουάριος'!J35</f>
        <v/>
      </c>
      <c r="K35" s="53">
        <f>J35/$J$7</f>
        <v/>
      </c>
      <c r="L35" s="89">
        <f>'2024_60-69 ΕΞΟΔΑ+ΟΜ 2'!E140</f>
        <v/>
      </c>
      <c r="M35" s="53">
        <f>L35/$L$7</f>
        <v/>
      </c>
      <c r="N35" s="54">
        <f>L35+'2026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'2026_ΕΣΟΔΑ'!E30</f>
        <v/>
      </c>
      <c r="E36" s="53">
        <f>D36/$D$7</f>
        <v/>
      </c>
      <c r="F36" s="54">
        <f>D36+'2026 Φεβρουάριος'!F36</f>
        <v/>
      </c>
      <c r="G36" s="53">
        <f>F36/$F$7</f>
        <v/>
      </c>
      <c r="H36" s="54" t="n"/>
      <c r="I36" s="53">
        <f>H36/$H$7</f>
        <v/>
      </c>
      <c r="J36" s="54">
        <f>H36+'2026 Φεβρουάριος'!J36</f>
        <v/>
      </c>
      <c r="K36" s="53">
        <f>J36/$J$7</f>
        <v/>
      </c>
      <c r="L36" s="89">
        <f>'2024_60-69 ΕΞΟΔΑ+ΟΜ 2'!E141</f>
        <v/>
      </c>
      <c r="M36" s="53">
        <f>L36/$L$7</f>
        <v/>
      </c>
      <c r="N36" s="54">
        <f>L36+'2026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'2026_ΕΣΟΔΑ'!E31</f>
        <v/>
      </c>
      <c r="E37" s="53">
        <f>D37/$D$7</f>
        <v/>
      </c>
      <c r="F37" s="54">
        <f>D37+'2026 Φεβρουάριος'!F37</f>
        <v/>
      </c>
      <c r="G37" s="53">
        <f>F37/$F$7</f>
        <v/>
      </c>
      <c r="H37" s="54" t="n"/>
      <c r="I37" s="53">
        <f>H37/$H$7</f>
        <v/>
      </c>
      <c r="J37" s="54">
        <f>H37+'2026 Φεβρουάριος'!J37</f>
        <v/>
      </c>
      <c r="K37" s="53">
        <f>J37/$J$7</f>
        <v/>
      </c>
      <c r="L37" s="89">
        <f>'2024_60-69 ΕΞΟΔΑ+ΟΜ 2'!E142</f>
        <v/>
      </c>
      <c r="M37" s="53">
        <f>L37/$L$7</f>
        <v/>
      </c>
      <c r="N37" s="54">
        <f>L37+'2026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'2026_ΕΣΟΔΑ'!E32</f>
        <v/>
      </c>
      <c r="E38" s="53">
        <f>D38/$D$7</f>
        <v/>
      </c>
      <c r="F38" s="54">
        <f>D38+'2026 Φεβρουάριος'!F38</f>
        <v/>
      </c>
      <c r="G38" s="53">
        <f>F38/$F$7</f>
        <v/>
      </c>
      <c r="H38" s="54" t="n"/>
      <c r="I38" s="53">
        <f>H38/$H$7</f>
        <v/>
      </c>
      <c r="J38" s="54">
        <f>H38+'2026 Φεβρουάριος'!J38</f>
        <v/>
      </c>
      <c r="K38" s="53">
        <f>J38/$J$7</f>
        <v/>
      </c>
      <c r="L38" s="89">
        <f>'2024_60-69 ΕΞΟΔΑ+ΟΜ 2'!E143</f>
        <v/>
      </c>
      <c r="M38" s="53">
        <f>L38/$L$7</f>
        <v/>
      </c>
      <c r="N38" s="54">
        <f>L38+'2026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'2026_ΕΣΟΔΑ'!E33</f>
        <v/>
      </c>
      <c r="E39" s="81" t="n"/>
      <c r="F39" s="64">
        <f>'2026_ΕΣΟΔΑ'!E35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ΑΝΤΙΣΤΟΙΧΙΣΗ!$F$108</f>
        <v/>
      </c>
      <c r="E42" s="551" t="n"/>
      <c r="F42" s="550" t="n"/>
      <c r="G42" s="107">
        <f>ΑΝΤΙΣΤΟΙΧΙΣΗ!$D$34</f>
        <v/>
      </c>
      <c r="H42" s="549">
        <f>ΑΝΤΙΣΤΟΙΧΙΣΗ!$F$108</f>
        <v/>
      </c>
      <c r="I42" s="551" t="n"/>
      <c r="J42" s="550" t="n"/>
      <c r="K42" s="107">
        <f>ΑΝΤΙΣΤΟΙΧΙΣΗ!$D$34</f>
        <v/>
      </c>
      <c r="L42" s="549">
        <f>ΑΝΤΙΣΤΟΙΧΙΣΗ!$F$122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2'!F4</f>
        <v/>
      </c>
      <c r="E45" s="75">
        <f>D45/$D$44</f>
        <v/>
      </c>
      <c r="F45" s="65">
        <f>'2026 Φεβρουάριος'!F45+'2026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H45+'2026 Φεβρουάριος'!J45</f>
        <v/>
      </c>
      <c r="K45" s="404">
        <f>J45/$J$44</f>
        <v/>
      </c>
      <c r="L45" s="56">
        <f>'2024_60-69 ΕΞΟΔΑ+ΟΜ 2'!F4</f>
        <v/>
      </c>
      <c r="M45" s="75">
        <f>L45/$L$44</f>
        <v/>
      </c>
      <c r="N45" s="65">
        <f>L45+'2026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2'!F5</f>
        <v/>
      </c>
      <c r="E46" s="75">
        <f>D46/$D$44</f>
        <v/>
      </c>
      <c r="F46" s="65">
        <f>'2026 Φεβρουάριος'!F46+'2026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H46+'2026 Φεβρουάριος'!J46</f>
        <v/>
      </c>
      <c r="K46" s="404">
        <f>J46/$J$44</f>
        <v/>
      </c>
      <c r="L46" s="56">
        <f>'2024_60-69 ΕΞΟΔΑ+ΟΜ 2'!F5</f>
        <v/>
      </c>
      <c r="M46" s="75">
        <f>L46/$L$44</f>
        <v/>
      </c>
      <c r="N46" s="65">
        <f>L46+'2026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2'!F6</f>
        <v/>
      </c>
      <c r="E47" s="75">
        <f>D47/$D$44</f>
        <v/>
      </c>
      <c r="F47" s="65">
        <f>'2026 Φεβρουάριος'!F47+'2026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H47+'2026 Φεβρουάριος'!J47</f>
        <v/>
      </c>
      <c r="K47" s="404">
        <f>J47/$J$44</f>
        <v/>
      </c>
      <c r="L47" s="56">
        <f>'2024_60-69 ΕΞΟΔΑ+ΟΜ 2'!F6</f>
        <v/>
      </c>
      <c r="M47" s="75">
        <f>L47/$L$44</f>
        <v/>
      </c>
      <c r="N47" s="65">
        <f>L47+'2026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33.7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2'!F7</f>
        <v/>
      </c>
      <c r="E48" s="75">
        <f>D48/$D$85</f>
        <v/>
      </c>
      <c r="F48" s="114">
        <f>'2026 Φεβρουάριος'!F48+'2026 Μάρτιος'!D48</f>
        <v/>
      </c>
      <c r="G48" s="75">
        <f>F48/$F$85</f>
        <v/>
      </c>
      <c r="H48" s="56">
        <f>ΠΡΟΥΠΟΛΟΓΙΣΜΟΣ_ΕΞΟΔΑ!F167</f>
        <v/>
      </c>
      <c r="I48" s="401">
        <f>H48/$H$85</f>
        <v/>
      </c>
      <c r="J48" s="402">
        <f>H48+'2026 Φεβρουάριος'!J45</f>
        <v/>
      </c>
      <c r="K48" s="403">
        <f>J48/$J$85</f>
        <v/>
      </c>
      <c r="L48" s="114">
        <f>'2024_60-69 ΕΞΟΔΑ+ΟΜ 2'!F35</f>
        <v/>
      </c>
      <c r="M48" s="75">
        <f>L48/$L$85</f>
        <v/>
      </c>
      <c r="N48" s="65">
        <f>L48+'2026 Φεβρουάριος'!N48</f>
        <v/>
      </c>
      <c r="O48" s="75">
        <f>N48/$N$85</f>
        <v/>
      </c>
      <c r="P48" s="402">
        <f>F48-N48</f>
        <v/>
      </c>
      <c r="Q48" s="539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2'!F8</f>
        <v/>
      </c>
      <c r="E49" s="75">
        <f>D49/$D$85</f>
        <v/>
      </c>
      <c r="F49" s="114">
        <f>'2026 Φεβρουάριος'!F49+'2026 Μάρτιος'!D49</f>
        <v/>
      </c>
      <c r="G49" s="75">
        <f>F49/$F$85</f>
        <v/>
      </c>
      <c r="H49" s="56">
        <f>ΠΡΟΥΠΟΛΟΓΙΣΜΟΣ_ΕΞΟΔΑ!F172</f>
        <v/>
      </c>
      <c r="I49" s="401">
        <f>H49/$H$85</f>
        <v/>
      </c>
      <c r="J49" s="402">
        <f>H49+'2026 Φεβρουάριος'!J46</f>
        <v/>
      </c>
      <c r="K49" s="403">
        <f>J49/$J$85</f>
        <v/>
      </c>
      <c r="L49" s="114">
        <f>'2024_60-69 ΕΞΟΔΑ+ΟΜ 2'!F36</f>
        <v/>
      </c>
      <c r="M49" s="75">
        <f>L49/$L$85</f>
        <v/>
      </c>
      <c r="N49" s="65">
        <f>L49+'2026 Φεβρουάριος'!N49</f>
        <v/>
      </c>
      <c r="O49" s="75">
        <f>N49/$N$85</f>
        <v/>
      </c>
      <c r="P49" s="402">
        <f>F49-N49</f>
        <v/>
      </c>
      <c r="Q49" s="539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2'!F9</f>
        <v/>
      </c>
      <c r="E50" s="75">
        <f>D50/$D$44</f>
        <v/>
      </c>
      <c r="F50" s="65">
        <f>'2026 Φεβρουάριος'!F50+'2026 Μάρτιος'!D50</f>
        <v/>
      </c>
      <c r="G50" s="75">
        <f>F50/$F$44</f>
        <v/>
      </c>
      <c r="H50" s="56">
        <f>ΠΡΟΥΠΟΛΟΓΙΣΜΟΣ_ΕΞΟΔΑ!F23</f>
        <v/>
      </c>
      <c r="I50" s="400">
        <f>H50/$H$44</f>
        <v/>
      </c>
      <c r="J50" s="65">
        <f>H50+'2026 Φεβρουάριος'!J50</f>
        <v/>
      </c>
      <c r="K50" s="404">
        <f>J50/$J$44</f>
        <v/>
      </c>
      <c r="L50" s="56">
        <f>'2024_60-69 ΕΞΟΔΑ+ΟΜ 2'!F7</f>
        <v/>
      </c>
      <c r="M50" s="75">
        <f>L50/$L$44</f>
        <v/>
      </c>
      <c r="N50" s="65">
        <f>L50+'2026 Φεβρουάριος'!N50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2'!F10</f>
        <v/>
      </c>
      <c r="E51" s="75">
        <f>D51/$D$44</f>
        <v/>
      </c>
      <c r="F51" s="65">
        <f>'2026 Φεβρουάριος'!F51+'2026 Μάρτιος'!D51</f>
        <v/>
      </c>
      <c r="G51" s="75">
        <f>F51/$F$44</f>
        <v/>
      </c>
      <c r="H51" s="56">
        <f>ΠΡΟΥΠΟΛΟΓΙΣΜΟΣ_ΕΞΟΔΑ!F28</f>
        <v/>
      </c>
      <c r="I51" s="400">
        <f>H51/$H$44</f>
        <v/>
      </c>
      <c r="J51" s="65">
        <f>H51+'2026 Φεβρουάριος'!J51</f>
        <v/>
      </c>
      <c r="K51" s="404">
        <f>J51/$J$44</f>
        <v/>
      </c>
      <c r="L51" s="56">
        <f>'2024_60-69 ΕΞΟΔΑ+ΟΜ 2'!F8</f>
        <v/>
      </c>
      <c r="M51" s="75">
        <f>L51/$L$44</f>
        <v/>
      </c>
      <c r="N51" s="65">
        <f>L51+'2026 Φεβρουάριος'!N51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2'!F11</f>
        <v/>
      </c>
      <c r="E52" s="75">
        <f>D52/$D$44</f>
        <v/>
      </c>
      <c r="F52" s="65">
        <f>'2026 Φεβρουάριος'!F52+'2026 Μάρτιος'!D52</f>
        <v/>
      </c>
      <c r="G52" s="75">
        <f>F52/$F$44</f>
        <v/>
      </c>
      <c r="H52" s="56">
        <f>ΠΡΟΥΠΟΛΟΓΙΣΜΟΣ_ΕΞΟΔΑ!F33</f>
        <v/>
      </c>
      <c r="I52" s="400">
        <f>H52/$H$44</f>
        <v/>
      </c>
      <c r="J52" s="65">
        <f>H52+'2026 Φεβρουάριος'!J52</f>
        <v/>
      </c>
      <c r="K52" s="404">
        <f>J52/$J$44</f>
        <v/>
      </c>
      <c r="L52" s="56">
        <f>'2024_60-69 ΕΞΟΔΑ+ΟΜ 2'!F9</f>
        <v/>
      </c>
      <c r="M52" s="75">
        <f>L52/$L$44</f>
        <v/>
      </c>
      <c r="N52" s="65">
        <f>L52+'2026 Φεβρουάριος'!N52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15">
        <f>ΑΝΤΙΣΤΟΙΧΙΣΗ!L192</f>
        <v/>
      </c>
      <c r="D53" s="114">
        <f>'2026_60-69 ΕΞΟΔΑ+ΟΜ 2'!F13</f>
        <v/>
      </c>
      <c r="E53" s="75">
        <f>D53/$D$85</f>
        <v/>
      </c>
      <c r="F53" s="114">
        <f>'2026 Φεβρουάριος'!F54+'2026 Μάρτιος'!D53</f>
        <v/>
      </c>
      <c r="G53" s="75">
        <f>F53/$F$85</f>
        <v/>
      </c>
      <c r="H53" s="56">
        <f>ΠΡΟΥΠΟΛΟΓΙΣΜΟΣ_ΕΞΟΔΑ!F192</f>
        <v/>
      </c>
      <c r="I53" s="401">
        <f>H53/$H$85</f>
        <v/>
      </c>
      <c r="J53" s="402">
        <f>H53+'2026 Φεβρουάριος'!J52</f>
        <v/>
      </c>
      <c r="K53" s="403">
        <f>J53/$J$85</f>
        <v/>
      </c>
      <c r="L53" s="114">
        <f>'2024_60-69 ΕΞΟΔΑ+ΟΜ 2'!F40</f>
        <v/>
      </c>
      <c r="M53" s="75">
        <f>L53/$L$85</f>
        <v/>
      </c>
      <c r="N53" s="65">
        <f>L53+'2026 Φεβρουάριος'!N54</f>
        <v/>
      </c>
      <c r="O53" s="75">
        <f>N53/$N$85</f>
        <v/>
      </c>
      <c r="P53" s="402">
        <f>F53-N53</f>
        <v/>
      </c>
      <c r="Q53" s="539">
        <f>N53/J53</f>
        <v/>
      </c>
      <c r="V53" s="235" t="n"/>
    </row>
    <row r="54" ht="25.5" customHeight="1">
      <c r="A54" s="178" t="n">
        <v>52</v>
      </c>
      <c r="B54" s="178" t="n">
        <v>10</v>
      </c>
      <c r="C54" s="115">
        <f>ΑΝΤΙΣΤΟΙΧΙΣΗ!L193</f>
        <v/>
      </c>
      <c r="D54" s="114">
        <f>'2026_60-69 ΕΞΟΔΑ+ΟΜ 2'!F43</f>
        <v/>
      </c>
      <c r="E54" s="75">
        <f>D54/$D$85</f>
        <v/>
      </c>
      <c r="F54" s="114">
        <f>'2026 Φεβρουάριος'!F88+'2026 Μάρτιος'!D54</f>
        <v/>
      </c>
      <c r="G54" s="75">
        <f>F54/$F$85</f>
        <v/>
      </c>
      <c r="H54" s="56">
        <f>ΠΡΟΥΠΟΛΟΓΙΣΜΟΣ_ΕΞΟΔΑ!F197</f>
        <v/>
      </c>
      <c r="I54" s="401">
        <f>H54/$H$85</f>
        <v/>
      </c>
      <c r="J54" s="402">
        <f>H54+'2026 Φεβρουάριος'!J55</f>
        <v/>
      </c>
      <c r="K54" s="403">
        <f>J54/$J$85</f>
        <v/>
      </c>
      <c r="L54" s="114">
        <f>'2024_60-69 ΕΞΟΔΑ+ΟΜ 2'!F41</f>
        <v/>
      </c>
      <c r="M54" s="75">
        <f>L54/$L$85</f>
        <v/>
      </c>
      <c r="N54" s="65">
        <f>L54+'2026 Φεβρουάριος'!N88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2'!F14</f>
        <v/>
      </c>
      <c r="E55" s="75">
        <f>D55/$D$44</f>
        <v/>
      </c>
      <c r="F55" s="65">
        <f>'2026 Φεβρουάριος'!F55+'2026 Μάρτιος'!D55</f>
        <v/>
      </c>
      <c r="G55" s="75">
        <f>F55/$F$44</f>
        <v/>
      </c>
      <c r="H55" s="56">
        <f>ΠΡΟΥΠΟΛΟΓΙΣΜΟΣ_ΕΞΟΔΑ!F38</f>
        <v/>
      </c>
      <c r="I55" s="400">
        <f>H55/$H$44</f>
        <v/>
      </c>
      <c r="J55" s="65">
        <f>H55+'2026 Φεβρουάριος'!J55</f>
        <v/>
      </c>
      <c r="K55" s="404">
        <f>J55/$J$44</f>
        <v/>
      </c>
      <c r="L55" s="56">
        <f>'2024_60-69 ΕΞΟΔΑ+ΟΜ 2'!F10</f>
        <v/>
      </c>
      <c r="M55" s="75">
        <f>L55/$L$44</f>
        <v/>
      </c>
      <c r="N55" s="65">
        <f>L55+'2026 Φεβρουάριος'!N55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2'!F15</f>
        <v/>
      </c>
      <c r="E56" s="75">
        <f>D56/$D$44</f>
        <v/>
      </c>
      <c r="F56" s="65">
        <f>'2026 Φεβρουάριος'!F56+'2026 Μάρτιος'!D56</f>
        <v/>
      </c>
      <c r="G56" s="75">
        <f>F56/$F$44</f>
        <v/>
      </c>
      <c r="H56" s="56">
        <f>ΠΡΟΥΠΟΛΟΓΙΣΜΟΣ_ΕΞΟΔΑ!F43</f>
        <v/>
      </c>
      <c r="I56" s="400">
        <f>H56/$H$44</f>
        <v/>
      </c>
      <c r="J56" s="65">
        <f>H56+'2026 Φεβρουάριος'!J56</f>
        <v/>
      </c>
      <c r="K56" s="404">
        <f>J56/$J$44</f>
        <v/>
      </c>
      <c r="L56" s="56">
        <f>'2024_60-69 ΕΞΟΔΑ+ΟΜ 2'!F11</f>
        <v/>
      </c>
      <c r="M56" s="75">
        <f>L56/$L$44</f>
        <v/>
      </c>
      <c r="N56" s="65">
        <f>L56+'2026 Φεβρουάριος'!N56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2'!F16</f>
        <v/>
      </c>
      <c r="E57" s="75">
        <f>D57/$D$44</f>
        <v/>
      </c>
      <c r="F57" s="65">
        <f>'2026 Φεβρουάριος'!F57+'2026 Μάρτιος'!D57</f>
        <v/>
      </c>
      <c r="G57" s="75">
        <f>F57/$F$44</f>
        <v/>
      </c>
      <c r="H57" s="56">
        <f>ΠΡΟΥΠΟΛΟΓΙΣΜΟΣ_ΕΞΟΔΑ!F48</f>
        <v/>
      </c>
      <c r="I57" s="400">
        <f>H57/$H$44</f>
        <v/>
      </c>
      <c r="J57" s="65">
        <f>H57+'2026 Φεβρουάριος'!J57</f>
        <v/>
      </c>
      <c r="K57" s="404">
        <f>J57/$J$44</f>
        <v/>
      </c>
      <c r="L57" s="56">
        <f>'2024_60-69 ΕΞΟΔΑ+ΟΜ 2'!F12</f>
        <v/>
      </c>
      <c r="M57" s="75">
        <f>L57/$L$44</f>
        <v/>
      </c>
      <c r="N57" s="65">
        <f>L57+'2026 Φεβρουάριος'!N57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2'!F17</f>
        <v/>
      </c>
      <c r="E58" s="75">
        <f>D58/$D$44</f>
        <v/>
      </c>
      <c r="F58" s="65">
        <f>'2026 Φεβρουάριος'!F58+'2026 Μάρτιος'!D58</f>
        <v/>
      </c>
      <c r="G58" s="75">
        <f>F58/$F$44</f>
        <v/>
      </c>
      <c r="H58" s="56">
        <f>ΠΡΟΥΠΟΛΟΓΙΣΜΟΣ_ΕΞΟΔΑ!F53</f>
        <v/>
      </c>
      <c r="I58" s="400">
        <f>H58/$H$44</f>
        <v/>
      </c>
      <c r="J58" s="65">
        <f>H58+'2026 Φεβρουάριος'!J58</f>
        <v/>
      </c>
      <c r="K58" s="404">
        <f>J58/$J$44</f>
        <v/>
      </c>
      <c r="L58" s="56">
        <f>'2024_60-69 ΕΞΟΔΑ+ΟΜ 2'!F13</f>
        <v/>
      </c>
      <c r="M58" s="75">
        <f>L58/$L$44</f>
        <v/>
      </c>
      <c r="N58" s="65">
        <f>L58+'2026 Φεβρουάριος'!N58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2'!F18</f>
        <v/>
      </c>
      <c r="E59" s="75">
        <f>D59/$D$44</f>
        <v/>
      </c>
      <c r="F59" s="65">
        <f>'2026 Φεβρουάριος'!F59+'2026 Μάρτιος'!D59</f>
        <v/>
      </c>
      <c r="G59" s="75">
        <f>F59/$F$44</f>
        <v/>
      </c>
      <c r="H59" s="56">
        <f>ΠΡΟΥΠΟΛΟΓΙΣΜΟΣ_ΕΞΟΔΑ!F58</f>
        <v/>
      </c>
      <c r="I59" s="400">
        <f>H59/$H$44</f>
        <v/>
      </c>
      <c r="J59" s="65">
        <f>H59+'2026 Φεβρουάριος'!J59</f>
        <v/>
      </c>
      <c r="K59" s="404">
        <f>J59/$J$44</f>
        <v/>
      </c>
      <c r="L59" s="56">
        <f>'2024_60-69 ΕΞΟΔΑ+ΟΜ 2'!F14</f>
        <v/>
      </c>
      <c r="M59" s="75">
        <f>L59/$L$44</f>
        <v/>
      </c>
      <c r="N59" s="65">
        <f>L59+'2026 Φεβρουάριος'!N59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2'!F19</f>
        <v/>
      </c>
      <c r="E60" s="75">
        <f>D60/$D$44</f>
        <v/>
      </c>
      <c r="F60" s="65">
        <f>'2026 Φεβρουάριος'!F60+'2026 Μάρτιος'!D60</f>
        <v/>
      </c>
      <c r="G60" s="75">
        <f>F60/$F$44</f>
        <v/>
      </c>
      <c r="H60" s="56">
        <f>ΠΡΟΥΠΟΛΟΓΙΣΜΟΣ_ΕΞΟΔΑ!F63</f>
        <v/>
      </c>
      <c r="I60" s="400">
        <f>H60/$H$44</f>
        <v/>
      </c>
      <c r="J60" s="65">
        <f>H60+'2026 Φεβρουάριος'!J60</f>
        <v/>
      </c>
      <c r="K60" s="404">
        <f>J60/$J$44</f>
        <v/>
      </c>
      <c r="L60" s="56">
        <f>'2024_60-69 ΕΞΟΔΑ+ΟΜ 2'!F15</f>
        <v/>
      </c>
      <c r="M60" s="75" t="n"/>
      <c r="N60" s="65">
        <f>L60+'2026 Φεβρουάριος'!N60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2'!F20</f>
        <v/>
      </c>
      <c r="E61" s="75">
        <f>D61/$D$44</f>
        <v/>
      </c>
      <c r="F61" s="65">
        <f>'2026 Φεβρουάριος'!F61+'2026 Μάρτιος'!D61</f>
        <v/>
      </c>
      <c r="G61" s="75">
        <f>F61/$F$44</f>
        <v/>
      </c>
      <c r="H61" s="56">
        <f>ΠΡΟΥΠΟΛΟΓΙΣΜΟΣ_ΕΞΟΔΑ!F68</f>
        <v/>
      </c>
      <c r="I61" s="400">
        <f>H61/$H$44</f>
        <v/>
      </c>
      <c r="J61" s="65">
        <f>H61+'2026 Φεβρουάριος'!J61</f>
        <v/>
      </c>
      <c r="K61" s="404">
        <f>J61/$J$44</f>
        <v/>
      </c>
      <c r="L61" s="56">
        <f>'2024_60-69 ΕΞΟΔΑ+ΟΜ 2'!F16</f>
        <v/>
      </c>
      <c r="M61" s="75">
        <f>L61/$L$44</f>
        <v/>
      </c>
      <c r="N61" s="65">
        <f>L61+'2026 Φεβρουάριος'!N61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2'!F21</f>
        <v/>
      </c>
      <c r="E62" s="75">
        <f>D62/$D$44</f>
        <v/>
      </c>
      <c r="F62" s="65">
        <f>'2026 Φεβρουάριος'!F62+'2026 Μάρτιος'!D62</f>
        <v/>
      </c>
      <c r="G62" s="75">
        <f>F62/$F$44</f>
        <v/>
      </c>
      <c r="H62" s="56">
        <f>ΠΡΟΥΠΟΛΟΓΙΣΜΟΣ_ΕΞΟΔΑ!F73</f>
        <v/>
      </c>
      <c r="I62" s="400">
        <f>H62/$H$44</f>
        <v/>
      </c>
      <c r="J62" s="65">
        <f>H62+'2026 Φεβρουάριος'!J62</f>
        <v/>
      </c>
      <c r="K62" s="404">
        <f>J62/$J$44</f>
        <v/>
      </c>
      <c r="L62" s="56">
        <f>'2024_60-69 ΕΞΟΔΑ+ΟΜ 2'!F17</f>
        <v/>
      </c>
      <c r="M62" s="75">
        <f>L62/$L$44</f>
        <v/>
      </c>
      <c r="N62" s="65">
        <f>L62+'2026 Φεβρουάριος'!N62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2'!F22</f>
        <v/>
      </c>
      <c r="E63" s="75">
        <f>D63/$D$44</f>
        <v/>
      </c>
      <c r="F63" s="65">
        <f>'2026 Φεβρουάριος'!F63+'2026 Μάρτιος'!D63</f>
        <v/>
      </c>
      <c r="G63" s="75">
        <f>F63/$F$44</f>
        <v/>
      </c>
      <c r="H63" s="56">
        <f>ΠΡΟΥΠΟΛΟΓΙΣΜΟΣ_ΕΞΟΔΑ!F78</f>
        <v/>
      </c>
      <c r="I63" s="400">
        <f>H63/$H$44</f>
        <v/>
      </c>
      <c r="J63" s="65">
        <f>H63+'2026 Φεβρουάριος'!J63</f>
        <v/>
      </c>
      <c r="K63" s="404">
        <f>J63/$J$44</f>
        <v/>
      </c>
      <c r="L63" s="56">
        <f>'2024_60-69 ΕΞΟΔΑ+ΟΜ 2'!F18</f>
        <v/>
      </c>
      <c r="M63" s="75">
        <f>L63/$L$44</f>
        <v/>
      </c>
      <c r="N63" s="65">
        <f>L63+'2026 Φεβρουάριος'!N63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2'!F23</f>
        <v/>
      </c>
      <c r="E64" s="75">
        <f>D64/$D$44</f>
        <v/>
      </c>
      <c r="F64" s="65">
        <f>'2026 Φεβρουάριος'!F64+'2026 Μάρτιος'!D64</f>
        <v/>
      </c>
      <c r="G64" s="75">
        <f>F64/$F$44</f>
        <v/>
      </c>
      <c r="H64" s="56">
        <f>ΠΡΟΥΠΟΛΟΓΙΣΜΟΣ_ΕΞΟΔΑ!F83</f>
        <v/>
      </c>
      <c r="I64" s="400">
        <f>H64/$H$44</f>
        <v/>
      </c>
      <c r="J64" s="65">
        <f>H64+'2026 Φεβρουάριος'!J64</f>
        <v/>
      </c>
      <c r="K64" s="404">
        <f>J64/$J$44</f>
        <v/>
      </c>
      <c r="L64" s="56">
        <f>'2024_60-69 ΕΞΟΔΑ+ΟΜ 2'!F19</f>
        <v/>
      </c>
      <c r="M64" s="75">
        <f>L64/$L$44</f>
        <v/>
      </c>
      <c r="N64" s="65">
        <f>L64+'2026 Φεβρουάριος'!N64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2'!F24</f>
        <v/>
      </c>
      <c r="E65" s="75">
        <f>D65/$D$44</f>
        <v/>
      </c>
      <c r="F65" s="65">
        <f>'2026 Φεβρουάριος'!F65+'2026 Μάρτιος'!D65</f>
        <v/>
      </c>
      <c r="G65" s="75">
        <f>F65/$F$44</f>
        <v/>
      </c>
      <c r="H65" s="56">
        <f>ΠΡΟΥΠΟΛΟΓΙΣΜΟΣ_ΕΞΟΔΑ!F88</f>
        <v/>
      </c>
      <c r="I65" s="400">
        <f>H65/$H$44</f>
        <v/>
      </c>
      <c r="J65" s="65">
        <f>H65+'2026 Φεβρουάριος'!J65</f>
        <v/>
      </c>
      <c r="K65" s="404">
        <f>J65/$J$44</f>
        <v/>
      </c>
      <c r="L65" s="56">
        <f>'2024_60-69 ΕΞΟΔΑ+ΟΜ 2'!F20</f>
        <v/>
      </c>
      <c r="M65" s="75">
        <f>L65/$L$44</f>
        <v/>
      </c>
      <c r="N65" s="65">
        <f>L65+'2026 Φεβρουάριος'!N65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D66/$D$44</f>
        <v/>
      </c>
      <c r="F66" s="65">
        <f>'2026 Φεβρουάριος'!F66+'2026 Μάρτιος'!D66</f>
        <v/>
      </c>
      <c r="G66" s="75">
        <f>F66/$F$44</f>
        <v/>
      </c>
      <c r="H66" s="56">
        <f>ΠΡΟΥΠΟΛΟΓΙΣΜΟΣ_ΕΞΟΔΑ!F93</f>
        <v/>
      </c>
      <c r="I66" s="400">
        <f>H66/$H$44</f>
        <v/>
      </c>
      <c r="J66" s="65">
        <f>H66+'2026 Φεβρουάριος'!J66</f>
        <v/>
      </c>
      <c r="K66" s="404">
        <f>J66/$J$44</f>
        <v/>
      </c>
      <c r="L66" s="56">
        <f>'2024_60-69 ΕΞΟΔΑ+ΟΜ 2'!F21</f>
        <v/>
      </c>
      <c r="M66" s="75">
        <f>L66/$L$44</f>
        <v/>
      </c>
      <c r="N66" s="65">
        <f>L66+'2026 Φεβρουάριος'!N66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2'!F26</f>
        <v/>
      </c>
      <c r="E67" s="75">
        <f>D67/$D$44</f>
        <v/>
      </c>
      <c r="F67" s="65">
        <f>'2026 Φεβρουάριος'!F67+'2026 Μάρτιος'!D67</f>
        <v/>
      </c>
      <c r="G67" s="75">
        <f>F67/$F$44</f>
        <v/>
      </c>
      <c r="H67" s="56">
        <f>ΠΡΟΥΠΟΛΟΓΙΣΜΟΣ_ΕΞΟΔΑ!F98</f>
        <v/>
      </c>
      <c r="I67" s="400">
        <f>H67/$H$44</f>
        <v/>
      </c>
      <c r="J67" s="65">
        <f>H67+'2026 Φεβρουάριος'!J67</f>
        <v/>
      </c>
      <c r="K67" s="404">
        <f>J67/$J$44</f>
        <v/>
      </c>
      <c r="L67" s="56">
        <f>'2024_60-69 ΕΞΟΔΑ+ΟΜ 2'!F22</f>
        <v/>
      </c>
      <c r="M67" s="75">
        <f>L67/$L$44</f>
        <v/>
      </c>
      <c r="N67" s="65">
        <f>L67+'2026 Φεβρουάριος'!N67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2'!F27</f>
        <v/>
      </c>
      <c r="E68" s="75">
        <f>D68/$D$44</f>
        <v/>
      </c>
      <c r="F68" s="65">
        <f>'2026 Φεβρουάριος'!F68+'2026 Μάρτιος'!D68</f>
        <v/>
      </c>
      <c r="G68" s="75">
        <f>F68/$F$44</f>
        <v/>
      </c>
      <c r="H68" s="56">
        <f>ΠΡΟΥΠΟΛΟΓΙΣΜΟΣ_ΕΞΟΔΑ!F103</f>
        <v/>
      </c>
      <c r="I68" s="400">
        <f>H68/$H$44</f>
        <v/>
      </c>
      <c r="J68" s="65">
        <f>H68+'2026 Φεβρουάριος'!J68</f>
        <v/>
      </c>
      <c r="K68" s="404">
        <f>J68/$J$44</f>
        <v/>
      </c>
      <c r="L68" s="56">
        <f>'2024_60-69 ΕΞΟΔΑ+ΟΜ 2'!F23</f>
        <v/>
      </c>
      <c r="M68" s="75">
        <f>L68/$L$44</f>
        <v/>
      </c>
      <c r="N68" s="65">
        <f>L68+'2026 Φεβρουάριος'!N68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2'!F28</f>
        <v/>
      </c>
      <c r="E69" s="75">
        <f>D69/$D$44</f>
        <v/>
      </c>
      <c r="F69" s="65">
        <f>'2026 Φεβρουάριος'!F69+'2026 Μάρτιος'!D69</f>
        <v/>
      </c>
      <c r="G69" s="75">
        <f>F69/$F$44</f>
        <v/>
      </c>
      <c r="H69" s="56">
        <f>ΠΡΟΥΠΟΛΟΓΙΣΜΟΣ_ΕΞΟΔΑ!F108</f>
        <v/>
      </c>
      <c r="I69" s="400">
        <f>H69/$H$44</f>
        <v/>
      </c>
      <c r="J69" s="65">
        <f>H69+'2026 Φεβρουάριος'!J69</f>
        <v/>
      </c>
      <c r="K69" s="404">
        <f>J69/$J$44</f>
        <v/>
      </c>
      <c r="L69" s="56">
        <f>'2024_60-69 ΕΞΟΔΑ+ΟΜ 2'!F24</f>
        <v/>
      </c>
      <c r="M69" s="75">
        <f>L69/$L$44</f>
        <v/>
      </c>
      <c r="N69" s="65">
        <f>L69+'2026 Φεβρουάριος'!N69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2'!F29</f>
        <v/>
      </c>
      <c r="E70" s="75">
        <f>D70/$D$44</f>
        <v/>
      </c>
      <c r="F70" s="65">
        <f>'2026 Φεβρουάριος'!F70+'2026 Μάρτιος'!D70</f>
        <v/>
      </c>
      <c r="G70" s="75">
        <f>F70/$F$44</f>
        <v/>
      </c>
      <c r="H70" s="56">
        <f>ΠΡΟΥΠΟΛΟΓΙΣΜΟΣ_ΕΞΟΔΑ!F113</f>
        <v/>
      </c>
      <c r="I70" s="400">
        <f>H70/$H$44</f>
        <v/>
      </c>
      <c r="J70" s="65">
        <f>H70+'2026 Φεβρουάριος'!J70</f>
        <v/>
      </c>
      <c r="K70" s="404">
        <f>J70/$J$44</f>
        <v/>
      </c>
      <c r="L70" s="56">
        <f>'2024_60-69 ΕΞΟΔΑ+ΟΜ 2'!F25</f>
        <v/>
      </c>
      <c r="M70" s="75">
        <f>L70/$L$44</f>
        <v/>
      </c>
      <c r="N70" s="65">
        <f>L70+'2026 Φεβρουάριος'!N70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2'!F30</f>
        <v/>
      </c>
      <c r="E71" s="75">
        <f>D71/$D$44</f>
        <v/>
      </c>
      <c r="F71" s="65">
        <f>'2026 Φεβρουάριος'!F71+'2026 Μάρτιος'!D71</f>
        <v/>
      </c>
      <c r="G71" s="75">
        <f>F71/$F$44</f>
        <v/>
      </c>
      <c r="H71" s="56">
        <f>ΠΡΟΥΠΟΛΟΓΙΣΜΟΣ_ΕΞΟΔΑ!F118</f>
        <v/>
      </c>
      <c r="I71" s="400">
        <f>H71/$H$44</f>
        <v/>
      </c>
      <c r="J71" s="65">
        <f>H71+'2026 Φεβρουάριος'!J71</f>
        <v/>
      </c>
      <c r="K71" s="404">
        <f>J71/$J$44</f>
        <v/>
      </c>
      <c r="L71" s="56">
        <f>'2024_60-69 ΕΞΟΔΑ+ΟΜ 2'!F26</f>
        <v/>
      </c>
      <c r="M71" s="75">
        <f>L71/$L$44</f>
        <v/>
      </c>
      <c r="N71" s="65">
        <f>L71+'2026 Φεβρουάριος'!N71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2'!F31</f>
        <v/>
      </c>
      <c r="E72" s="75">
        <f>D72/$D$44</f>
        <v/>
      </c>
      <c r="F72" s="65">
        <f>'2026 Φεβρουάριος'!F72+'2026 Μάρτιος'!D72</f>
        <v/>
      </c>
      <c r="G72" s="75">
        <f>F72/$F$44</f>
        <v/>
      </c>
      <c r="H72" s="56">
        <f>ΠΡΟΥΠΟΛΟΓΙΣΜΟΣ_ΕΞΟΔΑ!F123</f>
        <v/>
      </c>
      <c r="I72" s="400">
        <f>H72/$H$44</f>
        <v/>
      </c>
      <c r="J72" s="65">
        <f>H72+'2026 Φεβρουάριος'!J72</f>
        <v/>
      </c>
      <c r="K72" s="404">
        <f>J72/$J$44</f>
        <v/>
      </c>
      <c r="L72" s="56">
        <f>'2024_60-69 ΕΞΟΔΑ+ΟΜ 2'!F27</f>
        <v/>
      </c>
      <c r="M72" s="75">
        <f>L72/$L$44</f>
        <v/>
      </c>
      <c r="N72" s="65">
        <f>L72+'2026 Φεβρουάριος'!N72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2'!F32</f>
        <v/>
      </c>
      <c r="E73" s="75">
        <f>D73/$D$44</f>
        <v/>
      </c>
      <c r="F73" s="65">
        <f>'2026 Φεβρουάριος'!F73+'2026 Μάρτιος'!D73</f>
        <v/>
      </c>
      <c r="G73" s="75">
        <f>F73/$F$44</f>
        <v/>
      </c>
      <c r="H73" s="56">
        <f>ΠΡΟΥΠΟΛΟΓΙΣΜΟΣ_ΕΞΟΔΑ!F128</f>
        <v/>
      </c>
      <c r="I73" s="400">
        <f>H73/$H$44</f>
        <v/>
      </c>
      <c r="J73" s="65">
        <f>H73+'2026 Φεβρουάριος'!J73</f>
        <v/>
      </c>
      <c r="K73" s="404">
        <f>J73/$J$44</f>
        <v/>
      </c>
      <c r="L73" s="56">
        <f>'2024_60-69 ΕΞΟΔΑ+ΟΜ 2'!F28</f>
        <v/>
      </c>
      <c r="M73" s="75">
        <f>L73/$L$44</f>
        <v/>
      </c>
      <c r="N73" s="65">
        <f>L73+'2026 Φεβρουάριος'!N73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2'!F33</f>
        <v/>
      </c>
      <c r="E74" s="75">
        <f>D74/$D$44</f>
        <v/>
      </c>
      <c r="F74" s="65">
        <f>'2026 Φεβρουάριος'!F74+'2026 Μάρτιος'!D74</f>
        <v/>
      </c>
      <c r="G74" s="75">
        <f>F74/$F$44</f>
        <v/>
      </c>
      <c r="H74" s="56">
        <f>ΠΡΟΥΠΟΛΟΓΙΣΜΟΣ_ΕΞΟΔΑ!F133</f>
        <v/>
      </c>
      <c r="I74" s="400">
        <f>H74/$H$44</f>
        <v/>
      </c>
      <c r="J74" s="65">
        <f>H74+'2026 Φεβρουάριος'!J74</f>
        <v/>
      </c>
      <c r="K74" s="404">
        <f>J74/$J$44</f>
        <v/>
      </c>
      <c r="L74" s="56">
        <f>'2024_60-69 ΕΞΟΔΑ+ΟΜ 2'!F29</f>
        <v/>
      </c>
      <c r="M74" s="75">
        <f>L74/$L$44</f>
        <v/>
      </c>
      <c r="N74" s="65">
        <f>L74+'2026 Φεβρουάριος'!N74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2.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'2026 Φεβρουάριος'!F75+'2026 Μάρτιος'!D75</f>
        <v/>
      </c>
      <c r="G75" s="75">
        <f>F75/$F$44</f>
        <v/>
      </c>
      <c r="H75" s="56">
        <f>ΠΡΟΥΠΟΛΟΓΙΣΜΟΣ_ΕΞΟΔΑ!F138</f>
        <v/>
      </c>
      <c r="I75" s="400">
        <f>H75/$H$44</f>
        <v/>
      </c>
      <c r="J75" s="65">
        <f>H75+'2026 Φεβρουάριος'!J75</f>
        <v/>
      </c>
      <c r="K75" s="404">
        <f>J75/$J$44</f>
        <v/>
      </c>
      <c r="L75" s="56">
        <f>'2024_60-69 ΕΞΟΔΑ+ΟΜ 2'!F30</f>
        <v/>
      </c>
      <c r="M75" s="75">
        <f>L75/$L$44</f>
        <v/>
      </c>
      <c r="N75" s="65">
        <f>L75+'2026 Φεβρουάριος'!N75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2'!F35</f>
        <v/>
      </c>
      <c r="E76" s="75">
        <f>D76/$D$44</f>
        <v/>
      </c>
      <c r="F76" s="65">
        <f>'2026 Φεβρουάριος'!F76+'2026 Μάρτιος'!D76</f>
        <v/>
      </c>
      <c r="G76" s="75">
        <f>F76/$F$44</f>
        <v/>
      </c>
      <c r="H76" s="56">
        <f>ΠΡΟΥΠΟΛΟΓΙΣΜΟΣ_ΕΞΟΔΑ!F143</f>
        <v/>
      </c>
      <c r="I76" s="400">
        <f>H76/$H$44</f>
        <v/>
      </c>
      <c r="J76" s="65">
        <f>H76+'2026 Φεβρουάριος'!J76</f>
        <v/>
      </c>
      <c r="K76" s="404">
        <f>J76/$J$44</f>
        <v/>
      </c>
      <c r="L76" s="56">
        <f>'2024_60-69 ΕΞΟΔΑ+ΟΜ 2'!F31</f>
        <v/>
      </c>
      <c r="M76" s="75">
        <f>L76/$L$44</f>
        <v/>
      </c>
      <c r="N76" s="65">
        <f>L76+'2026 Φεβρουάριος'!N76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2'!F36</f>
        <v/>
      </c>
      <c r="E77" s="75">
        <f>D77/$D$44</f>
        <v/>
      </c>
      <c r="F77" s="65">
        <f>'2026 Φεβρουάριος'!F77+'2026 Μάρτιος'!D77</f>
        <v/>
      </c>
      <c r="G77" s="75">
        <f>F77/$F$44</f>
        <v/>
      </c>
      <c r="H77" s="56">
        <f>ΠΡΟΥΠΟΛΟΓΙΣΜΟΣ_ΕΞΟΔΑ!F148</f>
        <v/>
      </c>
      <c r="I77" s="400">
        <f>H77/$H$44</f>
        <v/>
      </c>
      <c r="J77" s="65">
        <f>H77+'2026 Φεβρουάριος'!J77</f>
        <v/>
      </c>
      <c r="K77" s="404">
        <f>J77/$J$44</f>
        <v/>
      </c>
      <c r="L77" s="56">
        <f>'2024_60-69 ΕΞΟΔΑ+ΟΜ 2'!F32</f>
        <v/>
      </c>
      <c r="M77" s="75">
        <f>L77/$L$44</f>
        <v/>
      </c>
      <c r="N77" s="65">
        <f>L77+'2026 Φεβρουάριος'!N77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2'!F37</f>
        <v/>
      </c>
      <c r="E78" s="75">
        <f>D78/$D$44</f>
        <v/>
      </c>
      <c r="F78" s="65">
        <f>'2026 Φεβρουάριος'!F78+'2026 Μάρτιος'!D78</f>
        <v/>
      </c>
      <c r="G78" s="75">
        <f>F78/$F$44</f>
        <v/>
      </c>
      <c r="H78" s="56">
        <f>ΠΡΟΥΠΟΛΟΓΙΣΜΟΣ_ΕΞΟΔΑ!F153</f>
        <v/>
      </c>
      <c r="I78" s="400">
        <f>H78/$H$44</f>
        <v/>
      </c>
      <c r="J78" s="65">
        <f>H78+'2026 Φεβρουάριος'!J78</f>
        <v/>
      </c>
      <c r="K78" s="404">
        <f>J78/$J$44</f>
        <v/>
      </c>
      <c r="L78" s="56">
        <f>'2024_60-69 ΕΞΟΔΑ+ΟΜ 2'!F33</f>
        <v/>
      </c>
      <c r="M78" s="75">
        <f>L78/$L$44</f>
        <v/>
      </c>
      <c r="N78" s="65">
        <f>L78+'2026 Φεβρουάριος'!N78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2'!F3</f>
        <v/>
      </c>
      <c r="E79" s="297" t="n"/>
      <c r="F79" s="64">
        <f>'2026_60-69 ΕΞΟΔΑ+ΟΜ 2'!S3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6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15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5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7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ΑΝΤΙΣΤΟΙΧΙΣΗ!$F$108</f>
        <v/>
      </c>
      <c r="E83" s="551" t="n"/>
      <c r="F83" s="550" t="n"/>
      <c r="G83" s="107">
        <f>ΑΝΤΙΣΤΟΙΧΙΣΗ!$D$34</f>
        <v/>
      </c>
      <c r="H83" s="549">
        <f>ΑΝΤΙΣΤΟΙΧΙΣΗ!$F$108</f>
        <v/>
      </c>
      <c r="I83" s="551" t="n"/>
      <c r="J83" s="550" t="n"/>
      <c r="K83" s="107">
        <f>ΑΝΤΙΣΤΟΙΧΙΣΗ!$D$34</f>
        <v/>
      </c>
      <c r="L83" s="549">
        <f>ΑΝΤΙΣΤΟΙΧΙΣΗ!$F$122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22.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2'!F41</f>
        <v/>
      </c>
      <c r="E86" s="75">
        <f>D86/$D$85</f>
        <v/>
      </c>
      <c r="F86" s="114">
        <f>'2026 Φεβρουάριος'!F86+'2026 Μάρτιος'!D86</f>
        <v/>
      </c>
      <c r="G86" s="75">
        <f>F86/$F$85</f>
        <v/>
      </c>
      <c r="H86" s="56">
        <f>ΠΡΟΥΠΟΛΟΓΙΣΜΟΣ_ΕΞΟΔΑ!F177</f>
        <v/>
      </c>
      <c r="I86" s="401">
        <f>H86/$H$85</f>
        <v/>
      </c>
      <c r="J86" s="402">
        <f>H86+'2026 Φεβρουάριος'!J47</f>
        <v/>
      </c>
      <c r="K86" s="403">
        <f>J86/$J$85</f>
        <v/>
      </c>
      <c r="L86" s="114">
        <f>'2024_60-69 ΕΞΟΔΑ+ΟΜ 2'!F37</f>
        <v/>
      </c>
      <c r="M86" s="75">
        <f>L86/$L$85</f>
        <v/>
      </c>
      <c r="N86" s="65">
        <f>L86+'2026 Φεβρουάριος'!N86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2'!F42</f>
        <v/>
      </c>
      <c r="E87" s="75">
        <f>D87/$D$85</f>
        <v/>
      </c>
      <c r="F87" s="114">
        <f>'2026 Φεβρουάριος'!F87+'2026 Μάρτιος'!D87</f>
        <v/>
      </c>
      <c r="G87" s="75">
        <f>F87/$F$85</f>
        <v/>
      </c>
      <c r="H87" s="56">
        <f>ΠΡΟΥΠΟΛΟΓΙΣΜΟΣ_ΕΞΟΔΑ!F182</f>
        <v/>
      </c>
      <c r="I87" s="401">
        <f>H87/$H$85</f>
        <v/>
      </c>
      <c r="J87" s="402">
        <f>H87+'2026 Φεβρουάριος'!J50</f>
        <v/>
      </c>
      <c r="K87" s="403">
        <f>J87/$J$85</f>
        <v/>
      </c>
      <c r="L87" s="114">
        <f>'2024_60-69 ΕΞΟΔΑ+ΟΜ 2'!F38</f>
        <v/>
      </c>
      <c r="M87" s="75">
        <f>L87/$L$85</f>
        <v/>
      </c>
      <c r="N87" s="65">
        <f>L87+'2026 Φεβρουάριος'!N87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7" customHeight="1">
      <c r="A88" s="178" t="n">
        <v>86</v>
      </c>
      <c r="B88" s="178" t="n">
        <v>3</v>
      </c>
      <c r="C88" s="109">
        <f>ΑΝΤΙΣΤΟΙΧΙΣΗ!L191</f>
        <v/>
      </c>
      <c r="D88" s="114">
        <f>'2026_60-69 ΕΞΟΔΑ+ΟΜ 2'!F12</f>
        <v/>
      </c>
      <c r="E88" s="75">
        <f>D88/$D$85</f>
        <v/>
      </c>
      <c r="F88" s="114">
        <f>'2026 Φεβρουάριος'!F53+'2026 Μάρτιος'!D88</f>
        <v/>
      </c>
      <c r="G88" s="75">
        <f>F88/$F$85</f>
        <v/>
      </c>
      <c r="H88" s="56">
        <f>ΠΡΟΥΠΟΛΟΓΙΣΜΟΣ_ΕΞΟΔΑ!F187</f>
        <v/>
      </c>
      <c r="I88" s="401">
        <f>H88/$H$85</f>
        <v/>
      </c>
      <c r="J88" s="402">
        <f>H88+'2026 Φεβρουάριος'!J51</f>
        <v/>
      </c>
      <c r="K88" s="403">
        <f>J88/$J$85</f>
        <v/>
      </c>
      <c r="L88" s="114">
        <f>'2024_60-69 ΕΞΟΔΑ+ΟΜ 2'!F39</f>
        <v/>
      </c>
      <c r="M88" s="75">
        <f>L88/$L$85</f>
        <v/>
      </c>
      <c r="N88" s="65">
        <f>L88+'2026 Φεβρουάριος'!N53</f>
        <v/>
      </c>
      <c r="O88" s="75">
        <f>N88/$N$85</f>
        <v/>
      </c>
      <c r="P88" s="402">
        <f>F88-N88</f>
        <v/>
      </c>
      <c r="Q88" s="539">
        <f>N88/J88</f>
        <v/>
      </c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2'!F44</f>
        <v/>
      </c>
      <c r="E89" s="75">
        <f>D89/$D$85</f>
        <v/>
      </c>
      <c r="F89" s="114">
        <f>'2026 Φεβρουάριος'!F89+'2026 Μάρτιος'!D89</f>
        <v/>
      </c>
      <c r="G89" s="75">
        <f>F89/$F$85</f>
        <v/>
      </c>
      <c r="H89" s="56">
        <f>ΠΡΟΥΠΟΛΟΓΙΣΜΟΣ_ΕΞΟΔΑ!F202</f>
        <v/>
      </c>
      <c r="I89" s="401">
        <f>H89/$H$85</f>
        <v/>
      </c>
      <c r="J89" s="402">
        <f>H89+'2026 Φεβρουάριος'!J56</f>
        <v/>
      </c>
      <c r="K89" s="403">
        <f>J89/$J$85</f>
        <v/>
      </c>
      <c r="L89" s="114">
        <f>'2024_60-69 ΕΞΟΔΑ+ΟΜ 2'!F42</f>
        <v/>
      </c>
      <c r="M89" s="75">
        <f>L89/$L$85</f>
        <v/>
      </c>
      <c r="N89" s="65">
        <f>L89+'2026 Φεβρουάριος'!N89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2'!F45</f>
        <v/>
      </c>
      <c r="E90" s="75">
        <f>D90/$D$85</f>
        <v/>
      </c>
      <c r="F90" s="114">
        <f>'2026 Φεβρουάριος'!F90+'2026 Μάρτιος'!D90</f>
        <v/>
      </c>
      <c r="G90" s="75">
        <f>F90/$F$85</f>
        <v/>
      </c>
      <c r="H90" s="399">
        <f>ΠΡΟΥΠΟΛΟΓΙΣΜΟΣ_ΕΞΟΔΑ!F207</f>
        <v/>
      </c>
      <c r="I90" s="401">
        <f>H90/$H$85</f>
        <v/>
      </c>
      <c r="J90" s="402">
        <f>H90+'2026 Φεβρουάριος'!J57</f>
        <v/>
      </c>
      <c r="K90" s="403">
        <f>J90/$J$85</f>
        <v/>
      </c>
      <c r="L90" s="114">
        <f>'2024_60-69 ΕΞΟΔΑ+ΟΜ 2'!F43</f>
        <v/>
      </c>
      <c r="M90" s="75">
        <f>L90/$L$85</f>
        <v/>
      </c>
      <c r="N90" s="65">
        <f>L90+'2026 Φεβρουάριος'!N90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2'!F46</f>
        <v/>
      </c>
      <c r="E91" s="75">
        <f>D91/$D$85</f>
        <v/>
      </c>
      <c r="F91" s="114">
        <f>'2026 Φεβρουάριος'!F91+'2026 Μάρτιος'!D91</f>
        <v/>
      </c>
      <c r="G91" s="75">
        <f>F91/$F$85</f>
        <v/>
      </c>
      <c r="H91" s="399">
        <f>ΠΡΟΥΠΟΛΟΓΙΣΜΟΣ_ΕΞΟΔΑ!F212</f>
        <v/>
      </c>
      <c r="I91" s="401">
        <f>H91/$H$85</f>
        <v/>
      </c>
      <c r="J91" s="402">
        <f>H91+'2026 Φεβρουάριος'!J58</f>
        <v/>
      </c>
      <c r="K91" s="403">
        <f>J91/$J$85</f>
        <v/>
      </c>
      <c r="L91" s="114">
        <f>'2024_60-69 ΕΞΟΔΑ+ΟΜ 2'!F44</f>
        <v/>
      </c>
      <c r="M91" s="75">
        <f>L91/$L$85</f>
        <v/>
      </c>
      <c r="N91" s="65">
        <f>L91+'2026 Φεβρουάριος'!N91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2'!F47</f>
        <v/>
      </c>
      <c r="E92" s="75">
        <f>D92/$D$85</f>
        <v/>
      </c>
      <c r="F92" s="114">
        <f>'2026 Φεβρουάριος'!F92+'2026 Μάρτιος'!D92</f>
        <v/>
      </c>
      <c r="G92" s="75">
        <f>F92/$F$85</f>
        <v/>
      </c>
      <c r="H92" s="399">
        <f>ΠΡΟΥΠΟΛΟΓΙΣΜΟΣ_ΕΞΟΔΑ!F217</f>
        <v/>
      </c>
      <c r="I92" s="401">
        <f>H92/$H$85</f>
        <v/>
      </c>
      <c r="J92" s="402">
        <f>H92+'2026 Φεβρουάριος'!J59</f>
        <v/>
      </c>
      <c r="K92" s="403">
        <f>J92/$J$85</f>
        <v/>
      </c>
      <c r="L92" s="114">
        <f>'2024_60-69 ΕΞΟΔΑ+ΟΜ 2'!F45</f>
        <v/>
      </c>
      <c r="M92" s="75">
        <f>L92/$L$85</f>
        <v/>
      </c>
      <c r="N92" s="65">
        <f>L92+'2026 Φεβρουάριος'!N92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2'!F48</f>
        <v/>
      </c>
      <c r="E93" s="75">
        <f>D93/$D$85</f>
        <v/>
      </c>
      <c r="F93" s="114">
        <f>'2026 Φεβρουάριος'!F93+'2026 Μάρτιος'!D93</f>
        <v/>
      </c>
      <c r="G93" s="75">
        <f>F93/$F$85</f>
        <v/>
      </c>
      <c r="H93" s="56">
        <f>ΠΡΟΥΠΟΛΟΓΙΣΜΟΣ_ΕΞΟΔΑ!F222</f>
        <v/>
      </c>
      <c r="I93" s="401">
        <f>H93/$H$85</f>
        <v/>
      </c>
      <c r="J93" s="402">
        <f>H93+'2026 Φεβρουάριος'!J60</f>
        <v/>
      </c>
      <c r="K93" s="403">
        <f>J93/$J$85</f>
        <v/>
      </c>
      <c r="L93" s="114">
        <f>'2024_60-69 ΕΞΟΔΑ+ΟΜ 2'!F46</f>
        <v/>
      </c>
      <c r="M93" s="75">
        <f>L93/$L$85</f>
        <v/>
      </c>
      <c r="N93" s="65">
        <f>L93+'2026 Φεβρουάριος'!N93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31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2'!F49</f>
        <v/>
      </c>
      <c r="E94" s="75">
        <f>D94/$D$85</f>
        <v/>
      </c>
      <c r="F94" s="114">
        <f>'2026 Φεβρουάριος'!F94+'2026 Μάρτιος'!D94</f>
        <v/>
      </c>
      <c r="G94" s="75">
        <f>F94/$F$85</f>
        <v/>
      </c>
      <c r="H94" s="56">
        <f>ΠΡΟΥΠΟΛΟΓΙΣΜΟΣ_ΕΞΟΔΑ!F227</f>
        <v/>
      </c>
      <c r="I94" s="401">
        <f>H94/$H$85</f>
        <v/>
      </c>
      <c r="J94" s="402">
        <f>H94+'2026 Φεβρουάριος'!J61</f>
        <v/>
      </c>
      <c r="K94" s="403">
        <f>J94/$J$85</f>
        <v/>
      </c>
      <c r="L94" s="114">
        <f>'2024_60-69 ΕΞΟΔΑ+ΟΜ 2'!F47</f>
        <v/>
      </c>
      <c r="M94" s="75">
        <f>L94/$L$85</f>
        <v/>
      </c>
      <c r="N94" s="65">
        <f>L94+'2026 Φεβρουάριος'!N94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2'!F50</f>
        <v/>
      </c>
      <c r="E95" s="75">
        <f>D95/$D$85</f>
        <v/>
      </c>
      <c r="F95" s="114">
        <f>'2026 Φεβρουάριος'!F95+'2026 Μάρτιος'!D95</f>
        <v/>
      </c>
      <c r="G95" s="75">
        <f>F95/$F$85</f>
        <v/>
      </c>
      <c r="H95" s="118">
        <f>ΠΡΟΥΠΟΛΟΓΙΣΜΟΣ_ΕΞΟΔΑ!F232</f>
        <v/>
      </c>
      <c r="I95" s="401">
        <f>H95/$H$85</f>
        <v/>
      </c>
      <c r="J95" s="402">
        <f>H95+'2026 Φεβρουάριος'!J62</f>
        <v/>
      </c>
      <c r="K95" s="403">
        <f>J95/$J$85</f>
        <v/>
      </c>
      <c r="L95" s="114">
        <f>'2024_60-69 ΕΞΟΔΑ+ΟΜ 2'!F48</f>
        <v/>
      </c>
      <c r="M95" s="75">
        <f>L95/$L$85</f>
        <v/>
      </c>
      <c r="N95" s="65">
        <f>L95+'2026 Φεβρουάριος'!N95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2'!F51</f>
        <v/>
      </c>
      <c r="E96" s="75">
        <f>D96/$D$85</f>
        <v/>
      </c>
      <c r="F96" s="114">
        <f>'2026 Φεβρουάριος'!F96+'2026 Μάρτιος'!D96</f>
        <v/>
      </c>
      <c r="G96" s="75">
        <f>F96/$F$85</f>
        <v/>
      </c>
      <c r="H96" s="56">
        <f>ΠΡΟΥΠΟΛΟΓΙΣΜΟΣ_ΕΞΟΔΑ!F237</f>
        <v/>
      </c>
      <c r="I96" s="401">
        <f>H96/$H$85</f>
        <v/>
      </c>
      <c r="J96" s="402">
        <f>H96+'2026 Φεβρουάριος'!J63</f>
        <v/>
      </c>
      <c r="K96" s="403">
        <f>J96/$J$85</f>
        <v/>
      </c>
      <c r="L96" s="114">
        <f>'2024_60-69 ΕΞΟΔΑ+ΟΜ 2'!F49</f>
        <v/>
      </c>
      <c r="M96" s="75">
        <f>L96/$L$85</f>
        <v/>
      </c>
      <c r="N96" s="65">
        <f>L96+'2026 Φεβρουάριος'!N96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2'!F52</f>
        <v/>
      </c>
      <c r="E97" s="75">
        <f>D97/$D$85</f>
        <v/>
      </c>
      <c r="F97" s="114">
        <f>'2026 Φεβρουάριος'!F97+'2026 Μάρτιος'!D97</f>
        <v/>
      </c>
      <c r="G97" s="75">
        <f>F97/$F$85</f>
        <v/>
      </c>
      <c r="H97" s="56">
        <f>ΠΡΟΥΠΟΛΟΓΙΣΜΟΣ_ΕΞΟΔΑ!F242</f>
        <v/>
      </c>
      <c r="I97" s="401">
        <f>H97/$H$85</f>
        <v/>
      </c>
      <c r="J97" s="402">
        <f>H97+'2026 Φεβρουάριος'!J64</f>
        <v/>
      </c>
      <c r="K97" s="403">
        <f>J97/$J$85</f>
        <v/>
      </c>
      <c r="L97" s="114">
        <f>'2024_60-69 ΕΞΟΔΑ+ΟΜ 2'!F50</f>
        <v/>
      </c>
      <c r="M97" s="75">
        <f>L97/$L$85</f>
        <v/>
      </c>
      <c r="N97" s="65">
        <f>L97+'2026 Φεβρουάριος'!N97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2'!F53</f>
        <v/>
      </c>
      <c r="E98" s="75">
        <f>D98/$D$85</f>
        <v/>
      </c>
      <c r="F98" s="114">
        <f>'2026 Φεβρουάριος'!F98+'2026 Μάρτιος'!D98</f>
        <v/>
      </c>
      <c r="G98" s="75">
        <f>F98/$F$85</f>
        <v/>
      </c>
      <c r="H98" s="56">
        <f>ΠΡΟΥΠΟΛΟΓΙΣΜΟΣ_ΕΞΟΔΑ!F247</f>
        <v/>
      </c>
      <c r="I98" s="401">
        <f>H98/$H$85</f>
        <v/>
      </c>
      <c r="J98" s="402">
        <f>H98+'2026 Φεβρουάριος'!J65</f>
        <v/>
      </c>
      <c r="K98" s="403">
        <f>J98/$J$85</f>
        <v/>
      </c>
      <c r="L98" s="114">
        <f>'2024_60-69 ΕΞΟΔΑ+ΟΜ 2'!F51</f>
        <v/>
      </c>
      <c r="M98" s="75">
        <f>L98/$L$85</f>
        <v/>
      </c>
      <c r="N98" s="65">
        <f>L98+'2026 Φεβρουάριος'!N98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2'!F54</f>
        <v/>
      </c>
      <c r="E99" s="75">
        <f>D99/$D$85</f>
        <v/>
      </c>
      <c r="F99" s="114">
        <f>'2026 Φεβρουάριος'!F99+'2026 Μάρτιος'!D99</f>
        <v/>
      </c>
      <c r="G99" s="75">
        <f>F99/$F$85</f>
        <v/>
      </c>
      <c r="H99" s="56">
        <f>ΠΡΟΥΠΟΛΟΓΙΣΜΟΣ_ΕΞΟΔΑ!F252</f>
        <v/>
      </c>
      <c r="I99" s="401">
        <f>H99/$H$85</f>
        <v/>
      </c>
      <c r="J99" s="402">
        <f>H99+'2026 Φεβρουάριος'!J66</f>
        <v/>
      </c>
      <c r="K99" s="403">
        <f>J99/$J$85</f>
        <v/>
      </c>
      <c r="L99" s="114">
        <f>'2024_60-69 ΕΞΟΔΑ+ΟΜ 2'!F52</f>
        <v/>
      </c>
      <c r="M99" s="75">
        <f>L99/$L$85</f>
        <v/>
      </c>
      <c r="N99" s="65">
        <f>L99+'2026 Φεβρουάριος'!N99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2'!F55</f>
        <v/>
      </c>
      <c r="E100" s="75">
        <f>D100/$D$85</f>
        <v/>
      </c>
      <c r="F100" s="114">
        <f>'2026 Φεβρουάριος'!F100+'2026 Μάρτιος'!D100</f>
        <v/>
      </c>
      <c r="G100" s="75">
        <f>F100/$F$85</f>
        <v/>
      </c>
      <c r="H100" s="56">
        <f>ΠΡΟΥΠΟΛΟΓΙΣΜΟΣ_ΕΞΟΔΑ!F257</f>
        <v/>
      </c>
      <c r="I100" s="401">
        <f>H100/$H$85</f>
        <v/>
      </c>
      <c r="J100" s="402">
        <f>H100+'2026 Φεβρουάριος'!J67</f>
        <v/>
      </c>
      <c r="K100" s="403">
        <f>J100/$J$85</f>
        <v/>
      </c>
      <c r="L100" s="114">
        <f>'2024_60-69 ΕΞΟΔΑ+ΟΜ 2'!F53</f>
        <v/>
      </c>
      <c r="M100" s="75">
        <f>L100/$L$85</f>
        <v/>
      </c>
      <c r="N100" s="65">
        <f>L100+'2026 Φεβρουάριος'!N100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2'!F56</f>
        <v/>
      </c>
      <c r="E101" s="75">
        <f>D101/$D$85</f>
        <v/>
      </c>
      <c r="F101" s="114">
        <f>'2026 Φεβρουάριος'!F101+'2026 Μάρτιος'!D101</f>
        <v/>
      </c>
      <c r="G101" s="75">
        <f>F101/$F$85</f>
        <v/>
      </c>
      <c r="H101" s="56">
        <f>ΠΡΟΥΠΟΛΟΓΙΣΜΟΣ_ΕΞΟΔΑ!F262</f>
        <v/>
      </c>
      <c r="I101" s="401">
        <f>H101/$H$85</f>
        <v/>
      </c>
      <c r="J101" s="402">
        <f>H101+'2026 Φεβρουάριος'!J68</f>
        <v/>
      </c>
      <c r="K101" s="403">
        <f>J101/$J$85</f>
        <v/>
      </c>
      <c r="L101" s="114">
        <f>'2024_60-69 ΕΞΟΔΑ+ΟΜ 2'!F54</f>
        <v/>
      </c>
      <c r="M101" s="75">
        <f>L101/$L$85</f>
        <v/>
      </c>
      <c r="N101" s="65">
        <f>L101+'2026 Φεβρουάριος'!N101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2'!F57</f>
        <v/>
      </c>
      <c r="E102" s="75">
        <f>D102/$D$85</f>
        <v/>
      </c>
      <c r="F102" s="114">
        <f>'2026 Φεβρουάριος'!F102+'2026 Μάρτιος'!D102</f>
        <v/>
      </c>
      <c r="G102" s="75">
        <f>F102/$F$85</f>
        <v/>
      </c>
      <c r="H102" s="56">
        <f>ΠΡΟΥΠΟΛΟΓΙΣΜΟΣ_ΕΞΟΔΑ!F267</f>
        <v/>
      </c>
      <c r="I102" s="401">
        <f>H102/$H$85</f>
        <v/>
      </c>
      <c r="J102" s="402">
        <f>H102+'2026 Φεβρουάριος'!J69</f>
        <v/>
      </c>
      <c r="K102" s="403">
        <f>J102/$J$85</f>
        <v/>
      </c>
      <c r="L102" s="114">
        <f>'2024_60-69 ΕΞΟΔΑ+ΟΜ 2'!F55</f>
        <v/>
      </c>
      <c r="M102" s="75">
        <f>L102/$L$85</f>
        <v/>
      </c>
      <c r="N102" s="65">
        <f>L102+'2026 Φεβρουάριος'!N102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2'!F58</f>
        <v/>
      </c>
      <c r="E103" s="75">
        <f>D103/$D$85</f>
        <v/>
      </c>
      <c r="F103" s="114">
        <f>'2026 Φεβρουάριος'!F103+'2026 Μάρτιος'!D103</f>
        <v/>
      </c>
      <c r="G103" s="75">
        <f>F103/$F$85</f>
        <v/>
      </c>
      <c r="H103" s="56">
        <f>ΠΡΟΥΠΟΛΟΓΙΣΜΟΣ_ΕΞΟΔΑ!F272</f>
        <v/>
      </c>
      <c r="I103" s="401">
        <f>H103/$H$85</f>
        <v/>
      </c>
      <c r="J103" s="402">
        <f>H103+'2026 Φεβρουάριος'!J70</f>
        <v/>
      </c>
      <c r="K103" s="403">
        <f>J103/$J$85</f>
        <v/>
      </c>
      <c r="L103" s="114">
        <f>'2024_60-69 ΕΞΟΔΑ+ΟΜ 2'!F56</f>
        <v/>
      </c>
      <c r="M103" s="75">
        <f>L103/$L$85</f>
        <v/>
      </c>
      <c r="N103" s="65">
        <f>L103+'2026 Φεβρουάριος'!N103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2'!F59</f>
        <v/>
      </c>
      <c r="E104" s="75">
        <f>D104/$D$85</f>
        <v/>
      </c>
      <c r="F104" s="114">
        <f>'2026 Φεβρουάριος'!F104+'2026 Μάρτιος'!D104</f>
        <v/>
      </c>
      <c r="G104" s="75">
        <f>F104/$F$85</f>
        <v/>
      </c>
      <c r="H104" s="56">
        <f>ΠΡΟΥΠΟΛΟΓΙΣΜΟΣ_ΕΞΟΔΑ!F277</f>
        <v/>
      </c>
      <c r="I104" s="401">
        <f>H104/$H$85</f>
        <v/>
      </c>
      <c r="J104" s="402">
        <f>H104+'2026 Φεβρουάριος'!J71</f>
        <v/>
      </c>
      <c r="K104" s="403">
        <f>J104/$J$85</f>
        <v/>
      </c>
      <c r="L104" s="114">
        <f>'2024_60-69 ΕΞΟΔΑ+ΟΜ 2'!F57</f>
        <v/>
      </c>
      <c r="M104" s="75">
        <f>L104/$L$85</f>
        <v/>
      </c>
      <c r="N104" s="65">
        <f>L104+'2026 Φεβρουάριος'!N104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2'!F60</f>
        <v/>
      </c>
      <c r="E105" s="75">
        <f>D105/$D$85</f>
        <v/>
      </c>
      <c r="F105" s="114">
        <f>'2026 Φεβρουάριος'!F105+'2026 Μάρτιος'!D105</f>
        <v/>
      </c>
      <c r="G105" s="75">
        <f>F105/$F$85</f>
        <v/>
      </c>
      <c r="H105" s="56">
        <f>ΠΡΟΥΠΟΛΟΓΙΣΜΟΣ_ΕΞΟΔΑ!F282</f>
        <v/>
      </c>
      <c r="I105" s="401">
        <f>H105/$H$85</f>
        <v/>
      </c>
      <c r="J105" s="402">
        <f>H105+'2026 Φεβρουάριος'!J72</f>
        <v/>
      </c>
      <c r="K105" s="403">
        <f>J105/$J$85</f>
        <v/>
      </c>
      <c r="L105" s="114">
        <f>'2024_60-69 ΕΞΟΔΑ+ΟΜ 2'!F58</f>
        <v/>
      </c>
      <c r="M105" s="75">
        <f>L105/$L$85</f>
        <v/>
      </c>
      <c r="N105" s="65">
        <f>L105+'2026 Φεβρουάριος'!N105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2'!F61</f>
        <v/>
      </c>
      <c r="E106" s="75">
        <f>D106/$D$85</f>
        <v/>
      </c>
      <c r="F106" s="114">
        <f>'2026 Φεβρουάριος'!F106+'2026 Μάρτιος'!D106</f>
        <v/>
      </c>
      <c r="G106" s="75">
        <f>F106/$F$85</f>
        <v/>
      </c>
      <c r="H106" s="56">
        <f>ΠΡΟΥΠΟΛΟΓΙΣΜΟΣ_ΕΞΟΔΑ!F287</f>
        <v/>
      </c>
      <c r="I106" s="401">
        <f>H106/$H$85</f>
        <v/>
      </c>
      <c r="J106" s="402">
        <f>H106+'2026 Φεβρουάριος'!J73</f>
        <v/>
      </c>
      <c r="K106" s="403">
        <f>J106/$J$85</f>
        <v/>
      </c>
      <c r="L106" s="114">
        <f>'2024_60-69 ΕΞΟΔΑ+ΟΜ 2'!F59</f>
        <v/>
      </c>
      <c r="M106" s="75">
        <f>L106/$L$85</f>
        <v/>
      </c>
      <c r="N106" s="65">
        <f>L106+'2026 Φεβρουάριος'!N106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2'!F40</f>
        <v/>
      </c>
      <c r="E112" s="81" t="n"/>
      <c r="F112" s="64">
        <f>'2026_60-69 ΕΞΟΔΑ+ΟΜ 2'!S40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ΑΝΤΙΣΤΟΙΧΙΣΗ!$F$108</f>
        <v/>
      </c>
      <c r="E115" s="551" t="n"/>
      <c r="F115" s="550" t="n"/>
      <c r="G115" s="107">
        <f>ΑΝΤΙΣΤΟΙΧΙΣΗ!$D$34</f>
        <v/>
      </c>
      <c r="H115" s="549">
        <f>ΑΝΤΙΣΤΟΙΧΙΣΗ!$F$108</f>
        <v/>
      </c>
      <c r="I115" s="551" t="n"/>
      <c r="J115" s="550" t="n"/>
      <c r="K115" s="107">
        <f>ΑΝΤΙΣΤΟΙΧΙΣΗ!$D$34</f>
        <v/>
      </c>
      <c r="L115" s="549">
        <f>ΑΝΤΙΣΤΟΙΧΙΣΗ!$F$122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2.2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2'!F71</f>
        <v/>
      </c>
      <c r="E118" s="75">
        <f>D118/$D$117</f>
        <v/>
      </c>
      <c r="F118" s="65">
        <f>D118+'2026 Φεβρουάριος'!F118</f>
        <v/>
      </c>
      <c r="G118" s="75">
        <f>F118/$F$117</f>
        <v/>
      </c>
      <c r="H118" s="56">
        <f>ΠΡΟΥΠΟΛΟΓΙΣΜΟΣ_ΕΞΟΔΑ!F301</f>
        <v/>
      </c>
      <c r="I118" s="80">
        <f>H118/$H$117</f>
        <v/>
      </c>
      <c r="J118" s="65">
        <f>H118+'2026 Φεβρουάριος'!J117</f>
        <v/>
      </c>
      <c r="K118" s="65">
        <f>J118/$J$117</f>
        <v/>
      </c>
      <c r="L118" s="56">
        <f>'2024_60-69 ΕΞΟΔΑ+ΟΜ 2'!F66</f>
        <v/>
      </c>
      <c r="M118" s="75">
        <f>L118/$L$117</f>
        <v/>
      </c>
      <c r="N118" s="65">
        <f>L118+'2026 Φεβρουάριος'!N118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2'!F72</f>
        <v/>
      </c>
      <c r="E119" s="75">
        <f>D119/$D$117</f>
        <v/>
      </c>
      <c r="F119" s="65">
        <f>D119+'2026 Φεβρουάριος'!F119</f>
        <v/>
      </c>
      <c r="G119" s="75">
        <f>F119/$F$117</f>
        <v/>
      </c>
      <c r="H119" s="56">
        <f>ΠΡΟΥΠΟΛΟΓΙΣΜΟΣ_ΕΞΟΔΑ!F306</f>
        <v/>
      </c>
      <c r="I119" s="80">
        <f>H119/$H$117</f>
        <v/>
      </c>
      <c r="J119" s="65">
        <f>H119+'2026 Φεβρουάριος'!J118</f>
        <v/>
      </c>
      <c r="K119" s="65">
        <f>J119/$J$117</f>
        <v/>
      </c>
      <c r="L119" s="56">
        <f>'2024_60-69 ΕΞΟΔΑ+ΟΜ 2'!F67</f>
        <v/>
      </c>
      <c r="M119" s="75">
        <f>L119/$L$117</f>
        <v/>
      </c>
      <c r="N119" s="65">
        <f>L119+'2026 Φεβρουάριος'!N119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2'!F73</f>
        <v/>
      </c>
      <c r="E120" s="75">
        <f>D120/$D$117</f>
        <v/>
      </c>
      <c r="F120" s="65">
        <f>D120+'2026 Φεβρουάριος'!F120</f>
        <v/>
      </c>
      <c r="G120" s="75">
        <f>F120/$F$117</f>
        <v/>
      </c>
      <c r="H120" s="56">
        <f>ΠΡΟΥΠΟΛΟΓΙΣΜΟΣ_ΕΞΟΔΑ!F311</f>
        <v/>
      </c>
      <c r="I120" s="80">
        <f>H120/$H$117</f>
        <v/>
      </c>
      <c r="J120" s="65">
        <f>H120+'2026 Φεβρουάριος'!J119</f>
        <v/>
      </c>
      <c r="K120" s="65">
        <f>J120/$J$117</f>
        <v/>
      </c>
      <c r="L120" s="56">
        <f>'2024_60-69 ΕΞΟΔΑ+ΟΜ 2'!F68</f>
        <v/>
      </c>
      <c r="M120" s="75">
        <f>L120/$L$117</f>
        <v/>
      </c>
      <c r="N120" s="65">
        <f>L120+'2026 Φεβρουάριος'!N120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2'!F74</f>
        <v/>
      </c>
      <c r="E121" s="75">
        <f>D121/$D$117</f>
        <v/>
      </c>
      <c r="F121" s="65">
        <f>D121+'2026 Φεβρουάριος'!F121</f>
        <v/>
      </c>
      <c r="G121" s="75">
        <f>F121/$F$117</f>
        <v/>
      </c>
      <c r="H121" s="56">
        <f>ΠΡΟΥΠΟΛΟΓΙΣΜΟΣ_ΕΞΟΔΑ!F316</f>
        <v/>
      </c>
      <c r="I121" s="80">
        <f>H121/$H$117</f>
        <v/>
      </c>
      <c r="J121" s="65">
        <f>H121+'2026 Φεβρουάριος'!J120</f>
        <v/>
      </c>
      <c r="K121" s="65">
        <f>J121/$J$117</f>
        <v/>
      </c>
      <c r="L121" s="56">
        <f>'2024_60-69 ΕΞΟΔΑ+ΟΜ 2'!F69</f>
        <v/>
      </c>
      <c r="M121" s="75">
        <f>L121/$L$117</f>
        <v/>
      </c>
      <c r="N121" s="65">
        <f>L121+'2026 Φεβρουάριος'!N121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2'!F75</f>
        <v/>
      </c>
      <c r="E122" s="75">
        <f>D122/$D$117</f>
        <v/>
      </c>
      <c r="F122" s="65">
        <f>D122+'2026 Φεβρουάριος'!F122</f>
        <v/>
      </c>
      <c r="G122" s="75">
        <f>F122/$F$117</f>
        <v/>
      </c>
      <c r="H122" s="56">
        <f>ΠΡΟΥΠΟΛΟΓΙΣΜΟΣ_ΕΞΟΔΑ!F321</f>
        <v/>
      </c>
      <c r="I122" s="80">
        <f>H122/$H$117</f>
        <v/>
      </c>
      <c r="J122" s="65">
        <f>H122+'2026 Φεβρουάριος'!J121</f>
        <v/>
      </c>
      <c r="K122" s="65">
        <f>J122/$J$117</f>
        <v/>
      </c>
      <c r="L122" s="56">
        <f>'2024_60-69 ΕΞΟΔΑ+ΟΜ 2'!F70</f>
        <v/>
      </c>
      <c r="M122" s="75">
        <f>L122/$L$117</f>
        <v/>
      </c>
      <c r="N122" s="65">
        <f>L122+'2026 Φεβρουάριος'!N122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2'!F76</f>
        <v/>
      </c>
      <c r="E123" s="75">
        <f>D123/$D$117</f>
        <v/>
      </c>
      <c r="F123" s="65">
        <f>D123+'2026 Φεβρουάριος'!F123</f>
        <v/>
      </c>
      <c r="G123" s="75">
        <f>F123/$F$117</f>
        <v/>
      </c>
      <c r="H123" s="56">
        <f>ΠΡΟΥΠΟΛΟΓΙΣΜΟΣ_ΕΞΟΔΑ!F326</f>
        <v/>
      </c>
      <c r="I123" s="80">
        <f>H123/$H$117</f>
        <v/>
      </c>
      <c r="J123" s="65">
        <f>H123+'2026 Φεβρουάριος'!J122</f>
        <v/>
      </c>
      <c r="K123" s="65">
        <f>J123/$J$117</f>
        <v/>
      </c>
      <c r="L123" s="56">
        <f>'2024_60-69 ΕΞΟΔΑ+ΟΜ 2'!F71</f>
        <v/>
      </c>
      <c r="M123" s="75">
        <f>L123/$L$117</f>
        <v/>
      </c>
      <c r="N123" s="65">
        <f>L123+'2026 Φεβρουάριος'!N123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2'!F77</f>
        <v/>
      </c>
      <c r="E124" s="75">
        <f>D124/$D$117</f>
        <v/>
      </c>
      <c r="F124" s="65">
        <f>D124+'2026 Φεβρουάριος'!F124</f>
        <v/>
      </c>
      <c r="G124" s="75">
        <f>F124/$F$117</f>
        <v/>
      </c>
      <c r="H124" s="56">
        <f>ΠΡΟΥΠΟΛΟΓΙΣΜΟΣ_ΕΞΟΔΑ!F331</f>
        <v/>
      </c>
      <c r="I124" s="80">
        <f>H124/$H$117</f>
        <v/>
      </c>
      <c r="J124" s="65">
        <f>H124+'2026 Φεβρουάριος'!J123</f>
        <v/>
      </c>
      <c r="K124" s="65">
        <f>J124/$J$117</f>
        <v/>
      </c>
      <c r="L124" s="56">
        <f>'2024_60-69 ΕΞΟΔΑ+ΟΜ 2'!F72</f>
        <v/>
      </c>
      <c r="M124" s="75">
        <f>L124/$L$117</f>
        <v/>
      </c>
      <c r="N124" s="65">
        <f>L124+'2026 Φεβρουάριος'!N124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2'!F78</f>
        <v/>
      </c>
      <c r="E125" s="75">
        <f>D125/$D$117</f>
        <v/>
      </c>
      <c r="F125" s="65">
        <f>D125+'2026 Φεβρουάριος'!F125</f>
        <v/>
      </c>
      <c r="G125" s="75">
        <f>F125/$F$117</f>
        <v/>
      </c>
      <c r="H125" s="56">
        <f>ΠΡΟΥΠΟΛΟΓΙΣΜΟΣ_ΕΞΟΔΑ!F336</f>
        <v/>
      </c>
      <c r="I125" s="80">
        <f>H125/$H$117</f>
        <v/>
      </c>
      <c r="J125" s="65">
        <f>H125+'2026 Φεβρουάριος'!J124</f>
        <v/>
      </c>
      <c r="K125" s="65">
        <f>J125/$J$117</f>
        <v/>
      </c>
      <c r="L125" s="56">
        <f>'2024_60-69 ΕΞΟΔΑ+ΟΜ 2'!F73</f>
        <v/>
      </c>
      <c r="M125" s="75">
        <f>L125/$L$117</f>
        <v/>
      </c>
      <c r="N125" s="65">
        <f>L125+'2026 Φεβρουάριος'!N125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2'!F79</f>
        <v/>
      </c>
      <c r="E126" s="75">
        <f>D126/$D$117</f>
        <v/>
      </c>
      <c r="F126" s="65">
        <f>D126+'2026 Φεβρουάριος'!F126</f>
        <v/>
      </c>
      <c r="G126" s="75">
        <f>F126/$F$117</f>
        <v/>
      </c>
      <c r="H126" s="56">
        <f>ΠΡΟΥΠΟΛΟΓΙΣΜΟΣ_ΕΞΟΔΑ!F341</f>
        <v/>
      </c>
      <c r="I126" s="80">
        <f>H126/$H$117</f>
        <v/>
      </c>
      <c r="J126" s="65">
        <f>H126+'2026 Φεβρουάριος'!J125</f>
        <v/>
      </c>
      <c r="K126" s="65">
        <f>J126/$J$117</f>
        <v/>
      </c>
      <c r="L126" s="56">
        <f>'2024_60-69 ΕΞΟΔΑ+ΟΜ 2'!F74</f>
        <v/>
      </c>
      <c r="M126" s="75">
        <f>L126/$L$117</f>
        <v/>
      </c>
      <c r="N126" s="65">
        <f>L126+'2026 Φεβρουάριος'!N126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2'!F80</f>
        <v/>
      </c>
      <c r="E127" s="75">
        <f>D127/$D$117</f>
        <v/>
      </c>
      <c r="F127" s="65">
        <f>D127+'2026 Φεβρουάριος'!F127</f>
        <v/>
      </c>
      <c r="G127" s="75">
        <f>F127/$F$117</f>
        <v/>
      </c>
      <c r="H127" s="56">
        <f>ΠΡΟΥΠΟΛΟΓΙΣΜΟΣ_ΕΞΟΔΑ!F346</f>
        <v/>
      </c>
      <c r="I127" s="80">
        <f>H127/$H$117</f>
        <v/>
      </c>
      <c r="J127" s="65">
        <f>H127+'2026 Φεβρουάριος'!J126</f>
        <v/>
      </c>
      <c r="K127" s="65">
        <f>J127/$J$117</f>
        <v/>
      </c>
      <c r="L127" s="56">
        <f>'2024_60-69 ΕΞΟΔΑ+ΟΜ 2'!F75</f>
        <v/>
      </c>
      <c r="M127" s="75">
        <f>L127/$L$117</f>
        <v/>
      </c>
      <c r="N127" s="65">
        <f>L127+'2026 Φεβρουάριος'!N127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2'!F81</f>
        <v/>
      </c>
      <c r="E128" s="75">
        <f>D128/$D$117</f>
        <v/>
      </c>
      <c r="F128" s="65">
        <f>D128+'2026 Φεβρουάριος'!F128</f>
        <v/>
      </c>
      <c r="G128" s="75">
        <f>F128/$F$117</f>
        <v/>
      </c>
      <c r="H128" s="56">
        <f>ΠΡΟΥΠΟΛΟΓΙΣΜΟΣ_ΕΞΟΔΑ!F351</f>
        <v/>
      </c>
      <c r="I128" s="80">
        <f>H128/$H$117</f>
        <v/>
      </c>
      <c r="J128" s="65">
        <f>H128+'2026 Φεβρουάριος'!J127</f>
        <v/>
      </c>
      <c r="K128" s="65">
        <f>J128/$J$117</f>
        <v/>
      </c>
      <c r="L128" s="56">
        <f>'2024_60-69 ΕΞΟΔΑ+ΟΜ 2'!F76</f>
        <v/>
      </c>
      <c r="M128" s="75">
        <f>L128/$L$117</f>
        <v/>
      </c>
      <c r="N128" s="65">
        <f>L128+'2026 Φεβρουάριος'!N128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2'!F82</f>
        <v/>
      </c>
      <c r="E129" s="75">
        <f>D129/$D$117</f>
        <v/>
      </c>
      <c r="F129" s="65">
        <f>D129+'2026 Φεβρουάριος'!F129</f>
        <v/>
      </c>
      <c r="G129" s="75">
        <f>F129/$F$117</f>
        <v/>
      </c>
      <c r="H129" s="56">
        <f>ΠΡΟΥΠΟΛΟΓΙΣΜΟΣ_ΕΞΟΔΑ!F356</f>
        <v/>
      </c>
      <c r="I129" s="80">
        <f>H129/$H$117</f>
        <v/>
      </c>
      <c r="J129" s="65">
        <f>H129+'2026 Φεβρουάριος'!J128</f>
        <v/>
      </c>
      <c r="K129" s="65">
        <f>J129/$J$117</f>
        <v/>
      </c>
      <c r="L129" s="56">
        <f>'2024_60-69 ΕΞΟΔΑ+ΟΜ 2'!F77</f>
        <v/>
      </c>
      <c r="M129" s="75">
        <f>L129/$L$117</f>
        <v/>
      </c>
      <c r="N129" s="65">
        <f>L129+'2026 Φεβρουάριος'!N129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2'!F83</f>
        <v/>
      </c>
      <c r="E130" s="75">
        <f>D130/$D$117</f>
        <v/>
      </c>
      <c r="F130" s="65">
        <f>D130+'2026 Φεβρουάριος'!F130</f>
        <v/>
      </c>
      <c r="G130" s="75">
        <f>F130/$F$117</f>
        <v/>
      </c>
      <c r="H130" s="56">
        <f>ΠΡΟΥΠΟΛΟΓΙΣΜΟΣ_ΕΞΟΔΑ!F361</f>
        <v/>
      </c>
      <c r="I130" s="80">
        <f>H130/$H$117</f>
        <v/>
      </c>
      <c r="J130" s="65">
        <f>H130+'2026 Φεβρουάριος'!J129</f>
        <v/>
      </c>
      <c r="K130" s="65">
        <f>J130/$J$117</f>
        <v/>
      </c>
      <c r="L130" s="56">
        <f>'2024_60-69 ΕΞΟΔΑ+ΟΜ 2'!F78</f>
        <v/>
      </c>
      <c r="M130" s="75">
        <f>L130/$L$117</f>
        <v/>
      </c>
      <c r="N130" s="65">
        <f>L130+'2026 Φεβρουάριος'!N130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2'!F84</f>
        <v/>
      </c>
      <c r="E131" s="75">
        <f>D131/$D$117</f>
        <v/>
      </c>
      <c r="F131" s="65">
        <f>D131+'2026 Φεβρουάριος'!F131</f>
        <v/>
      </c>
      <c r="G131" s="75">
        <f>F131/$F$117</f>
        <v/>
      </c>
      <c r="H131" s="56">
        <f>ΠΡΟΥΠΟΛΟΓΙΣΜΟΣ_ΕΞΟΔΑ!F366</f>
        <v/>
      </c>
      <c r="I131" s="80">
        <f>H131/$H$117</f>
        <v/>
      </c>
      <c r="J131" s="65">
        <f>H131+'2026 Φεβρουάριος'!J130</f>
        <v/>
      </c>
      <c r="K131" s="65">
        <f>J131/$J$117</f>
        <v/>
      </c>
      <c r="L131" s="56">
        <f>'2024_60-69 ΕΞΟΔΑ+ΟΜ 2'!F79</f>
        <v/>
      </c>
      <c r="M131" s="75">
        <f>L131/$L$117</f>
        <v/>
      </c>
      <c r="N131" s="65">
        <f>L131+'2026 Φεβρουάριος'!N131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2'!F85</f>
        <v/>
      </c>
      <c r="E132" s="75">
        <f>D132/$D$117</f>
        <v/>
      </c>
      <c r="F132" s="65">
        <f>D132+'2026 Φεβρουάριος'!F132</f>
        <v/>
      </c>
      <c r="G132" s="75">
        <f>F132/$F$117</f>
        <v/>
      </c>
      <c r="H132" s="56">
        <f>ΠΡΟΥΠΟΛΟΓΙΣΜΟΣ_ΕΞΟΔΑ!F371</f>
        <v/>
      </c>
      <c r="I132" s="80">
        <f>H132/$H$117</f>
        <v/>
      </c>
      <c r="J132" s="65">
        <f>H132+'2026 Φεβρουάριος'!J131</f>
        <v/>
      </c>
      <c r="K132" s="65">
        <f>J132/$J$117</f>
        <v/>
      </c>
      <c r="L132" s="56">
        <f>'2024_60-69 ΕΞΟΔΑ+ΟΜ 2'!F80</f>
        <v/>
      </c>
      <c r="M132" s="75">
        <f>L132/$L$117</f>
        <v/>
      </c>
      <c r="N132" s="65">
        <f>L132+'2026 Φεβρουάριος'!N132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2'!F86</f>
        <v/>
      </c>
      <c r="E133" s="75">
        <f>D133/$D$117</f>
        <v/>
      </c>
      <c r="F133" s="65">
        <f>D133+'2026 Φεβρουάριος'!F133</f>
        <v/>
      </c>
      <c r="G133" s="75">
        <f>F133/$F$117</f>
        <v/>
      </c>
      <c r="H133" s="56">
        <f>ΠΡΟΥΠΟΛΟΓΙΣΜΟΣ_ΕΞΟΔΑ!F376</f>
        <v/>
      </c>
      <c r="I133" s="80">
        <f>H133/$H$117</f>
        <v/>
      </c>
      <c r="J133" s="65">
        <f>H133+'2026 Φεβρουάριος'!J132</f>
        <v/>
      </c>
      <c r="K133" s="65">
        <f>J133/$J$117</f>
        <v/>
      </c>
      <c r="L133" s="56">
        <f>'2024_60-69 ΕΞΟΔΑ+ΟΜ 2'!F81</f>
        <v/>
      </c>
      <c r="M133" s="75">
        <f>L133/$L$117</f>
        <v/>
      </c>
      <c r="N133" s="65">
        <f>L133+'2026 Φεβρουάριος'!N133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2'!F87</f>
        <v/>
      </c>
      <c r="E134" s="75">
        <f>D134/$D$117</f>
        <v/>
      </c>
      <c r="F134" s="65">
        <f>D134+'2026 Φεβρουάριος'!F134</f>
        <v/>
      </c>
      <c r="G134" s="75">
        <f>F134/$F$117</f>
        <v/>
      </c>
      <c r="H134" s="56">
        <f>ΠΡΟΥΠΟΛΟΓΙΣΜΟΣ_ΕΞΟΔΑ!F381</f>
        <v/>
      </c>
      <c r="I134" s="80">
        <f>H134/$H$117</f>
        <v/>
      </c>
      <c r="J134" s="65">
        <f>H134+'2026 Φεβρουάριος'!J133</f>
        <v/>
      </c>
      <c r="K134" s="65">
        <f>J134/$J$117</f>
        <v/>
      </c>
      <c r="L134" s="56">
        <f>'2024_60-69 ΕΞΟΔΑ+ΟΜ 2'!F82</f>
        <v/>
      </c>
      <c r="M134" s="75">
        <f>L134/$L$117</f>
        <v/>
      </c>
      <c r="N134" s="65">
        <f>L134+'2026 Φεβρουάριος'!N134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2'!F88</f>
        <v/>
      </c>
      <c r="E135" s="75">
        <f>D135/$D$117</f>
        <v/>
      </c>
      <c r="F135" s="65">
        <f>D135+'2026 Φεβρουάριος'!F135</f>
        <v/>
      </c>
      <c r="G135" s="75">
        <f>F135/$F$117</f>
        <v/>
      </c>
      <c r="H135" s="56">
        <f>ΠΡΟΥΠΟΛΟΓΙΣΜΟΣ_ΕΞΟΔΑ!F386</f>
        <v/>
      </c>
      <c r="I135" s="80">
        <f>H135/$H$117</f>
        <v/>
      </c>
      <c r="J135" s="65">
        <f>H135+'2026 Φεβρουάριος'!J134</f>
        <v/>
      </c>
      <c r="K135" s="65">
        <f>J135/$J$117</f>
        <v/>
      </c>
      <c r="L135" s="56">
        <f>'2024_60-69 ΕΞΟΔΑ+ΟΜ 2'!F83</f>
        <v/>
      </c>
      <c r="M135" s="75">
        <f>L135/$L$117</f>
        <v/>
      </c>
      <c r="N135" s="65">
        <f>L135+'2026 Φεβρουάριος'!N135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2'!F89</f>
        <v/>
      </c>
      <c r="E136" s="75">
        <f>D136/$D$117</f>
        <v/>
      </c>
      <c r="F136" s="65">
        <f>D136+'2026 Φεβρουάριος'!F136</f>
        <v/>
      </c>
      <c r="G136" s="75">
        <f>F136/$F$117</f>
        <v/>
      </c>
      <c r="H136" s="56">
        <f>ΠΡΟΥΠΟΛΟΓΙΣΜΟΣ_ΕΞΟΔΑ!F391</f>
        <v/>
      </c>
      <c r="I136" s="80">
        <f>H136/$H$117</f>
        <v/>
      </c>
      <c r="J136" s="65">
        <f>H136+'2026 Φεβρουάριος'!J135</f>
        <v/>
      </c>
      <c r="K136" s="65">
        <f>J136/$J$117</f>
        <v/>
      </c>
      <c r="L136" s="56">
        <f>'2024_60-69 ΕΞΟΔΑ+ΟΜ 2'!F84</f>
        <v/>
      </c>
      <c r="M136" s="75">
        <f>L136/$L$117</f>
        <v/>
      </c>
      <c r="N136" s="65">
        <f>L136+'2026 Φεβρουάριος'!N136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2'!F90</f>
        <v/>
      </c>
      <c r="E137" s="75">
        <f>D137/$D$117</f>
        <v/>
      </c>
      <c r="F137" s="65">
        <f>D137+'2026 Φεβρουάριος'!F137</f>
        <v/>
      </c>
      <c r="G137" s="75">
        <f>F137/$F$117</f>
        <v/>
      </c>
      <c r="H137" s="56">
        <f>ΠΡΟΥΠΟΛΟΓΙΣΜΟΣ_ΕΞΟΔΑ!F396</f>
        <v/>
      </c>
      <c r="I137" s="80">
        <f>H137/$H$117</f>
        <v/>
      </c>
      <c r="J137" s="65">
        <f>H137+'2026 Φεβρουάριος'!J136</f>
        <v/>
      </c>
      <c r="K137" s="65">
        <f>J137/$J$117</f>
        <v/>
      </c>
      <c r="L137" s="56">
        <f>'2024_60-69 ΕΞΟΔΑ+ΟΜ 2'!F85</f>
        <v/>
      </c>
      <c r="M137" s="75">
        <f>L137/$L$117</f>
        <v/>
      </c>
      <c r="N137" s="65">
        <f>L137+'2026 Φεβρουάριος'!N137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2'!F91</f>
        <v/>
      </c>
      <c r="E138" s="75">
        <f>D138/$D$117</f>
        <v/>
      </c>
      <c r="F138" s="65">
        <f>D138+'2026 Φεβρουάριος'!F138</f>
        <v/>
      </c>
      <c r="G138" s="75">
        <f>F138/$F$117</f>
        <v/>
      </c>
      <c r="H138" s="56">
        <f>ΠΡΟΥΠΟΛΟΓΙΣΜΟΣ_ΕΞΟΔΑ!F401</f>
        <v/>
      </c>
      <c r="I138" s="80">
        <f>H138/$H$117</f>
        <v/>
      </c>
      <c r="J138" s="65">
        <f>H138+'2026 Φεβρουάριος'!J137</f>
        <v/>
      </c>
      <c r="K138" s="65">
        <f>J138/$J$117</f>
        <v/>
      </c>
      <c r="L138" s="56">
        <f>'2024_60-69 ΕΞΟΔΑ+ΟΜ 2'!F86</f>
        <v/>
      </c>
      <c r="M138" s="75">
        <f>L138/$L$117</f>
        <v/>
      </c>
      <c r="N138" s="65">
        <f>L138+'2026 Φεβρουάριος'!N138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2'!F92</f>
        <v/>
      </c>
      <c r="E139" s="75">
        <f>D139/$D$117</f>
        <v/>
      </c>
      <c r="F139" s="65">
        <f>D139+'2026 Φεβρουάριος'!F139</f>
        <v/>
      </c>
      <c r="G139" s="75">
        <f>F139/$F$117</f>
        <v/>
      </c>
      <c r="H139" s="56">
        <f>ΠΡΟΥΠΟΛΟΓΙΣΜΟΣ_ΕΞΟΔΑ!F406</f>
        <v/>
      </c>
      <c r="I139" s="80">
        <f>H139/$H$117</f>
        <v/>
      </c>
      <c r="J139" s="65">
        <f>H139+'2026 Φεβρουάριος'!J138</f>
        <v/>
      </c>
      <c r="K139" s="65">
        <f>J139/$J$117</f>
        <v/>
      </c>
      <c r="L139" s="56">
        <f>'2024_60-69 ΕΞΟΔΑ+ΟΜ 2'!F87</f>
        <v/>
      </c>
      <c r="M139" s="75">
        <f>L139/$L$117</f>
        <v/>
      </c>
      <c r="N139" s="65">
        <f>L139+'2026 Φεβρουάριος'!N139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2'!F93</f>
        <v/>
      </c>
      <c r="E140" s="75">
        <f>D140/$D$117</f>
        <v/>
      </c>
      <c r="F140" s="65">
        <f>D140+'2026 Φεβρουάριος'!F140</f>
        <v/>
      </c>
      <c r="G140" s="75">
        <f>F140/$F$117</f>
        <v/>
      </c>
      <c r="H140" s="56">
        <f>ΠΡΟΥΠΟΛΟΓΙΣΜΟΣ_ΕΞΟΔΑ!F411</f>
        <v/>
      </c>
      <c r="I140" s="80">
        <f>H140/$H$117</f>
        <v/>
      </c>
      <c r="J140" s="65">
        <f>H140+'2026 Φεβρουάριος'!J139</f>
        <v/>
      </c>
      <c r="K140" s="65">
        <f>J140/$J$117</f>
        <v/>
      </c>
      <c r="L140" s="56">
        <f>'2024_60-69 ΕΞΟΔΑ+ΟΜ 2'!F88</f>
        <v/>
      </c>
      <c r="M140" s="75">
        <f>L140/$L$117</f>
        <v/>
      </c>
      <c r="N140" s="65">
        <f>L140+'2026 Φεβρουάριος'!N140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2'!F94</f>
        <v/>
      </c>
      <c r="E141" s="75">
        <f>D141/$D$117</f>
        <v/>
      </c>
      <c r="F141" s="65">
        <f>D141+'2026 Φεβρουάριος'!F141</f>
        <v/>
      </c>
      <c r="G141" s="75">
        <f>F141/$F$117</f>
        <v/>
      </c>
      <c r="H141" s="56">
        <f>ΠΡΟΥΠΟΛΟΓΙΣΜΟΣ_ΕΞΟΔΑ!F416</f>
        <v/>
      </c>
      <c r="I141" s="80">
        <f>H141/$H$117</f>
        <v/>
      </c>
      <c r="J141" s="65">
        <f>H141+'2026 Φεβρουάριος'!J140</f>
        <v/>
      </c>
      <c r="K141" s="65">
        <f>J141/$J$117</f>
        <v/>
      </c>
      <c r="L141" s="56">
        <f>'2024_60-69 ΕΞΟΔΑ+ΟΜ 2'!F89</f>
        <v/>
      </c>
      <c r="M141" s="75">
        <f>L141/$L$117</f>
        <v/>
      </c>
      <c r="N141" s="65">
        <f>L141+'2026 Φεβρουάριος'!N141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2'!F95</f>
        <v/>
      </c>
      <c r="E142" s="75">
        <f>D142/$D$117</f>
        <v/>
      </c>
      <c r="F142" s="65">
        <f>D142+'2026 Φεβρουάριος'!F142</f>
        <v/>
      </c>
      <c r="G142" s="75">
        <f>F142/$F$117</f>
        <v/>
      </c>
      <c r="H142" s="56">
        <f>ΠΡΟΥΠΟΛΟΓΙΣΜΟΣ_ΕΞΟΔΑ!F421</f>
        <v/>
      </c>
      <c r="I142" s="80">
        <f>H142/$H$117</f>
        <v/>
      </c>
      <c r="J142" s="65">
        <f>H142+'2026 Φεβρουάριος'!J141</f>
        <v/>
      </c>
      <c r="K142" s="65">
        <f>J142/$J$117</f>
        <v/>
      </c>
      <c r="L142" s="56">
        <f>'2024_60-69 ΕΞΟΔΑ+ΟΜ 2'!F90</f>
        <v/>
      </c>
      <c r="M142" s="75">
        <f>L142/$L$117</f>
        <v/>
      </c>
      <c r="N142" s="65">
        <f>L142+'2026 Φεβρουάριος'!N142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2'!F96</f>
        <v/>
      </c>
      <c r="E143" s="75">
        <f>D143/$D$117</f>
        <v/>
      </c>
      <c r="F143" s="65">
        <f>D143+'2026 Φεβρουάριος'!F143</f>
        <v/>
      </c>
      <c r="G143" s="75">
        <f>F143/$F$117</f>
        <v/>
      </c>
      <c r="H143" s="56">
        <f>ΠΡΟΥΠΟΛΟΓΙΣΜΟΣ_ΕΞΟΔΑ!F426</f>
        <v/>
      </c>
      <c r="I143" s="80">
        <f>H143/$H$117</f>
        <v/>
      </c>
      <c r="J143" s="65">
        <f>H143+'2026 Φεβρουάριος'!J142</f>
        <v/>
      </c>
      <c r="K143" s="65">
        <f>J143/$J$117</f>
        <v/>
      </c>
      <c r="L143" s="56">
        <f>'2024_60-69 ΕΞΟΔΑ+ΟΜ 2'!F91</f>
        <v/>
      </c>
      <c r="M143" s="75">
        <f>L143/$L$117</f>
        <v/>
      </c>
      <c r="N143" s="65">
        <f>L143+'2026 Φεβρουάριος'!N143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2'!F97</f>
        <v/>
      </c>
      <c r="E144" s="75">
        <f>D144/$D$117</f>
        <v/>
      </c>
      <c r="F144" s="65">
        <f>D144+'2026 Φεβρουάριος'!F144</f>
        <v/>
      </c>
      <c r="G144" s="75">
        <f>F144/$F$117</f>
        <v/>
      </c>
      <c r="H144" s="56">
        <f>ΠΡΟΥΠΟΛΟΓΙΣΜΟΣ_ΕΞΟΔΑ!F431</f>
        <v/>
      </c>
      <c r="I144" s="80">
        <f>H144/$H$117</f>
        <v/>
      </c>
      <c r="J144" s="65">
        <f>H144+'2026 Φεβρουάριος'!J143</f>
        <v/>
      </c>
      <c r="K144" s="65">
        <f>J144/$J$117</f>
        <v/>
      </c>
      <c r="L144" s="56">
        <f>'2024_60-69 ΕΞΟΔΑ+ΟΜ 2'!F92</f>
        <v/>
      </c>
      <c r="M144" s="75">
        <f>L144/$L$117</f>
        <v/>
      </c>
      <c r="N144" s="65">
        <f>L144+'2026 Φεβρουάριος'!N144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2'!F98</f>
        <v/>
      </c>
      <c r="E145" s="75">
        <f>D145/$D$117</f>
        <v/>
      </c>
      <c r="F145" s="65">
        <f>D145+'2026 Φεβρουάριος'!F145</f>
        <v/>
      </c>
      <c r="G145" s="75">
        <f>F145/$F$117</f>
        <v/>
      </c>
      <c r="H145" s="56">
        <f>ΠΡΟΥΠΟΛΟΓΙΣΜΟΣ_ΕΞΟΔΑ!F436</f>
        <v/>
      </c>
      <c r="I145" s="80">
        <f>H145/$H$117</f>
        <v/>
      </c>
      <c r="J145" s="65">
        <f>H145+'2026 Φεβρουάριος'!J144</f>
        <v/>
      </c>
      <c r="K145" s="65">
        <f>J145/$J$117</f>
        <v/>
      </c>
      <c r="L145" s="56">
        <f>'2024_60-69 ΕΞΟΔΑ+ΟΜ 2'!F93</f>
        <v/>
      </c>
      <c r="M145" s="75">
        <f>L145/$L$117</f>
        <v/>
      </c>
      <c r="N145" s="65">
        <f>L145+'2026 Φεβρουάριος'!N145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2'!F99</f>
        <v/>
      </c>
      <c r="E146" s="75">
        <f>D146/$D$117</f>
        <v/>
      </c>
      <c r="F146" s="65">
        <f>D146+'2026 Φεβρουάριος'!F146</f>
        <v/>
      </c>
      <c r="G146" s="75">
        <f>F146/$F$117</f>
        <v/>
      </c>
      <c r="H146" s="56">
        <f>ΠΡΟΥΠΟΛΟΓΙΣΜΟΣ_ΕΞΟΔΑ!F441</f>
        <v/>
      </c>
      <c r="I146" s="80">
        <f>H146/$H$117</f>
        <v/>
      </c>
      <c r="J146" s="65">
        <f>H146+'2026 Φεβρουάριος'!J145</f>
        <v/>
      </c>
      <c r="K146" s="65">
        <f>J146/$J$117</f>
        <v/>
      </c>
      <c r="L146" s="56">
        <f>'2024_60-69 ΕΞΟΔΑ+ΟΜ 2'!F94</f>
        <v/>
      </c>
      <c r="M146" s="75">
        <f>L146/$L$117</f>
        <v/>
      </c>
      <c r="N146" s="65">
        <f>L146+'2026 Φεβρουάριος'!N146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2'!F100</f>
        <v/>
      </c>
      <c r="E147" s="75">
        <f>D147/$D$117</f>
        <v/>
      </c>
      <c r="F147" s="65">
        <f>D147+'2026 Φεβρουάριος'!F147</f>
        <v/>
      </c>
      <c r="G147" s="75">
        <f>F147/$F$117</f>
        <v/>
      </c>
      <c r="H147" s="56">
        <f>ΠΡΟΥΠΟΛΟΓΙΣΜΟΣ_ΕΞΟΔΑ!F446</f>
        <v/>
      </c>
      <c r="I147" s="80">
        <f>H147/$H$117</f>
        <v/>
      </c>
      <c r="J147" s="65">
        <f>H147+'2026 Φεβρουάριος'!J146</f>
        <v/>
      </c>
      <c r="K147" s="65">
        <f>J147/$J$117</f>
        <v/>
      </c>
      <c r="L147" s="56">
        <f>'2024_60-69 ΕΞΟΔΑ+ΟΜ 2'!F95</f>
        <v/>
      </c>
      <c r="M147" s="75">
        <f>L147/$L$117</f>
        <v/>
      </c>
      <c r="N147" s="65">
        <f>L147+'2026 Φεβρουάριος'!N147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2'!F101</f>
        <v/>
      </c>
      <c r="E148" s="75">
        <f>D148/$D$117</f>
        <v/>
      </c>
      <c r="F148" s="65">
        <f>D148+'2026 Φεβρουάριος'!F148</f>
        <v/>
      </c>
      <c r="G148" s="75">
        <f>F148/$F$117</f>
        <v/>
      </c>
      <c r="H148" s="56">
        <f>ΠΡΟΥΠΟΛΟΓΙΣΜΟΣ_ΕΞΟΔΑ!F451</f>
        <v/>
      </c>
      <c r="I148" s="80">
        <f>H148/$H$117</f>
        <v/>
      </c>
      <c r="J148" s="65">
        <f>H148+'2026 Φεβρουάριος'!J147</f>
        <v/>
      </c>
      <c r="K148" s="65">
        <f>J148/$J$117</f>
        <v/>
      </c>
      <c r="L148" s="56">
        <f>'2024_60-69 ΕΞΟΔΑ+ΟΜ 2'!F96</f>
        <v/>
      </c>
      <c r="M148" s="75">
        <f>L148/$L$117</f>
        <v/>
      </c>
      <c r="N148" s="65">
        <f>L148+'2026 Φεβρουάριος'!N148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2'!F102</f>
        <v/>
      </c>
      <c r="E149" s="75">
        <f>D149/$D$117</f>
        <v/>
      </c>
      <c r="F149" s="65">
        <f>D149+'2026 Φεβρουάριος'!F149</f>
        <v/>
      </c>
      <c r="G149" s="75">
        <f>F149/$F$117</f>
        <v/>
      </c>
      <c r="H149" s="56">
        <f>ΠΡΟΥΠΟΛΟΓΙΣΜΟΣ_ΕΞΟΔΑ!F456</f>
        <v/>
      </c>
      <c r="I149" s="80">
        <f>H149/$H$117</f>
        <v/>
      </c>
      <c r="J149" s="65">
        <f>H149+'2026 Φεβρουάριος'!J148</f>
        <v/>
      </c>
      <c r="K149" s="65">
        <f>J149/$J$117</f>
        <v/>
      </c>
      <c r="L149" s="56">
        <f>'2024_60-69 ΕΞΟΔΑ+ΟΜ 2'!F97</f>
        <v/>
      </c>
      <c r="M149" s="75">
        <f>L149/$L$117</f>
        <v/>
      </c>
      <c r="N149" s="65">
        <f>L149+'2026 Φεβρουάριος'!N149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2'!F103</f>
        <v/>
      </c>
      <c r="E150" s="75">
        <f>D150/$D$117</f>
        <v/>
      </c>
      <c r="F150" s="65">
        <f>D150+'2026 Φεβρουάριος'!F150</f>
        <v/>
      </c>
      <c r="G150" s="75">
        <f>F150/$F$117</f>
        <v/>
      </c>
      <c r="H150" s="56">
        <f>ΠΡΟΥΠΟΛΟΓΙΣΜΟΣ_ΕΞΟΔΑ!F461</f>
        <v/>
      </c>
      <c r="I150" s="80">
        <f>H150/$H$117</f>
        <v/>
      </c>
      <c r="J150" s="65">
        <f>H150+'2026 Φεβρουάριος'!J149</f>
        <v/>
      </c>
      <c r="K150" s="65">
        <f>J150/$J$117</f>
        <v/>
      </c>
      <c r="L150" s="56">
        <f>'2024_60-69 ΕΞΟΔΑ+ΟΜ 2'!F98</f>
        <v/>
      </c>
      <c r="M150" s="75">
        <f>L150/$L$117</f>
        <v/>
      </c>
      <c r="N150" s="65">
        <f>L150+'2026 Φεβρουάριος'!N150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2'!F104</f>
        <v/>
      </c>
      <c r="E151" s="75">
        <f>D151/$D$117</f>
        <v/>
      </c>
      <c r="F151" s="65">
        <f>D151+'2026 Φεβρουάριος'!F151</f>
        <v/>
      </c>
      <c r="G151" s="75">
        <f>F151/$F$117</f>
        <v/>
      </c>
      <c r="H151" s="56">
        <f>ΠΡΟΥΠΟΛΟΓΙΣΜΟΣ_ΕΞΟΔΑ!F466</f>
        <v/>
      </c>
      <c r="I151" s="80">
        <f>H151/$H$117</f>
        <v/>
      </c>
      <c r="J151" s="65">
        <f>H151+'2026 Φεβρουάριος'!J150</f>
        <v/>
      </c>
      <c r="K151" s="65">
        <f>J151/$J$117</f>
        <v/>
      </c>
      <c r="L151" s="56">
        <f>'2024_60-69 ΕΞΟΔΑ+ΟΜ 2'!F99</f>
        <v/>
      </c>
      <c r="M151" s="75">
        <f>L151/$L$117</f>
        <v/>
      </c>
      <c r="N151" s="65">
        <f>L151+'2026 Φεβρουάριος'!N151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2'!F105</f>
        <v/>
      </c>
      <c r="E152" s="75">
        <f>D152/$D$117</f>
        <v/>
      </c>
      <c r="F152" s="65">
        <f>D152+'2026 Φεβρουάριος'!F152</f>
        <v/>
      </c>
      <c r="G152" s="75">
        <f>F152/$F$117</f>
        <v/>
      </c>
      <c r="H152" s="56">
        <f>ΠΡΟΥΠΟΛΟΓΙΣΜΟΣ_ΕΞΟΔΑ!F471</f>
        <v/>
      </c>
      <c r="I152" s="80">
        <f>H152/$H$117</f>
        <v/>
      </c>
      <c r="J152" s="65">
        <f>H152+'2026 Φεβρουάριος'!J151</f>
        <v/>
      </c>
      <c r="K152" s="65">
        <f>J152/$J$117</f>
        <v/>
      </c>
      <c r="L152" s="56">
        <f>'2024_60-69 ΕΞΟΔΑ+ΟΜ 2'!F100</f>
        <v/>
      </c>
      <c r="M152" s="75">
        <f>L152/$L$117</f>
        <v/>
      </c>
      <c r="N152" s="65">
        <f>L152+'2026 Φεβρουάριος'!N152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2'!F106</f>
        <v/>
      </c>
      <c r="E153" s="75">
        <f>D153/$D$117</f>
        <v/>
      </c>
      <c r="F153" s="65">
        <f>D153+'2026 Φεβρουάριος'!F153</f>
        <v/>
      </c>
      <c r="G153" s="75">
        <f>F153/$F$117</f>
        <v/>
      </c>
      <c r="H153" s="56">
        <f>ΠΡΟΥΠΟΛΟΓΙΣΜΟΣ_ΕΞΟΔΑ!F476</f>
        <v/>
      </c>
      <c r="I153" s="80">
        <f>H153/$H$117</f>
        <v/>
      </c>
      <c r="J153" s="65">
        <f>H153+'2026 Φεβρουάριος'!J152</f>
        <v/>
      </c>
      <c r="K153" s="65">
        <f>J153/$J$117</f>
        <v/>
      </c>
      <c r="L153" s="56">
        <f>'2024_60-69 ΕΞΟΔΑ+ΟΜ 2'!F101</f>
        <v/>
      </c>
      <c r="M153" s="75">
        <f>L153/$L$117</f>
        <v/>
      </c>
      <c r="N153" s="65">
        <f>L153+'2026 Φεβρουάριος'!N153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2'!F107</f>
        <v/>
      </c>
      <c r="E154" s="75">
        <f>D154/$D$117</f>
        <v/>
      </c>
      <c r="F154" s="65">
        <f>D154+'2026 Φεβρουάριος'!F154</f>
        <v/>
      </c>
      <c r="G154" s="75">
        <f>F154/$F$117</f>
        <v/>
      </c>
      <c r="H154" s="56">
        <f>ΠΡΟΥΠΟΛΟΓΙΣΜΟΣ_ΕΞΟΔΑ!F481</f>
        <v/>
      </c>
      <c r="I154" s="80">
        <f>H154/$H$117</f>
        <v/>
      </c>
      <c r="J154" s="65">
        <f>H154+'2026 Φεβρουάριος'!J153</f>
        <v/>
      </c>
      <c r="K154" s="65">
        <f>J154/$J$117</f>
        <v/>
      </c>
      <c r="L154" s="56">
        <f>'2024_60-69 ΕΞΟΔΑ+ΟΜ 2'!F102</f>
        <v/>
      </c>
      <c r="M154" s="75">
        <f>L154/$L$117</f>
        <v/>
      </c>
      <c r="N154" s="65">
        <f>L154+'2026 Φεβρουάριος'!N154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2'!F108</f>
        <v/>
      </c>
      <c r="E155" s="75">
        <f>D155/$D$117</f>
        <v/>
      </c>
      <c r="F155" s="65">
        <f>D155+'2026 Φεβρουάριος'!F155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2'!F70</f>
        <v/>
      </c>
      <c r="E158" s="81" t="n"/>
      <c r="F158" s="64">
        <f>'2026_60-69 ΕΞΟΔΑ+ΟΜ 2'!S70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60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ΑΝΤΙΣΤΟΙΧΙΣΗ!$F$109</f>
        <v/>
      </c>
      <c r="E3" s="551" t="n"/>
      <c r="F3" s="550" t="n"/>
      <c r="G3" s="107">
        <f>ΑΝΤΙΣΤΟΙΧΙΣΗ!$D$34</f>
        <v/>
      </c>
      <c r="H3" s="549">
        <f>ΑΝΤΙΣΤΟΙΧΙΣΗ!$F$109</f>
        <v/>
      </c>
      <c r="I3" s="551" t="n"/>
      <c r="J3" s="550" t="n"/>
      <c r="K3" s="107">
        <f>ΑΝΤΙΣΤΟΙΧΙΣΗ!$D$34</f>
        <v/>
      </c>
      <c r="L3" s="549">
        <f>ΑΝΤΙΣΤΟΙΧΙΣΗ!$F$123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'2026_ΕΣΟΔΑ'!F2</f>
        <v/>
      </c>
      <c r="E8" s="53">
        <f>D8/$D$7</f>
        <v/>
      </c>
      <c r="F8" s="54">
        <f>D8+'2026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H8+'2026 Μάρτιος'!J8</f>
        <v/>
      </c>
      <c r="K8" s="53">
        <f>J8/$J$7</f>
        <v/>
      </c>
      <c r="L8" s="89">
        <f>'2024_60-69 ΕΞΟΔΑ+ΟΜ 2'!F114</f>
        <v/>
      </c>
      <c r="M8" s="53">
        <f>L8/$L$7</f>
        <v/>
      </c>
      <c r="N8" s="54">
        <f>L8+'2026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'2026_ΕΣΟΔΑ'!F3</f>
        <v/>
      </c>
      <c r="E9" s="53">
        <f>D9/$D$7</f>
        <v/>
      </c>
      <c r="F9" s="54">
        <f>D9+'2026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H9+'2026 Μάρτιος'!J9</f>
        <v/>
      </c>
      <c r="K9" s="53">
        <f>J9/$J$7</f>
        <v/>
      </c>
      <c r="L9" s="89">
        <f>'2024_60-69 ΕΞΟΔΑ+ΟΜ 2'!F115</f>
        <v/>
      </c>
      <c r="M9" s="53">
        <f>L9/$L$7</f>
        <v/>
      </c>
      <c r="N9" s="54">
        <f>L9+'2026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'2026_ΕΣΟΔΑ'!F4</f>
        <v/>
      </c>
      <c r="E10" s="53">
        <f>D10/$D$7</f>
        <v/>
      </c>
      <c r="F10" s="54">
        <f>D10+'2026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H10+'2026 Μάρτιος'!J10</f>
        <v/>
      </c>
      <c r="K10" s="53">
        <f>J10/$J$7</f>
        <v/>
      </c>
      <c r="L10" s="89">
        <f>'2024_60-69 ΕΞΟΔΑ+ΟΜ 2'!F116</f>
        <v/>
      </c>
      <c r="M10" s="53">
        <f>L10/$L$7</f>
        <v/>
      </c>
      <c r="N10" s="54">
        <f>L10+'2026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'2026_ΕΣΟΔΑ'!F5</f>
        <v/>
      </c>
      <c r="E11" s="53">
        <f>D11/$D$7</f>
        <v/>
      </c>
      <c r="F11" s="54">
        <f>D11+'2026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H11+'2026 Μάρτιος'!J11</f>
        <v/>
      </c>
      <c r="K11" s="53">
        <f>J11/$J$7</f>
        <v/>
      </c>
      <c r="L11" s="89">
        <f>'2024_60-69 ΕΞΟΔΑ+ΟΜ 2'!F117</f>
        <v/>
      </c>
      <c r="M11" s="53">
        <f>L11/$L$7</f>
        <v/>
      </c>
      <c r="N11" s="54">
        <f>L11+'2026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'2026_ΕΣΟΔΑ'!F6</f>
        <v/>
      </c>
      <c r="E12" s="53">
        <f>D12/$D$7</f>
        <v/>
      </c>
      <c r="F12" s="54">
        <f>D12+'2026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H12+'2026 Μάρτιος'!J12</f>
        <v/>
      </c>
      <c r="K12" s="53">
        <f>J12/$J$7</f>
        <v/>
      </c>
      <c r="L12" s="89">
        <f>'2024_60-69 ΕΞΟΔΑ+ΟΜ 2'!F118</f>
        <v/>
      </c>
      <c r="M12" s="53">
        <f>L12/$L$7</f>
        <v/>
      </c>
      <c r="N12" s="54">
        <f>L12+'2026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'2026_ΕΣΟΔΑ'!F7</f>
        <v/>
      </c>
      <c r="E13" s="53">
        <f>D13/$D$7</f>
        <v/>
      </c>
      <c r="F13" s="54">
        <f>D13+'2026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H13+'2026 Μάρτιος'!J13</f>
        <v/>
      </c>
      <c r="K13" s="53">
        <f>J13/$J$7</f>
        <v/>
      </c>
      <c r="L13" s="89">
        <f>'2024_60-69 ΕΞΟΔΑ+ΟΜ 2'!F119</f>
        <v/>
      </c>
      <c r="M13" s="53">
        <f>L13/$L$7</f>
        <v/>
      </c>
      <c r="N13" s="54">
        <f>L13+'2026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'2026_ΕΣΟΔΑ'!F8</f>
        <v/>
      </c>
      <c r="E14" s="53">
        <f>D14/$D$7</f>
        <v/>
      </c>
      <c r="F14" s="54">
        <f>D14+'2026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H14+'2026 Μάρτιος'!J14</f>
        <v/>
      </c>
      <c r="K14" s="53">
        <f>J14/$J$7</f>
        <v/>
      </c>
      <c r="L14" s="89">
        <f>'2024_60-69 ΕΞΟΔΑ+ΟΜ 2'!F120</f>
        <v/>
      </c>
      <c r="M14" s="53">
        <f>L14/$L$7</f>
        <v/>
      </c>
      <c r="N14" s="54">
        <f>L14+'2026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'2026_ΕΣΟΔΑ'!F9</f>
        <v/>
      </c>
      <c r="E15" s="53">
        <f>D15/$D$7</f>
        <v/>
      </c>
      <c r="F15" s="54">
        <f>D15+'2026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H15+'2026 Μάρτιος'!J15</f>
        <v/>
      </c>
      <c r="K15" s="53">
        <f>J15/$J$7</f>
        <v/>
      </c>
      <c r="L15" s="89">
        <f>'2024_60-69 ΕΞΟΔΑ+ΟΜ 2'!F121</f>
        <v/>
      </c>
      <c r="M15" s="53">
        <f>L15/$L$7</f>
        <v/>
      </c>
      <c r="N15" s="54">
        <f>L15+'2026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'2026_ΕΣΟΔΑ'!F10</f>
        <v/>
      </c>
      <c r="E16" s="53">
        <f>D16/$D$7</f>
        <v/>
      </c>
      <c r="F16" s="54">
        <f>D16+'2026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H16+'2026 Μάρτιος'!J16</f>
        <v/>
      </c>
      <c r="K16" s="53">
        <f>J16/$J$7</f>
        <v/>
      </c>
      <c r="L16" s="89">
        <f>'2024_60-69 ΕΞΟΔΑ+ΟΜ 2'!F122</f>
        <v/>
      </c>
      <c r="M16" s="53">
        <f>L16/$L$7</f>
        <v/>
      </c>
      <c r="N16" s="54">
        <f>L16+'2026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'2026_ΕΣΟΔΑ'!F11</f>
        <v/>
      </c>
      <c r="E17" s="53">
        <f>D17/$D$7</f>
        <v/>
      </c>
      <c r="F17" s="54">
        <f>D17+'2026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H17+'2026 Μάρτιος'!J17</f>
        <v/>
      </c>
      <c r="K17" s="53">
        <f>J17/$J$7</f>
        <v/>
      </c>
      <c r="L17" s="89">
        <f>'2024_60-69 ΕΞΟΔΑ+ΟΜ 2'!F123</f>
        <v/>
      </c>
      <c r="M17" s="53">
        <f>L17/$L$7</f>
        <v/>
      </c>
      <c r="N17" s="54">
        <f>L17+'2026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'2026_ΕΣΟΔΑ'!F12</f>
        <v/>
      </c>
      <c r="E18" s="53">
        <f>D18/$D$7</f>
        <v/>
      </c>
      <c r="F18" s="54">
        <f>D18+'2026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H18+'2026 Μάρτιος'!J18</f>
        <v/>
      </c>
      <c r="K18" s="53">
        <f>J18/$J$7</f>
        <v/>
      </c>
      <c r="L18" s="89">
        <f>'2024_60-69 ΕΞΟΔΑ+ΟΜ 2'!F124</f>
        <v/>
      </c>
      <c r="M18" s="53">
        <f>L18/$L$7</f>
        <v/>
      </c>
      <c r="N18" s="54">
        <f>L18+'2026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'2026_ΕΣΟΔΑ'!F13</f>
        <v/>
      </c>
      <c r="E19" s="53">
        <f>D19/$D$7</f>
        <v/>
      </c>
      <c r="F19" s="54">
        <f>D19+'2026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H19+'2026 Μάρτιος'!J19</f>
        <v/>
      </c>
      <c r="K19" s="53">
        <f>J19/$J$7</f>
        <v/>
      </c>
      <c r="L19" s="89">
        <f>'2024_60-69 ΕΞΟΔΑ+ΟΜ 2'!F125</f>
        <v/>
      </c>
      <c r="M19" s="53">
        <f>L19/$L$7</f>
        <v/>
      </c>
      <c r="N19" s="54">
        <f>L19+'2026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'2026_ΕΣΟΔΑ'!F14</f>
        <v/>
      </c>
      <c r="E20" s="53">
        <f>D20/$D$7</f>
        <v/>
      </c>
      <c r="F20" s="54">
        <f>D20+'2026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H20+'2026 Μάρτιος'!J20</f>
        <v/>
      </c>
      <c r="K20" s="53">
        <f>J20/$J$7</f>
        <v/>
      </c>
      <c r="L20" s="89">
        <f>'2024_60-69 ΕΞΟΔΑ+ΟΜ 2'!F126</f>
        <v/>
      </c>
      <c r="M20" s="53">
        <f>L20/$L$7</f>
        <v/>
      </c>
      <c r="N20" s="54">
        <f>L20+'2026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'2026_ΕΣΟΔΑ'!F15</f>
        <v/>
      </c>
      <c r="E21" s="53">
        <f>D21/$D$7</f>
        <v/>
      </c>
      <c r="F21" s="54">
        <f>D21+'2026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H21+'2026 Μάρτιος'!J21</f>
        <v/>
      </c>
      <c r="K21" s="53">
        <f>J21/$J$7</f>
        <v/>
      </c>
      <c r="L21" s="89">
        <f>'2024_60-69 ΕΞΟΔΑ+ΟΜ 2'!F127</f>
        <v/>
      </c>
      <c r="M21" s="53">
        <f>L21/$L$7</f>
        <v/>
      </c>
      <c r="N21" s="54">
        <f>L21+'2026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'2026_ΕΣΟΔΑ'!F16</f>
        <v/>
      </c>
      <c r="E22" s="53">
        <f>D22/$D$7</f>
        <v/>
      </c>
      <c r="F22" s="54">
        <f>D22+'2026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H22+'2026 Μάρτιος'!J22</f>
        <v/>
      </c>
      <c r="K22" s="53">
        <f>J22/$J$7</f>
        <v/>
      </c>
      <c r="L22" s="89">
        <f>'2024_60-69 ΕΞΟΔΑ+ΟΜ 2'!F128</f>
        <v/>
      </c>
      <c r="M22" s="53">
        <f>L22/$L$7</f>
        <v/>
      </c>
      <c r="N22" s="54">
        <f>L22+'2026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'2026_ΕΣΟΔΑ'!F17</f>
        <v/>
      </c>
      <c r="E23" s="53">
        <f>D23/$D$7</f>
        <v/>
      </c>
      <c r="F23" s="54">
        <f>D23+'2026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H23+'2026 Μάρτιος'!J23</f>
        <v/>
      </c>
      <c r="K23" s="53">
        <f>J23/$J$7</f>
        <v/>
      </c>
      <c r="L23" s="89">
        <f>'2024_60-69 ΕΞΟΔΑ+ΟΜ 2'!F129</f>
        <v/>
      </c>
      <c r="M23" s="53">
        <f>L23/$L$7</f>
        <v/>
      </c>
      <c r="N23" s="54">
        <f>L23+'2026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'2026_ΕΣΟΔΑ'!F19</f>
        <v/>
      </c>
      <c r="E25" s="53">
        <f>D25/$D$7</f>
        <v/>
      </c>
      <c r="F25" s="54">
        <f>D25+'2026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H25+'2026 Μάρτιος'!J25</f>
        <v/>
      </c>
      <c r="K25" s="53">
        <f>J25/$J$7</f>
        <v/>
      </c>
      <c r="L25" s="89">
        <f>'2024_60-69 ΕΞΟΔΑ+ΟΜ 2'!F130</f>
        <v/>
      </c>
      <c r="M25" s="53">
        <f>L25/$L$7</f>
        <v/>
      </c>
      <c r="N25" s="54">
        <f>L25+'2026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'2026_ΕΣΟΔΑ'!F20</f>
        <v/>
      </c>
      <c r="E26" s="53">
        <f>D26/$D$7</f>
        <v/>
      </c>
      <c r="F26" s="54">
        <f>D26+'2026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H26+'2026 Μάρτιος'!J26</f>
        <v/>
      </c>
      <c r="K26" s="53">
        <f>J26/$J$7</f>
        <v/>
      </c>
      <c r="L26" s="89">
        <f>'2024_60-69 ΕΞΟΔΑ+ΟΜ 2'!F131</f>
        <v/>
      </c>
      <c r="M26" s="53">
        <f>L26/$L$7</f>
        <v/>
      </c>
      <c r="N26" s="54">
        <f>L26+'2026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'2026_ΕΣΟΔΑ'!F21</f>
        <v/>
      </c>
      <c r="E27" s="53">
        <f>D27/$D$7</f>
        <v/>
      </c>
      <c r="F27" s="54">
        <f>D27+'2026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H27+'2026 Μάρτιος'!J27</f>
        <v/>
      </c>
      <c r="K27" s="53">
        <f>J27/$J$7</f>
        <v/>
      </c>
      <c r="L27" s="89">
        <f>'2024_60-69 ΕΞΟΔΑ+ΟΜ 2'!F132</f>
        <v/>
      </c>
      <c r="M27" s="53">
        <f>L27/$L$7</f>
        <v/>
      </c>
      <c r="N27" s="54">
        <f>L27+'2026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'2026_ΕΣΟΔΑ'!F22</f>
        <v/>
      </c>
      <c r="E28" s="53">
        <f>D28/$D$7</f>
        <v/>
      </c>
      <c r="F28" s="54">
        <f>D28+'2026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H28+'2026 Μάρτιος'!J28</f>
        <v/>
      </c>
      <c r="K28" s="53">
        <f>J28/$J$7</f>
        <v/>
      </c>
      <c r="L28" s="89">
        <f>'2024_60-69 ΕΞΟΔΑ+ΟΜ 2'!F133</f>
        <v/>
      </c>
      <c r="M28" s="53">
        <f>L28/$L$7</f>
        <v/>
      </c>
      <c r="N28" s="54">
        <f>L28+'2026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'2026_ΕΣΟΔΑ'!F23</f>
        <v/>
      </c>
      <c r="E29" s="53">
        <f>D29/$D$7</f>
        <v/>
      </c>
      <c r="F29" s="54">
        <f>D29+'2026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H29+'2026 Μάρτιος'!J29</f>
        <v/>
      </c>
      <c r="K29" s="53">
        <f>J29/$J$7</f>
        <v/>
      </c>
      <c r="L29" s="89">
        <f>'2024_60-69 ΕΞΟΔΑ+ΟΜ 2'!F134</f>
        <v/>
      </c>
      <c r="M29" s="53">
        <f>L29/$L$7</f>
        <v/>
      </c>
      <c r="N29" s="54">
        <f>L29+'2026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'2026_ΕΣΟΔΑ'!F24</f>
        <v/>
      </c>
      <c r="E30" s="53">
        <f>D30/$D$7</f>
        <v/>
      </c>
      <c r="F30" s="54">
        <f>D30+'2026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H30+'2026 Μάρτιος'!J30</f>
        <v/>
      </c>
      <c r="K30" s="53">
        <f>J30/$J$7</f>
        <v/>
      </c>
      <c r="L30" s="89">
        <f>'2024_60-69 ΕΞΟΔΑ+ΟΜ 2'!F135</f>
        <v/>
      </c>
      <c r="M30" s="53">
        <f>L30/$L$7</f>
        <v/>
      </c>
      <c r="N30" s="54">
        <f>L30+'2026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'2026_ΕΣΟΔΑ'!F25</f>
        <v/>
      </c>
      <c r="E31" s="53">
        <f>D31/$D$7</f>
        <v/>
      </c>
      <c r="F31" s="54">
        <f>D31+'2026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H31+'2026 Μάρτιος'!J31</f>
        <v/>
      </c>
      <c r="K31" s="53">
        <f>J31/$J$7</f>
        <v/>
      </c>
      <c r="L31" s="89">
        <f>'2024_60-69 ΕΞΟΔΑ+ΟΜ 2'!F136</f>
        <v/>
      </c>
      <c r="M31" s="53">
        <f>L31/$L$7</f>
        <v/>
      </c>
      <c r="N31" s="54">
        <f>L31+'2026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'2026_ΕΣΟΔΑ'!F26</f>
        <v/>
      </c>
      <c r="E32" s="53">
        <f>D32/$D$7</f>
        <v/>
      </c>
      <c r="F32" s="54">
        <f>D32+'2026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H32+'2026 Μάρτιος'!J32</f>
        <v/>
      </c>
      <c r="K32" s="53">
        <f>J32/$J$7</f>
        <v/>
      </c>
      <c r="L32" s="89">
        <f>'2024_60-69 ΕΞΟΔΑ+ΟΜ 2'!F137</f>
        <v/>
      </c>
      <c r="M32" s="53">
        <f>L32/$L$7</f>
        <v/>
      </c>
      <c r="N32" s="54">
        <f>L32+'2026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'2026_ΕΣΟΔΑ'!F27</f>
        <v/>
      </c>
      <c r="E33" s="53">
        <f>D33/$D$7</f>
        <v/>
      </c>
      <c r="F33" s="54">
        <f>D33+'2026 Μάρτιος'!F33</f>
        <v/>
      </c>
      <c r="G33" s="53">
        <f>F33/$F$7</f>
        <v/>
      </c>
      <c r="H33" s="54" t="n"/>
      <c r="I33" s="53">
        <f>H33/$H$7</f>
        <v/>
      </c>
      <c r="J33" s="54">
        <f>H33+'2026 Μάρτιος'!J33</f>
        <v/>
      </c>
      <c r="K33" s="53">
        <f>J33/$J$7</f>
        <v/>
      </c>
      <c r="L33" s="89">
        <f>'2024_60-69 ΕΞΟΔΑ+ΟΜ 2'!F138</f>
        <v/>
      </c>
      <c r="M33" s="53">
        <f>L33/$L$7</f>
        <v/>
      </c>
      <c r="N33" s="54">
        <f>L33+'2026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'2026_ΕΣΟΔΑ'!F28</f>
        <v/>
      </c>
      <c r="E34" s="53">
        <f>D34/$D$7</f>
        <v/>
      </c>
      <c r="F34" s="54">
        <f>D34+'2026 Μάρτιος'!F34</f>
        <v/>
      </c>
      <c r="G34" s="53">
        <f>F34/$F$7</f>
        <v/>
      </c>
      <c r="H34" s="54" t="n"/>
      <c r="I34" s="53">
        <f>H34/$H$7</f>
        <v/>
      </c>
      <c r="J34" s="54">
        <f>H34+'2026 Μάρτιος'!J34</f>
        <v/>
      </c>
      <c r="K34" s="53">
        <f>J34/$J$7</f>
        <v/>
      </c>
      <c r="L34" s="89">
        <f>'2024_60-69 ΕΞΟΔΑ+ΟΜ 2'!F139</f>
        <v/>
      </c>
      <c r="M34" s="53">
        <f>L34/$L$7</f>
        <v/>
      </c>
      <c r="N34" s="54">
        <f>L34+'2026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'2026_ΕΣΟΔΑ'!F29</f>
        <v/>
      </c>
      <c r="E35" s="53">
        <f>D35/$D$7</f>
        <v/>
      </c>
      <c r="F35" s="54">
        <f>D35+'2026 Μάρτιος'!F35</f>
        <v/>
      </c>
      <c r="G35" s="53">
        <f>F35/$F$7</f>
        <v/>
      </c>
      <c r="H35" s="54" t="n"/>
      <c r="I35" s="53">
        <f>H35/$H$7</f>
        <v/>
      </c>
      <c r="J35" s="54">
        <f>H35+'2026 Μάρτιος'!J35</f>
        <v/>
      </c>
      <c r="K35" s="53">
        <f>J35/$J$7</f>
        <v/>
      </c>
      <c r="L35" s="89">
        <f>'2024_60-69 ΕΞΟΔΑ+ΟΜ 2'!F140</f>
        <v/>
      </c>
      <c r="M35" s="53">
        <f>L35/$L$7</f>
        <v/>
      </c>
      <c r="N35" s="54">
        <f>L35+'2026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'2026_ΕΣΟΔΑ'!F30</f>
        <v/>
      </c>
      <c r="E36" s="53">
        <f>D36/$D$7</f>
        <v/>
      </c>
      <c r="F36" s="54">
        <f>D36+'2026 Μάρτιος'!F36</f>
        <v/>
      </c>
      <c r="G36" s="53">
        <f>F36/$F$7</f>
        <v/>
      </c>
      <c r="H36" s="54" t="n"/>
      <c r="I36" s="53">
        <f>H36/$H$7</f>
        <v/>
      </c>
      <c r="J36" s="54">
        <f>H36+'2026 Μάρτιος'!J36</f>
        <v/>
      </c>
      <c r="K36" s="53">
        <f>J36/$J$7</f>
        <v/>
      </c>
      <c r="L36" s="89">
        <f>'2024_60-69 ΕΞΟΔΑ+ΟΜ 2'!F141</f>
        <v/>
      </c>
      <c r="M36" s="53">
        <f>L36/$L$7</f>
        <v/>
      </c>
      <c r="N36" s="54">
        <f>L36+'2026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'2026_ΕΣΟΔΑ'!F31</f>
        <v/>
      </c>
      <c r="E37" s="53">
        <f>D37/$D$7</f>
        <v/>
      </c>
      <c r="F37" s="54">
        <f>D37+'2026 Μάρτιος'!F37</f>
        <v/>
      </c>
      <c r="G37" s="53">
        <f>F37/$F$7</f>
        <v/>
      </c>
      <c r="H37" s="54" t="n"/>
      <c r="I37" s="53">
        <f>H37/$H$7</f>
        <v/>
      </c>
      <c r="J37" s="54">
        <f>H37+'2026 Μάρτιος'!J37</f>
        <v/>
      </c>
      <c r="K37" s="53">
        <f>J37/$J$7</f>
        <v/>
      </c>
      <c r="L37" s="89">
        <f>'2024_60-69 ΕΞΟΔΑ+ΟΜ 2'!F142</f>
        <v/>
      </c>
      <c r="M37" s="53">
        <f>L37/$L$7</f>
        <v/>
      </c>
      <c r="N37" s="54">
        <f>L37+'2026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'2026_ΕΣΟΔΑ'!F32</f>
        <v/>
      </c>
      <c r="E38" s="53">
        <f>D38/$D$7</f>
        <v/>
      </c>
      <c r="F38" s="54">
        <f>D38+'2026 Μάρτιος'!F38</f>
        <v/>
      </c>
      <c r="G38" s="53">
        <f>F38/$F$7</f>
        <v/>
      </c>
      <c r="H38" s="54" t="n"/>
      <c r="I38" s="53">
        <f>H38/$H$7</f>
        <v/>
      </c>
      <c r="J38" s="54">
        <f>H38+'2026 Μάρτιος'!J38</f>
        <v/>
      </c>
      <c r="K38" s="53">
        <f>J38/$J$7</f>
        <v/>
      </c>
      <c r="L38" s="89">
        <f>'2024_60-69 ΕΞΟΔΑ+ΟΜ 2'!F143</f>
        <v/>
      </c>
      <c r="M38" s="53">
        <f>L38/$L$7</f>
        <v/>
      </c>
      <c r="N38" s="54">
        <f>L38+'2026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'2026_ΕΣΟΔΑ'!F33</f>
        <v/>
      </c>
      <c r="E39" s="81" t="n"/>
      <c r="F39" s="64">
        <f>'2026_ΕΣΟΔΑ'!F35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ΑΝΤΙΣΤΟΙΧΙΣΗ!$F$109</f>
        <v/>
      </c>
      <c r="E42" s="551" t="n"/>
      <c r="F42" s="550" t="n"/>
      <c r="G42" s="107">
        <f>ΑΝΤΙΣΤΟΙΧΙΣΗ!$D$34</f>
        <v/>
      </c>
      <c r="H42" s="549">
        <f>ΑΝΤΙΣΤΟΙΧΙΣΗ!$F$109</f>
        <v/>
      </c>
      <c r="I42" s="551" t="n"/>
      <c r="J42" s="550" t="n"/>
      <c r="K42" s="107">
        <f>ΑΝΤΙΣΤΟΙΧΙΣΗ!$D$34</f>
        <v/>
      </c>
      <c r="L42" s="549">
        <f>ΑΝΤΙΣΤΟΙΧΙΣΗ!$F$123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2'!G4</f>
        <v/>
      </c>
      <c r="E45" s="75">
        <f>D45/$D$44</f>
        <v/>
      </c>
      <c r="F45" s="65">
        <f>D45+'2026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H45+'2026 Μάρτιος'!J45</f>
        <v/>
      </c>
      <c r="K45" s="404">
        <f>J45/$J$44</f>
        <v/>
      </c>
      <c r="L45" s="56">
        <f>'2024_60-69 ΕΞΟΔΑ+ΟΜ 2'!G4</f>
        <v/>
      </c>
      <c r="M45" s="75">
        <f>L45/$L$44</f>
        <v/>
      </c>
      <c r="N45" s="65">
        <f>L45+'2026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2'!G5</f>
        <v/>
      </c>
      <c r="E46" s="75">
        <f>D46/$D$44</f>
        <v/>
      </c>
      <c r="F46" s="65">
        <f>D46+'2026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H46+'2026 Μάρτιος'!J46</f>
        <v/>
      </c>
      <c r="K46" s="404">
        <f>J46/$J$44</f>
        <v/>
      </c>
      <c r="L46" s="56">
        <f>'2024_60-69 ΕΞΟΔΑ+ΟΜ 2'!G5</f>
        <v/>
      </c>
      <c r="M46" s="75">
        <f>L46/$L$44</f>
        <v/>
      </c>
      <c r="N46" s="65">
        <f>L46+'2026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2'!G6</f>
        <v/>
      </c>
      <c r="E47" s="75">
        <f>D47/$D$44</f>
        <v/>
      </c>
      <c r="F47" s="65">
        <f>D47+'2026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H47+'2026 Μάρτιος'!J47</f>
        <v/>
      </c>
      <c r="K47" s="404">
        <f>J47/$J$44</f>
        <v/>
      </c>
      <c r="L47" s="56">
        <f>'2024_60-69 ΕΞΟΔΑ+ΟΜ 2'!G6</f>
        <v/>
      </c>
      <c r="M47" s="75">
        <f>L47/$L$44</f>
        <v/>
      </c>
      <c r="N47" s="65">
        <f>L47+'2026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t="33.7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2'!G7</f>
        <v/>
      </c>
      <c r="E48" s="75">
        <f>D48/$D$112</f>
        <v/>
      </c>
      <c r="F48" s="114">
        <f>D48+'2026 Μάρτιος'!F48</f>
        <v/>
      </c>
      <c r="G48" s="75">
        <f>F48/$F$85</f>
        <v/>
      </c>
      <c r="H48" s="56">
        <f>ΠΡΟΥΠΟΛΟΓΙΣΜΟΣ_ΕΞΟΔΑ!G167</f>
        <v/>
      </c>
      <c r="I48" s="401">
        <f>H48/$H$85</f>
        <v/>
      </c>
      <c r="J48" s="402">
        <f>H48+'2026 Μάρτιος'!J48</f>
        <v/>
      </c>
      <c r="K48" s="403">
        <f>J48/$J$85</f>
        <v/>
      </c>
      <c r="L48" s="114">
        <f>'2024_60-69 ΕΞΟΔΑ+ΟΜ 2'!G35</f>
        <v/>
      </c>
      <c r="M48" s="75">
        <f>L48/$L$85</f>
        <v/>
      </c>
      <c r="N48" s="65">
        <f>L48+'2026 Μάρτιος'!N48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2'!G8</f>
        <v/>
      </c>
      <c r="E49" s="75">
        <f>D49/$D$112</f>
        <v/>
      </c>
      <c r="F49" s="114">
        <f>D49+'2026 Μάρτιος'!F49</f>
        <v/>
      </c>
      <c r="G49" s="75">
        <f>F49/$F$85</f>
        <v/>
      </c>
      <c r="H49" s="56">
        <f>ΠΡΟΥΠΟΛΟΓΙΣΜΟΣ_ΕΞΟΔΑ!G172</f>
        <v/>
      </c>
      <c r="I49" s="401">
        <f>H49/$H$85</f>
        <v/>
      </c>
      <c r="J49" s="402">
        <f>H49+'2026 Μάρτιος'!J49</f>
        <v/>
      </c>
      <c r="K49" s="403">
        <f>J49/$J$85</f>
        <v/>
      </c>
      <c r="L49" s="114" t="n">
        <v>1730.58</v>
      </c>
      <c r="M49" s="75">
        <f>L49/$L$85</f>
        <v/>
      </c>
      <c r="N49" s="65">
        <f>L49+'2026 Μάρτιος'!N49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2'!G9</f>
        <v/>
      </c>
      <c r="E50" s="75">
        <f>D50/$D$44</f>
        <v/>
      </c>
      <c r="F50" s="65">
        <f>D50+'2026 Μάρτιος'!F50</f>
        <v/>
      </c>
      <c r="G50" s="75">
        <f>F50/$F$44</f>
        <v/>
      </c>
      <c r="H50" s="56">
        <f>ΠΡΟΥΠΟΛΟΓΙΣΜΟΣ_ΕΞΟΔΑ!G23</f>
        <v/>
      </c>
      <c r="I50" s="400">
        <f>H50/$H$44</f>
        <v/>
      </c>
      <c r="J50" s="65">
        <f>H50+'2026 Μάρτιος'!J50</f>
        <v/>
      </c>
      <c r="K50" s="404">
        <f>J50/$J$44</f>
        <v/>
      </c>
      <c r="L50" s="56">
        <f>'2024_60-69 ΕΞΟΔΑ+ΟΜ 2'!G7</f>
        <v/>
      </c>
      <c r="M50" s="75">
        <f>L50/$L$44</f>
        <v/>
      </c>
      <c r="N50" s="65">
        <f>L50+'2026 Μάρτιος'!N50</f>
        <v/>
      </c>
      <c r="O50" s="75">
        <f>N50/$N$44</f>
        <v/>
      </c>
      <c r="P50" s="65">
        <f>F50-N50</f>
        <v/>
      </c>
      <c r="Q50" s="75">
        <f>N50/J50</f>
        <v/>
      </c>
      <c r="R50" s="100" t="n"/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2'!G10</f>
        <v/>
      </c>
      <c r="E51" s="75">
        <f>D51/$D$44</f>
        <v/>
      </c>
      <c r="F51" s="65">
        <f>D51+'2026 Μάρτιος'!F51</f>
        <v/>
      </c>
      <c r="G51" s="75">
        <f>F51/$F$44</f>
        <v/>
      </c>
      <c r="H51" s="56">
        <f>ΠΡΟΥΠΟΛΟΓΙΣΜΟΣ_ΕΞΟΔΑ!G28</f>
        <v/>
      </c>
      <c r="I51" s="400">
        <f>H51/$H$44</f>
        <v/>
      </c>
      <c r="J51" s="65">
        <f>H51+'2026 Μάρτιος'!J51</f>
        <v/>
      </c>
      <c r="K51" s="404">
        <f>J51/$J$44</f>
        <v/>
      </c>
      <c r="L51" s="56">
        <f>'2024_60-69 ΕΞΟΔΑ+ΟΜ 2'!G8</f>
        <v/>
      </c>
      <c r="M51" s="75">
        <f>L51/$L$44</f>
        <v/>
      </c>
      <c r="N51" s="65">
        <f>L51+'2026 Μάρτιος'!N51</f>
        <v/>
      </c>
      <c r="O51" s="75">
        <f>N51/$N$44</f>
        <v/>
      </c>
      <c r="P51" s="65">
        <f>F51-N51</f>
        <v/>
      </c>
      <c r="Q51" s="75">
        <f>N51/J51</f>
        <v/>
      </c>
      <c r="R51" s="100" t="n"/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2'!G11</f>
        <v/>
      </c>
      <c r="E52" s="75">
        <f>D52/$D$44</f>
        <v/>
      </c>
      <c r="F52" s="65">
        <f>D52+'2026 Μάρτιος'!F52</f>
        <v/>
      </c>
      <c r="G52" s="75">
        <f>F52/$F$44</f>
        <v/>
      </c>
      <c r="H52" s="56">
        <f>ΠΡΟΥΠΟΛΟΓΙΣΜΟΣ_ΕΞΟΔΑ!G33</f>
        <v/>
      </c>
      <c r="I52" s="400">
        <f>H52/$H$44</f>
        <v/>
      </c>
      <c r="J52" s="65">
        <f>H52+'2026 Μάρτιος'!J52</f>
        <v/>
      </c>
      <c r="K52" s="404">
        <f>J52/$J$44</f>
        <v/>
      </c>
      <c r="L52" s="56">
        <f>'2024_60-69 ΕΞΟΔΑ+ΟΜ 2'!G9</f>
        <v/>
      </c>
      <c r="M52" s="75">
        <f>L52/$L$44</f>
        <v/>
      </c>
      <c r="N52" s="65">
        <f>L52+'2026 Μάρτιος'!N52</f>
        <v/>
      </c>
      <c r="O52" s="75">
        <f>N52/$N$44</f>
        <v/>
      </c>
      <c r="P52" s="65">
        <f>F52-N52</f>
        <v/>
      </c>
      <c r="Q52" s="75">
        <f>N52/J52</f>
        <v/>
      </c>
      <c r="R52" s="100" t="n"/>
      <c r="V52" s="235" t="n"/>
    </row>
    <row r="53" ht="24.7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2'!G12</f>
        <v/>
      </c>
      <c r="E53" s="75">
        <f>D53/$D$112</f>
        <v/>
      </c>
      <c r="F53" s="114">
        <f>D53+'2026 Μάρτιος'!F88</f>
        <v/>
      </c>
      <c r="G53" s="75">
        <f>F53/$F$85</f>
        <v/>
      </c>
      <c r="H53" s="56">
        <f>ΠΡΟΥΠΟΛΟΓΙΣΜΟΣ_ΕΞΟΔΑ!G187</f>
        <v/>
      </c>
      <c r="I53" s="401">
        <f>H53/$H$85</f>
        <v/>
      </c>
      <c r="J53" s="402">
        <f>H53+'2026 Μάρτιος'!J88</f>
        <v/>
      </c>
      <c r="K53" s="403">
        <f>J53/$J$85</f>
        <v/>
      </c>
      <c r="L53" s="114" t="n">
        <v>498.13</v>
      </c>
      <c r="M53" s="75">
        <f>L53/$L$85</f>
        <v/>
      </c>
      <c r="N53" s="65">
        <f>L53+'2026 Μάρτιος'!N88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2'!G13</f>
        <v/>
      </c>
      <c r="E54" s="75">
        <f>D54/$D$112</f>
        <v/>
      </c>
      <c r="F54" s="114">
        <f>D54+'2026 Μάρτιος'!F53</f>
        <v/>
      </c>
      <c r="G54" s="75">
        <f>F54/$F$85</f>
        <v/>
      </c>
      <c r="H54" s="56">
        <f>ΠΡΟΥΠΟΛΟΓΙΣΜΟΣ_ΕΞΟΔΑ!G192</f>
        <v/>
      </c>
      <c r="I54" s="401">
        <f>H54/$H$85</f>
        <v/>
      </c>
      <c r="J54" s="402">
        <f>H54+'2026 Μάρτιος'!J53</f>
        <v/>
      </c>
      <c r="K54" s="403">
        <f>J54/$J$85</f>
        <v/>
      </c>
      <c r="L54" s="114" t="n">
        <v>385.75</v>
      </c>
      <c r="M54" s="75">
        <f>L54/$L$85</f>
        <v/>
      </c>
      <c r="N54" s="65">
        <f>L54+'2026 Μάρτιος'!N53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2'!G14</f>
        <v/>
      </c>
      <c r="E55" s="75">
        <f>D55/$D$44</f>
        <v/>
      </c>
      <c r="F55" s="65">
        <f>D55+'2026 Μάρτιος'!F55</f>
        <v/>
      </c>
      <c r="G55" s="75">
        <f>F55/$F$44</f>
        <v/>
      </c>
      <c r="H55" s="56">
        <f>ΠΡΟΥΠΟΛΟΓΙΣΜΟΣ_ΕΞΟΔΑ!G38</f>
        <v/>
      </c>
      <c r="I55" s="400">
        <f>H55/$H$44</f>
        <v/>
      </c>
      <c r="J55" s="65">
        <f>H55+'2026 Μάρτιος'!J55</f>
        <v/>
      </c>
      <c r="K55" s="404">
        <f>J55/$J$44</f>
        <v/>
      </c>
      <c r="L55" s="56">
        <f>'2024_60-69 ΕΞΟΔΑ+ΟΜ 2'!G10</f>
        <v/>
      </c>
      <c r="M55" s="75">
        <f>L55/$L$44</f>
        <v/>
      </c>
      <c r="N55" s="65">
        <f>L55+'2026 Μάρτιος'!N55</f>
        <v/>
      </c>
      <c r="O55" s="75">
        <f>N55/$N$44</f>
        <v/>
      </c>
      <c r="P55" s="65">
        <f>F55-N55</f>
        <v/>
      </c>
      <c r="Q55" s="75">
        <f>N55/J55</f>
        <v/>
      </c>
      <c r="R55" s="100" t="n"/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2'!G15</f>
        <v/>
      </c>
      <c r="E56" s="75">
        <f>D56/$D$44</f>
        <v/>
      </c>
      <c r="F56" s="65">
        <f>D56+'2026 Μάρτιος'!F56</f>
        <v/>
      </c>
      <c r="G56" s="75">
        <f>F56/$F$44</f>
        <v/>
      </c>
      <c r="H56" s="56">
        <f>ΠΡΟΥΠΟΛΟΓΙΣΜΟΣ_ΕΞΟΔΑ!G43</f>
        <v/>
      </c>
      <c r="I56" s="400">
        <f>H56/$H$44</f>
        <v/>
      </c>
      <c r="J56" s="65">
        <f>H56+'2026 Μάρτιος'!J56</f>
        <v/>
      </c>
      <c r="K56" s="404">
        <f>J56/$J$44</f>
        <v/>
      </c>
      <c r="L56" s="56">
        <f>'2024_60-69 ΕΞΟΔΑ+ΟΜ 2'!G11</f>
        <v/>
      </c>
      <c r="M56" s="75">
        <f>L56/$L$44</f>
        <v/>
      </c>
      <c r="N56" s="65">
        <f>L56+'2026 Μάρτιος'!N56</f>
        <v/>
      </c>
      <c r="O56" s="75">
        <f>N56/$N$44</f>
        <v/>
      </c>
      <c r="P56" s="65">
        <f>F56-N56</f>
        <v/>
      </c>
      <c r="Q56" s="75">
        <f>N56/J56</f>
        <v/>
      </c>
      <c r="R56" s="100" t="n"/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2'!G16</f>
        <v/>
      </c>
      <c r="E57" s="75">
        <f>D57/$D$44</f>
        <v/>
      </c>
      <c r="F57" s="65">
        <f>D57+'2026 Μάρτιος'!F57</f>
        <v/>
      </c>
      <c r="G57" s="75">
        <f>F57/$F$44</f>
        <v/>
      </c>
      <c r="H57" s="56">
        <f>ΠΡΟΥΠΟΛΟΓΙΣΜΟΣ_ΕΞΟΔΑ!G48</f>
        <v/>
      </c>
      <c r="I57" s="400">
        <f>H57/$H$44</f>
        <v/>
      </c>
      <c r="J57" s="65">
        <f>H57+'2026 Μάρτιος'!J57</f>
        <v/>
      </c>
      <c r="K57" s="404">
        <f>J57/$J$44</f>
        <v/>
      </c>
      <c r="L57" s="56">
        <f>'2024_60-69 ΕΞΟΔΑ+ΟΜ 2'!G12</f>
        <v/>
      </c>
      <c r="M57" s="75">
        <f>L57/$L$44</f>
        <v/>
      </c>
      <c r="N57" s="65">
        <f>L57+'2026 Μάρτιος'!N57</f>
        <v/>
      </c>
      <c r="O57" s="75">
        <f>N57/$N$44</f>
        <v/>
      </c>
      <c r="P57" s="65">
        <f>F57-N57</f>
        <v/>
      </c>
      <c r="Q57" s="75">
        <f>N57/J57</f>
        <v/>
      </c>
      <c r="R57" s="100" t="n"/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2'!G17</f>
        <v/>
      </c>
      <c r="E58" s="75">
        <f>D58/$D$44</f>
        <v/>
      </c>
      <c r="F58" s="65">
        <f>D58+'2026 Μάρτιος'!F58</f>
        <v/>
      </c>
      <c r="G58" s="75">
        <f>F58/$F$44</f>
        <v/>
      </c>
      <c r="H58" s="56">
        <f>ΠΡΟΥΠΟΛΟΓΙΣΜΟΣ_ΕΞΟΔΑ!G53</f>
        <v/>
      </c>
      <c r="I58" s="400">
        <f>H58/$H$44</f>
        <v/>
      </c>
      <c r="J58" s="65">
        <f>H58+'2026 Μάρτιος'!J58</f>
        <v/>
      </c>
      <c r="K58" s="404">
        <f>J58/$J$44</f>
        <v/>
      </c>
      <c r="L58" s="56">
        <f>'2024_60-69 ΕΞΟΔΑ+ΟΜ 2'!G13</f>
        <v/>
      </c>
      <c r="M58" s="75">
        <f>L58/$L$44</f>
        <v/>
      </c>
      <c r="N58" s="65">
        <f>L58+'2026 Μάρτιος'!N58</f>
        <v/>
      </c>
      <c r="O58" s="75">
        <f>N58/$N$44</f>
        <v/>
      </c>
      <c r="P58" s="65">
        <f>F58-N58</f>
        <v/>
      </c>
      <c r="Q58" s="75">
        <f>N58/J58</f>
        <v/>
      </c>
      <c r="R58" s="100" t="n"/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2'!G18</f>
        <v/>
      </c>
      <c r="E59" s="75">
        <f>D59/$D$44</f>
        <v/>
      </c>
      <c r="F59" s="65">
        <f>D59+'2026 Μάρτιος'!F59</f>
        <v/>
      </c>
      <c r="G59" s="75">
        <f>F59/$F$44</f>
        <v/>
      </c>
      <c r="H59" s="56">
        <f>ΠΡΟΥΠΟΛΟΓΙΣΜΟΣ_ΕΞΟΔΑ!G58</f>
        <v/>
      </c>
      <c r="I59" s="400">
        <f>H59/$H$44</f>
        <v/>
      </c>
      <c r="J59" s="65">
        <f>H59+'2026 Μάρτιος'!J59</f>
        <v/>
      </c>
      <c r="K59" s="404">
        <f>J59/$J$44</f>
        <v/>
      </c>
      <c r="L59" s="56">
        <f>'2024_60-69 ΕΞΟΔΑ+ΟΜ 2'!G14</f>
        <v/>
      </c>
      <c r="M59" s="75">
        <f>L59/$L$44</f>
        <v/>
      </c>
      <c r="N59" s="65">
        <f>L59+'2026 Μάρτιος'!N59</f>
        <v/>
      </c>
      <c r="O59" s="75">
        <f>N59/$N$44</f>
        <v/>
      </c>
      <c r="P59" s="65">
        <f>F59-N59</f>
        <v/>
      </c>
      <c r="Q59" s="75">
        <f>N59/J59</f>
        <v/>
      </c>
      <c r="R59" s="100" t="n"/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2'!G19</f>
        <v/>
      </c>
      <c r="E60" s="75">
        <f>D60/$D$44</f>
        <v/>
      </c>
      <c r="F60" s="65">
        <f>D60+'2026 Μάρτιος'!F60</f>
        <v/>
      </c>
      <c r="G60" s="75">
        <f>F60/$F$44</f>
        <v/>
      </c>
      <c r="H60" s="56">
        <f>ΠΡΟΥΠΟΛΟΓΙΣΜΟΣ_ΕΞΟΔΑ!G63</f>
        <v/>
      </c>
      <c r="I60" s="400">
        <f>H60/$H$44</f>
        <v/>
      </c>
      <c r="J60" s="65">
        <f>H60+'2026 Μάρτιος'!J60</f>
        <v/>
      </c>
      <c r="K60" s="404">
        <f>J60/$J$44</f>
        <v/>
      </c>
      <c r="L60" s="56">
        <f>'2024_60-69 ΕΞΟΔΑ+ΟΜ 2'!G15</f>
        <v/>
      </c>
      <c r="M60" s="75">
        <f>L60/$L$44</f>
        <v/>
      </c>
      <c r="N60" s="65">
        <f>L60+'2026 Μάρτιος'!N60</f>
        <v/>
      </c>
      <c r="O60" s="75">
        <f>N60/$N$44</f>
        <v/>
      </c>
      <c r="P60" s="65">
        <f>F60-N60</f>
        <v/>
      </c>
      <c r="Q60" s="75">
        <f>N60/J60</f>
        <v/>
      </c>
      <c r="R60" s="100" t="n"/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2'!G20</f>
        <v/>
      </c>
      <c r="E61" s="75">
        <f>D61/$D$44</f>
        <v/>
      </c>
      <c r="F61" s="65">
        <f>D61+'2026 Μάρτιος'!F61</f>
        <v/>
      </c>
      <c r="G61" s="75">
        <f>F61/$F$44</f>
        <v/>
      </c>
      <c r="H61" s="56">
        <f>ΠΡΟΥΠΟΛΟΓΙΣΜΟΣ_ΕΞΟΔΑ!G68</f>
        <v/>
      </c>
      <c r="I61" s="400">
        <f>H61/$H$44</f>
        <v/>
      </c>
      <c r="J61" s="65">
        <f>H61+'2026 Μάρτιος'!J61</f>
        <v/>
      </c>
      <c r="K61" s="404">
        <f>J61/$J$44</f>
        <v/>
      </c>
      <c r="L61" s="56">
        <f>'2024_60-69 ΕΞΟΔΑ+ΟΜ 2'!G16</f>
        <v/>
      </c>
      <c r="M61" s="75">
        <f>L61/$L$44</f>
        <v/>
      </c>
      <c r="N61" s="65">
        <f>L61+'2026 Μάρτιος'!N61</f>
        <v/>
      </c>
      <c r="O61" s="75">
        <f>N61/$N$44</f>
        <v/>
      </c>
      <c r="P61" s="65">
        <f>F61-N61</f>
        <v/>
      </c>
      <c r="Q61" s="75">
        <f>N61/J61</f>
        <v/>
      </c>
      <c r="R61" s="100" t="n"/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2'!G21</f>
        <v/>
      </c>
      <c r="E62" s="75">
        <f>D62/$D$44</f>
        <v/>
      </c>
      <c r="F62" s="65">
        <f>D62+'2026 Μάρτιος'!F62</f>
        <v/>
      </c>
      <c r="G62" s="75">
        <f>F62/$F$44</f>
        <v/>
      </c>
      <c r="H62" s="56">
        <f>ΠΡΟΥΠΟΛΟΓΙΣΜΟΣ_ΕΞΟΔΑ!G73</f>
        <v/>
      </c>
      <c r="I62" s="400">
        <f>H62/$H$44</f>
        <v/>
      </c>
      <c r="J62" s="65">
        <f>H62+'2026 Μάρτιος'!J62</f>
        <v/>
      </c>
      <c r="K62" s="404">
        <f>J62/$J$44</f>
        <v/>
      </c>
      <c r="L62" s="56">
        <f>'2024_60-69 ΕΞΟΔΑ+ΟΜ 2'!G17</f>
        <v/>
      </c>
      <c r="M62" s="75">
        <f>L62/$L$44</f>
        <v/>
      </c>
      <c r="N62" s="65">
        <f>L62+'2026 Μάρτιος'!N62</f>
        <v/>
      </c>
      <c r="O62" s="75">
        <f>N62/$N$44</f>
        <v/>
      </c>
      <c r="P62" s="65">
        <f>F62-N62</f>
        <v/>
      </c>
      <c r="Q62" s="75">
        <f>N62/J62</f>
        <v/>
      </c>
      <c r="R62" s="100" t="n"/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2'!G22</f>
        <v/>
      </c>
      <c r="E63" s="75">
        <f>D63/$D$44</f>
        <v/>
      </c>
      <c r="F63" s="65">
        <f>D63+'2026 Μάρτιος'!F63</f>
        <v/>
      </c>
      <c r="G63" s="75">
        <f>F63/$F$44</f>
        <v/>
      </c>
      <c r="H63" s="56">
        <f>ΠΡΟΥΠΟΛΟΓΙΣΜΟΣ_ΕΞΟΔΑ!G78</f>
        <v/>
      </c>
      <c r="I63" s="400">
        <f>H63/$H$44</f>
        <v/>
      </c>
      <c r="J63" s="65">
        <f>H63+'2026 Μάρτιος'!J63</f>
        <v/>
      </c>
      <c r="K63" s="404">
        <f>J63/$J$44</f>
        <v/>
      </c>
      <c r="L63" s="56">
        <f>'2024_60-69 ΕΞΟΔΑ+ΟΜ 2'!G18</f>
        <v/>
      </c>
      <c r="M63" s="75">
        <f>L63/$L$44</f>
        <v/>
      </c>
      <c r="N63" s="65">
        <f>L63+'2026 Μάρτιος'!N63</f>
        <v/>
      </c>
      <c r="O63" s="75">
        <f>N63/$N$44</f>
        <v/>
      </c>
      <c r="P63" s="65">
        <f>F63-N63</f>
        <v/>
      </c>
      <c r="Q63" s="75">
        <f>N63/J63</f>
        <v/>
      </c>
      <c r="R63" s="100" t="n"/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2'!G23</f>
        <v/>
      </c>
      <c r="E64" s="75">
        <f>D64/$D$44</f>
        <v/>
      </c>
      <c r="F64" s="65">
        <f>D64+'2026 Μάρτιος'!F64</f>
        <v/>
      </c>
      <c r="G64" s="75">
        <f>F64/$F$44</f>
        <v/>
      </c>
      <c r="H64" s="56">
        <f>ΠΡΟΥΠΟΛΟΓΙΣΜΟΣ_ΕΞΟΔΑ!G83</f>
        <v/>
      </c>
      <c r="I64" s="400">
        <f>H64/$H$44</f>
        <v/>
      </c>
      <c r="J64" s="65">
        <f>H64+'2026 Μάρτιος'!J64</f>
        <v/>
      </c>
      <c r="K64" s="404">
        <f>J64/$J$44</f>
        <v/>
      </c>
      <c r="L64" s="56">
        <f>'2024_60-69 ΕΞΟΔΑ+ΟΜ 2'!G19</f>
        <v/>
      </c>
      <c r="M64" s="75">
        <f>L64/$L$44</f>
        <v/>
      </c>
      <c r="N64" s="65">
        <f>L64+'2026 Μάρτιος'!N64</f>
        <v/>
      </c>
      <c r="O64" s="75">
        <f>N64/$N$44</f>
        <v/>
      </c>
      <c r="P64" s="65">
        <f>F64-N64</f>
        <v/>
      </c>
      <c r="Q64" s="75">
        <f>N64/J64</f>
        <v/>
      </c>
      <c r="R64" s="100" t="n"/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2'!G24</f>
        <v/>
      </c>
      <c r="E65" s="75">
        <f>D65/$D$44</f>
        <v/>
      </c>
      <c r="F65" s="65">
        <f>D65+'2026 Μάρτιος'!F65</f>
        <v/>
      </c>
      <c r="G65" s="75">
        <f>F65/$F$44</f>
        <v/>
      </c>
      <c r="H65" s="56">
        <f>ΠΡΟΥΠΟΛΟΓΙΣΜΟΣ_ΕΞΟΔΑ!G88</f>
        <v/>
      </c>
      <c r="I65" s="400">
        <f>H65/$H$44</f>
        <v/>
      </c>
      <c r="J65" s="65">
        <f>H65+'2026 Μάρτιος'!J65</f>
        <v/>
      </c>
      <c r="K65" s="404">
        <f>J65/$J$44</f>
        <v/>
      </c>
      <c r="L65" s="56">
        <f>'2024_60-69 ΕΞΟΔΑ+ΟΜ 2'!G20</f>
        <v/>
      </c>
      <c r="M65" s="75">
        <f>L65/$L$44</f>
        <v/>
      </c>
      <c r="N65" s="65">
        <f>L65+'2026 Μάρτιος'!N65</f>
        <v/>
      </c>
      <c r="O65" s="75">
        <f>N65/$N$44</f>
        <v/>
      </c>
      <c r="P65" s="65">
        <f>F65-N65</f>
        <v/>
      </c>
      <c r="Q65" s="75">
        <f>N65/J65</f>
        <v/>
      </c>
      <c r="R65" s="100" t="n"/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2'!G25</f>
        <v/>
      </c>
      <c r="E66" s="75">
        <f>D66/$D$44</f>
        <v/>
      </c>
      <c r="F66" s="65">
        <f>D66+'2026 Μάρτιος'!F66</f>
        <v/>
      </c>
      <c r="G66" s="75">
        <f>F66/$F$44</f>
        <v/>
      </c>
      <c r="H66" s="56">
        <f>ΠΡΟΥΠΟΛΟΓΙΣΜΟΣ_ΕΞΟΔΑ!G93</f>
        <v/>
      </c>
      <c r="I66" s="400">
        <f>H66/$H$44</f>
        <v/>
      </c>
      <c r="J66" s="65">
        <f>H66+'2026 Μάρτιος'!J66</f>
        <v/>
      </c>
      <c r="K66" s="404">
        <f>J66/$J$44</f>
        <v/>
      </c>
      <c r="L66" s="56">
        <f>'2024_60-69 ΕΞΟΔΑ+ΟΜ 2'!G21</f>
        <v/>
      </c>
      <c r="M66" s="75">
        <f>L66/$L$44</f>
        <v/>
      </c>
      <c r="N66" s="65">
        <f>L66+'2026 Μάρτιος'!N66</f>
        <v/>
      </c>
      <c r="O66" s="75">
        <f>N66/$N$44</f>
        <v/>
      </c>
      <c r="P66" s="65">
        <f>F66-N66</f>
        <v/>
      </c>
      <c r="Q66" s="75">
        <f>N66/J66</f>
        <v/>
      </c>
      <c r="R66" s="100" t="n"/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2'!G26</f>
        <v/>
      </c>
      <c r="E67" s="75">
        <f>D67/$D$44</f>
        <v/>
      </c>
      <c r="F67" s="65">
        <f>D67+'2026 Μάρτιος'!F67</f>
        <v/>
      </c>
      <c r="G67" s="75">
        <f>F67/$F$44</f>
        <v/>
      </c>
      <c r="H67" s="56">
        <f>ΠΡΟΥΠΟΛΟΓΙΣΜΟΣ_ΕΞΟΔΑ!G98</f>
        <v/>
      </c>
      <c r="I67" s="400">
        <f>H67/$H$44</f>
        <v/>
      </c>
      <c r="J67" s="65">
        <f>H67+'2026 Μάρτιος'!J67</f>
        <v/>
      </c>
      <c r="K67" s="404">
        <f>J67/$J$44</f>
        <v/>
      </c>
      <c r="L67" s="56">
        <f>'2024_60-69 ΕΞΟΔΑ+ΟΜ 2'!G22</f>
        <v/>
      </c>
      <c r="M67" s="75">
        <f>L67/$L$44</f>
        <v/>
      </c>
      <c r="N67" s="65">
        <f>L67+'2026 Μάρτιος'!N67</f>
        <v/>
      </c>
      <c r="O67" s="75">
        <f>N67/$N$44</f>
        <v/>
      </c>
      <c r="P67" s="65">
        <f>F67-N67</f>
        <v/>
      </c>
      <c r="Q67" s="75">
        <f>N67/J67</f>
        <v/>
      </c>
      <c r="R67" s="100" t="n"/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2'!G27</f>
        <v/>
      </c>
      <c r="E68" s="75">
        <f>D68/$D$44</f>
        <v/>
      </c>
      <c r="F68" s="65">
        <f>D68+'2026 Μάρτιος'!F68</f>
        <v/>
      </c>
      <c r="G68" s="75">
        <f>F68/$F$44</f>
        <v/>
      </c>
      <c r="H68" s="56">
        <f>ΠΡΟΥΠΟΛΟΓΙΣΜΟΣ_ΕΞΟΔΑ!G103</f>
        <v/>
      </c>
      <c r="I68" s="400">
        <f>H68/$H$44</f>
        <v/>
      </c>
      <c r="J68" s="65">
        <f>H68+'2026 Μάρτιος'!J68</f>
        <v/>
      </c>
      <c r="K68" s="404">
        <f>J68/$J$44</f>
        <v/>
      </c>
      <c r="L68" s="56">
        <f>'2024_60-69 ΕΞΟΔΑ+ΟΜ 2'!G23</f>
        <v/>
      </c>
      <c r="M68" s="75">
        <f>L68/$L$44</f>
        <v/>
      </c>
      <c r="N68" s="65">
        <f>L68+'2026 Μάρτιος'!N68</f>
        <v/>
      </c>
      <c r="O68" s="75">
        <f>N68/$N$44</f>
        <v/>
      </c>
      <c r="P68" s="65">
        <f>F68-N68</f>
        <v/>
      </c>
      <c r="Q68" s="75">
        <f>N68/J68</f>
        <v/>
      </c>
      <c r="R68" s="100" t="n"/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2'!G28</f>
        <v/>
      </c>
      <c r="E69" s="75">
        <f>D69/$D$44</f>
        <v/>
      </c>
      <c r="F69" s="65">
        <f>D69+'2026 Μάρτιος'!F69</f>
        <v/>
      </c>
      <c r="G69" s="75">
        <f>F69/$F$44</f>
        <v/>
      </c>
      <c r="H69" s="56">
        <f>ΠΡΟΥΠΟΛΟΓΙΣΜΟΣ_ΕΞΟΔΑ!G108</f>
        <v/>
      </c>
      <c r="I69" s="400">
        <f>H69/$H$44</f>
        <v/>
      </c>
      <c r="J69" s="65">
        <f>H69+'2026 Μάρτιος'!J69</f>
        <v/>
      </c>
      <c r="K69" s="404">
        <f>J69/$J$44</f>
        <v/>
      </c>
      <c r="L69" s="56">
        <f>'2024_60-69 ΕΞΟΔΑ+ΟΜ 2'!G24</f>
        <v/>
      </c>
      <c r="M69" s="75">
        <f>L69/$L$44</f>
        <v/>
      </c>
      <c r="N69" s="65">
        <f>L69+'2026 Μάρτιος'!N69</f>
        <v/>
      </c>
      <c r="O69" s="75">
        <f>N69/$N$44</f>
        <v/>
      </c>
      <c r="P69" s="65">
        <f>F69-N69</f>
        <v/>
      </c>
      <c r="Q69" s="75">
        <f>N69/J69</f>
        <v/>
      </c>
      <c r="R69" s="100" t="n"/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2'!G29</f>
        <v/>
      </c>
      <c r="E70" s="75">
        <f>D70/$D$44</f>
        <v/>
      </c>
      <c r="F70" s="65">
        <f>D70+'2026 Μάρτιος'!F70</f>
        <v/>
      </c>
      <c r="G70" s="75">
        <f>F70/$F$44</f>
        <v/>
      </c>
      <c r="H70" s="56">
        <f>ΠΡΟΥΠΟΛΟΓΙΣΜΟΣ_ΕΞΟΔΑ!G113</f>
        <v/>
      </c>
      <c r="I70" s="400">
        <f>H70/$H$44</f>
        <v/>
      </c>
      <c r="J70" s="65">
        <f>H70+'2026 Μάρτιος'!J70</f>
        <v/>
      </c>
      <c r="K70" s="404">
        <f>J70/$J$44</f>
        <v/>
      </c>
      <c r="L70" s="56">
        <f>'2024_60-69 ΕΞΟΔΑ+ΟΜ 2'!G25</f>
        <v/>
      </c>
      <c r="M70" s="75">
        <f>L70/$L$44</f>
        <v/>
      </c>
      <c r="N70" s="65">
        <f>L70+'2026 Μάρτιος'!N70</f>
        <v/>
      </c>
      <c r="O70" s="75">
        <f>N70/$N$44</f>
        <v/>
      </c>
      <c r="P70" s="65">
        <f>F70-N70</f>
        <v/>
      </c>
      <c r="Q70" s="75">
        <f>N70/J70</f>
        <v/>
      </c>
      <c r="R70" s="100" t="n"/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2'!G30</f>
        <v/>
      </c>
      <c r="E71" s="75">
        <f>D71/$D$44</f>
        <v/>
      </c>
      <c r="F71" s="65">
        <f>D71+'2026 Μάρτιος'!F71</f>
        <v/>
      </c>
      <c r="G71" s="75">
        <f>F71/$F$44</f>
        <v/>
      </c>
      <c r="H71" s="56">
        <f>ΠΡΟΥΠΟΛΟΓΙΣΜΟΣ_ΕΞΟΔΑ!G118</f>
        <v/>
      </c>
      <c r="I71" s="400">
        <f>H71/$H$44</f>
        <v/>
      </c>
      <c r="J71" s="65">
        <f>H71+'2026 Μάρτιος'!J71</f>
        <v/>
      </c>
      <c r="K71" s="404">
        <f>J71/$J$44</f>
        <v/>
      </c>
      <c r="L71" s="56">
        <f>'2024_60-69 ΕΞΟΔΑ+ΟΜ 2'!G26</f>
        <v/>
      </c>
      <c r="M71" s="75">
        <f>L71/$L$44</f>
        <v/>
      </c>
      <c r="N71" s="65">
        <f>L71+'2026 Μάρτιος'!N71</f>
        <v/>
      </c>
      <c r="O71" s="75">
        <f>N71/$N$44</f>
        <v/>
      </c>
      <c r="P71" s="65">
        <f>F71-N71</f>
        <v/>
      </c>
      <c r="Q71" s="75">
        <f>N71/J71</f>
        <v/>
      </c>
      <c r="R71" s="100" t="n"/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2'!G31</f>
        <v/>
      </c>
      <c r="E72" s="75">
        <f>D72/$D$44</f>
        <v/>
      </c>
      <c r="F72" s="65">
        <f>D72+'2026 Μάρτιος'!F72</f>
        <v/>
      </c>
      <c r="G72" s="75">
        <f>F72/$F$44</f>
        <v/>
      </c>
      <c r="H72" s="56">
        <f>ΠΡΟΥΠΟΛΟΓΙΣΜΟΣ_ΕΞΟΔΑ!G123</f>
        <v/>
      </c>
      <c r="I72" s="400">
        <f>H72/$H$44</f>
        <v/>
      </c>
      <c r="J72" s="65">
        <f>H72+'2026 Μάρτιος'!J72</f>
        <v/>
      </c>
      <c r="K72" s="404">
        <f>J72/$J$44</f>
        <v/>
      </c>
      <c r="L72" s="56">
        <f>'2024_60-69 ΕΞΟΔΑ+ΟΜ 2'!G27</f>
        <v/>
      </c>
      <c r="M72" s="75">
        <f>L72/$L$44</f>
        <v/>
      </c>
      <c r="N72" s="65">
        <f>L72+'2026 Μάρτιος'!N72</f>
        <v/>
      </c>
      <c r="O72" s="75">
        <f>N72/$N$44</f>
        <v/>
      </c>
      <c r="P72" s="65">
        <f>F72-N72</f>
        <v/>
      </c>
      <c r="Q72" s="75">
        <f>N72/J72</f>
        <v/>
      </c>
      <c r="R72" s="100" t="n"/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2'!G32</f>
        <v/>
      </c>
      <c r="E73" s="75">
        <f>D73/$D$44</f>
        <v/>
      </c>
      <c r="F73" s="65">
        <f>D73+'2026 Μάρτιος'!F73</f>
        <v/>
      </c>
      <c r="G73" s="75">
        <f>F73/$F$44</f>
        <v/>
      </c>
      <c r="H73" s="56">
        <f>ΠΡΟΥΠΟΛΟΓΙΣΜΟΣ_ΕΞΟΔΑ!G128</f>
        <v/>
      </c>
      <c r="I73" s="400">
        <f>H73/$H$44</f>
        <v/>
      </c>
      <c r="J73" s="65">
        <f>H73+'2026 Μάρτιος'!J73</f>
        <v/>
      </c>
      <c r="K73" s="404">
        <f>J73/$J$44</f>
        <v/>
      </c>
      <c r="L73" s="56">
        <f>'2024_60-69 ΕΞΟΔΑ+ΟΜ 2'!G28</f>
        <v/>
      </c>
      <c r="M73" s="75">
        <f>L73/$L$44</f>
        <v/>
      </c>
      <c r="N73" s="65">
        <f>L73+'2026 Μάρτιος'!N73</f>
        <v/>
      </c>
      <c r="O73" s="75">
        <f>N73/$N$44</f>
        <v/>
      </c>
      <c r="P73" s="65">
        <f>F73-N73</f>
        <v/>
      </c>
      <c r="Q73" s="75">
        <f>N73/J73</f>
        <v/>
      </c>
      <c r="R73" s="100" t="n"/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2'!G33</f>
        <v/>
      </c>
      <c r="E74" s="75">
        <f>D74/$D$44</f>
        <v/>
      </c>
      <c r="F74" s="65">
        <f>D74+'2026 Μάρτιος'!F74</f>
        <v/>
      </c>
      <c r="G74" s="75">
        <f>F74/$F$44</f>
        <v/>
      </c>
      <c r="H74" s="56">
        <f>ΠΡΟΥΠΟΛΟΓΙΣΜΟΣ_ΕΞΟΔΑ!G133</f>
        <v/>
      </c>
      <c r="I74" s="400">
        <f>H74/$H$44</f>
        <v/>
      </c>
      <c r="J74" s="65">
        <f>H74+'2026 Μάρτιος'!J74</f>
        <v/>
      </c>
      <c r="K74" s="404">
        <f>J74/$J$44</f>
        <v/>
      </c>
      <c r="L74" s="56">
        <f>'2024_60-69 ΕΞΟΔΑ+ΟΜ 2'!G29</f>
        <v/>
      </c>
      <c r="M74" s="75">
        <f>L74/$L$44</f>
        <v/>
      </c>
      <c r="N74" s="65">
        <f>L74+'2026 Μάρτιος'!N74</f>
        <v/>
      </c>
      <c r="O74" s="75">
        <f>N74/$N$44</f>
        <v/>
      </c>
      <c r="P74" s="65">
        <f>F74-N74</f>
        <v/>
      </c>
      <c r="Q74" s="75">
        <f>N74/J74</f>
        <v/>
      </c>
      <c r="R74" s="100" t="n"/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Μάρτιος'!F75</f>
        <v/>
      </c>
      <c r="G75" s="75">
        <f>F75/$F$44</f>
        <v/>
      </c>
      <c r="H75" s="56">
        <f>ΠΡΟΥΠΟΛΟΓΙΣΜΟΣ_ΕΞΟΔΑ!G138</f>
        <v/>
      </c>
      <c r="I75" s="400">
        <f>H75/$H$44</f>
        <v/>
      </c>
      <c r="J75" s="65">
        <f>H75+'2026 Μάρτιος'!J75</f>
        <v/>
      </c>
      <c r="K75" s="404">
        <f>J75/$J$44</f>
        <v/>
      </c>
      <c r="L75" s="56">
        <f>'2024_60-69 ΕΞΟΔΑ+ΟΜ 2'!G30</f>
        <v/>
      </c>
      <c r="M75" s="75">
        <f>L75/$L$44</f>
        <v/>
      </c>
      <c r="N75" s="65">
        <f>L75+'2026 Μάρτιος'!N75</f>
        <v/>
      </c>
      <c r="O75" s="75">
        <f>N75/$N$44</f>
        <v/>
      </c>
      <c r="P75" s="65">
        <f>F75-N75</f>
        <v/>
      </c>
      <c r="Q75" s="75">
        <f>N75/J75</f>
        <v/>
      </c>
      <c r="R75" s="100" t="n"/>
    </row>
    <row r="76" ht="47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2'!G35</f>
        <v/>
      </c>
      <c r="E76" s="75">
        <f>D76/$D$44</f>
        <v/>
      </c>
      <c r="F76" s="65">
        <f>D76+'2026 Μάρτιος'!F76</f>
        <v/>
      </c>
      <c r="G76" s="75">
        <f>F76/$F$44</f>
        <v/>
      </c>
      <c r="H76" s="56">
        <f>ΠΡΟΥΠΟΛΟΓΙΣΜΟΣ_ΕΞΟΔΑ!G143</f>
        <v/>
      </c>
      <c r="I76" s="400">
        <f>H76/$H$44</f>
        <v/>
      </c>
      <c r="J76" s="65">
        <f>H76+'2026 Μάρτιος'!J76</f>
        <v/>
      </c>
      <c r="K76" s="404">
        <f>J76/$J$44</f>
        <v/>
      </c>
      <c r="L76" s="56">
        <f>'2024_60-69 ΕΞΟΔΑ+ΟΜ 2'!G31</f>
        <v/>
      </c>
      <c r="M76" s="75">
        <f>L76/$L$44</f>
        <v/>
      </c>
      <c r="N76" s="65">
        <f>L76+'2026 Μάρτιος'!N76</f>
        <v/>
      </c>
      <c r="O76" s="75">
        <f>N76/$N$44</f>
        <v/>
      </c>
      <c r="P76" s="65">
        <f>F76-N76</f>
        <v/>
      </c>
      <c r="Q76" s="75">
        <f>N76/J76</f>
        <v/>
      </c>
      <c r="R76" s="100" t="n"/>
    </row>
    <row r="77" ht="47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2'!G36</f>
        <v/>
      </c>
      <c r="E77" s="75">
        <f>D77/$D$44</f>
        <v/>
      </c>
      <c r="F77" s="65">
        <f>D77+'2026 Μάρτιος'!F77</f>
        <v/>
      </c>
      <c r="G77" s="75">
        <f>F77/$F$44</f>
        <v/>
      </c>
      <c r="H77" s="56">
        <f>ΠΡΟΥΠΟΛΟΓΙΣΜΟΣ_ΕΞΟΔΑ!G148</f>
        <v/>
      </c>
      <c r="I77" s="400">
        <f>H77/$H$44</f>
        <v/>
      </c>
      <c r="J77" s="65">
        <f>H77+'2026 Μάρτιος'!J77</f>
        <v/>
      </c>
      <c r="K77" s="404">
        <f>J77/$J$44</f>
        <v/>
      </c>
      <c r="L77" s="56">
        <f>'2024_60-69 ΕΞΟΔΑ+ΟΜ 2'!G32</f>
        <v/>
      </c>
      <c r="M77" s="75">
        <f>L77/$L$44</f>
        <v/>
      </c>
      <c r="N77" s="65">
        <f>L77+'2026 Μάρτιος'!N77</f>
        <v/>
      </c>
      <c r="O77" s="75">
        <f>N77/$N$44</f>
        <v/>
      </c>
      <c r="P77" s="65">
        <f>F77-N77</f>
        <v/>
      </c>
      <c r="Q77" s="75">
        <f>N77/J77</f>
        <v/>
      </c>
      <c r="R77" s="100" t="n"/>
    </row>
    <row r="78" ht="47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2'!G37</f>
        <v/>
      </c>
      <c r="E78" s="75">
        <f>D78/$D$44</f>
        <v/>
      </c>
      <c r="F78" s="65">
        <f>D78+'2026 Μάρτιος'!F78</f>
        <v/>
      </c>
      <c r="G78" s="75">
        <f>F78/$F$44</f>
        <v/>
      </c>
      <c r="H78" s="56">
        <f>ΠΡΟΥΠΟΛΟΓΙΣΜΟΣ_ΕΞΟΔΑ!G153</f>
        <v/>
      </c>
      <c r="I78" s="400">
        <f>H78/$H$44</f>
        <v/>
      </c>
      <c r="J78" s="65">
        <f>H78+'2026 Μάρτιος'!J78</f>
        <v/>
      </c>
      <c r="K78" s="404">
        <f>J78/$J$44</f>
        <v/>
      </c>
      <c r="L78" s="56">
        <f>'2024_60-69 ΕΞΟΔΑ+ΟΜ 2'!G33</f>
        <v/>
      </c>
      <c r="M78" s="75">
        <f>L78/$L$44</f>
        <v/>
      </c>
      <c r="N78" s="65">
        <f>L78+'2026 Μάρτιος'!N78</f>
        <v/>
      </c>
      <c r="O78" s="75">
        <f>N78/$N$44</f>
        <v/>
      </c>
      <c r="P78" s="65">
        <f>F78-N78</f>
        <v/>
      </c>
      <c r="Q78" s="75">
        <f>N78/J78</f>
        <v/>
      </c>
      <c r="R78" s="100" t="n"/>
    </row>
    <row r="79" ht="42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2'!G3</f>
        <v/>
      </c>
      <c r="E79" s="297" t="n"/>
      <c r="F79" s="64">
        <f>D79+'2026 Μάρτιος'!F79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ΑΝΤΙΣΤΟΙΧΙΣΗ!$F$109</f>
        <v/>
      </c>
      <c r="E83" s="551" t="n"/>
      <c r="F83" s="550" t="n"/>
      <c r="G83" s="107">
        <f>ΑΝΤΙΣΤΟΙΧΙΣΗ!$D$34</f>
        <v/>
      </c>
      <c r="H83" s="549">
        <f>ΑΝΤΙΣΤΟΙΧΙΣΗ!$F$109</f>
        <v/>
      </c>
      <c r="I83" s="551" t="n"/>
      <c r="J83" s="550" t="n"/>
      <c r="K83" s="107">
        <f>ΑΝΤΙΣΤΟΙΧΙΣΗ!$D$34</f>
        <v/>
      </c>
      <c r="L83" s="549">
        <f>ΑΝΤΙΣΤΟΙΧΙΣΗ!$F$123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2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2'!G41</f>
        <v/>
      </c>
      <c r="E86" s="75">
        <f>D86/$D$112</f>
        <v/>
      </c>
      <c r="F86" s="114">
        <f>D86+'2026 Μάρτιος'!F86</f>
        <v/>
      </c>
      <c r="G86" s="75">
        <f>F86/$F$85</f>
        <v/>
      </c>
      <c r="H86" s="56">
        <f>ΠΡΟΥΠΟΛΟΓΙΣΜΟΣ_ΕΞΟΔΑ!G177</f>
        <v/>
      </c>
      <c r="I86" s="401">
        <f>H86/$H$85</f>
        <v/>
      </c>
      <c r="J86" s="402">
        <f>H86+'2026 Μάρτιος'!J86</f>
        <v/>
      </c>
      <c r="K86" s="403">
        <f>J86/$J$85</f>
        <v/>
      </c>
      <c r="L86" s="114" t="n">
        <v>2128.84</v>
      </c>
      <c r="M86" s="75">
        <f>L86/$L$85</f>
        <v/>
      </c>
      <c r="N86" s="65">
        <f>L86+'2026 Μάρτιος'!N86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2'!G42</f>
        <v/>
      </c>
      <c r="E87" s="75">
        <f>D87/$D$112</f>
        <v/>
      </c>
      <c r="F87" s="114">
        <f>D87+'2026 Μάρτιος'!F87</f>
        <v/>
      </c>
      <c r="G87" s="75">
        <f>F87/$F$85</f>
        <v/>
      </c>
      <c r="H87" s="56">
        <f>ΠΡΟΥΠΟΛΟΓΙΣΜΟΣ_ΕΞΟΔΑ!G182</f>
        <v/>
      </c>
      <c r="I87" s="401">
        <f>H87/$H$85</f>
        <v/>
      </c>
      <c r="J87" s="402">
        <f>H87+'2026 Μάρτιος'!J87</f>
        <v/>
      </c>
      <c r="K87" s="403">
        <f>J87/$J$85</f>
        <v/>
      </c>
      <c r="L87" s="114" t="n">
        <v>0</v>
      </c>
      <c r="M87" s="75">
        <f>L87/$L$85</f>
        <v/>
      </c>
      <c r="N87" s="65">
        <f>L87+'2026 Μάρτιος'!N87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1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2'!G43</f>
        <v/>
      </c>
      <c r="E88" s="75">
        <f>D88/$D$112</f>
        <v/>
      </c>
      <c r="F88" s="114">
        <f>D88+'2026 Μάρτιος'!F54</f>
        <v/>
      </c>
      <c r="G88" s="75">
        <f>F88/$F$85</f>
        <v/>
      </c>
      <c r="H88" s="56">
        <f>ΠΡΟΥΠΟΛΟΓΙΣΜΟΣ_ΕΞΟΔΑ!G197</f>
        <v/>
      </c>
      <c r="I88" s="401">
        <f>H88/$H$85</f>
        <v/>
      </c>
      <c r="J88" s="402">
        <f>H88+'2026 Μάρτιος'!J54</f>
        <v/>
      </c>
      <c r="K88" s="403">
        <f>J88/$J$85</f>
        <v/>
      </c>
      <c r="L88" s="114" t="n">
        <v>427.49</v>
      </c>
      <c r="M88" s="75">
        <f>L88/$L$85</f>
        <v/>
      </c>
      <c r="N88" s="65">
        <f>L88+'2026 Μάρτιος'!N54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2'!G44</f>
        <v/>
      </c>
      <c r="E89" s="75">
        <f>D89/$D$112</f>
        <v/>
      </c>
      <c r="F89" s="114">
        <f>D89+'2026 Μάρτιος'!F89</f>
        <v/>
      </c>
      <c r="G89" s="75">
        <f>F89/$F$85</f>
        <v/>
      </c>
      <c r="H89" s="56">
        <f>ΠΡΟΥΠΟΛΟΓΙΣΜΟΣ_ΕΞΟΔΑ!G202</f>
        <v/>
      </c>
      <c r="I89" s="401">
        <f>H89/$H$85</f>
        <v/>
      </c>
      <c r="J89" s="402">
        <f>H89+'2026 Μάρτιος'!J89</f>
        <v/>
      </c>
      <c r="K89" s="403">
        <f>J89/$J$85</f>
        <v/>
      </c>
      <c r="L89" s="114" t="n">
        <v>0</v>
      </c>
      <c r="M89" s="75">
        <f>L89/$L$85</f>
        <v/>
      </c>
      <c r="N89" s="65">
        <f>L89+'2026 Μάρτιος'!N89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2'!G45</f>
        <v/>
      </c>
      <c r="E90" s="75">
        <f>D90/$D$112</f>
        <v/>
      </c>
      <c r="F90" s="114">
        <f>D90+'2026 Μάρτιος'!F90</f>
        <v/>
      </c>
      <c r="G90" s="75">
        <f>F90/$F$85</f>
        <v/>
      </c>
      <c r="H90" s="399">
        <f>ΠΡΟΥΠΟΛΟΓΙΣΜΟΣ_ΕΞΟΔΑ!G207</f>
        <v/>
      </c>
      <c r="I90" s="401">
        <f>H90/$H$85</f>
        <v/>
      </c>
      <c r="J90" s="402">
        <f>H90+'2026 Μάρτιος'!J90</f>
        <v/>
      </c>
      <c r="K90" s="403">
        <f>J90/$J$85</f>
        <v/>
      </c>
      <c r="L90" s="114" t="n">
        <v>0</v>
      </c>
      <c r="M90" s="75">
        <f>L90/$L$85</f>
        <v/>
      </c>
      <c r="N90" s="65">
        <f>L90+'2026 Μάρτιος'!N90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2'!G46</f>
        <v/>
      </c>
      <c r="E91" s="75">
        <f>D91/$D$112</f>
        <v/>
      </c>
      <c r="F91" s="114">
        <f>D91+'2026 Μάρτιος'!F91</f>
        <v/>
      </c>
      <c r="G91" s="75">
        <f>F91/$F$85</f>
        <v/>
      </c>
      <c r="H91" s="399">
        <f>ΠΡΟΥΠΟΛΟΓΙΣΜΟΣ_ΕΞΟΔΑ!G212</f>
        <v/>
      </c>
      <c r="I91" s="401">
        <f>H91/$H$85</f>
        <v/>
      </c>
      <c r="J91" s="402">
        <f>H91+'2026 Μάρτιος'!J91</f>
        <v/>
      </c>
      <c r="K91" s="403">
        <f>J91/$J$85</f>
        <v/>
      </c>
      <c r="L91" s="114" t="n">
        <v>0</v>
      </c>
      <c r="M91" s="75">
        <f>L91/$L$85</f>
        <v/>
      </c>
      <c r="N91" s="65">
        <f>L91+'2026 Μάρτιος'!N91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2'!G47</f>
        <v/>
      </c>
      <c r="E92" s="75">
        <f>D92/$D$112</f>
        <v/>
      </c>
      <c r="F92" s="114">
        <f>D92+'2026 Μάρτιος'!F92</f>
        <v/>
      </c>
      <c r="G92" s="75">
        <f>F92/$F$85</f>
        <v/>
      </c>
      <c r="H92" s="399">
        <f>ΠΡΟΥΠΟΛΟΓΙΣΜΟΣ_ΕΞΟΔΑ!G217</f>
        <v/>
      </c>
      <c r="I92" s="401">
        <f>H92/$H$85</f>
        <v/>
      </c>
      <c r="J92" s="402">
        <f>H92+'2026 Μάρτιος'!J92</f>
        <v/>
      </c>
      <c r="K92" s="403">
        <f>J92/$J$85</f>
        <v/>
      </c>
      <c r="L92" s="114" t="n">
        <v>0</v>
      </c>
      <c r="M92" s="75">
        <f>L92/$L$85</f>
        <v/>
      </c>
      <c r="N92" s="65">
        <f>L92+'2026 Μάρτιος'!N92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2'!G48</f>
        <v/>
      </c>
      <c r="E93" s="75">
        <f>D93/$D$112</f>
        <v/>
      </c>
      <c r="F93" s="114">
        <f>D93+'2026 Μάρτιος'!F93</f>
        <v/>
      </c>
      <c r="G93" s="75">
        <f>F93/$F$85</f>
        <v/>
      </c>
      <c r="H93" s="56">
        <f>ΠΡΟΥΠΟΛΟΓΙΣΜΟΣ_ΕΞΟΔΑ!G222</f>
        <v/>
      </c>
      <c r="I93" s="401">
        <f>H93/$H$85</f>
        <v/>
      </c>
      <c r="J93" s="402">
        <f>H93+'2026 Μάρτιος'!J93</f>
        <v/>
      </c>
      <c r="K93" s="403">
        <f>J93/$J$85</f>
        <v/>
      </c>
      <c r="L93" s="114" t="n">
        <v>0</v>
      </c>
      <c r="M93" s="75">
        <f>L93/$L$85</f>
        <v/>
      </c>
      <c r="N93" s="65">
        <f>L93+'2026 Μάρτιος'!N93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2'!G49</f>
        <v/>
      </c>
      <c r="E94" s="75">
        <f>D94/$D$112</f>
        <v/>
      </c>
      <c r="F94" s="114">
        <f>D94+'2026 Μάρτιος'!F94</f>
        <v/>
      </c>
      <c r="G94" s="75">
        <f>F94/$F$85</f>
        <v/>
      </c>
      <c r="H94" s="56">
        <f>ΠΡΟΥΠΟΛΟΓΙΣΜΟΣ_ΕΞΟΔΑ!G227</f>
        <v/>
      </c>
      <c r="I94" s="401">
        <f>H94/$H$85</f>
        <v/>
      </c>
      <c r="J94" s="402">
        <f>H94+'2026 Μάρτιος'!J94</f>
        <v/>
      </c>
      <c r="K94" s="403">
        <f>J94/$J$85</f>
        <v/>
      </c>
      <c r="L94" s="114" t="n">
        <v>0</v>
      </c>
      <c r="M94" s="75">
        <f>L94/$L$85</f>
        <v/>
      </c>
      <c r="N94" s="65">
        <f>L94+'2026 Μάρτιος'!N94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2'!G50</f>
        <v/>
      </c>
      <c r="E95" s="75">
        <f>D95/$D$112</f>
        <v/>
      </c>
      <c r="F95" s="114">
        <f>D95+'2026 Μάρτιος'!F95</f>
        <v/>
      </c>
      <c r="G95" s="75">
        <f>F95/$F$85</f>
        <v/>
      </c>
      <c r="H95" s="118">
        <f>ΠΡΟΥΠΟΛΟΓΙΣΜΟΣ_ΕΞΟΔΑ!G232</f>
        <v/>
      </c>
      <c r="I95" s="401">
        <f>H95/$H$85</f>
        <v/>
      </c>
      <c r="J95" s="402">
        <f>H95+'2026 Μάρτιος'!J95</f>
        <v/>
      </c>
      <c r="K95" s="403">
        <f>J95/$J$85</f>
        <v/>
      </c>
      <c r="L95" s="114" t="n">
        <v>0</v>
      </c>
      <c r="M95" s="75">
        <f>L95/$L$85</f>
        <v/>
      </c>
      <c r="N95" s="65">
        <f>L95+'2026 Μάρτιος'!N95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2'!G51</f>
        <v/>
      </c>
      <c r="E96" s="75">
        <f>D96/$D$112</f>
        <v/>
      </c>
      <c r="F96" s="114">
        <f>D96+'2026 Μάρτιος'!F96</f>
        <v/>
      </c>
      <c r="G96" s="75">
        <f>F96/$F$85</f>
        <v/>
      </c>
      <c r="H96" s="56">
        <f>ΠΡΟΥΠΟΛΟΓΙΣΜΟΣ_ΕΞΟΔΑ!G237</f>
        <v/>
      </c>
      <c r="I96" s="401">
        <f>H96/$H$85</f>
        <v/>
      </c>
      <c r="J96" s="402">
        <f>H96+'2026 Μάρτιος'!J96</f>
        <v/>
      </c>
      <c r="K96" s="403">
        <f>J96/$J$85</f>
        <v/>
      </c>
      <c r="L96" s="114" t="n">
        <v>0</v>
      </c>
      <c r="M96" s="75">
        <f>L96/$L$85</f>
        <v/>
      </c>
      <c r="N96" s="65">
        <f>L96+'2026 Μάρτιος'!N96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2'!G52</f>
        <v/>
      </c>
      <c r="E97" s="75">
        <f>D97/$D$112</f>
        <v/>
      </c>
      <c r="F97" s="114">
        <f>D97+'2026 Μάρτιος'!F97</f>
        <v/>
      </c>
      <c r="G97" s="75">
        <f>F97/$F$85</f>
        <v/>
      </c>
      <c r="H97" s="56">
        <f>ΠΡΟΥΠΟΛΟΓΙΣΜΟΣ_ΕΞΟΔΑ!G242</f>
        <v/>
      </c>
      <c r="I97" s="401">
        <f>H97/$H$85</f>
        <v/>
      </c>
      <c r="J97" s="402">
        <f>H97+'2026 Μάρτιος'!J97</f>
        <v/>
      </c>
      <c r="K97" s="403">
        <f>J97/$J$85</f>
        <v/>
      </c>
      <c r="L97" s="114" t="n">
        <v>0</v>
      </c>
      <c r="M97" s="75">
        <f>L97/$L$85</f>
        <v/>
      </c>
      <c r="N97" s="65">
        <f>L97+'2026 Μάρτιος'!N97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2'!G53</f>
        <v/>
      </c>
      <c r="E98" s="75">
        <f>D98/$D$112</f>
        <v/>
      </c>
      <c r="F98" s="114">
        <f>D98+'2026 Μάρτιος'!F98</f>
        <v/>
      </c>
      <c r="G98" s="75">
        <f>F98/$F$85</f>
        <v/>
      </c>
      <c r="H98" s="56">
        <f>ΠΡΟΥΠΟΛΟΓΙΣΜΟΣ_ΕΞΟΔΑ!G247</f>
        <v/>
      </c>
      <c r="I98" s="401">
        <f>H98/$H$85</f>
        <v/>
      </c>
      <c r="J98" s="402">
        <f>H98+'2026 Μάρτιος'!J98</f>
        <v/>
      </c>
      <c r="K98" s="403">
        <f>J98/$J$85</f>
        <v/>
      </c>
      <c r="L98" s="114" t="n">
        <v>0</v>
      </c>
      <c r="M98" s="75">
        <f>L98/$L$85</f>
        <v/>
      </c>
      <c r="N98" s="65">
        <f>L98+'2026 Μάρτιος'!N98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2'!G54</f>
        <v/>
      </c>
      <c r="E99" s="75">
        <f>D99/$D$112</f>
        <v/>
      </c>
      <c r="F99" s="114">
        <f>D99+'2026 Μάρτιος'!F99</f>
        <v/>
      </c>
      <c r="G99" s="75">
        <f>F99/$F$85</f>
        <v/>
      </c>
      <c r="H99" s="56">
        <f>ΠΡΟΥΠΟΛΟΓΙΣΜΟΣ_ΕΞΟΔΑ!G252</f>
        <v/>
      </c>
      <c r="I99" s="401">
        <f>H99/$H$85</f>
        <v/>
      </c>
      <c r="J99" s="402">
        <f>H99+'2026 Μάρτιος'!J99</f>
        <v/>
      </c>
      <c r="K99" s="403">
        <f>J99/$J$85</f>
        <v/>
      </c>
      <c r="L99" s="114" t="n">
        <v>0</v>
      </c>
      <c r="M99" s="75">
        <f>L99/$L$85</f>
        <v/>
      </c>
      <c r="N99" s="65">
        <f>L99+'2026 Μάρτιος'!N99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2'!G55</f>
        <v/>
      </c>
      <c r="E100" s="75">
        <f>D100/$D$112</f>
        <v/>
      </c>
      <c r="F100" s="114">
        <f>D100+'2026 Μάρτιος'!F100</f>
        <v/>
      </c>
      <c r="G100" s="75">
        <f>F100/$F$85</f>
        <v/>
      </c>
      <c r="H100" s="56">
        <f>ΠΡΟΥΠΟΛΟΓΙΣΜΟΣ_ΕΞΟΔΑ!G257</f>
        <v/>
      </c>
      <c r="I100" s="401">
        <f>H100/$H$85</f>
        <v/>
      </c>
      <c r="J100" s="402">
        <f>H100+'2026 Μάρτιος'!J100</f>
        <v/>
      </c>
      <c r="K100" s="403">
        <f>J100/$J$85</f>
        <v/>
      </c>
      <c r="L100" s="114" t="n">
        <v>37.19</v>
      </c>
      <c r="M100" s="75">
        <f>L100/$L$85</f>
        <v/>
      </c>
      <c r="N100" s="65">
        <f>L100+'2026 Μάρτιος'!N100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2'!G56</f>
        <v/>
      </c>
      <c r="E101" s="75">
        <f>D101/$D$112</f>
        <v/>
      </c>
      <c r="F101" s="114">
        <f>D101+'2026 Μάρτιος'!F101</f>
        <v/>
      </c>
      <c r="G101" s="75">
        <f>F101/$F$85</f>
        <v/>
      </c>
      <c r="H101" s="56">
        <f>ΠΡΟΥΠΟΛΟΓΙΣΜΟΣ_ΕΞΟΔΑ!G262</f>
        <v/>
      </c>
      <c r="I101" s="401">
        <f>H101/$H$85</f>
        <v/>
      </c>
      <c r="J101" s="402">
        <f>H101+'2026 Μάρτιος'!J101</f>
        <v/>
      </c>
      <c r="K101" s="403">
        <f>J101/$J$85</f>
        <v/>
      </c>
      <c r="L101" s="114" t="n">
        <v>645.52</v>
      </c>
      <c r="M101" s="75">
        <f>L101/$L$85</f>
        <v/>
      </c>
      <c r="N101" s="65">
        <f>L101+'2026 Μάρτιος'!N101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2'!G57</f>
        <v/>
      </c>
      <c r="E102" s="75">
        <f>D102/$D$112</f>
        <v/>
      </c>
      <c r="F102" s="114">
        <f>D102+'2026 Μάρτιος'!F102</f>
        <v/>
      </c>
      <c r="G102" s="75">
        <f>F102/$F$85</f>
        <v/>
      </c>
      <c r="H102" s="56">
        <f>ΠΡΟΥΠΟΛΟΓΙΣΜΟΣ_ΕΞΟΔΑ!G267</f>
        <v/>
      </c>
      <c r="I102" s="401">
        <f>H102/$H$85</f>
        <v/>
      </c>
      <c r="J102" s="402">
        <f>H102+'2026 Μάρτιος'!J102</f>
        <v/>
      </c>
      <c r="K102" s="403">
        <f>J102/$J$85</f>
        <v/>
      </c>
      <c r="L102" s="114" t="n">
        <v>0</v>
      </c>
      <c r="M102" s="75">
        <f>L102/$L$85</f>
        <v/>
      </c>
      <c r="N102" s="65">
        <f>L102+'2026 Μάρτιος'!N102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2'!G58</f>
        <v/>
      </c>
      <c r="E103" s="75">
        <f>D103/$D$112</f>
        <v/>
      </c>
      <c r="F103" s="114">
        <f>D103+'2026 Μάρτιος'!F103</f>
        <v/>
      </c>
      <c r="G103" s="75">
        <f>F103/$F$85</f>
        <v/>
      </c>
      <c r="H103" s="56">
        <f>ΠΡΟΥΠΟΛΟΓΙΣΜΟΣ_ΕΞΟΔΑ!G272</f>
        <v/>
      </c>
      <c r="I103" s="401">
        <f>H103/$H$85</f>
        <v/>
      </c>
      <c r="J103" s="402">
        <f>H103+'2026 Μάρτιος'!J103</f>
        <v/>
      </c>
      <c r="K103" s="403">
        <f>J103/$J$85</f>
        <v/>
      </c>
      <c r="L103" s="114" t="n">
        <v>0</v>
      </c>
      <c r="M103" s="75">
        <f>L103/$L$85</f>
        <v/>
      </c>
      <c r="N103" s="65">
        <f>L103+'2026 Μάρτιος'!N103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2'!G59</f>
        <v/>
      </c>
      <c r="E104" s="75">
        <f>D104/$D$112</f>
        <v/>
      </c>
      <c r="F104" s="114">
        <f>D104+'2026 Μάρτιος'!F104</f>
        <v/>
      </c>
      <c r="G104" s="75">
        <f>F104/$F$85</f>
        <v/>
      </c>
      <c r="H104" s="56">
        <f>ΠΡΟΥΠΟΛΟΓΙΣΜΟΣ_ΕΞΟΔΑ!G277</f>
        <v/>
      </c>
      <c r="I104" s="401">
        <f>H104/$H$85</f>
        <v/>
      </c>
      <c r="J104" s="402">
        <f>H104+'2026 Μάρτιος'!J104</f>
        <v/>
      </c>
      <c r="K104" s="403">
        <f>J104/$J$85</f>
        <v/>
      </c>
      <c r="L104" s="114" t="n">
        <v>1000</v>
      </c>
      <c r="M104" s="75">
        <f>L104/$L$85</f>
        <v/>
      </c>
      <c r="N104" s="65">
        <f>L104+'2026 Μάρτιος'!N104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2'!G60</f>
        <v/>
      </c>
      <c r="E105" s="75">
        <f>D105/$D$112</f>
        <v/>
      </c>
      <c r="F105" s="114">
        <f>D105+'2026 Μάρτιος'!F105</f>
        <v/>
      </c>
      <c r="G105" s="75">
        <f>F105/$F$85</f>
        <v/>
      </c>
      <c r="H105" s="56">
        <f>ΠΡΟΥΠΟΛΟΓΙΣΜΟΣ_ΕΞΟΔΑ!G282</f>
        <v/>
      </c>
      <c r="I105" s="401">
        <f>H105/$H$85</f>
        <v/>
      </c>
      <c r="J105" s="402">
        <f>H105+'2026 Μάρτιος'!J105</f>
        <v/>
      </c>
      <c r="K105" s="403">
        <f>J105/$J$85</f>
        <v/>
      </c>
      <c r="L105" s="114" t="n">
        <v>0</v>
      </c>
      <c r="M105" s="75">
        <f>L105/$L$85</f>
        <v/>
      </c>
      <c r="N105" s="65">
        <f>L105+'2026 Μάρτιος'!N105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2'!G61</f>
        <v/>
      </c>
      <c r="E106" s="75">
        <f>D106/$D$112</f>
        <v/>
      </c>
      <c r="F106" s="114">
        <f>D106+'2026 Μάρτιος'!F106</f>
        <v/>
      </c>
      <c r="G106" s="75">
        <f>F106/$F$85</f>
        <v/>
      </c>
      <c r="H106" s="56">
        <f>ΠΡΟΥΠΟΛΟΓΙΣΜΟΣ_ΕΞΟΔΑ!G287</f>
        <v/>
      </c>
      <c r="I106" s="401">
        <f>H106/$H$85</f>
        <v/>
      </c>
      <c r="J106" s="402">
        <f>H106+'2026 Μάρτιος'!J106</f>
        <v/>
      </c>
      <c r="K106" s="403">
        <f>J106/$J$85</f>
        <v/>
      </c>
      <c r="L106" s="114" t="n">
        <v>0</v>
      </c>
      <c r="M106" s="75">
        <f>L106/$L$85</f>
        <v/>
      </c>
      <c r="N106" s="65">
        <f>L106+'2026 Μάρτιος'!N106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2'!G40</f>
        <v/>
      </c>
      <c r="E112" s="81" t="n"/>
      <c r="F112" s="64">
        <f>D112+'2026 Μάρτιος'!F112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ΑΝΤΙΣΤΟΙΧΙΣΗ!$F$109</f>
        <v/>
      </c>
      <c r="E115" s="551" t="n"/>
      <c r="F115" s="550" t="n"/>
      <c r="G115" s="107">
        <f>ΑΝΤΙΣΤΟΙΧΙΣΗ!$D$34</f>
        <v/>
      </c>
      <c r="H115" s="549">
        <f>ΑΝΤΙΣΤΟΙΧΙΣΗ!$F$109</f>
        <v/>
      </c>
      <c r="I115" s="551" t="n"/>
      <c r="J115" s="550" t="n"/>
      <c r="K115" s="107">
        <f>ΑΝΤΙΣΤΟΙΧΙΣΗ!$D$34</f>
        <v/>
      </c>
      <c r="L115" s="549">
        <f>ΑΝΤΙΣΤΟΙΧΙΣΗ!$F$123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2'!G71</f>
        <v/>
      </c>
      <c r="E118" s="75">
        <f>D118/$D$117</f>
        <v/>
      </c>
      <c r="F118" s="65">
        <f>D118+'2026 Μάρτιος'!F118</f>
        <v/>
      </c>
      <c r="G118" s="75">
        <f>F118/$F$117</f>
        <v/>
      </c>
      <c r="H118" s="56">
        <f>ΠΡΟΥΠΟΛΟΓΙΣΜΟΣ_ΕΞΟΔΑ!G301</f>
        <v/>
      </c>
      <c r="I118" s="400">
        <f>H118/$H$117</f>
        <v/>
      </c>
      <c r="J118" s="65">
        <f>H118+'2026 Μάρτιος'!J118</f>
        <v/>
      </c>
      <c r="K118" s="404">
        <f>J118/$J$117</f>
        <v/>
      </c>
      <c r="L118" s="56">
        <f>'2024_60-69 ΕΞΟΔΑ+ΟΜ 2'!G66</f>
        <v/>
      </c>
      <c r="M118" s="75">
        <f>L118/$L$117</f>
        <v/>
      </c>
      <c r="N118" s="65">
        <f>L118+'2026 Μάρτιος'!N118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2'!G72</f>
        <v/>
      </c>
      <c r="E119" s="75">
        <f>D119/$D$117</f>
        <v/>
      </c>
      <c r="F119" s="65">
        <f>D119+'2026 Μάρτιος'!F119</f>
        <v/>
      </c>
      <c r="G119" s="75">
        <f>F119/$F$117</f>
        <v/>
      </c>
      <c r="H119" s="56">
        <f>ΠΡΟΥΠΟΛΟΓΙΣΜΟΣ_ΕΞΟΔΑ!G306</f>
        <v/>
      </c>
      <c r="I119" s="400">
        <f>H119/$H$117</f>
        <v/>
      </c>
      <c r="J119" s="65">
        <f>H119+'2026 Μάρτιος'!J119</f>
        <v/>
      </c>
      <c r="K119" s="404">
        <f>J119/$J$117</f>
        <v/>
      </c>
      <c r="L119" s="56">
        <f>'2024_60-69 ΕΞΟΔΑ+ΟΜ 2'!G67</f>
        <v/>
      </c>
      <c r="M119" s="75">
        <f>L119/$L$117</f>
        <v/>
      </c>
      <c r="N119" s="65">
        <f>L119+'2026 Μάρτιος'!N119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2'!G73</f>
        <v/>
      </c>
      <c r="E120" s="75">
        <f>D120/$D$117</f>
        <v/>
      </c>
      <c r="F120" s="65">
        <f>D120+'2026 Μάρτιος'!F120</f>
        <v/>
      </c>
      <c r="G120" s="75">
        <f>F120/$F$117</f>
        <v/>
      </c>
      <c r="H120" s="56">
        <f>ΠΡΟΥΠΟΛΟΓΙΣΜΟΣ_ΕΞΟΔΑ!G311</f>
        <v/>
      </c>
      <c r="I120" s="400">
        <f>H120/$H$117</f>
        <v/>
      </c>
      <c r="J120" s="65">
        <f>H120+'2026 Μάρτιος'!J120</f>
        <v/>
      </c>
      <c r="K120" s="404">
        <f>J120/$J$117</f>
        <v/>
      </c>
      <c r="L120" s="56">
        <f>'2024_60-69 ΕΞΟΔΑ+ΟΜ 2'!G68</f>
        <v/>
      </c>
      <c r="M120" s="75">
        <f>L120/$L$117</f>
        <v/>
      </c>
      <c r="N120" s="65">
        <f>L120+'2026 Μάρτιος'!N120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2'!G74</f>
        <v/>
      </c>
      <c r="E121" s="75">
        <f>D121/$D$117</f>
        <v/>
      </c>
      <c r="F121" s="65">
        <f>D121+'2026 Μάρτιος'!F121</f>
        <v/>
      </c>
      <c r="G121" s="75">
        <f>F121/$F$117</f>
        <v/>
      </c>
      <c r="H121" s="56">
        <f>ΠΡΟΥΠΟΛΟΓΙΣΜΟΣ_ΕΞΟΔΑ!G316</f>
        <v/>
      </c>
      <c r="I121" s="400">
        <f>H121/$H$117</f>
        <v/>
      </c>
      <c r="J121" s="65">
        <f>H121+'2026 Μάρτιος'!J121</f>
        <v/>
      </c>
      <c r="K121" s="404">
        <f>J121/$J$117</f>
        <v/>
      </c>
      <c r="L121" s="56">
        <f>'2024_60-69 ΕΞΟΔΑ+ΟΜ 2'!G69</f>
        <v/>
      </c>
      <c r="M121" s="75">
        <f>L121/$L$117</f>
        <v/>
      </c>
      <c r="N121" s="65">
        <f>L121+'2026 Μάρτιος'!N121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2'!G75</f>
        <v/>
      </c>
      <c r="E122" s="75">
        <f>D122/$D$117</f>
        <v/>
      </c>
      <c r="F122" s="65">
        <f>D122+'2026 Μάρτιος'!F122</f>
        <v/>
      </c>
      <c r="G122" s="75">
        <f>F122/$F$117</f>
        <v/>
      </c>
      <c r="H122" s="56">
        <f>ΠΡΟΥΠΟΛΟΓΙΣΜΟΣ_ΕΞΟΔΑ!G321</f>
        <v/>
      </c>
      <c r="I122" s="400">
        <f>H122/$H$117</f>
        <v/>
      </c>
      <c r="J122" s="65">
        <f>H122+'2026 Μάρτιος'!J122</f>
        <v/>
      </c>
      <c r="K122" s="404">
        <f>J122/$J$117</f>
        <v/>
      </c>
      <c r="L122" s="56">
        <f>'2024_60-69 ΕΞΟΔΑ+ΟΜ 2'!G70</f>
        <v/>
      </c>
      <c r="M122" s="75">
        <f>L122/$L$117</f>
        <v/>
      </c>
      <c r="N122" s="65">
        <f>L122+'2026 Μάρτιος'!N122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2'!G76</f>
        <v/>
      </c>
      <c r="E123" s="75">
        <f>D123/$D$117</f>
        <v/>
      </c>
      <c r="F123" s="65">
        <f>D123+'2026 Μάρτιος'!F123</f>
        <v/>
      </c>
      <c r="G123" s="75">
        <f>F123/$F$117</f>
        <v/>
      </c>
      <c r="H123" s="56">
        <f>ΠΡΟΥΠΟΛΟΓΙΣΜΟΣ_ΕΞΟΔΑ!G326</f>
        <v/>
      </c>
      <c r="I123" s="400">
        <f>H123/$H$117</f>
        <v/>
      </c>
      <c r="J123" s="65">
        <f>H123+'2026 Μάρτιος'!J123</f>
        <v/>
      </c>
      <c r="K123" s="404">
        <f>J123/$J$117</f>
        <v/>
      </c>
      <c r="L123" s="56">
        <f>'2024_60-69 ΕΞΟΔΑ+ΟΜ 2'!G71</f>
        <v/>
      </c>
      <c r="M123" s="75">
        <f>L123/$L$117</f>
        <v/>
      </c>
      <c r="N123" s="65">
        <f>L123+'2026 Μάρτιος'!N123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2'!G77</f>
        <v/>
      </c>
      <c r="E124" s="75">
        <f>D124/$D$117</f>
        <v/>
      </c>
      <c r="F124" s="65">
        <f>D124+'2026 Μάρτιος'!F124</f>
        <v/>
      </c>
      <c r="G124" s="75">
        <f>F124/$F$117</f>
        <v/>
      </c>
      <c r="H124" s="56">
        <f>ΠΡΟΥΠΟΛΟΓΙΣΜΟΣ_ΕΞΟΔΑ!G331</f>
        <v/>
      </c>
      <c r="I124" s="400">
        <f>H124/$H$117</f>
        <v/>
      </c>
      <c r="J124" s="65">
        <f>H124+'2026 Μάρτιος'!J124</f>
        <v/>
      </c>
      <c r="K124" s="404">
        <f>J124/$J$117</f>
        <v/>
      </c>
      <c r="L124" s="56">
        <f>'2024_60-69 ΕΞΟΔΑ+ΟΜ 2'!G72</f>
        <v/>
      </c>
      <c r="M124" s="75">
        <f>L124/$L$117</f>
        <v/>
      </c>
      <c r="N124" s="65">
        <f>L124+'2026 Μάρτιος'!N124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2'!G78</f>
        <v/>
      </c>
      <c r="E125" s="75">
        <f>D125/$D$117</f>
        <v/>
      </c>
      <c r="F125" s="65">
        <f>D125+'2026 Μάρτιος'!F125</f>
        <v/>
      </c>
      <c r="G125" s="75">
        <f>F125/$F$117</f>
        <v/>
      </c>
      <c r="H125" s="56">
        <f>ΠΡΟΥΠΟΛΟΓΙΣΜΟΣ_ΕΞΟΔΑ!G336</f>
        <v/>
      </c>
      <c r="I125" s="400">
        <f>H125/$H$117</f>
        <v/>
      </c>
      <c r="J125" s="65">
        <f>H125+'2026 Μάρτιος'!J125</f>
        <v/>
      </c>
      <c r="K125" s="404">
        <f>J125/$J$117</f>
        <v/>
      </c>
      <c r="L125" s="56">
        <f>'2024_60-69 ΕΞΟΔΑ+ΟΜ 2'!G73</f>
        <v/>
      </c>
      <c r="M125" s="75">
        <f>L125/$L$117</f>
        <v/>
      </c>
      <c r="N125" s="65">
        <f>L125+'2026 Μάρτιος'!N125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2'!G79</f>
        <v/>
      </c>
      <c r="E126" s="75">
        <f>D126/$D$117</f>
        <v/>
      </c>
      <c r="F126" s="65">
        <f>D126+'2026 Μάρτιος'!F126</f>
        <v/>
      </c>
      <c r="G126" s="75">
        <f>F126/$F$117</f>
        <v/>
      </c>
      <c r="H126" s="56">
        <f>ΠΡΟΥΠΟΛΟΓΙΣΜΟΣ_ΕΞΟΔΑ!G341</f>
        <v/>
      </c>
      <c r="I126" s="400">
        <f>H126/$H$117</f>
        <v/>
      </c>
      <c r="J126" s="65">
        <f>H126+'2026 Μάρτιος'!J126</f>
        <v/>
      </c>
      <c r="K126" s="404">
        <f>J126/$J$117</f>
        <v/>
      </c>
      <c r="L126" s="56">
        <f>'2024_60-69 ΕΞΟΔΑ+ΟΜ 2'!G74</f>
        <v/>
      </c>
      <c r="M126" s="75">
        <f>L126/$L$117</f>
        <v/>
      </c>
      <c r="N126" s="65">
        <f>L126+'2026 Μάρτιος'!N126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2'!G80</f>
        <v/>
      </c>
      <c r="E127" s="75">
        <f>D127/$D$117</f>
        <v/>
      </c>
      <c r="F127" s="65">
        <f>D127+'2026 Μάρτιος'!F127</f>
        <v/>
      </c>
      <c r="G127" s="75">
        <f>F127/$F$117</f>
        <v/>
      </c>
      <c r="H127" s="56">
        <f>ΠΡΟΥΠΟΛΟΓΙΣΜΟΣ_ΕΞΟΔΑ!G346</f>
        <v/>
      </c>
      <c r="I127" s="400">
        <f>H127/$H$117</f>
        <v/>
      </c>
      <c r="J127" s="65">
        <f>H127+'2026 Μάρτιος'!J127</f>
        <v/>
      </c>
      <c r="K127" s="404">
        <f>J127/$J$117</f>
        <v/>
      </c>
      <c r="L127" s="56">
        <f>'2024_60-69 ΕΞΟΔΑ+ΟΜ 2'!G75</f>
        <v/>
      </c>
      <c r="M127" s="75">
        <f>L127/$L$117</f>
        <v/>
      </c>
      <c r="N127" s="65">
        <f>L127+'2026 Μάρτιος'!N127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2'!G81</f>
        <v/>
      </c>
      <c r="E128" s="75">
        <f>D128/$D$117</f>
        <v/>
      </c>
      <c r="F128" s="65">
        <f>D128+'2026 Μάρτιος'!F128</f>
        <v/>
      </c>
      <c r="G128" s="75">
        <f>F128/$F$117</f>
        <v/>
      </c>
      <c r="H128" s="56">
        <f>ΠΡΟΥΠΟΛΟΓΙΣΜΟΣ_ΕΞΟΔΑ!G351</f>
        <v/>
      </c>
      <c r="I128" s="400">
        <f>H128/$H$117</f>
        <v/>
      </c>
      <c r="J128" s="65">
        <f>H128+'2026 Μάρτιος'!J128</f>
        <v/>
      </c>
      <c r="K128" s="404">
        <f>J128/$J$117</f>
        <v/>
      </c>
      <c r="L128" s="56">
        <f>'2024_60-69 ΕΞΟΔΑ+ΟΜ 2'!G76</f>
        <v/>
      </c>
      <c r="M128" s="75">
        <f>L128/$L$117</f>
        <v/>
      </c>
      <c r="N128" s="65">
        <f>L128+'2026 Μάρτιος'!N128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2'!G82</f>
        <v/>
      </c>
      <c r="E129" s="75">
        <f>D129/$D$117</f>
        <v/>
      </c>
      <c r="F129" s="65">
        <f>D129+'2026 Μάρτιος'!F129</f>
        <v/>
      </c>
      <c r="G129" s="75">
        <f>F129/$F$117</f>
        <v/>
      </c>
      <c r="H129" s="56">
        <f>ΠΡΟΥΠΟΛΟΓΙΣΜΟΣ_ΕΞΟΔΑ!G356</f>
        <v/>
      </c>
      <c r="I129" s="400">
        <f>H129/$H$117</f>
        <v/>
      </c>
      <c r="J129" s="65">
        <f>H129+'2026 Μάρτιος'!J129</f>
        <v/>
      </c>
      <c r="K129" s="404">
        <f>J129/$J$117</f>
        <v/>
      </c>
      <c r="L129" s="56">
        <f>'2024_60-69 ΕΞΟΔΑ+ΟΜ 2'!G77</f>
        <v/>
      </c>
      <c r="M129" s="75">
        <f>L129/$L$117</f>
        <v/>
      </c>
      <c r="N129" s="65">
        <f>L129+'2026 Μάρτιος'!N129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2'!G83</f>
        <v/>
      </c>
      <c r="E130" s="75">
        <f>D130/$D$117</f>
        <v/>
      </c>
      <c r="F130" s="65">
        <f>D130+'2026 Μάρτιος'!F130</f>
        <v/>
      </c>
      <c r="G130" s="75">
        <f>F130/$F$117</f>
        <v/>
      </c>
      <c r="H130" s="56">
        <f>ΠΡΟΥΠΟΛΟΓΙΣΜΟΣ_ΕΞΟΔΑ!G361</f>
        <v/>
      </c>
      <c r="I130" s="400">
        <f>H130/$H$117</f>
        <v/>
      </c>
      <c r="J130" s="65">
        <f>H130+'2026 Μάρτιος'!J130</f>
        <v/>
      </c>
      <c r="K130" s="404">
        <f>J130/$J$117</f>
        <v/>
      </c>
      <c r="L130" s="56">
        <f>'2024_60-69 ΕΞΟΔΑ+ΟΜ 2'!G78</f>
        <v/>
      </c>
      <c r="M130" s="75">
        <f>L130/$L$117</f>
        <v/>
      </c>
      <c r="N130" s="65">
        <f>L130+'2026 Μάρτιος'!N130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2'!G84</f>
        <v/>
      </c>
      <c r="E131" s="75">
        <f>D131/$D$117</f>
        <v/>
      </c>
      <c r="F131" s="65">
        <f>D131+'2026 Μάρτιος'!F131</f>
        <v/>
      </c>
      <c r="G131" s="75">
        <f>F131/$F$117</f>
        <v/>
      </c>
      <c r="H131" s="56">
        <f>ΠΡΟΥΠΟΛΟΓΙΣΜΟΣ_ΕΞΟΔΑ!G366</f>
        <v/>
      </c>
      <c r="I131" s="400">
        <f>H131/$H$117</f>
        <v/>
      </c>
      <c r="J131" s="65">
        <f>H131+'2026 Μάρτιος'!J131</f>
        <v/>
      </c>
      <c r="K131" s="404">
        <f>J131/$J$117</f>
        <v/>
      </c>
      <c r="L131" s="56">
        <f>'2024_60-69 ΕΞΟΔΑ+ΟΜ 2'!G79</f>
        <v/>
      </c>
      <c r="M131" s="75">
        <f>L131/$L$117</f>
        <v/>
      </c>
      <c r="N131" s="65">
        <f>L131+'2026 Μάρτιος'!N131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2'!G85</f>
        <v/>
      </c>
      <c r="E132" s="75">
        <f>D132/$D$117</f>
        <v/>
      </c>
      <c r="F132" s="65">
        <f>D132+'2026 Μάρτιος'!F132</f>
        <v/>
      </c>
      <c r="G132" s="75">
        <f>F132/$F$117</f>
        <v/>
      </c>
      <c r="H132" s="56">
        <f>ΠΡΟΥΠΟΛΟΓΙΣΜΟΣ_ΕΞΟΔΑ!G371</f>
        <v/>
      </c>
      <c r="I132" s="400">
        <f>H132/$H$117</f>
        <v/>
      </c>
      <c r="J132" s="65">
        <f>H132+'2026 Μάρτιος'!J132</f>
        <v/>
      </c>
      <c r="K132" s="404">
        <f>J132/$J$117</f>
        <v/>
      </c>
      <c r="L132" s="56">
        <f>'2024_60-69 ΕΞΟΔΑ+ΟΜ 2'!G80</f>
        <v/>
      </c>
      <c r="M132" s="75">
        <f>L132/$L$117</f>
        <v/>
      </c>
      <c r="N132" s="65">
        <f>L132+'2026 Μάρτιος'!N132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2'!G86</f>
        <v/>
      </c>
      <c r="E133" s="75">
        <f>D133/$D$117</f>
        <v/>
      </c>
      <c r="F133" s="65">
        <f>D133+'2026 Μάρτιος'!F133</f>
        <v/>
      </c>
      <c r="G133" s="75">
        <f>F133/$F$117</f>
        <v/>
      </c>
      <c r="H133" s="56">
        <f>ΠΡΟΥΠΟΛΟΓΙΣΜΟΣ_ΕΞΟΔΑ!G376</f>
        <v/>
      </c>
      <c r="I133" s="400">
        <f>H133/$H$117</f>
        <v/>
      </c>
      <c r="J133" s="65">
        <f>H133+'2026 Μάρτιος'!J133</f>
        <v/>
      </c>
      <c r="K133" s="404">
        <f>J133/$J$117</f>
        <v/>
      </c>
      <c r="L133" s="56">
        <f>'2024_60-69 ΕΞΟΔΑ+ΟΜ 2'!G81</f>
        <v/>
      </c>
      <c r="M133" s="75">
        <f>L133/$L$117</f>
        <v/>
      </c>
      <c r="N133" s="65">
        <f>L133+'2026 Μάρτιος'!N133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2'!G87</f>
        <v/>
      </c>
      <c r="E134" s="75">
        <f>D134/$D$117</f>
        <v/>
      </c>
      <c r="F134" s="65">
        <f>D134+'2026 Μάρτιος'!F134</f>
        <v/>
      </c>
      <c r="G134" s="75">
        <f>F134/$F$117</f>
        <v/>
      </c>
      <c r="H134" s="56">
        <f>ΠΡΟΥΠΟΛΟΓΙΣΜΟΣ_ΕΞΟΔΑ!G381</f>
        <v/>
      </c>
      <c r="I134" s="400">
        <f>H134/$H$117</f>
        <v/>
      </c>
      <c r="J134" s="65">
        <f>H134+'2026 Μάρτιος'!J134</f>
        <v/>
      </c>
      <c r="K134" s="404">
        <f>J134/$J$117</f>
        <v/>
      </c>
      <c r="L134" s="56">
        <f>'2024_60-69 ΕΞΟΔΑ+ΟΜ 2'!G82</f>
        <v/>
      </c>
      <c r="M134" s="75">
        <f>L134/$L$117</f>
        <v/>
      </c>
      <c r="N134" s="65">
        <f>L134+'2026 Μάρτιος'!N134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2'!G88</f>
        <v/>
      </c>
      <c r="E135" s="75">
        <f>D135/$D$117</f>
        <v/>
      </c>
      <c r="F135" s="65">
        <f>D135+'2026 Μάρτιος'!F135</f>
        <v/>
      </c>
      <c r="G135" s="75">
        <f>F135/$F$117</f>
        <v/>
      </c>
      <c r="H135" s="56">
        <f>ΠΡΟΥΠΟΛΟΓΙΣΜΟΣ_ΕΞΟΔΑ!G386</f>
        <v/>
      </c>
      <c r="I135" s="400">
        <f>H135/$H$117</f>
        <v/>
      </c>
      <c r="J135" s="65">
        <f>H135+'2026 Μάρτιος'!J135</f>
        <v/>
      </c>
      <c r="K135" s="404">
        <f>J135/$J$117</f>
        <v/>
      </c>
      <c r="L135" s="56">
        <f>'2024_60-69 ΕΞΟΔΑ+ΟΜ 2'!G83</f>
        <v/>
      </c>
      <c r="M135" s="75">
        <f>L135/$L$117</f>
        <v/>
      </c>
      <c r="N135" s="65">
        <f>L135+'2026 Μάρτιος'!N135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2'!G89</f>
        <v/>
      </c>
      <c r="E136" s="75">
        <f>D136/$D$117</f>
        <v/>
      </c>
      <c r="F136" s="65">
        <f>D136+'2026 Μάρτιος'!F136</f>
        <v/>
      </c>
      <c r="G136" s="75">
        <f>F136/$F$117</f>
        <v/>
      </c>
      <c r="H136" s="56">
        <f>ΠΡΟΥΠΟΛΟΓΙΣΜΟΣ_ΕΞΟΔΑ!G391</f>
        <v/>
      </c>
      <c r="I136" s="400">
        <f>H136/$H$117</f>
        <v/>
      </c>
      <c r="J136" s="65">
        <f>H136+'2026 Μάρτιος'!J136</f>
        <v/>
      </c>
      <c r="K136" s="404">
        <f>J136/$J$117</f>
        <v/>
      </c>
      <c r="L136" s="56">
        <f>'2024_60-69 ΕΞΟΔΑ+ΟΜ 2'!G84</f>
        <v/>
      </c>
      <c r="M136" s="75">
        <f>L136/$L$117</f>
        <v/>
      </c>
      <c r="N136" s="65">
        <f>L136+'2026 Μάρτιος'!N136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2'!G90</f>
        <v/>
      </c>
      <c r="E137" s="75">
        <f>D137/$D$117</f>
        <v/>
      </c>
      <c r="F137" s="65">
        <f>D137+'2026 Μάρτιος'!F137</f>
        <v/>
      </c>
      <c r="G137" s="75">
        <f>F137/$F$117</f>
        <v/>
      </c>
      <c r="H137" s="56">
        <f>ΠΡΟΥΠΟΛΟΓΙΣΜΟΣ_ΕΞΟΔΑ!G396</f>
        <v/>
      </c>
      <c r="I137" s="400">
        <f>H137/$H$117</f>
        <v/>
      </c>
      <c r="J137" s="65">
        <f>H137+'2026 Μάρτιος'!J137</f>
        <v/>
      </c>
      <c r="K137" s="404">
        <f>J137/$J$117</f>
        <v/>
      </c>
      <c r="L137" s="56">
        <f>'2024_60-69 ΕΞΟΔΑ+ΟΜ 2'!G85</f>
        <v/>
      </c>
      <c r="M137" s="75">
        <f>L137/$L$117</f>
        <v/>
      </c>
      <c r="N137" s="65">
        <f>L137+'2026 Μάρτιος'!N137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2'!G91</f>
        <v/>
      </c>
      <c r="E138" s="75">
        <f>D138/$D$117</f>
        <v/>
      </c>
      <c r="F138" s="65">
        <f>D138+'2026 Μάρτιος'!F138</f>
        <v/>
      </c>
      <c r="G138" s="75">
        <f>F138/$F$117</f>
        <v/>
      </c>
      <c r="H138" s="56">
        <f>ΠΡΟΥΠΟΛΟΓΙΣΜΟΣ_ΕΞΟΔΑ!G401</f>
        <v/>
      </c>
      <c r="I138" s="400">
        <f>H138/$H$117</f>
        <v/>
      </c>
      <c r="J138" s="65">
        <f>H138+'2026 Μάρτιος'!J138</f>
        <v/>
      </c>
      <c r="K138" s="404">
        <f>J138/$J$117</f>
        <v/>
      </c>
      <c r="L138" s="56">
        <f>'2024_60-69 ΕΞΟΔΑ+ΟΜ 2'!G86</f>
        <v/>
      </c>
      <c r="M138" s="75">
        <f>L138/$L$117</f>
        <v/>
      </c>
      <c r="N138" s="65">
        <f>L138+'2026 Μάρτιος'!N138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2'!G92</f>
        <v/>
      </c>
      <c r="E139" s="75">
        <f>D139/$D$117</f>
        <v/>
      </c>
      <c r="F139" s="65">
        <f>D139+'2026 Μάρτιος'!F139</f>
        <v/>
      </c>
      <c r="G139" s="75">
        <f>F139/$F$117</f>
        <v/>
      </c>
      <c r="H139" s="56">
        <f>ΠΡΟΥΠΟΛΟΓΙΣΜΟΣ_ΕΞΟΔΑ!G406</f>
        <v/>
      </c>
      <c r="I139" s="400">
        <f>H139/$H$117</f>
        <v/>
      </c>
      <c r="J139" s="65">
        <f>H139+'2026 Μάρτιος'!J139</f>
        <v/>
      </c>
      <c r="K139" s="404">
        <f>J139/$J$117</f>
        <v/>
      </c>
      <c r="L139" s="56">
        <f>'2024_60-69 ΕΞΟΔΑ+ΟΜ 2'!G87</f>
        <v/>
      </c>
      <c r="M139" s="75">
        <f>L139/$L$117</f>
        <v/>
      </c>
      <c r="N139" s="65">
        <f>L139+'2026 Μάρτιος'!N139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2'!G93</f>
        <v/>
      </c>
      <c r="E140" s="75">
        <f>D140/$D$117</f>
        <v/>
      </c>
      <c r="F140" s="65">
        <f>D140+'2026 Μάρτιος'!F140</f>
        <v/>
      </c>
      <c r="G140" s="75">
        <f>F140/$F$117</f>
        <v/>
      </c>
      <c r="H140" s="56">
        <f>ΠΡΟΥΠΟΛΟΓΙΣΜΟΣ_ΕΞΟΔΑ!G411</f>
        <v/>
      </c>
      <c r="I140" s="400">
        <f>H140/$H$117</f>
        <v/>
      </c>
      <c r="J140" s="65">
        <f>H140+'2026 Μάρτιος'!J140</f>
        <v/>
      </c>
      <c r="K140" s="404">
        <f>J140/$J$117</f>
        <v/>
      </c>
      <c r="L140" s="56">
        <f>'2024_60-69 ΕΞΟΔΑ+ΟΜ 2'!G88</f>
        <v/>
      </c>
      <c r="M140" s="75">
        <f>L140/$L$117</f>
        <v/>
      </c>
      <c r="N140" s="65">
        <f>L140+'2026 Μάρτιος'!N140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2'!G94</f>
        <v/>
      </c>
      <c r="E141" s="75">
        <f>D141/$D$117</f>
        <v/>
      </c>
      <c r="F141" s="65">
        <f>D141+'2026 Μάρτιος'!F141</f>
        <v/>
      </c>
      <c r="G141" s="75">
        <f>F141/$F$117</f>
        <v/>
      </c>
      <c r="H141" s="56">
        <f>ΠΡΟΥΠΟΛΟΓΙΣΜΟΣ_ΕΞΟΔΑ!G416</f>
        <v/>
      </c>
      <c r="I141" s="400">
        <f>H141/$H$117</f>
        <v/>
      </c>
      <c r="J141" s="65">
        <f>H141+'2026 Μάρτιος'!J141</f>
        <v/>
      </c>
      <c r="K141" s="404">
        <f>J141/$J$117</f>
        <v/>
      </c>
      <c r="L141" s="56">
        <f>'2024_60-69 ΕΞΟΔΑ+ΟΜ 2'!G89</f>
        <v/>
      </c>
      <c r="M141" s="75">
        <f>L141/$L$117</f>
        <v/>
      </c>
      <c r="N141" s="65">
        <f>L141+'2026 Μάρτιος'!N141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2'!G95</f>
        <v/>
      </c>
      <c r="E142" s="75">
        <f>D142/$D$117</f>
        <v/>
      </c>
      <c r="F142" s="65">
        <f>D142+'2026 Μάρτιος'!F142</f>
        <v/>
      </c>
      <c r="G142" s="75">
        <f>F142/$F$117</f>
        <v/>
      </c>
      <c r="H142" s="56">
        <f>ΠΡΟΥΠΟΛΟΓΙΣΜΟΣ_ΕΞΟΔΑ!G421</f>
        <v/>
      </c>
      <c r="I142" s="400">
        <f>H142/$H$117</f>
        <v/>
      </c>
      <c r="J142" s="65">
        <f>H142+'2026 Μάρτιος'!J142</f>
        <v/>
      </c>
      <c r="K142" s="404">
        <f>J142/$J$117</f>
        <v/>
      </c>
      <c r="L142" s="56">
        <f>'2024_60-69 ΕΞΟΔΑ+ΟΜ 2'!G90</f>
        <v/>
      </c>
      <c r="M142" s="75">
        <f>L142/$L$117</f>
        <v/>
      </c>
      <c r="N142" s="65">
        <f>L142+'2026 Μάρτιος'!N142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2'!G96</f>
        <v/>
      </c>
      <c r="E143" s="75">
        <f>D143/$D$117</f>
        <v/>
      </c>
      <c r="F143" s="65">
        <f>D143+'2026 Μάρτιος'!F143</f>
        <v/>
      </c>
      <c r="G143" s="75">
        <f>F143/$F$117</f>
        <v/>
      </c>
      <c r="H143" s="56">
        <f>ΠΡΟΥΠΟΛΟΓΙΣΜΟΣ_ΕΞΟΔΑ!G426</f>
        <v/>
      </c>
      <c r="I143" s="400">
        <f>H143/$H$117</f>
        <v/>
      </c>
      <c r="J143" s="65">
        <f>H143+'2026 Μάρτιος'!J143</f>
        <v/>
      </c>
      <c r="K143" s="404">
        <f>J143/$J$117</f>
        <v/>
      </c>
      <c r="L143" s="56">
        <f>'2024_60-69 ΕΞΟΔΑ+ΟΜ 2'!G91</f>
        <v/>
      </c>
      <c r="M143" s="75">
        <f>L143/$L$117</f>
        <v/>
      </c>
      <c r="N143" s="65">
        <f>L143+'2026 Μάρτιος'!N143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2'!G97</f>
        <v/>
      </c>
      <c r="E144" s="75">
        <f>D144/$D$117</f>
        <v/>
      </c>
      <c r="F144" s="65">
        <f>D144+'2026 Μάρτιος'!F144</f>
        <v/>
      </c>
      <c r="G144" s="75">
        <f>F144/$F$117</f>
        <v/>
      </c>
      <c r="H144" s="56">
        <f>ΠΡΟΥΠΟΛΟΓΙΣΜΟΣ_ΕΞΟΔΑ!G431</f>
        <v/>
      </c>
      <c r="I144" s="400">
        <f>H144/$H$117</f>
        <v/>
      </c>
      <c r="J144" s="65">
        <f>H144+'2026 Μάρτιος'!J144</f>
        <v/>
      </c>
      <c r="K144" s="404">
        <f>J144/$J$117</f>
        <v/>
      </c>
      <c r="L144" s="56">
        <f>'2024_60-69 ΕΞΟΔΑ+ΟΜ 2'!G92</f>
        <v/>
      </c>
      <c r="M144" s="75">
        <f>L144/$L$117</f>
        <v/>
      </c>
      <c r="N144" s="65">
        <f>L144+'2026 Μάρτιος'!N144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2'!G98</f>
        <v/>
      </c>
      <c r="E145" s="75">
        <f>D145/$D$117</f>
        <v/>
      </c>
      <c r="F145" s="65">
        <f>D145+'2026 Μάρτιος'!F145</f>
        <v/>
      </c>
      <c r="G145" s="75">
        <f>F145/$F$117</f>
        <v/>
      </c>
      <c r="H145" s="56">
        <f>ΠΡΟΥΠΟΛΟΓΙΣΜΟΣ_ΕΞΟΔΑ!G436</f>
        <v/>
      </c>
      <c r="I145" s="400">
        <f>H145/$H$117</f>
        <v/>
      </c>
      <c r="J145" s="65">
        <f>H145+'2026 Μάρτιος'!J145</f>
        <v/>
      </c>
      <c r="K145" s="404">
        <f>J145/$J$117</f>
        <v/>
      </c>
      <c r="L145" s="56">
        <f>'2024_60-69 ΕΞΟΔΑ+ΟΜ 2'!G93</f>
        <v/>
      </c>
      <c r="M145" s="75">
        <f>L145/$L$117</f>
        <v/>
      </c>
      <c r="N145" s="65">
        <f>L145+'2026 Μάρτιος'!N145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2'!G99</f>
        <v/>
      </c>
      <c r="E146" s="75">
        <f>D146/$D$117</f>
        <v/>
      </c>
      <c r="F146" s="65">
        <f>D146+'2026 Μάρτιος'!F146</f>
        <v/>
      </c>
      <c r="G146" s="75">
        <f>F146/$F$117</f>
        <v/>
      </c>
      <c r="H146" s="56">
        <f>ΠΡΟΥΠΟΛΟΓΙΣΜΟΣ_ΕΞΟΔΑ!G441</f>
        <v/>
      </c>
      <c r="I146" s="400">
        <f>H146/$H$117</f>
        <v/>
      </c>
      <c r="J146" s="65">
        <f>H146+'2026 Μάρτιος'!J146</f>
        <v/>
      </c>
      <c r="K146" s="404">
        <f>J146/$J$117</f>
        <v/>
      </c>
      <c r="L146" s="56">
        <f>'2024_60-69 ΕΞΟΔΑ+ΟΜ 2'!G94</f>
        <v/>
      </c>
      <c r="M146" s="75">
        <f>L146/$L$117</f>
        <v/>
      </c>
      <c r="N146" s="65">
        <f>L146+'2026 Μάρτιος'!N146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2'!G100</f>
        <v/>
      </c>
      <c r="E147" s="75">
        <f>D147/$D$117</f>
        <v/>
      </c>
      <c r="F147" s="65">
        <f>D147+'2026 Μάρτιος'!F147</f>
        <v/>
      </c>
      <c r="G147" s="75">
        <f>F147/$F$117</f>
        <v/>
      </c>
      <c r="H147" s="56">
        <f>ΠΡΟΥΠΟΛΟΓΙΣΜΟΣ_ΕΞΟΔΑ!G446</f>
        <v/>
      </c>
      <c r="I147" s="400">
        <f>H147/$H$117</f>
        <v/>
      </c>
      <c r="J147" s="65">
        <f>H147+'2026 Μάρτιος'!J147</f>
        <v/>
      </c>
      <c r="K147" s="404">
        <f>J147/$J$117</f>
        <v/>
      </c>
      <c r="L147" s="56">
        <f>'2024_60-69 ΕΞΟΔΑ+ΟΜ 2'!G95</f>
        <v/>
      </c>
      <c r="M147" s="75">
        <f>L147/$L$117</f>
        <v/>
      </c>
      <c r="N147" s="65">
        <f>L147+'2026 Μάρτιος'!N147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2'!G101</f>
        <v/>
      </c>
      <c r="E148" s="75">
        <f>D148/$D$117</f>
        <v/>
      </c>
      <c r="F148" s="65">
        <f>D148+'2026 Μάρτιος'!F148</f>
        <v/>
      </c>
      <c r="G148" s="75">
        <f>F148/$F$117</f>
        <v/>
      </c>
      <c r="H148" s="56">
        <f>ΠΡΟΥΠΟΛΟΓΙΣΜΟΣ_ΕΞΟΔΑ!G451</f>
        <v/>
      </c>
      <c r="I148" s="400">
        <f>H148/$H$117</f>
        <v/>
      </c>
      <c r="J148" s="65">
        <f>H148+'2026 Μάρτιος'!J148</f>
        <v/>
      </c>
      <c r="K148" s="404">
        <f>J148/$J$117</f>
        <v/>
      </c>
      <c r="L148" s="56">
        <f>'2024_60-69 ΕΞΟΔΑ+ΟΜ 2'!G96</f>
        <v/>
      </c>
      <c r="M148" s="75">
        <f>L148/$L$117</f>
        <v/>
      </c>
      <c r="N148" s="65">
        <f>L148+'2026 Μάρτιος'!N148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2'!G102</f>
        <v/>
      </c>
      <c r="E149" s="75">
        <f>D149/$D$117</f>
        <v/>
      </c>
      <c r="F149" s="65">
        <f>D149+'2026 Μάρτιος'!F149</f>
        <v/>
      </c>
      <c r="G149" s="75">
        <f>F149/$F$117</f>
        <v/>
      </c>
      <c r="H149" s="56">
        <f>ΠΡΟΥΠΟΛΟΓΙΣΜΟΣ_ΕΞΟΔΑ!G456</f>
        <v/>
      </c>
      <c r="I149" s="400">
        <f>H149/$H$117</f>
        <v/>
      </c>
      <c r="J149" s="65">
        <f>H149+'2026 Μάρτιος'!J149</f>
        <v/>
      </c>
      <c r="K149" s="404">
        <f>J149/$J$117</f>
        <v/>
      </c>
      <c r="L149" s="56">
        <f>'2024_60-69 ΕΞΟΔΑ+ΟΜ 2'!G97</f>
        <v/>
      </c>
      <c r="M149" s="75">
        <f>L149/$L$117</f>
        <v/>
      </c>
      <c r="N149" s="65">
        <f>L149+'2026 Μάρτιος'!N149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2'!G103</f>
        <v/>
      </c>
      <c r="E150" s="75">
        <f>D150/$D$117</f>
        <v/>
      </c>
      <c r="F150" s="65">
        <f>D150+'2026 Μάρτιος'!F150</f>
        <v/>
      </c>
      <c r="G150" s="75">
        <f>F150/$F$117</f>
        <v/>
      </c>
      <c r="H150" s="56">
        <f>ΠΡΟΥΠΟΛΟΓΙΣΜΟΣ_ΕΞΟΔΑ!G461</f>
        <v/>
      </c>
      <c r="I150" s="400">
        <f>H150/$H$117</f>
        <v/>
      </c>
      <c r="J150" s="65">
        <f>H150+'2026 Μάρτιος'!J150</f>
        <v/>
      </c>
      <c r="K150" s="404">
        <f>J150/$J$117</f>
        <v/>
      </c>
      <c r="L150" s="56">
        <f>'2024_60-69 ΕΞΟΔΑ+ΟΜ 2'!G98</f>
        <v/>
      </c>
      <c r="M150" s="75">
        <f>L150/$L$117</f>
        <v/>
      </c>
      <c r="N150" s="65">
        <f>L150+'2026 Μάρτιος'!N150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2'!G104</f>
        <v/>
      </c>
      <c r="E151" s="75">
        <f>D151/$D$117</f>
        <v/>
      </c>
      <c r="F151" s="65">
        <f>D151+'2026 Μάρτιος'!F151</f>
        <v/>
      </c>
      <c r="G151" s="75">
        <f>F151/$F$117</f>
        <v/>
      </c>
      <c r="H151" s="56">
        <f>ΠΡΟΥΠΟΛΟΓΙΣΜΟΣ_ΕΞΟΔΑ!G466</f>
        <v/>
      </c>
      <c r="I151" s="400">
        <f>H151/$H$117</f>
        <v/>
      </c>
      <c r="J151" s="65">
        <f>H151+'2026 Μάρτιος'!J151</f>
        <v/>
      </c>
      <c r="K151" s="404">
        <f>J151/$J$117</f>
        <v/>
      </c>
      <c r="L151" s="56">
        <f>'2024_60-69 ΕΞΟΔΑ+ΟΜ 2'!G99</f>
        <v/>
      </c>
      <c r="M151" s="75">
        <f>L151/$L$117</f>
        <v/>
      </c>
      <c r="N151" s="65">
        <f>L151+'2026 Μάρτιος'!N151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2'!G105</f>
        <v/>
      </c>
      <c r="E152" s="75">
        <f>D152/$D$117</f>
        <v/>
      </c>
      <c r="F152" s="65">
        <f>D152+'2026 Μάρτιος'!F152</f>
        <v/>
      </c>
      <c r="G152" s="75">
        <f>F152/$F$117</f>
        <v/>
      </c>
      <c r="H152" s="56">
        <f>ΠΡΟΥΠΟΛΟΓΙΣΜΟΣ_ΕΞΟΔΑ!G471</f>
        <v/>
      </c>
      <c r="I152" s="400">
        <f>H152/$H$117</f>
        <v/>
      </c>
      <c r="J152" s="65">
        <f>H152+'2026 Μάρτιος'!J152</f>
        <v/>
      </c>
      <c r="K152" s="404">
        <f>J152/$J$117</f>
        <v/>
      </c>
      <c r="L152" s="56">
        <f>'2024_60-69 ΕΞΟΔΑ+ΟΜ 2'!G100</f>
        <v/>
      </c>
      <c r="M152" s="75">
        <f>L152/$L$117</f>
        <v/>
      </c>
      <c r="N152" s="65">
        <f>L152+'2026 Μάρτιος'!N152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2'!G106</f>
        <v/>
      </c>
      <c r="E153" s="75">
        <f>D153/$D$117</f>
        <v/>
      </c>
      <c r="F153" s="65">
        <f>D153+'2026 Μάρτιος'!F153</f>
        <v/>
      </c>
      <c r="G153" s="75">
        <f>F153/$F$117</f>
        <v/>
      </c>
      <c r="H153" s="56">
        <f>ΠΡΟΥΠΟΛΟΓΙΣΜΟΣ_ΕΞΟΔΑ!G476</f>
        <v/>
      </c>
      <c r="I153" s="400">
        <f>H153/$H$117</f>
        <v/>
      </c>
      <c r="J153" s="65">
        <f>H153+'2026 Μάρτιος'!J153</f>
        <v/>
      </c>
      <c r="K153" s="404">
        <f>J153/$J$117</f>
        <v/>
      </c>
      <c r="L153" s="56">
        <f>'2024_60-69 ΕΞΟΔΑ+ΟΜ 2'!G101</f>
        <v/>
      </c>
      <c r="M153" s="75">
        <f>L153/$L$117</f>
        <v/>
      </c>
      <c r="N153" s="65">
        <f>L153+'2026 Μάρτιος'!N153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2'!G107</f>
        <v/>
      </c>
      <c r="E154" s="75">
        <f>D154/$D$117</f>
        <v/>
      </c>
      <c r="F154" s="65">
        <f>D154+'2026 Μάρτιος'!F154</f>
        <v/>
      </c>
      <c r="G154" s="75">
        <f>F154/$F$117</f>
        <v/>
      </c>
      <c r="H154" s="56">
        <f>ΠΡΟΥΠΟΛΟΓΙΣΜΟΣ_ΕΞΟΔΑ!G481</f>
        <v/>
      </c>
      <c r="I154" s="400">
        <f>H154/$H$117</f>
        <v/>
      </c>
      <c r="J154" s="65">
        <f>H154+'2026 Μάρτιος'!J154</f>
        <v/>
      </c>
      <c r="K154" s="404">
        <f>J154/$J$117</f>
        <v/>
      </c>
      <c r="L154" s="56">
        <f>'2024_60-69 ΕΞΟΔΑ+ΟΜ 2'!G102</f>
        <v/>
      </c>
      <c r="M154" s="75">
        <f>L154/$L$117</f>
        <v/>
      </c>
      <c r="N154" s="65">
        <f>L154+'2026 Μάρτιος'!N154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2'!G108</f>
        <v/>
      </c>
      <c r="E155" s="75">
        <f>D155/$D$117</f>
        <v/>
      </c>
      <c r="F155" s="65">
        <f>D155+'2026 Μάρτιος'!F155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2'!G70</f>
        <v/>
      </c>
      <c r="E158" s="81" t="n"/>
      <c r="F158" s="64">
        <f>D158+'2026 Μάρτιος'!F158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ΑΝΤΙΣΤΟΙΧΙΣΗ!$F$110</f>
        <v/>
      </c>
      <c r="E3" s="551" t="n"/>
      <c r="F3" s="550" t="n"/>
      <c r="G3" s="107">
        <f>ΑΝΤΙΣΤΟΙΧΙΣΗ!$D$34</f>
        <v/>
      </c>
      <c r="H3" s="549">
        <f>ΑΝΤΙΣΤΟΙΧΙΣΗ!$F$110</f>
        <v/>
      </c>
      <c r="I3" s="551" t="n"/>
      <c r="J3" s="550" t="n"/>
      <c r="K3" s="107">
        <f>ΑΝΤΙΣΤΟΙΧΙΣΗ!$D$34</f>
        <v/>
      </c>
      <c r="L3" s="549">
        <f>ΑΝΤΙΣΤΟΙΧΙΣΗ!$F$124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'2026_ΕΣΟΔΑ'!G2</f>
        <v/>
      </c>
      <c r="E8" s="53">
        <f>D8/$D$7</f>
        <v/>
      </c>
      <c r="F8" s="54">
        <f>D8+'2026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H8+'2026 Απρίλιος'!J8</f>
        <v/>
      </c>
      <c r="K8" s="53">
        <f>J8/$J$7</f>
        <v/>
      </c>
      <c r="L8" s="89">
        <f>'2024_60-69 ΕΞΟΔΑ+ΟΜ 2'!G114</f>
        <v/>
      </c>
      <c r="M8" s="53">
        <f>L8/$L$7</f>
        <v/>
      </c>
      <c r="N8" s="54">
        <f>L8+'2026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'2026_ΕΣΟΔΑ'!G3</f>
        <v/>
      </c>
      <c r="E9" s="53">
        <f>D9/$D$7</f>
        <v/>
      </c>
      <c r="F9" s="54">
        <f>D9+'2026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H9+'2026 Απρίλιος'!J9</f>
        <v/>
      </c>
      <c r="K9" s="53">
        <f>J9/$J$7</f>
        <v/>
      </c>
      <c r="L9" s="89">
        <f>'2024_60-69 ΕΞΟΔΑ+ΟΜ 2'!G115</f>
        <v/>
      </c>
      <c r="M9" s="53">
        <f>L9/$L$7</f>
        <v/>
      </c>
      <c r="N9" s="54">
        <f>L9+'2026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'2026_ΕΣΟΔΑ'!G4</f>
        <v/>
      </c>
      <c r="E10" s="53">
        <f>D10/$D$7</f>
        <v/>
      </c>
      <c r="F10" s="54">
        <f>D10+'2026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H10+'2026 Απρίλιος'!J10</f>
        <v/>
      </c>
      <c r="K10" s="53">
        <f>J10/$J$7</f>
        <v/>
      </c>
      <c r="L10" s="89">
        <f>'2024_60-69 ΕΞΟΔΑ+ΟΜ 2'!G116</f>
        <v/>
      </c>
      <c r="M10" s="53">
        <f>L10/$L$7</f>
        <v/>
      </c>
      <c r="N10" s="54">
        <f>L10+'2026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'2026_ΕΣΟΔΑ'!G5</f>
        <v/>
      </c>
      <c r="E11" s="53">
        <f>D11/$D$7</f>
        <v/>
      </c>
      <c r="F11" s="54">
        <f>D11+'2026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H11+'2026 Απρίλιος'!J11</f>
        <v/>
      </c>
      <c r="K11" s="53">
        <f>J11/$J$7</f>
        <v/>
      </c>
      <c r="L11" s="89">
        <f>'2024_60-69 ΕΞΟΔΑ+ΟΜ 2'!G117</f>
        <v/>
      </c>
      <c r="M11" s="53">
        <f>L11/$L$7</f>
        <v/>
      </c>
      <c r="N11" s="54">
        <f>L11+'2026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'2026_ΕΣΟΔΑ'!G6</f>
        <v/>
      </c>
      <c r="E12" s="53">
        <f>D12/$D$7</f>
        <v/>
      </c>
      <c r="F12" s="54">
        <f>D12+'2026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H12+'2026 Απρίλιος'!J12</f>
        <v/>
      </c>
      <c r="K12" s="53">
        <f>J12/$J$7</f>
        <v/>
      </c>
      <c r="L12" s="89">
        <f>'2024_60-69 ΕΞΟΔΑ+ΟΜ 2'!G118</f>
        <v/>
      </c>
      <c r="M12" s="53">
        <f>L12/$L$7</f>
        <v/>
      </c>
      <c r="N12" s="54">
        <f>L12+'2026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'2026_ΕΣΟΔΑ'!G7</f>
        <v/>
      </c>
      <c r="E13" s="53">
        <f>D13/$D$7</f>
        <v/>
      </c>
      <c r="F13" s="54">
        <f>D13+'2026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H13+'2026 Απρίλιος'!J13</f>
        <v/>
      </c>
      <c r="K13" s="53">
        <f>J13/$J$7</f>
        <v/>
      </c>
      <c r="L13" s="89">
        <f>'2024_60-69 ΕΞΟΔΑ+ΟΜ 2'!G119</f>
        <v/>
      </c>
      <c r="M13" s="53">
        <f>L13/$L$7</f>
        <v/>
      </c>
      <c r="N13" s="54">
        <f>L13+'2026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'2026_ΕΣΟΔΑ'!G8</f>
        <v/>
      </c>
      <c r="E14" s="53">
        <f>D14/$D$7</f>
        <v/>
      </c>
      <c r="F14" s="54">
        <f>D14+'2026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H14+'2026 Απρίλιος'!J14</f>
        <v/>
      </c>
      <c r="K14" s="53">
        <f>J14/$J$7</f>
        <v/>
      </c>
      <c r="L14" s="89">
        <f>'2024_60-69 ΕΞΟΔΑ+ΟΜ 2'!G120</f>
        <v/>
      </c>
      <c r="M14" s="53">
        <f>L14/$L$7</f>
        <v/>
      </c>
      <c r="N14" s="54">
        <f>L14+'2026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'2026_ΕΣΟΔΑ'!G9</f>
        <v/>
      </c>
      <c r="E15" s="53">
        <f>D15/$D$7</f>
        <v/>
      </c>
      <c r="F15" s="54">
        <f>D15+'2026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H15+'2026 Απρίλιος'!J15</f>
        <v/>
      </c>
      <c r="K15" s="53">
        <f>J15/$J$7</f>
        <v/>
      </c>
      <c r="L15" s="89">
        <f>'2024_60-69 ΕΞΟΔΑ+ΟΜ 2'!G121</f>
        <v/>
      </c>
      <c r="M15" s="53">
        <f>L15/$L$7</f>
        <v/>
      </c>
      <c r="N15" s="54">
        <f>L15+'2026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'2026_ΕΣΟΔΑ'!G10</f>
        <v/>
      </c>
      <c r="E16" s="53">
        <f>D16/$D$7</f>
        <v/>
      </c>
      <c r="F16" s="54">
        <f>D16+'2026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H16+'2026 Απρίλιος'!J16</f>
        <v/>
      </c>
      <c r="K16" s="53">
        <f>J16/$J$7</f>
        <v/>
      </c>
      <c r="L16" s="89">
        <f>'2024_60-69 ΕΞΟΔΑ+ΟΜ 2'!G122</f>
        <v/>
      </c>
      <c r="M16" s="53">
        <f>L16/$L$7</f>
        <v/>
      </c>
      <c r="N16" s="54">
        <f>L16+'2026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'2026_ΕΣΟΔΑ'!G11</f>
        <v/>
      </c>
      <c r="E17" s="53">
        <f>D17/$D$7</f>
        <v/>
      </c>
      <c r="F17" s="54">
        <f>D17+'2026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H17+'2026 Απρίλιος'!J17</f>
        <v/>
      </c>
      <c r="K17" s="53">
        <f>J17/$J$7</f>
        <v/>
      </c>
      <c r="L17" s="89">
        <f>'2024_60-69 ΕΞΟΔΑ+ΟΜ 2'!G123</f>
        <v/>
      </c>
      <c r="M17" s="53">
        <f>L17/$L$7</f>
        <v/>
      </c>
      <c r="N17" s="54">
        <f>L17+'2026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'2026_ΕΣΟΔΑ'!G12</f>
        <v/>
      </c>
      <c r="E18" s="53">
        <f>D18/$D$7</f>
        <v/>
      </c>
      <c r="F18" s="54">
        <f>D18+'2026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H18+'2026 Απρίλιος'!J18</f>
        <v/>
      </c>
      <c r="K18" s="53">
        <f>J18/$J$7</f>
        <v/>
      </c>
      <c r="L18" s="89">
        <f>'2024_60-69 ΕΞΟΔΑ+ΟΜ 2'!G124</f>
        <v/>
      </c>
      <c r="M18" s="53">
        <f>L18/$L$7</f>
        <v/>
      </c>
      <c r="N18" s="54">
        <f>L18+'2026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'2026_ΕΣΟΔΑ'!G13</f>
        <v/>
      </c>
      <c r="E19" s="53">
        <f>D19/$D$7</f>
        <v/>
      </c>
      <c r="F19" s="54">
        <f>D19+'2026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H19+'2026 Απρίλιος'!J19</f>
        <v/>
      </c>
      <c r="K19" s="53">
        <f>J19/$J$7</f>
        <v/>
      </c>
      <c r="L19" s="89">
        <f>'2024_60-69 ΕΞΟΔΑ+ΟΜ 2'!G125</f>
        <v/>
      </c>
      <c r="M19" s="53">
        <f>L19/$L$7</f>
        <v/>
      </c>
      <c r="N19" s="54">
        <f>L19+'2026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'2026_ΕΣΟΔΑ'!G14</f>
        <v/>
      </c>
      <c r="E20" s="53">
        <f>D20/$D$7</f>
        <v/>
      </c>
      <c r="F20" s="54">
        <f>D20+'2026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H20+'2026 Απρίλιος'!J20</f>
        <v/>
      </c>
      <c r="K20" s="53">
        <f>J20/$J$7</f>
        <v/>
      </c>
      <c r="L20" s="89">
        <f>'2024_60-69 ΕΞΟΔΑ+ΟΜ 2'!G126</f>
        <v/>
      </c>
      <c r="M20" s="53">
        <f>L20/$L$7</f>
        <v/>
      </c>
      <c r="N20" s="54">
        <f>L20+'2026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'2026_ΕΣΟΔΑ'!G15</f>
        <v/>
      </c>
      <c r="E21" s="53">
        <f>D21/$D$7</f>
        <v/>
      </c>
      <c r="F21" s="54">
        <f>D21+'2026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H21+'2026 Απρίλιος'!J21</f>
        <v/>
      </c>
      <c r="K21" s="53">
        <f>J21/$J$7</f>
        <v/>
      </c>
      <c r="L21" s="89">
        <f>'2024_60-69 ΕΞΟΔΑ+ΟΜ 2'!G127</f>
        <v/>
      </c>
      <c r="M21" s="53">
        <f>L21/$L$7</f>
        <v/>
      </c>
      <c r="N21" s="54">
        <f>L21+'2026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'2026_ΕΣΟΔΑ'!G16</f>
        <v/>
      </c>
      <c r="E22" s="53">
        <f>D22/$D$7</f>
        <v/>
      </c>
      <c r="F22" s="54">
        <f>D22+'2026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H22+'2026 Απρίλιος'!J22</f>
        <v/>
      </c>
      <c r="K22" s="53">
        <f>J22/$J$7</f>
        <v/>
      </c>
      <c r="L22" s="89">
        <f>'2024_60-69 ΕΞΟΔΑ+ΟΜ 2'!G128</f>
        <v/>
      </c>
      <c r="M22" s="53">
        <f>L22/$L$7</f>
        <v/>
      </c>
      <c r="N22" s="54">
        <f>L22+'2026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'2026_ΕΣΟΔΑ'!G17</f>
        <v/>
      </c>
      <c r="E23" s="53">
        <f>D23/$D$7</f>
        <v/>
      </c>
      <c r="F23" s="54">
        <f>D23+'2026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H23+'2026 Απρίλιος'!J23</f>
        <v/>
      </c>
      <c r="K23" s="53">
        <f>J23/$J$7</f>
        <v/>
      </c>
      <c r="L23" s="89">
        <f>'2024_60-69 ΕΞΟΔΑ+ΟΜ 2'!G129</f>
        <v/>
      </c>
      <c r="M23" s="53">
        <f>L23/$L$7</f>
        <v/>
      </c>
      <c r="N23" s="54">
        <f>L23+'2026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'2026_ΕΣΟΔΑ'!G19</f>
        <v/>
      </c>
      <c r="E25" s="53">
        <f>D25/$D$7</f>
        <v/>
      </c>
      <c r="F25" s="54">
        <f>D25+'2026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H25+'2026 Απρίλιος'!J25</f>
        <v/>
      </c>
      <c r="K25" s="53">
        <f>J25/$J$7</f>
        <v/>
      </c>
      <c r="L25" s="89">
        <f>'2024_60-69 ΕΞΟΔΑ+ΟΜ 2'!G130</f>
        <v/>
      </c>
      <c r="M25" s="53">
        <f>L25/$L$7</f>
        <v/>
      </c>
      <c r="N25" s="54">
        <f>L25+'2026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'2026_ΕΣΟΔΑ'!G20</f>
        <v/>
      </c>
      <c r="E26" s="53">
        <f>D26/$D$7</f>
        <v/>
      </c>
      <c r="F26" s="54">
        <f>D26+'2026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H26+'2026 Απρίλιος'!J26</f>
        <v/>
      </c>
      <c r="K26" s="53">
        <f>J26/$J$7</f>
        <v/>
      </c>
      <c r="L26" s="89">
        <f>'2024_60-69 ΕΞΟΔΑ+ΟΜ 2'!G131</f>
        <v/>
      </c>
      <c r="M26" s="53">
        <f>L26/$L$7</f>
        <v/>
      </c>
      <c r="N26" s="54">
        <f>L26+'2026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'2026_ΕΣΟΔΑ'!G21</f>
        <v/>
      </c>
      <c r="E27" s="53">
        <f>D27/$D$7</f>
        <v/>
      </c>
      <c r="F27" s="54">
        <f>D27+'2026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H27+'2026 Απρίλιος'!J27</f>
        <v/>
      </c>
      <c r="K27" s="53">
        <f>J27/$J$7</f>
        <v/>
      </c>
      <c r="L27" s="89">
        <f>'2024_60-69 ΕΞΟΔΑ+ΟΜ 2'!G132</f>
        <v/>
      </c>
      <c r="M27" s="53">
        <f>L27/$L$7</f>
        <v/>
      </c>
      <c r="N27" s="54">
        <f>L27+'2026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'2026_ΕΣΟΔΑ'!G22</f>
        <v/>
      </c>
      <c r="E28" s="53">
        <f>D28/$D$7</f>
        <v/>
      </c>
      <c r="F28" s="54">
        <f>D28+'2026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H28+'2026 Απρίλιος'!J28</f>
        <v/>
      </c>
      <c r="K28" s="53">
        <f>J28/$J$7</f>
        <v/>
      </c>
      <c r="L28" s="89">
        <f>'2024_60-69 ΕΞΟΔΑ+ΟΜ 2'!G133</f>
        <v/>
      </c>
      <c r="M28" s="53">
        <f>L28/$L$7</f>
        <v/>
      </c>
      <c r="N28" s="54">
        <f>L28+'2026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'2026_ΕΣΟΔΑ'!G23</f>
        <v/>
      </c>
      <c r="E29" s="53">
        <f>D29/$D$7</f>
        <v/>
      </c>
      <c r="F29" s="54">
        <f>D29+'2026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H29+'2026 Απρίλιος'!J29</f>
        <v/>
      </c>
      <c r="K29" s="53">
        <f>J29/$J$7</f>
        <v/>
      </c>
      <c r="L29" s="89">
        <f>'2024_60-69 ΕΞΟΔΑ+ΟΜ 2'!G134</f>
        <v/>
      </c>
      <c r="M29" s="53">
        <f>L29/$L$7</f>
        <v/>
      </c>
      <c r="N29" s="54">
        <f>L29+'2026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'2026_ΕΣΟΔΑ'!G24</f>
        <v/>
      </c>
      <c r="E30" s="53">
        <f>D30/$D$7</f>
        <v/>
      </c>
      <c r="F30" s="54">
        <f>D30+'2026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H30+'2026 Απρίλιος'!J30</f>
        <v/>
      </c>
      <c r="K30" s="53">
        <f>J30/$J$7</f>
        <v/>
      </c>
      <c r="L30" s="89">
        <f>'2024_60-69 ΕΞΟΔΑ+ΟΜ 2'!G135</f>
        <v/>
      </c>
      <c r="M30" s="53">
        <f>L30/$L$7</f>
        <v/>
      </c>
      <c r="N30" s="54">
        <f>L30+'2026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'2026_ΕΣΟΔΑ'!G25</f>
        <v/>
      </c>
      <c r="E31" s="53">
        <f>D31/$D$7</f>
        <v/>
      </c>
      <c r="F31" s="54">
        <f>D31+'2026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H31+'2026 Απρίλιος'!J31</f>
        <v/>
      </c>
      <c r="K31" s="53">
        <f>J31/$J$7</f>
        <v/>
      </c>
      <c r="L31" s="89">
        <f>'2024_60-69 ΕΞΟΔΑ+ΟΜ 2'!G136</f>
        <v/>
      </c>
      <c r="M31" s="53">
        <f>L31/$L$7</f>
        <v/>
      </c>
      <c r="N31" s="54">
        <f>L31+'2026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'2026_ΕΣΟΔΑ'!G26</f>
        <v/>
      </c>
      <c r="E32" s="53">
        <f>D32/$D$7</f>
        <v/>
      </c>
      <c r="F32" s="54">
        <f>D32+'2026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H32+'2026 Απρίλιος'!J32</f>
        <v/>
      </c>
      <c r="K32" s="53">
        <f>J32/$J$7</f>
        <v/>
      </c>
      <c r="L32" s="89">
        <f>'2024_60-69 ΕΞΟΔΑ+ΟΜ 2'!G137</f>
        <v/>
      </c>
      <c r="M32" s="53">
        <f>L32/$L$7</f>
        <v/>
      </c>
      <c r="N32" s="54">
        <f>L32+'2026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'2026_ΕΣΟΔΑ'!G27</f>
        <v/>
      </c>
      <c r="E33" s="53">
        <f>D33/$D$7</f>
        <v/>
      </c>
      <c r="F33" s="54">
        <f>D33+'2026 Απρίλιος'!F33</f>
        <v/>
      </c>
      <c r="G33" s="53">
        <f>F33/$F$7</f>
        <v/>
      </c>
      <c r="H33" s="54" t="n"/>
      <c r="I33" s="53">
        <f>H33/$H$7</f>
        <v/>
      </c>
      <c r="J33" s="54">
        <f>H33+'2026 Απρίλιος'!J33</f>
        <v/>
      </c>
      <c r="K33" s="53">
        <f>J33/$J$7</f>
        <v/>
      </c>
      <c r="L33" s="89">
        <f>'2024_60-69 ΕΞΟΔΑ+ΟΜ 2'!G138</f>
        <v/>
      </c>
      <c r="M33" s="53">
        <f>L33/$L$7</f>
        <v/>
      </c>
      <c r="N33" s="54">
        <f>L33+'2026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'2026_ΕΣΟΔΑ'!G28</f>
        <v/>
      </c>
      <c r="E34" s="53">
        <f>D34/$D$7</f>
        <v/>
      </c>
      <c r="F34" s="54">
        <f>D34+'2026 Απρίλιος'!F34</f>
        <v/>
      </c>
      <c r="G34" s="53">
        <f>F34/$F$7</f>
        <v/>
      </c>
      <c r="H34" s="54" t="n"/>
      <c r="I34" s="53">
        <f>H34/$H$7</f>
        <v/>
      </c>
      <c r="J34" s="54">
        <f>H34+'2026 Απρίλιος'!J34</f>
        <v/>
      </c>
      <c r="K34" s="53">
        <f>J34/$J$7</f>
        <v/>
      </c>
      <c r="L34" s="89">
        <f>'2024_60-69 ΕΞΟΔΑ+ΟΜ 2'!G139</f>
        <v/>
      </c>
      <c r="M34" s="53">
        <f>L34/$L$7</f>
        <v/>
      </c>
      <c r="N34" s="54">
        <f>L34+'2026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'2026_ΕΣΟΔΑ'!G29</f>
        <v/>
      </c>
      <c r="E35" s="53">
        <f>D35/$D$7</f>
        <v/>
      </c>
      <c r="F35" s="54">
        <f>D35+'2026 Απρίλιος'!F35</f>
        <v/>
      </c>
      <c r="G35" s="53">
        <f>F35/$F$7</f>
        <v/>
      </c>
      <c r="H35" s="54" t="n"/>
      <c r="I35" s="53">
        <f>H35/$H$7</f>
        <v/>
      </c>
      <c r="J35" s="54">
        <f>H35+'2026 Απρίλιος'!J35</f>
        <v/>
      </c>
      <c r="K35" s="53">
        <f>J35/$J$7</f>
        <v/>
      </c>
      <c r="L35" s="89">
        <f>'2024_60-69 ΕΞΟΔΑ+ΟΜ 2'!G140</f>
        <v/>
      </c>
      <c r="M35" s="53">
        <f>L35/$L$7</f>
        <v/>
      </c>
      <c r="N35" s="54">
        <f>L35+'2026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'2026_ΕΣΟΔΑ'!G30</f>
        <v/>
      </c>
      <c r="E36" s="53">
        <f>D36/$D$7</f>
        <v/>
      </c>
      <c r="F36" s="54">
        <f>D36+'2026 Απρίλιος'!F36</f>
        <v/>
      </c>
      <c r="G36" s="53">
        <f>F36/$F$7</f>
        <v/>
      </c>
      <c r="H36" s="54" t="n"/>
      <c r="I36" s="53">
        <f>H36/$H$7</f>
        <v/>
      </c>
      <c r="J36" s="54">
        <f>H36+'2026 Απρίλιος'!J36</f>
        <v/>
      </c>
      <c r="K36" s="53">
        <f>J36/$J$7</f>
        <v/>
      </c>
      <c r="L36" s="89">
        <f>'2024_60-69 ΕΞΟΔΑ+ΟΜ 2'!G141</f>
        <v/>
      </c>
      <c r="M36" s="53">
        <f>L36/$L$7</f>
        <v/>
      </c>
      <c r="N36" s="54">
        <f>L36+'2026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'2026_ΕΣΟΔΑ'!G31</f>
        <v/>
      </c>
      <c r="E37" s="53">
        <f>D37/$D$7</f>
        <v/>
      </c>
      <c r="F37" s="54">
        <f>D37+'2026 Απρίλιος'!F37</f>
        <v/>
      </c>
      <c r="G37" s="53">
        <f>F37/$F$7</f>
        <v/>
      </c>
      <c r="H37" s="54" t="n"/>
      <c r="I37" s="53">
        <f>H37/$H$7</f>
        <v/>
      </c>
      <c r="J37" s="54">
        <f>H37+'2026 Απρίλιος'!J37</f>
        <v/>
      </c>
      <c r="K37" s="53">
        <f>J37/$J$7</f>
        <v/>
      </c>
      <c r="L37" s="89">
        <f>'2024_60-69 ΕΞΟΔΑ+ΟΜ 2'!G142</f>
        <v/>
      </c>
      <c r="M37" s="53">
        <f>L37/$L$7</f>
        <v/>
      </c>
      <c r="N37" s="54">
        <f>L37+'2026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'2026_ΕΣΟΔΑ'!G32</f>
        <v/>
      </c>
      <c r="E38" s="53">
        <f>D38/$D$7</f>
        <v/>
      </c>
      <c r="F38" s="54">
        <f>D38+'2026 Απρίλιος'!F38</f>
        <v/>
      </c>
      <c r="G38" s="53">
        <f>F38/$F$7</f>
        <v/>
      </c>
      <c r="H38" s="54" t="n"/>
      <c r="I38" s="53">
        <f>H38/$H$7</f>
        <v/>
      </c>
      <c r="J38" s="54">
        <f>H38+'2026 Απρίλιος'!J38</f>
        <v/>
      </c>
      <c r="K38" s="53">
        <f>J38/$J$7</f>
        <v/>
      </c>
      <c r="L38" s="89">
        <f>'2024_60-69 ΕΞΟΔΑ+ΟΜ 2'!G143</f>
        <v/>
      </c>
      <c r="M38" s="53">
        <f>L38/$L$7</f>
        <v/>
      </c>
      <c r="N38" s="54">
        <f>L38+'2026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'2026_ΕΣΟΔΑ'!G33</f>
        <v/>
      </c>
      <c r="E39" s="81" t="n"/>
      <c r="F39" s="64">
        <f>'2026_ΕΣΟΔΑ'!G35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ΑΝΤΙΣΤΟΙΧΙΣΗ!$F$110</f>
        <v/>
      </c>
      <c r="E42" s="551" t="n"/>
      <c r="F42" s="550" t="n"/>
      <c r="G42" s="107">
        <f>ΑΝΤΙΣΤΟΙΧΙΣΗ!$D$34</f>
        <v/>
      </c>
      <c r="H42" s="549">
        <f>ΑΝΤΙΣΤΟΙΧΙΣΗ!$F$110</f>
        <v/>
      </c>
      <c r="I42" s="551" t="n"/>
      <c r="J42" s="550" t="n"/>
      <c r="K42" s="107">
        <f>ΑΝΤΙΣΤΟΙΧΙΣΗ!$D$34</f>
        <v/>
      </c>
      <c r="L42" s="549">
        <f>ΑΝΤΙΣΤΟΙΧΙΣΗ!$F$124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2'!H4</f>
        <v/>
      </c>
      <c r="E45" s="75">
        <f>D45/$D$44</f>
        <v/>
      </c>
      <c r="F45" s="65">
        <f>D45+'2026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H45+'2026 Απρίλιος'!H45</f>
        <v/>
      </c>
      <c r="K45" s="404">
        <f>J45/$J$44</f>
        <v/>
      </c>
      <c r="L45" s="56">
        <f>'2024_60-69 ΕΞΟΔΑ+ΟΜ 2'!H4</f>
        <v/>
      </c>
      <c r="M45" s="75">
        <f>L45/$L$44</f>
        <v/>
      </c>
      <c r="N45" s="65">
        <f>L45+'2026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2'!H5</f>
        <v/>
      </c>
      <c r="E46" s="75">
        <f>D46/$D$44</f>
        <v/>
      </c>
      <c r="F46" s="65">
        <f>D46+'2026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H46+'2026 Απρίλιος'!H46</f>
        <v/>
      </c>
      <c r="K46" s="404">
        <f>J46/$J$44</f>
        <v/>
      </c>
      <c r="L46" s="56">
        <f>'2024_60-69 ΕΞΟΔΑ+ΟΜ 2'!H5</f>
        <v/>
      </c>
      <c r="M46" s="75">
        <f>L46/$L$44</f>
        <v/>
      </c>
      <c r="N46" s="65">
        <f>L46+'2026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2'!H6</f>
        <v/>
      </c>
      <c r="E47" s="75">
        <f>D47/$D$44</f>
        <v/>
      </c>
      <c r="F47" s="65">
        <f>D47+'2026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H47+'2026 Απρίλιος'!H47</f>
        <v/>
      </c>
      <c r="K47" s="404">
        <f>J47/$J$44</f>
        <v/>
      </c>
      <c r="L47" s="56">
        <f>'2024_60-69 ΕΞΟΔΑ+ΟΜ 2'!H6</f>
        <v/>
      </c>
      <c r="M47" s="75">
        <f>L47/$L$44</f>
        <v/>
      </c>
      <c r="N47" s="65">
        <f>L47+'2026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1</v>
      </c>
      <c r="C48" s="113">
        <f>ΑΝΤΙΣΤΟΙΧΙΣΗ!L187</f>
        <v/>
      </c>
      <c r="D48" s="114">
        <f>'2026_60-69 ΕΞΟΔΑ+ΟΜ 2'!H7</f>
        <v/>
      </c>
      <c r="E48" s="75">
        <f>D48/$D$85</f>
        <v/>
      </c>
      <c r="F48" s="114">
        <f>D48+'2026 Απρίλιος'!F48</f>
        <v/>
      </c>
      <c r="G48" s="75">
        <f>F48/$F$85</f>
        <v/>
      </c>
      <c r="H48" s="56">
        <f>ΠΡΟΥΠΟΛΟΓΙΣΜΟΣ_ΕΞΟΔΑ!H167</f>
        <v/>
      </c>
      <c r="I48" s="401">
        <f>H48/$H$85</f>
        <v/>
      </c>
      <c r="J48" s="402">
        <f>H48+'2026 Απρίλιος'!J48</f>
        <v/>
      </c>
      <c r="K48" s="403">
        <f>J48/$J$85</f>
        <v/>
      </c>
      <c r="L48" s="114">
        <f>'2024_60-69 ΕΞΟΔΑ+ΟΜ 2'!H35</f>
        <v/>
      </c>
      <c r="M48" s="75">
        <f>L48/$L$85</f>
        <v/>
      </c>
      <c r="N48" s="65">
        <f>L48+'2026 Απρίλιος'!N48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2</v>
      </c>
      <c r="C49" s="109">
        <f>ΑΝΤΙΣΤΟΙΧΙΣΗ!L188</f>
        <v/>
      </c>
      <c r="D49" s="114">
        <f>'2026_60-69 ΕΞΟΔΑ+ΟΜ 2'!H8</f>
        <v/>
      </c>
      <c r="E49" s="75">
        <f>D49/$D$85</f>
        <v/>
      </c>
      <c r="F49" s="114">
        <f>D49+'2026 Απρίλιος'!F49</f>
        <v/>
      </c>
      <c r="G49" s="75">
        <f>F49/$F$85</f>
        <v/>
      </c>
      <c r="H49" s="56">
        <f>ΠΡΟΥΠΟΛΟΓΙΣΜΟΣ_ΕΞΟΔΑ!H172</f>
        <v/>
      </c>
      <c r="I49" s="401">
        <f>H49/$H$85</f>
        <v/>
      </c>
      <c r="J49" s="402">
        <f>H49+'2026 Απρίλιος'!J49</f>
        <v/>
      </c>
      <c r="K49" s="403">
        <f>J49/$J$85</f>
        <v/>
      </c>
      <c r="L49" s="114">
        <f>'2024_60-69 ΕΞΟΔΑ+ΟΜ 2'!H36</f>
        <v/>
      </c>
      <c r="M49" s="75">
        <f>L49/$L$85</f>
        <v/>
      </c>
      <c r="N49" s="65">
        <f>L49+'2026 Απρίλιος'!N49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4</v>
      </c>
      <c r="C50" s="115">
        <f>ΑΝΤΙΣΤΟΙΧΙΣΗ!I190</f>
        <v/>
      </c>
      <c r="D50" s="56">
        <f>'2026_60-69 ΕΞΟΔΑ+ΟΜ 2'!H9</f>
        <v/>
      </c>
      <c r="E50" s="75">
        <f>D50/$D$44</f>
        <v/>
      </c>
      <c r="F50" s="65">
        <f>D50+'2026 Απρίλιος'!F50</f>
        <v/>
      </c>
      <c r="G50" s="75">
        <f>F50/$F$44</f>
        <v/>
      </c>
      <c r="H50" s="56">
        <f>ΠΡΟΥΠΟΛΟΓΙΣΜΟΣ_ΕΞΟΔΑ!H23</f>
        <v/>
      </c>
      <c r="I50" s="400">
        <f>H50/$H$44</f>
        <v/>
      </c>
      <c r="J50" s="65">
        <f>H50+'2026 Απρίλιος'!H50</f>
        <v/>
      </c>
      <c r="K50" s="404">
        <f>J50/$J$44</f>
        <v/>
      </c>
      <c r="L50" s="56">
        <f>'2024_60-69 ΕΞΟΔΑ+ΟΜ 2'!H7</f>
        <v/>
      </c>
      <c r="M50" s="75">
        <f>L50/$L$44</f>
        <v/>
      </c>
      <c r="N50" s="65">
        <f>L50+'2026 Απρίλιος'!N50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5</v>
      </c>
      <c r="C51" s="115">
        <f>ΑΝΤΙΣΤΟΙΧΙΣΗ!I191</f>
        <v/>
      </c>
      <c r="D51" s="56">
        <f>'2026_60-69 ΕΞΟΔΑ+ΟΜ 2'!H10</f>
        <v/>
      </c>
      <c r="E51" s="75">
        <f>D51/$D$44</f>
        <v/>
      </c>
      <c r="F51" s="65">
        <f>D51+'2026 Απρίλιος'!F51</f>
        <v/>
      </c>
      <c r="G51" s="75">
        <f>F51/$F$44</f>
        <v/>
      </c>
      <c r="H51" s="56">
        <f>ΠΡΟΥΠΟΛΟΓΙΣΜΟΣ_ΕΞΟΔΑ!H28</f>
        <v/>
      </c>
      <c r="I51" s="400">
        <f>H51/$H$44</f>
        <v/>
      </c>
      <c r="J51" s="65">
        <f>H51+'2026 Απρίλιος'!H51</f>
        <v/>
      </c>
      <c r="K51" s="404">
        <f>J51/$J$44</f>
        <v/>
      </c>
      <c r="L51" s="56">
        <f>'2024_60-69 ΕΞΟΔΑ+ΟΜ 2'!H8</f>
        <v/>
      </c>
      <c r="M51" s="75">
        <f>L51/$L$44</f>
        <v/>
      </c>
      <c r="N51" s="65">
        <f>L51+'2026 Απρίλιος'!N51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6</v>
      </c>
      <c r="C52" s="115">
        <f>ΑΝΤΙΣΤΟΙΧΙΣΗ!I192</f>
        <v/>
      </c>
      <c r="D52" s="56">
        <f>'2026_60-69 ΕΞΟΔΑ+ΟΜ 2'!H11</f>
        <v/>
      </c>
      <c r="E52" s="75">
        <f>D52/$D$44</f>
        <v/>
      </c>
      <c r="F52" s="65">
        <f>D52+'2026 Απρίλιος'!F52</f>
        <v/>
      </c>
      <c r="G52" s="75">
        <f>F52/$F$44</f>
        <v/>
      </c>
      <c r="H52" s="56">
        <f>ΠΡΟΥΠΟΛΟΓΙΣΜΟΣ_ΕΞΟΔΑ!H33</f>
        <v/>
      </c>
      <c r="I52" s="400">
        <f>H52/$H$44</f>
        <v/>
      </c>
      <c r="J52" s="65">
        <f>H52+'2026 Απρίλιος'!H52</f>
        <v/>
      </c>
      <c r="K52" s="404">
        <f>J52/$J$44</f>
        <v/>
      </c>
      <c r="L52" s="56">
        <f>'2024_60-69 ΕΞΟΔΑ+ΟΜ 2'!H9</f>
        <v/>
      </c>
      <c r="M52" s="75">
        <f>L52/$L$44</f>
        <v/>
      </c>
      <c r="N52" s="65">
        <f>L52+'2026 Απρίλιος'!N52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0.75" customHeight="1">
      <c r="A53" s="178" t="n">
        <v>51</v>
      </c>
      <c r="B53" s="178" t="n">
        <v>5</v>
      </c>
      <c r="C53" s="109">
        <f>ΑΝΤΙΣΤΟΙΧΙΣΗ!L191</f>
        <v/>
      </c>
      <c r="D53" s="114">
        <f>'2026_60-69 ΕΞΟΔΑ+ΟΜ 2'!H12</f>
        <v/>
      </c>
      <c r="E53" s="75">
        <f>D53/$D$85</f>
        <v/>
      </c>
      <c r="F53" s="114">
        <f>D53+'2026 Απρίλιος'!F53</f>
        <v/>
      </c>
      <c r="G53" s="75">
        <f>F53/$F$85</f>
        <v/>
      </c>
      <c r="H53" s="56">
        <f>ΠΡΟΥΠΟΛΟΓΙΣΜΟΣ_ΕΞΟΔΑ!H187</f>
        <v/>
      </c>
      <c r="I53" s="401">
        <f>H53/$H$85</f>
        <v/>
      </c>
      <c r="J53" s="402">
        <f>H53+'2026 Απρίλιος'!J53</f>
        <v/>
      </c>
      <c r="K53" s="403">
        <f>J53/$J$85</f>
        <v/>
      </c>
      <c r="L53" s="114">
        <f>'2024_60-69 ΕΞΟΔΑ+ΟΜ 2'!H39</f>
        <v/>
      </c>
      <c r="M53" s="75">
        <f>L53/$L$85</f>
        <v/>
      </c>
      <c r="N53" s="65">
        <f>L53+'2026 Απρίλιος'!N53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.75" customHeight="1">
      <c r="A54" s="178" t="n">
        <v>52</v>
      </c>
      <c r="B54" s="178" t="n">
        <v>6</v>
      </c>
      <c r="C54" s="115">
        <f>ΑΝΤΙΣΤΟΙΧΙΣΗ!L192</f>
        <v/>
      </c>
      <c r="D54" s="114">
        <f>'2026_60-69 ΕΞΟΔΑ+ΟΜ 2'!H13</f>
        <v/>
      </c>
      <c r="E54" s="75">
        <f>D54/$D$85</f>
        <v/>
      </c>
      <c r="F54" s="114">
        <f>D54+'2026 Απρίλιος'!F54</f>
        <v/>
      </c>
      <c r="G54" s="75">
        <f>F54/$F$85</f>
        <v/>
      </c>
      <c r="H54" s="56">
        <f>ΠΡΟΥΠΟΛΟΓΙΣΜΟΣ_ΕΞΟΔΑ!H192</f>
        <v/>
      </c>
      <c r="I54" s="401">
        <f>H54/$H$85</f>
        <v/>
      </c>
      <c r="J54" s="402">
        <f>H54+'2026 Απρίλιος'!J54</f>
        <v/>
      </c>
      <c r="K54" s="403">
        <f>J54/$J$85</f>
        <v/>
      </c>
      <c r="L54" s="114">
        <f>'2024_60-69 ΕΞΟΔΑ+ΟΜ 2'!H40</f>
        <v/>
      </c>
      <c r="M54" s="75">
        <f>L54/$L$85</f>
        <v/>
      </c>
      <c r="N54" s="65">
        <f>L54+'2026 Απρίλιος'!N54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7</v>
      </c>
      <c r="C55" s="113">
        <f>ΑΝΤΙΣΤΟΙΧΙΣΗ!I193</f>
        <v/>
      </c>
      <c r="D55" s="56">
        <f>'2026_60-69 ΕΞΟΔΑ+ΟΜ 2'!H14</f>
        <v/>
      </c>
      <c r="E55" s="75">
        <f>D55/$D$44</f>
        <v/>
      </c>
      <c r="F55" s="65">
        <f>D55+'2026 Απρίλιος'!F55</f>
        <v/>
      </c>
      <c r="G55" s="75">
        <f>F55/$F$44</f>
        <v/>
      </c>
      <c r="H55" s="56">
        <f>ΠΡΟΥΠΟΛΟΓΙΣΜΟΣ_ΕΞΟΔΑ!H38</f>
        <v/>
      </c>
      <c r="I55" s="400">
        <f>H55/$H$44</f>
        <v/>
      </c>
      <c r="J55" s="65">
        <f>H55+'2026 Απρίλιος'!H55</f>
        <v/>
      </c>
      <c r="K55" s="404">
        <f>J55/$J$44</f>
        <v/>
      </c>
      <c r="L55" s="56">
        <f>'2024_60-69 ΕΞΟΔΑ+ΟΜ 2'!H10</f>
        <v/>
      </c>
      <c r="M55" s="75">
        <f>L55/$L$44</f>
        <v/>
      </c>
      <c r="N55" s="65">
        <f>L55+'2026 Απρίλιος'!N55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8</v>
      </c>
      <c r="C56" s="113">
        <f>ΑΝΤΙΣΤΟΙΧΙΣΗ!I194</f>
        <v/>
      </c>
      <c r="D56" s="56">
        <f>'2026_60-69 ΕΞΟΔΑ+ΟΜ 2'!H15</f>
        <v/>
      </c>
      <c r="E56" s="75">
        <f>D56/$D$44</f>
        <v/>
      </c>
      <c r="F56" s="65">
        <f>D56+'2026 Απρίλιος'!F56</f>
        <v/>
      </c>
      <c r="G56" s="75">
        <f>F56/$F$44</f>
        <v/>
      </c>
      <c r="H56" s="56">
        <f>ΠΡΟΥΠΟΛΟΓΙΣΜΟΣ_ΕΞΟΔΑ!H43</f>
        <v/>
      </c>
      <c r="I56" s="400">
        <f>H56/$H$44</f>
        <v/>
      </c>
      <c r="J56" s="65">
        <f>H56+'2026 Απρίλιος'!H56</f>
        <v/>
      </c>
      <c r="K56" s="404">
        <f>J56/$J$44</f>
        <v/>
      </c>
      <c r="L56" s="56">
        <f>'2024_60-69 ΕΞΟΔΑ+ΟΜ 2'!H11</f>
        <v/>
      </c>
      <c r="M56" s="75">
        <f>L56/$L$44</f>
        <v/>
      </c>
      <c r="N56" s="65">
        <f>L56+'2026 Απρίλιος'!N56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9</v>
      </c>
      <c r="C57" s="113">
        <f>ΑΝΤΙΣΤΟΙΧΙΣΗ!I195</f>
        <v/>
      </c>
      <c r="D57" s="56">
        <f>'2026_60-69 ΕΞΟΔΑ+ΟΜ 2'!H16</f>
        <v/>
      </c>
      <c r="E57" s="75">
        <f>D57/$D$44</f>
        <v/>
      </c>
      <c r="F57" s="65">
        <f>D57+'2026 Απρίλιος'!F57</f>
        <v/>
      </c>
      <c r="G57" s="75">
        <f>F57/$F$44</f>
        <v/>
      </c>
      <c r="H57" s="56">
        <f>ΠΡΟΥΠΟΛΟΓΙΣΜΟΣ_ΕΞΟΔΑ!H48</f>
        <v/>
      </c>
      <c r="I57" s="400">
        <f>H57/$H$44</f>
        <v/>
      </c>
      <c r="J57" s="65">
        <f>H57+'2026 Απρίλιος'!H57</f>
        <v/>
      </c>
      <c r="K57" s="404">
        <f>J57/$J$44</f>
        <v/>
      </c>
      <c r="L57" s="56">
        <f>'2024_60-69 ΕΞΟΔΑ+ΟΜ 2'!H12</f>
        <v/>
      </c>
      <c r="M57" s="75">
        <f>L57/$L$44</f>
        <v/>
      </c>
      <c r="N57" s="65">
        <f>L57+'2026 Απρίλιος'!N57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10</v>
      </c>
      <c r="C58" s="113">
        <f>ΑΝΤΙΣΤΟΙΧΙΣΗ!I196</f>
        <v/>
      </c>
      <c r="D58" s="56">
        <f>'2026_60-69 ΕΞΟΔΑ+ΟΜ 2'!H17</f>
        <v/>
      </c>
      <c r="E58" s="75">
        <f>D58/$D$44</f>
        <v/>
      </c>
      <c r="F58" s="65">
        <f>D58+'2026 Απρίλιος'!F58</f>
        <v/>
      </c>
      <c r="G58" s="75">
        <f>F58/$F$44</f>
        <v/>
      </c>
      <c r="H58" s="56">
        <f>ΠΡΟΥΠΟΛΟΓΙΣΜΟΣ_ΕΞΟΔΑ!H53</f>
        <v/>
      </c>
      <c r="I58" s="400">
        <f>H58/$H$44</f>
        <v/>
      </c>
      <c r="J58" s="65">
        <f>H58+'2026 Απρίλιος'!H58</f>
        <v/>
      </c>
      <c r="K58" s="404">
        <f>J58/$J$44</f>
        <v/>
      </c>
      <c r="L58" s="56">
        <f>'2024_60-69 ΕΞΟΔΑ+ΟΜ 2'!H13</f>
        <v/>
      </c>
      <c r="M58" s="75">
        <f>L58/$L$44</f>
        <v/>
      </c>
      <c r="N58" s="65">
        <f>L58+'2026 Απρίλιος'!N58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11</v>
      </c>
      <c r="C59" s="113">
        <f>ΑΝΤΙΣΤΟΙΧΙΣΗ!I197</f>
        <v/>
      </c>
      <c r="D59" s="56">
        <f>'2026_60-69 ΕΞΟΔΑ+ΟΜ 2'!H18</f>
        <v/>
      </c>
      <c r="E59" s="75">
        <f>D59/$D$44</f>
        <v/>
      </c>
      <c r="F59" s="65">
        <f>D59+'2026 Απρίλιος'!F59</f>
        <v/>
      </c>
      <c r="G59" s="75">
        <f>F59/$F$44</f>
        <v/>
      </c>
      <c r="H59" s="56">
        <f>ΠΡΟΥΠΟΛΟΓΙΣΜΟΣ_ΕΞΟΔΑ!H58</f>
        <v/>
      </c>
      <c r="I59" s="400">
        <f>H59/$H$44</f>
        <v/>
      </c>
      <c r="J59" s="65">
        <f>H59+'2026 Απρίλιος'!H59</f>
        <v/>
      </c>
      <c r="K59" s="404">
        <f>J59/$J$44</f>
        <v/>
      </c>
      <c r="L59" s="56">
        <f>'2024_60-69 ΕΞΟΔΑ+ΟΜ 2'!H14</f>
        <v/>
      </c>
      <c r="M59" s="75">
        <f>L59/$L$44</f>
        <v/>
      </c>
      <c r="N59" s="65">
        <f>L59+'2026 Απρίλιος'!N59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12</v>
      </c>
      <c r="C60" s="113">
        <f>ΑΝΤΙΣΤΟΙΧΙΣΗ!I198</f>
        <v/>
      </c>
      <c r="D60" s="56">
        <f>'2026_60-69 ΕΞΟΔΑ+ΟΜ 2'!H19</f>
        <v/>
      </c>
      <c r="E60" s="75">
        <f>D60/$D$44</f>
        <v/>
      </c>
      <c r="F60" s="65">
        <f>D60+'2026 Απρίλιος'!F60</f>
        <v/>
      </c>
      <c r="G60" s="75">
        <f>F60/$F$44</f>
        <v/>
      </c>
      <c r="H60" s="56">
        <f>ΠΡΟΥΠΟΛΟΓΙΣΜΟΣ_ΕΞΟΔΑ!H63</f>
        <v/>
      </c>
      <c r="I60" s="400">
        <f>H60/$H$44</f>
        <v/>
      </c>
      <c r="J60" s="65">
        <f>H60+'2026 Απρίλιος'!H60</f>
        <v/>
      </c>
      <c r="K60" s="404">
        <f>J60/$J$44</f>
        <v/>
      </c>
      <c r="L60" s="56">
        <f>'2024_60-69 ΕΞΟΔΑ+ΟΜ 2'!H15</f>
        <v/>
      </c>
      <c r="M60" s="75">
        <f>L60/$L$44</f>
        <v/>
      </c>
      <c r="N60" s="65">
        <f>L60+'2026 Απρίλιος'!N60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13</v>
      </c>
      <c r="C61" s="113">
        <f>ΑΝΤΙΣΤΟΙΧΙΣΗ!I199</f>
        <v/>
      </c>
      <c r="D61" s="56">
        <f>'2026_60-69 ΕΞΟΔΑ+ΟΜ 2'!H20</f>
        <v/>
      </c>
      <c r="E61" s="75">
        <f>D61/$D$44</f>
        <v/>
      </c>
      <c r="F61" s="65">
        <f>D61+'2026 Απρίλιος'!F61</f>
        <v/>
      </c>
      <c r="G61" s="75">
        <f>F61/$F$44</f>
        <v/>
      </c>
      <c r="H61" s="56">
        <f>ΠΡΟΥΠΟΛΟΓΙΣΜΟΣ_ΕΞΟΔΑ!H68</f>
        <v/>
      </c>
      <c r="I61" s="400">
        <f>H61/$H$44</f>
        <v/>
      </c>
      <c r="J61" s="65">
        <f>H61+'2026 Απρίλιος'!H61</f>
        <v/>
      </c>
      <c r="K61" s="404">
        <f>J61/$J$44</f>
        <v/>
      </c>
      <c r="L61" s="56">
        <f>'2024_60-69 ΕΞΟΔΑ+ΟΜ 2'!H16</f>
        <v/>
      </c>
      <c r="M61" s="75">
        <f>L61/$L$44</f>
        <v/>
      </c>
      <c r="N61" s="65">
        <f>L61+'2026 Απρίλιος'!N61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14</v>
      </c>
      <c r="C62" s="113">
        <f>ΑΝΤΙΣΤΟΙΧΙΣΗ!I200</f>
        <v/>
      </c>
      <c r="D62" s="56">
        <f>'2026_60-69 ΕΞΟΔΑ+ΟΜ 2'!H21</f>
        <v/>
      </c>
      <c r="E62" s="75">
        <f>D62/$D$44</f>
        <v/>
      </c>
      <c r="F62" s="65">
        <f>D62+'2026 Απρίλιος'!F62</f>
        <v/>
      </c>
      <c r="G62" s="75">
        <f>F62/$F$44</f>
        <v/>
      </c>
      <c r="H62" s="56">
        <f>ΠΡΟΥΠΟΛΟΓΙΣΜΟΣ_ΕΞΟΔΑ!H73</f>
        <v/>
      </c>
      <c r="I62" s="400">
        <f>H62/$H$44</f>
        <v/>
      </c>
      <c r="J62" s="65">
        <f>H62+'2026 Απρίλιος'!H62</f>
        <v/>
      </c>
      <c r="K62" s="404">
        <f>J62/$J$44</f>
        <v/>
      </c>
      <c r="L62" s="56">
        <f>'2024_60-69 ΕΞΟΔΑ+ΟΜ 2'!H17</f>
        <v/>
      </c>
      <c r="M62" s="75">
        <f>L62/$L$44</f>
        <v/>
      </c>
      <c r="N62" s="65">
        <f>L62+'2026 Απρίλιος'!N62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15</v>
      </c>
      <c r="C63" s="113">
        <f>ΑΝΤΙΣΤΟΙΧΙΣΗ!I201</f>
        <v/>
      </c>
      <c r="D63" s="56">
        <f>'2026_60-69 ΕΞΟΔΑ+ΟΜ 2'!H22</f>
        <v/>
      </c>
      <c r="E63" s="75">
        <f>D63/$D$44</f>
        <v/>
      </c>
      <c r="F63" s="65">
        <f>D63+'2026 Απρίλιος'!F63</f>
        <v/>
      </c>
      <c r="G63" s="75">
        <f>F63/$F$44</f>
        <v/>
      </c>
      <c r="H63" s="56">
        <f>ΠΡΟΥΠΟΛΟΓΙΣΜΟΣ_ΕΞΟΔΑ!H78</f>
        <v/>
      </c>
      <c r="I63" s="400">
        <f>H63/$H$44</f>
        <v/>
      </c>
      <c r="J63" s="65">
        <f>H63+'2026 Απρίλιος'!H63</f>
        <v/>
      </c>
      <c r="K63" s="404">
        <f>J63/$J$44</f>
        <v/>
      </c>
      <c r="L63" s="56">
        <f>'2024_60-69 ΕΞΟΔΑ+ΟΜ 2'!H18</f>
        <v/>
      </c>
      <c r="M63" s="75">
        <f>L63/$L$44</f>
        <v/>
      </c>
      <c r="N63" s="65">
        <f>L63+'2026 Απρίλιος'!N63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16</v>
      </c>
      <c r="C64" s="113">
        <f>ΑΝΤΙΣΤΟΙΧΙΣΗ!I202</f>
        <v/>
      </c>
      <c r="D64" s="56">
        <f>'2026_60-69 ΕΞΟΔΑ+ΟΜ 2'!H23</f>
        <v/>
      </c>
      <c r="E64" s="75">
        <f>D64/$D$44</f>
        <v/>
      </c>
      <c r="F64" s="65">
        <f>D64+'2026 Απρίλιος'!F64</f>
        <v/>
      </c>
      <c r="G64" s="75">
        <f>F64/$F$44</f>
        <v/>
      </c>
      <c r="H64" s="56">
        <f>ΠΡΟΥΠΟΛΟΓΙΣΜΟΣ_ΕΞΟΔΑ!H83</f>
        <v/>
      </c>
      <c r="I64" s="400">
        <f>H64/$H$44</f>
        <v/>
      </c>
      <c r="J64" s="65">
        <f>H64+'2026 Απρίλιος'!H64</f>
        <v/>
      </c>
      <c r="K64" s="404">
        <f>J64/$J$44</f>
        <v/>
      </c>
      <c r="L64" s="56">
        <f>'2024_60-69 ΕΞΟΔΑ+ΟΜ 2'!H19</f>
        <v/>
      </c>
      <c r="M64" s="75">
        <f>L64/$L$44</f>
        <v/>
      </c>
      <c r="N64" s="65">
        <f>L64+'2026 Απρίλιος'!N64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17</v>
      </c>
      <c r="C65" s="113">
        <f>ΑΝΤΙΣΤΟΙΧΙΣΗ!I204</f>
        <v/>
      </c>
      <c r="D65" s="56">
        <f>'2026_60-69 ΕΞΟΔΑ+ΟΜ 2'!H24</f>
        <v/>
      </c>
      <c r="E65" s="75">
        <f>D65/$D$44</f>
        <v/>
      </c>
      <c r="F65" s="65">
        <f>D65+'2026 Απρίλιος'!F65</f>
        <v/>
      </c>
      <c r="G65" s="75">
        <f>F65/$F$44</f>
        <v/>
      </c>
      <c r="H65" s="56">
        <f>ΠΡΟΥΠΟΛΟΓΙΣΜΟΣ_ΕΞΟΔΑ!H88</f>
        <v/>
      </c>
      <c r="I65" s="400">
        <f>H65/$H$44</f>
        <v/>
      </c>
      <c r="J65" s="65">
        <f>H65+'2026 Απρίλιος'!H65</f>
        <v/>
      </c>
      <c r="K65" s="404">
        <f>J65/$J$44</f>
        <v/>
      </c>
      <c r="L65" s="56">
        <f>'2024_60-69 ΕΞΟΔΑ+ΟΜ 2'!H20</f>
        <v/>
      </c>
      <c r="M65" s="75">
        <f>L65/$L$44</f>
        <v/>
      </c>
      <c r="N65" s="65">
        <f>L65+'2026 Απρίλιος'!N65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18</v>
      </c>
      <c r="C66" s="113">
        <f>ΑΝΤΙΣΤΟΙΧΙΣΗ!I205</f>
        <v/>
      </c>
      <c r="D66" s="56">
        <f>'2026_60-69 ΕΞΟΔΑ+ΟΜ 2'!H25</f>
        <v/>
      </c>
      <c r="E66" s="75">
        <f>D66/$D$44</f>
        <v/>
      </c>
      <c r="F66" s="65">
        <f>D66+'2026 Απρίλιος'!F66</f>
        <v/>
      </c>
      <c r="G66" s="75">
        <f>F66/$F$44</f>
        <v/>
      </c>
      <c r="H66" s="56">
        <f>ΠΡΟΥΠΟΛΟΓΙΣΜΟΣ_ΕΞΟΔΑ!H93</f>
        <v/>
      </c>
      <c r="I66" s="400">
        <f>H66/$H$44</f>
        <v/>
      </c>
      <c r="J66" s="65">
        <f>H66+'2026 Απρίλιος'!H66</f>
        <v/>
      </c>
      <c r="K66" s="404">
        <f>J66/$J$44</f>
        <v/>
      </c>
      <c r="L66" s="56">
        <f>'2024_60-69 ΕΞΟΔΑ+ΟΜ 2'!H21</f>
        <v/>
      </c>
      <c r="M66" s="75">
        <f>L66/$L$44</f>
        <v/>
      </c>
      <c r="N66" s="65">
        <f>L66+'2026 Απρίλιος'!N66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19</v>
      </c>
      <c r="C67" s="116">
        <f>ΑΝΤΙΣΤΟΙΧΙΣΗ!I206</f>
        <v/>
      </c>
      <c r="D67" s="56">
        <f>'2026_60-69 ΕΞΟΔΑ+ΟΜ 2'!H26</f>
        <v/>
      </c>
      <c r="E67" s="75">
        <f>D67/$D$44</f>
        <v/>
      </c>
      <c r="F67" s="65">
        <f>D67+'2026 Απρίλιος'!F67</f>
        <v/>
      </c>
      <c r="G67" s="75">
        <f>F67/$F$44</f>
        <v/>
      </c>
      <c r="H67" s="56">
        <f>ΠΡΟΥΠΟΛΟΓΙΣΜΟΣ_ΕΞΟΔΑ!H98</f>
        <v/>
      </c>
      <c r="I67" s="400">
        <f>H67/$H$44</f>
        <v/>
      </c>
      <c r="J67" s="65">
        <f>H67+'2026 Απρίλιος'!H67</f>
        <v/>
      </c>
      <c r="K67" s="404">
        <f>J67/$J$44</f>
        <v/>
      </c>
      <c r="L67" s="56">
        <f>'2024_60-69 ΕΞΟΔΑ+ΟΜ 2'!H22</f>
        <v/>
      </c>
      <c r="M67" s="75">
        <f>L67/$L$44</f>
        <v/>
      </c>
      <c r="N67" s="65">
        <f>L67+'2026 Απρίλιος'!N67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20</v>
      </c>
      <c r="C68" s="183">
        <f>ΑΝΤΙΣΤΟΙΧΙΣΗ!I207</f>
        <v/>
      </c>
      <c r="D68" s="56">
        <f>'2026_60-69 ΕΞΟΔΑ+ΟΜ 2'!H27</f>
        <v/>
      </c>
      <c r="E68" s="75">
        <f>D68/$D$44</f>
        <v/>
      </c>
      <c r="F68" s="65">
        <f>D68+'2026 Απρίλιος'!F68</f>
        <v/>
      </c>
      <c r="G68" s="75">
        <f>F68/$F$44</f>
        <v/>
      </c>
      <c r="H68" s="56">
        <f>ΠΡΟΥΠΟΛΟΓΙΣΜΟΣ_ΕΞΟΔΑ!H103</f>
        <v/>
      </c>
      <c r="I68" s="400">
        <f>H68/$H$44</f>
        <v/>
      </c>
      <c r="J68" s="65">
        <f>H68+'2026 Απρίλιος'!H68</f>
        <v/>
      </c>
      <c r="K68" s="404">
        <f>J68/$J$44</f>
        <v/>
      </c>
      <c r="L68" s="56">
        <f>'2024_60-69 ΕΞΟΔΑ+ΟΜ 2'!H23</f>
        <v/>
      </c>
      <c r="M68" s="75">
        <f>L68/$L$44</f>
        <v/>
      </c>
      <c r="N68" s="65">
        <f>L68+'2026 Απρίλιος'!N68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21</v>
      </c>
      <c r="C69" s="184">
        <f>ΑΝΤΙΣΤΟΙΧΙΣΗ!I208</f>
        <v/>
      </c>
      <c r="D69" s="56">
        <f>'2026_60-69 ΕΞΟΔΑ+ΟΜ 2'!H28</f>
        <v/>
      </c>
      <c r="E69" s="75">
        <f>D69/$D$44</f>
        <v/>
      </c>
      <c r="F69" s="65">
        <f>D69+'2026 Απρίλιος'!F69</f>
        <v/>
      </c>
      <c r="G69" s="75">
        <f>F69/$F$44</f>
        <v/>
      </c>
      <c r="H69" s="56">
        <f>ΠΡΟΥΠΟΛΟΓΙΣΜΟΣ_ΕΞΟΔΑ!H108</f>
        <v/>
      </c>
      <c r="I69" s="400">
        <f>H69/$H$44</f>
        <v/>
      </c>
      <c r="J69" s="65">
        <f>H69+'2026 Απρίλιος'!H69</f>
        <v/>
      </c>
      <c r="K69" s="404">
        <f>J69/$J$44</f>
        <v/>
      </c>
      <c r="L69" s="56">
        <f>'2024_60-69 ΕΞΟΔΑ+ΟΜ 2'!H24</f>
        <v/>
      </c>
      <c r="M69" s="75">
        <f>L69/$L$44</f>
        <v/>
      </c>
      <c r="N69" s="65">
        <f>L69+'2026 Απρίλιος'!N69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22</v>
      </c>
      <c r="C70" s="184">
        <f>ΑΝΤΙΣΤΟΙΧΙΣΗ!I209</f>
        <v/>
      </c>
      <c r="D70" s="56">
        <f>'2026_60-69 ΕΞΟΔΑ+ΟΜ 2'!H29</f>
        <v/>
      </c>
      <c r="E70" s="75">
        <f>D70/$D$44</f>
        <v/>
      </c>
      <c r="F70" s="65">
        <f>D70+'2026 Απρίλιος'!F70</f>
        <v/>
      </c>
      <c r="G70" s="75">
        <f>F70/$F$44</f>
        <v/>
      </c>
      <c r="H70" s="56">
        <f>ΠΡΟΥΠΟΛΟΓΙΣΜΟΣ_ΕΞΟΔΑ!H113</f>
        <v/>
      </c>
      <c r="I70" s="400">
        <f>H70/$H$44</f>
        <v/>
      </c>
      <c r="J70" s="65">
        <f>H70+'2026 Απρίλιος'!H70</f>
        <v/>
      </c>
      <c r="K70" s="404">
        <f>J70/$J$44</f>
        <v/>
      </c>
      <c r="L70" s="56">
        <f>'2024_60-69 ΕΞΟΔΑ+ΟΜ 2'!H25</f>
        <v/>
      </c>
      <c r="M70" s="75">
        <f>L70/$L$44</f>
        <v/>
      </c>
      <c r="N70" s="65">
        <f>L70+'2026 Απρίλιος'!N70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23</v>
      </c>
      <c r="C71" s="116">
        <f>ΑΝΤΙΣΤΟΙΧΙΣΗ!I210</f>
        <v/>
      </c>
      <c r="D71" s="56">
        <f>'2026_60-69 ΕΞΟΔΑ+ΟΜ 2'!H30</f>
        <v/>
      </c>
      <c r="E71" s="75">
        <f>D71/$D$44</f>
        <v/>
      </c>
      <c r="F71" s="65">
        <f>D71+'2026 Απρίλιος'!F71</f>
        <v/>
      </c>
      <c r="G71" s="75">
        <f>F71/$F$44</f>
        <v/>
      </c>
      <c r="H71" s="56">
        <f>ΠΡΟΥΠΟΛΟΓΙΣΜΟΣ_ΕΞΟΔΑ!H118</f>
        <v/>
      </c>
      <c r="I71" s="400">
        <f>H71/$H$44</f>
        <v/>
      </c>
      <c r="J71" s="65">
        <f>H71+'2026 Απρίλιος'!H71</f>
        <v/>
      </c>
      <c r="K71" s="404">
        <f>J71/$J$44</f>
        <v/>
      </c>
      <c r="L71" s="56">
        <f>'2024_60-69 ΕΞΟΔΑ+ΟΜ 2'!H26</f>
        <v/>
      </c>
      <c r="M71" s="75">
        <f>L71/$L$44</f>
        <v/>
      </c>
      <c r="N71" s="65">
        <f>L71+'2026 Απρίλιος'!N71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24</v>
      </c>
      <c r="C72" s="184">
        <f>ΑΝΤΙΣΤΟΙΧΙΣΗ!I211</f>
        <v/>
      </c>
      <c r="D72" s="56">
        <f>'2026_60-69 ΕΞΟΔΑ+ΟΜ 2'!H31</f>
        <v/>
      </c>
      <c r="E72" s="75">
        <f>D72/$D$44</f>
        <v/>
      </c>
      <c r="F72" s="65">
        <f>D72+'2026 Απρίλιος'!F72</f>
        <v/>
      </c>
      <c r="G72" s="75">
        <f>F72/$F$44</f>
        <v/>
      </c>
      <c r="H72" s="56">
        <f>ΠΡΟΥΠΟΛΟΓΙΣΜΟΣ_ΕΞΟΔΑ!H123</f>
        <v/>
      </c>
      <c r="I72" s="400">
        <f>H72/$H$44</f>
        <v/>
      </c>
      <c r="J72" s="65">
        <f>H72+'2026 Απρίλιος'!H72</f>
        <v/>
      </c>
      <c r="K72" s="404">
        <f>J72/$J$44</f>
        <v/>
      </c>
      <c r="L72" s="56">
        <f>'2024_60-69 ΕΞΟΔΑ+ΟΜ 2'!H27</f>
        <v/>
      </c>
      <c r="M72" s="75">
        <f>L72/$L$44</f>
        <v/>
      </c>
      <c r="N72" s="65">
        <f>L72+'2026 Απρίλιος'!N72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25</v>
      </c>
      <c r="C73" s="184">
        <f>ΑΝΤΙΣΤΟΙΧΙΣΗ!I212</f>
        <v/>
      </c>
      <c r="D73" s="56">
        <f>'2026_60-69 ΕΞΟΔΑ+ΟΜ 2'!H32</f>
        <v/>
      </c>
      <c r="E73" s="75">
        <f>D73/$D$44</f>
        <v/>
      </c>
      <c r="F73" s="65">
        <f>D73+'2026 Απρίλιος'!F73</f>
        <v/>
      </c>
      <c r="G73" s="75">
        <f>F73/$F$44</f>
        <v/>
      </c>
      <c r="H73" s="56">
        <f>ΠΡΟΥΠΟΛΟΓΙΣΜΟΣ_ΕΞΟΔΑ!H128</f>
        <v/>
      </c>
      <c r="I73" s="400">
        <f>H73/$H$44</f>
        <v/>
      </c>
      <c r="J73" s="65">
        <f>H73+'2026 Απρίλιος'!H73</f>
        <v/>
      </c>
      <c r="K73" s="404">
        <f>J73/$J$44</f>
        <v/>
      </c>
      <c r="L73" s="56">
        <f>'2024_60-69 ΕΞΟΔΑ+ΟΜ 2'!H28</f>
        <v/>
      </c>
      <c r="M73" s="75">
        <f>L73/$L$44</f>
        <v/>
      </c>
      <c r="N73" s="65">
        <f>L73+'2026 Απρίλιος'!N73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26</v>
      </c>
      <c r="C74" s="113">
        <f>ΑΝΤΙΣΤΟΙΧΙΣΗ!I213</f>
        <v/>
      </c>
      <c r="D74" s="56">
        <f>'2026_60-69 ΕΞΟΔΑ+ΟΜ 2'!H33</f>
        <v/>
      </c>
      <c r="E74" s="75">
        <f>D74/$D$44</f>
        <v/>
      </c>
      <c r="F74" s="65">
        <f>D74+'2026 Απρίλιος'!F74</f>
        <v/>
      </c>
      <c r="G74" s="75">
        <f>F74/$F$44</f>
        <v/>
      </c>
      <c r="H74" s="56">
        <f>ΠΡΟΥΠΟΛΟΓΙΣΜΟΣ_ΕΞΟΔΑ!H133</f>
        <v/>
      </c>
      <c r="I74" s="400">
        <f>H74/$H$44</f>
        <v/>
      </c>
      <c r="J74" s="65">
        <f>H74+'2026 Απρίλιος'!H74</f>
        <v/>
      </c>
      <c r="K74" s="404">
        <f>J74/$J$44</f>
        <v/>
      </c>
      <c r="L74" s="56">
        <f>'2024_60-69 ΕΞΟΔΑ+ΟΜ 2'!H29</f>
        <v/>
      </c>
      <c r="M74" s="75">
        <f>L74/$L$44</f>
        <v/>
      </c>
      <c r="N74" s="65">
        <f>L74+'2026 Απρίλιος'!N74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27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Απρίλιος'!F75</f>
        <v/>
      </c>
      <c r="G75" s="75">
        <f>F75/$F$44</f>
        <v/>
      </c>
      <c r="H75" s="56">
        <f>ΠΡΟΥΠΟΛΟΓΙΣΜΟΣ_ΕΞΟΔΑ!H138</f>
        <v/>
      </c>
      <c r="I75" s="400">
        <f>H75/$H$44</f>
        <v/>
      </c>
      <c r="J75" s="65">
        <f>H75+'2026 Απρίλιος'!H75</f>
        <v/>
      </c>
      <c r="K75" s="404">
        <f>J75/$J$44</f>
        <v/>
      </c>
      <c r="L75" s="56">
        <f>'2024_60-69 ΕΞΟΔΑ+ΟΜ 2'!H30</f>
        <v/>
      </c>
      <c r="M75" s="75">
        <f>L75/$L$44</f>
        <v/>
      </c>
      <c r="N75" s="65">
        <f>L75+'2026 Απρίλιος'!N75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" customHeight="1">
      <c r="A76" s="178" t="n">
        <v>74</v>
      </c>
      <c r="B76" s="178" t="n">
        <v>28</v>
      </c>
      <c r="C76" s="184">
        <f>ΑΝΤΙΣΤΟΙΧΙΣΗ!I215</f>
        <v/>
      </c>
      <c r="D76" s="56">
        <f>'2026_60-69 ΕΞΟΔΑ+ΟΜ 2'!H35</f>
        <v/>
      </c>
      <c r="E76" s="75">
        <f>D76/$D$44</f>
        <v/>
      </c>
      <c r="F76" s="65">
        <f>D76+'2026 Απρίλιος'!F76</f>
        <v/>
      </c>
      <c r="G76" s="75">
        <f>F76/$F$44</f>
        <v/>
      </c>
      <c r="H76" s="56">
        <f>ΠΡΟΥΠΟΛΟΓΙΣΜΟΣ_ΕΞΟΔΑ!H143</f>
        <v/>
      </c>
      <c r="I76" s="400">
        <f>H76/$H$44</f>
        <v/>
      </c>
      <c r="J76" s="65">
        <f>H76+'2026 Απρίλιος'!H76</f>
        <v/>
      </c>
      <c r="K76" s="404">
        <f>J76/$J$44</f>
        <v/>
      </c>
      <c r="L76" s="56">
        <f>'2024_60-69 ΕΞΟΔΑ+ΟΜ 2'!H31</f>
        <v/>
      </c>
      <c r="M76" s="75">
        <f>L76/$L$44</f>
        <v/>
      </c>
      <c r="N76" s="65">
        <f>L76+'2026 Απρίλιος'!N76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" customHeight="1">
      <c r="A77" s="178" t="n">
        <v>75</v>
      </c>
      <c r="B77" s="178" t="n">
        <v>29</v>
      </c>
      <c r="C77" s="184">
        <f>ΑΝΤΙΣΤΟΙΧΙΣΗ!I216</f>
        <v/>
      </c>
      <c r="D77" s="56">
        <f>'2026_60-69 ΕΞΟΔΑ+ΟΜ 2'!H36</f>
        <v/>
      </c>
      <c r="E77" s="75">
        <f>D77/$D$44</f>
        <v/>
      </c>
      <c r="F77" s="65">
        <f>D77+'2026 Απρίλιος'!F77</f>
        <v/>
      </c>
      <c r="G77" s="75">
        <f>F77/$F$44</f>
        <v/>
      </c>
      <c r="H77" s="56">
        <f>ΠΡΟΥΠΟΛΟΓΙΣΜΟΣ_ΕΞΟΔΑ!H148</f>
        <v/>
      </c>
      <c r="I77" s="400">
        <f>H77/$H$44</f>
        <v/>
      </c>
      <c r="J77" s="65">
        <f>H77+'2026 Απρίλιος'!H77</f>
        <v/>
      </c>
      <c r="K77" s="404">
        <f>J77/$J$44</f>
        <v/>
      </c>
      <c r="L77" s="56">
        <f>'2024_60-69 ΕΞΟΔΑ+ΟΜ 2'!H32</f>
        <v/>
      </c>
      <c r="M77" s="75">
        <f>L77/$L$44</f>
        <v/>
      </c>
      <c r="N77" s="65">
        <f>L77+'2026 Απρίλιος'!N77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" customHeight="1">
      <c r="A78" s="178" t="n">
        <v>76</v>
      </c>
      <c r="B78" s="178" t="n">
        <v>30</v>
      </c>
      <c r="C78" s="184">
        <f>ΑΝΤΙΣΤΟΙΧΙΣΗ!I217</f>
        <v/>
      </c>
      <c r="D78" s="56">
        <f>'2026_60-69 ΕΞΟΔΑ+ΟΜ 2'!H37</f>
        <v/>
      </c>
      <c r="E78" s="75">
        <f>D78/$D$44</f>
        <v/>
      </c>
      <c r="F78" s="65">
        <f>D78+'2026 Απρίλιος'!F78</f>
        <v/>
      </c>
      <c r="G78" s="75">
        <f>F78/$F$44</f>
        <v/>
      </c>
      <c r="H78" s="56">
        <f>ΠΡΟΥΠΟΛΟΓΙΣΜΟΣ_ΕΞΟΔΑ!H153</f>
        <v/>
      </c>
      <c r="I78" s="400">
        <f>H78/$H$44</f>
        <v/>
      </c>
      <c r="J78" s="65">
        <f>H78+'2026 Απρίλιος'!H78</f>
        <v/>
      </c>
      <c r="K78" s="404">
        <f>J78/$J$44</f>
        <v/>
      </c>
      <c r="L78" s="56">
        <f>'2024_60-69 ΕΞΟΔΑ+ΟΜ 2'!H33</f>
        <v/>
      </c>
      <c r="M78" s="75">
        <f>L78/$L$44</f>
        <v/>
      </c>
      <c r="N78" s="65">
        <f>L78+'2026 Απρίλιος'!N78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9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2'!H3</f>
        <v/>
      </c>
      <c r="E79" s="297" t="n"/>
      <c r="F79" s="64">
        <f>D79+'2026 Απρίλιος'!F79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4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2'!H41</f>
        <v/>
      </c>
      <c r="E86" s="75">
        <f>D86/$D$85</f>
        <v/>
      </c>
      <c r="F86" s="114">
        <f>D86+'2026 Απρίλιος'!F86</f>
        <v/>
      </c>
      <c r="G86" s="75">
        <f>F86/$F$85</f>
        <v/>
      </c>
      <c r="H86" s="56">
        <f>ΠΡΟΥΠΟΛΟΓΙΣΜΟΣ_ΕΞΟΔΑ!H177</f>
        <v/>
      </c>
      <c r="I86" s="401">
        <f>H86/$H$85</f>
        <v/>
      </c>
      <c r="J86" s="402">
        <f>H86+'2026 Απρίλιος'!J86</f>
        <v/>
      </c>
      <c r="K86" s="403">
        <f>J86/$J$85</f>
        <v/>
      </c>
      <c r="L86" s="114">
        <f>'2024_60-69 ΕΞΟΔΑ+ΟΜ 2'!H37</f>
        <v/>
      </c>
      <c r="M86" s="75">
        <f>L86/$L$85</f>
        <v/>
      </c>
      <c r="N86" s="65">
        <f>L86+'2026 Απρίλιος'!N86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2'!H42</f>
        <v/>
      </c>
      <c r="E87" s="75">
        <f>D87/$D$85</f>
        <v/>
      </c>
      <c r="F87" s="114">
        <f>D87+'2026 Απρίλιος'!F87</f>
        <v/>
      </c>
      <c r="G87" s="75">
        <f>F87/$F$85</f>
        <v/>
      </c>
      <c r="H87" s="56">
        <f>ΠΡΟΥΠΟΛΟΓΙΣΜΟΣ_ΕΞΟΔΑ!H182</f>
        <v/>
      </c>
      <c r="I87" s="401">
        <f>H87/$H$85</f>
        <v/>
      </c>
      <c r="J87" s="402">
        <f>H87+'2026 Απρίλιος'!J87</f>
        <v/>
      </c>
      <c r="K87" s="403">
        <f>J87/$J$85</f>
        <v/>
      </c>
      <c r="L87" s="114">
        <f>'2024_60-69 ΕΞΟΔΑ+ΟΜ 2'!H38</f>
        <v/>
      </c>
      <c r="M87" s="75">
        <f>L87/$L$85</f>
        <v/>
      </c>
      <c r="N87" s="65">
        <f>L87+'2026 Απρίλιος'!N87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2'!H43</f>
        <v/>
      </c>
      <c r="E88" s="75">
        <f>D88/$D$85</f>
        <v/>
      </c>
      <c r="F88" s="114">
        <f>D88+'2026 Απρίλιος'!F88</f>
        <v/>
      </c>
      <c r="G88" s="75">
        <f>F88/$F$85</f>
        <v/>
      </c>
      <c r="H88" s="56">
        <f>ΠΡΟΥΠΟΛΟΓΙΣΜΟΣ_ΕΞΟΔΑ!H197</f>
        <v/>
      </c>
      <c r="I88" s="401">
        <f>H88/$H$85</f>
        <v/>
      </c>
      <c r="J88" s="402">
        <f>H88+'2026 Απρίλιος'!J88</f>
        <v/>
      </c>
      <c r="K88" s="403">
        <f>J88/$J$85</f>
        <v/>
      </c>
      <c r="L88" s="114">
        <f>'2024_60-69 ΕΞΟΔΑ+ΟΜ 2'!H41</f>
        <v/>
      </c>
      <c r="M88" s="75">
        <f>L88/$L$85</f>
        <v/>
      </c>
      <c r="N88" s="65">
        <f>L88+'2026 Απρίλιος'!N88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5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2'!H44</f>
        <v/>
      </c>
      <c r="E89" s="75">
        <f>D89/$D$85</f>
        <v/>
      </c>
      <c r="F89" s="114">
        <f>D89+'2026 Απρίλιος'!F89</f>
        <v/>
      </c>
      <c r="G89" s="75">
        <f>F89/$F$85</f>
        <v/>
      </c>
      <c r="H89" s="56">
        <f>ΠΡΟΥΠΟΛΟΓΙΣΜΟΣ_ΕΞΟΔΑ!H202</f>
        <v/>
      </c>
      <c r="I89" s="401">
        <f>H89/$H$85</f>
        <v/>
      </c>
      <c r="J89" s="402">
        <f>H89+'2026 Απρίλιος'!J89</f>
        <v/>
      </c>
      <c r="K89" s="403">
        <f>J89/$J$85</f>
        <v/>
      </c>
      <c r="L89" s="114">
        <f>'2024_60-69 ΕΞΟΔΑ+ΟΜ 2'!H42</f>
        <v/>
      </c>
      <c r="M89" s="75">
        <f>L89/$L$85</f>
        <v/>
      </c>
      <c r="N89" s="65">
        <f>L89+'2026 Απρίλιος'!N89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7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2'!H45</f>
        <v/>
      </c>
      <c r="E90" s="75">
        <f>D90/$D$85</f>
        <v/>
      </c>
      <c r="F90" s="114">
        <f>D90+'2026 Απρίλιος'!F90</f>
        <v/>
      </c>
      <c r="G90" s="75">
        <f>F90/$F$85</f>
        <v/>
      </c>
      <c r="H90" s="399">
        <f>ΠΡΟΥΠΟΛΟΓΙΣΜΟΣ_ΕΞΟΔΑ!H207</f>
        <v/>
      </c>
      <c r="I90" s="401">
        <f>H90/$H$85</f>
        <v/>
      </c>
      <c r="J90" s="402">
        <f>H90+'2026 Απρίλιος'!J90</f>
        <v/>
      </c>
      <c r="K90" s="403">
        <f>J90/$J$85</f>
        <v/>
      </c>
      <c r="L90" s="114">
        <f>'2024_60-69 ΕΞΟΔΑ+ΟΜ 2'!H43</f>
        <v/>
      </c>
      <c r="M90" s="75">
        <f>L90/$L$85</f>
        <v/>
      </c>
      <c r="N90" s="65">
        <f>L90+'2026 Απρίλιος'!N90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2'!H46</f>
        <v/>
      </c>
      <c r="E91" s="75">
        <f>D91/$D$85</f>
        <v/>
      </c>
      <c r="F91" s="114">
        <f>D91+'2026 Απρίλιος'!F91</f>
        <v/>
      </c>
      <c r="G91" s="75">
        <f>F91/$F$85</f>
        <v/>
      </c>
      <c r="H91" s="399">
        <f>ΠΡΟΥΠΟΛΟΓΙΣΜΟΣ_ΕΞΟΔΑ!H212</f>
        <v/>
      </c>
      <c r="I91" s="401">
        <f>H91/$H$85</f>
        <v/>
      </c>
      <c r="J91" s="402">
        <f>H91+'2026 Απρίλιος'!J91</f>
        <v/>
      </c>
      <c r="K91" s="403">
        <f>J91/$J$85</f>
        <v/>
      </c>
      <c r="L91" s="114">
        <f>'2024_60-69 ΕΞΟΔΑ+ΟΜ 2'!H44</f>
        <v/>
      </c>
      <c r="M91" s="75">
        <f>L91/$L$85</f>
        <v/>
      </c>
      <c r="N91" s="65">
        <f>L91+'2026 Απρίλιος'!N91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2'!H47</f>
        <v/>
      </c>
      <c r="E92" s="75">
        <f>D92/$D$85</f>
        <v/>
      </c>
      <c r="F92" s="114">
        <f>D92+'2026 Απρίλιος'!F92</f>
        <v/>
      </c>
      <c r="G92" s="75">
        <f>F92/$F$85</f>
        <v/>
      </c>
      <c r="H92" s="399">
        <f>ΠΡΟΥΠΟΛΟΓΙΣΜΟΣ_ΕΞΟΔΑ!H217</f>
        <v/>
      </c>
      <c r="I92" s="401">
        <f>H92/$H$85</f>
        <v/>
      </c>
      <c r="J92" s="402">
        <f>H92+'2026 Απρίλιος'!J92</f>
        <v/>
      </c>
      <c r="K92" s="403">
        <f>J92/$J$85</f>
        <v/>
      </c>
      <c r="L92" s="114">
        <f>'2024_60-69 ΕΞΟΔΑ+ΟΜ 2'!H45</f>
        <v/>
      </c>
      <c r="M92" s="75">
        <f>L92/$L$85</f>
        <v/>
      </c>
      <c r="N92" s="65">
        <f>L92+'2026 Απρίλιος'!N92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2'!H48</f>
        <v/>
      </c>
      <c r="E93" s="75">
        <f>D93/$D$85</f>
        <v/>
      </c>
      <c r="F93" s="114">
        <f>D93+'2026 Απρίλιος'!F93</f>
        <v/>
      </c>
      <c r="G93" s="75">
        <f>F93/$F$85</f>
        <v/>
      </c>
      <c r="H93" s="56">
        <f>ΠΡΟΥΠΟΛΟΓΙΣΜΟΣ_ΕΞΟΔΑ!H222</f>
        <v/>
      </c>
      <c r="I93" s="401">
        <f>H93/$H$85</f>
        <v/>
      </c>
      <c r="J93" s="402">
        <f>H93+'2026 Απρίλιος'!J93</f>
        <v/>
      </c>
      <c r="K93" s="403">
        <f>J93/$J$85</f>
        <v/>
      </c>
      <c r="L93" s="114">
        <f>'2024_60-69 ΕΞΟΔΑ+ΟΜ 2'!H46</f>
        <v/>
      </c>
      <c r="M93" s="75">
        <f>L93/$L$85</f>
        <v/>
      </c>
      <c r="N93" s="65">
        <f>L93+'2026 Απρίλιος'!N93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2'!H49</f>
        <v/>
      </c>
      <c r="E94" s="75">
        <f>D94/$D$85</f>
        <v/>
      </c>
      <c r="F94" s="114">
        <f>D94+'2026 Απρίλιος'!F94</f>
        <v/>
      </c>
      <c r="G94" s="75">
        <f>F94/$F$85</f>
        <v/>
      </c>
      <c r="H94" s="56">
        <f>ΠΡΟΥΠΟΛΟΓΙΣΜΟΣ_ΕΞΟΔΑ!H227</f>
        <v/>
      </c>
      <c r="I94" s="401">
        <f>H94/$H$85</f>
        <v/>
      </c>
      <c r="J94" s="402">
        <f>H94+'2026 Απρίλιος'!J94</f>
        <v/>
      </c>
      <c r="K94" s="403">
        <f>J94/$J$85</f>
        <v/>
      </c>
      <c r="L94" s="114">
        <f>'2024_60-69 ΕΞΟΔΑ+ΟΜ 2'!H47</f>
        <v/>
      </c>
      <c r="M94" s="75">
        <f>L94/$L$85</f>
        <v/>
      </c>
      <c r="N94" s="65">
        <f>L94+'2026 Απρίλιος'!N94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7.7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2'!H50</f>
        <v/>
      </c>
      <c r="E95" s="75">
        <f>D95/$D$85</f>
        <v/>
      </c>
      <c r="F95" s="114">
        <f>D95+'2026 Απρίλιος'!F95</f>
        <v/>
      </c>
      <c r="G95" s="75">
        <f>F95/$F$85</f>
        <v/>
      </c>
      <c r="H95" s="118">
        <f>ΠΡΟΥΠΟΛΟΓΙΣΜΟΣ_ΕΞΟΔΑ!H232</f>
        <v/>
      </c>
      <c r="I95" s="401">
        <f>H95/$H$85</f>
        <v/>
      </c>
      <c r="J95" s="402">
        <f>H95+'2026 Απρίλιος'!J95</f>
        <v/>
      </c>
      <c r="K95" s="403">
        <f>J95/$J$85</f>
        <v/>
      </c>
      <c r="L95" s="114">
        <f>'2024_60-69 ΕΞΟΔΑ+ΟΜ 2'!H48</f>
        <v/>
      </c>
      <c r="M95" s="75">
        <f>L95/$L$85</f>
        <v/>
      </c>
      <c r="N95" s="65">
        <f>L95+'2026 Απρίλιος'!N95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2'!H51</f>
        <v/>
      </c>
      <c r="E96" s="75">
        <f>D96/$D$85</f>
        <v/>
      </c>
      <c r="F96" s="114">
        <f>D96+'2026 Απρίλιος'!F96</f>
        <v/>
      </c>
      <c r="G96" s="75">
        <f>F96/$F$85</f>
        <v/>
      </c>
      <c r="H96" s="56">
        <f>ΠΡΟΥΠΟΛΟΓΙΣΜΟΣ_ΕΞΟΔΑ!H237</f>
        <v/>
      </c>
      <c r="I96" s="401">
        <f>H96/$H$85</f>
        <v/>
      </c>
      <c r="J96" s="402">
        <f>H96+'2026 Απρίλιος'!J96</f>
        <v/>
      </c>
      <c r="K96" s="403">
        <f>J96/$J$85</f>
        <v/>
      </c>
      <c r="L96" s="114">
        <f>'2024_60-69 ΕΞΟΔΑ+ΟΜ 2'!H49</f>
        <v/>
      </c>
      <c r="M96" s="75">
        <f>L96/$L$85</f>
        <v/>
      </c>
      <c r="N96" s="65">
        <f>L96+'2026 Απρίλιος'!N96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2'!H52</f>
        <v/>
      </c>
      <c r="E97" s="75">
        <f>D97/$D$85</f>
        <v/>
      </c>
      <c r="F97" s="114">
        <f>D97+'2026 Απρίλιος'!F97</f>
        <v/>
      </c>
      <c r="G97" s="75">
        <f>F97/$F$85</f>
        <v/>
      </c>
      <c r="H97" s="56">
        <f>ΠΡΟΥΠΟΛΟΓΙΣΜΟΣ_ΕΞΟΔΑ!H242</f>
        <v/>
      </c>
      <c r="I97" s="401">
        <f>H97/$H$85</f>
        <v/>
      </c>
      <c r="J97" s="402">
        <f>H97+'2026 Απρίλιος'!J97</f>
        <v/>
      </c>
      <c r="K97" s="403">
        <f>J97/$J$85</f>
        <v/>
      </c>
      <c r="L97" s="114">
        <f>'2024_60-69 ΕΞΟΔΑ+ΟΜ 2'!H50</f>
        <v/>
      </c>
      <c r="M97" s="75">
        <f>L97/$L$85</f>
        <v/>
      </c>
      <c r="N97" s="65">
        <f>L97+'2026 Απρίλιος'!N97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2'!H53</f>
        <v/>
      </c>
      <c r="E98" s="75">
        <f>D98/$D$85</f>
        <v/>
      </c>
      <c r="F98" s="114">
        <f>D98+'2026 Απρίλιος'!F98</f>
        <v/>
      </c>
      <c r="G98" s="75">
        <f>F98/$F$85</f>
        <v/>
      </c>
      <c r="H98" s="56">
        <f>ΠΡΟΥΠΟΛΟΓΙΣΜΟΣ_ΕΞΟΔΑ!H247</f>
        <v/>
      </c>
      <c r="I98" s="401">
        <f>H98/$H$85</f>
        <v/>
      </c>
      <c r="J98" s="402">
        <f>H98+'2026 Απρίλιος'!J98</f>
        <v/>
      </c>
      <c r="K98" s="403">
        <f>J98/$J$85</f>
        <v/>
      </c>
      <c r="L98" s="114">
        <f>'2024_60-69 ΕΞΟΔΑ+ΟΜ 2'!H51</f>
        <v/>
      </c>
      <c r="M98" s="75">
        <f>L98/$L$85</f>
        <v/>
      </c>
      <c r="N98" s="65">
        <f>L98+'2026 Απρίλιος'!N98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2'!H54</f>
        <v/>
      </c>
      <c r="E99" s="75">
        <f>D99/$D$85</f>
        <v/>
      </c>
      <c r="F99" s="114">
        <f>D99+'2026 Απρίλιος'!F99</f>
        <v/>
      </c>
      <c r="G99" s="75">
        <f>F99/$F$85</f>
        <v/>
      </c>
      <c r="H99" s="56">
        <f>ΠΡΟΥΠΟΛΟΓΙΣΜΟΣ_ΕΞΟΔΑ!H252</f>
        <v/>
      </c>
      <c r="I99" s="401">
        <f>H99/$H$85</f>
        <v/>
      </c>
      <c r="J99" s="402">
        <f>H99+'2026 Απρίλιος'!J99</f>
        <v/>
      </c>
      <c r="K99" s="403">
        <f>J99/$J$85</f>
        <v/>
      </c>
      <c r="L99" s="114">
        <f>'2024_60-69 ΕΞΟΔΑ+ΟΜ 2'!H52</f>
        <v/>
      </c>
      <c r="M99" s="75">
        <f>L99/$L$85</f>
        <v/>
      </c>
      <c r="N99" s="65">
        <f>L99+'2026 Απρίλιος'!N99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2'!H55</f>
        <v/>
      </c>
      <c r="E100" s="75">
        <f>D100/$D$85</f>
        <v/>
      </c>
      <c r="F100" s="114">
        <f>D100+'2026 Απρίλιος'!F100</f>
        <v/>
      </c>
      <c r="G100" s="75">
        <f>F100/$F$85</f>
        <v/>
      </c>
      <c r="H100" s="56">
        <f>ΠΡΟΥΠΟΛΟΓΙΣΜΟΣ_ΕΞΟΔΑ!H257</f>
        <v/>
      </c>
      <c r="I100" s="401">
        <f>H100/$H$85</f>
        <v/>
      </c>
      <c r="J100" s="402">
        <f>H100+'2026 Απρίλιος'!J100</f>
        <v/>
      </c>
      <c r="K100" s="403">
        <f>J100/$J$85</f>
        <v/>
      </c>
      <c r="L100" s="114">
        <f>'2024_60-69 ΕΞΟΔΑ+ΟΜ 2'!H53</f>
        <v/>
      </c>
      <c r="M100" s="75">
        <f>L100/$L$85</f>
        <v/>
      </c>
      <c r="N100" s="65">
        <f>L100+'2026 Απρίλιος'!N100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2'!H56</f>
        <v/>
      </c>
      <c r="E101" s="75">
        <f>D101/$D$85</f>
        <v/>
      </c>
      <c r="F101" s="114">
        <f>D101+'2026 Απρίλιος'!F101</f>
        <v/>
      </c>
      <c r="G101" s="75">
        <f>F101/$F$85</f>
        <v/>
      </c>
      <c r="H101" s="56">
        <f>ΠΡΟΥΠΟΛΟΓΙΣΜΟΣ_ΕΞΟΔΑ!H262</f>
        <v/>
      </c>
      <c r="I101" s="401">
        <f>H101/$H$85</f>
        <v/>
      </c>
      <c r="J101" s="402">
        <f>H101+'2026 Απρίλιος'!J101</f>
        <v/>
      </c>
      <c r="K101" s="403">
        <f>J101/$J$85</f>
        <v/>
      </c>
      <c r="L101" s="114">
        <f>'2024_60-69 ΕΞΟΔΑ+ΟΜ 2'!H54</f>
        <v/>
      </c>
      <c r="M101" s="75">
        <f>L101/$L$85</f>
        <v/>
      </c>
      <c r="N101" s="65">
        <f>L101+'2026 Απρίλιος'!N101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2'!H57</f>
        <v/>
      </c>
      <c r="E102" s="75">
        <f>D102/$D$85</f>
        <v/>
      </c>
      <c r="F102" s="114">
        <f>D102+'2026 Απρίλιος'!F102</f>
        <v/>
      </c>
      <c r="G102" s="75">
        <f>F102/$F$85</f>
        <v/>
      </c>
      <c r="H102" s="56">
        <f>ΠΡΟΥΠΟΛΟΓΙΣΜΟΣ_ΕΞΟΔΑ!H267</f>
        <v/>
      </c>
      <c r="I102" s="401">
        <f>H102/$H$85</f>
        <v/>
      </c>
      <c r="J102" s="402">
        <f>H102+'2026 Απρίλιος'!J102</f>
        <v/>
      </c>
      <c r="K102" s="403">
        <f>J102/$J$85</f>
        <v/>
      </c>
      <c r="L102" s="114">
        <f>'2024_60-69 ΕΞΟΔΑ+ΟΜ 2'!H55</f>
        <v/>
      </c>
      <c r="M102" s="75">
        <f>L102/$L$85</f>
        <v/>
      </c>
      <c r="N102" s="65">
        <f>L102+'2026 Απρίλιος'!N102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2'!H58</f>
        <v/>
      </c>
      <c r="E103" s="75">
        <f>D103/$D$85</f>
        <v/>
      </c>
      <c r="F103" s="114">
        <f>D103+'2026 Απρίλιος'!F103</f>
        <v/>
      </c>
      <c r="G103" s="75">
        <f>F103/$F$85</f>
        <v/>
      </c>
      <c r="H103" s="56">
        <f>ΠΡΟΥΠΟΛΟΓΙΣΜΟΣ_ΕΞΟΔΑ!H272</f>
        <v/>
      </c>
      <c r="I103" s="401">
        <f>H103/$H$85</f>
        <v/>
      </c>
      <c r="J103" s="402">
        <f>H103+'2026 Απρίλιος'!J103</f>
        <v/>
      </c>
      <c r="K103" s="403">
        <f>J103/$J$85</f>
        <v/>
      </c>
      <c r="L103" s="114">
        <f>'2024_60-69 ΕΞΟΔΑ+ΟΜ 2'!H56</f>
        <v/>
      </c>
      <c r="M103" s="75">
        <f>L103/$L$85</f>
        <v/>
      </c>
      <c r="N103" s="65">
        <f>L103+'2026 Απρίλιος'!N103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2'!H59</f>
        <v/>
      </c>
      <c r="E104" s="75">
        <f>D104/$D$85</f>
        <v/>
      </c>
      <c r="F104" s="114">
        <f>D104+'2026 Απρίλιος'!F104</f>
        <v/>
      </c>
      <c r="G104" s="75">
        <f>F104/$F$85</f>
        <v/>
      </c>
      <c r="H104" s="56">
        <f>ΠΡΟΥΠΟΛΟΓΙΣΜΟΣ_ΕΞΟΔΑ!H277</f>
        <v/>
      </c>
      <c r="I104" s="401">
        <f>H104/$H$85</f>
        <v/>
      </c>
      <c r="J104" s="402">
        <f>H104+'2026 Απρίλιος'!J104</f>
        <v/>
      </c>
      <c r="K104" s="403">
        <f>J104/$J$85</f>
        <v/>
      </c>
      <c r="L104" s="114">
        <f>'2024_60-69 ΕΞΟΔΑ+ΟΜ 2'!H57</f>
        <v/>
      </c>
      <c r="M104" s="75">
        <f>L104/$L$85</f>
        <v/>
      </c>
      <c r="N104" s="65">
        <f>L104+'2026 Απρίλιος'!N104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2'!H60</f>
        <v/>
      </c>
      <c r="E105" s="75">
        <f>D105/$D$85</f>
        <v/>
      </c>
      <c r="F105" s="114">
        <f>D105+'2026 Απρίλιος'!F105</f>
        <v/>
      </c>
      <c r="G105" s="75">
        <f>F105/$F$85</f>
        <v/>
      </c>
      <c r="H105" s="56">
        <f>ΠΡΟΥΠΟΛΟΓΙΣΜΟΣ_ΕΞΟΔΑ!H282</f>
        <v/>
      </c>
      <c r="I105" s="401">
        <f>H105/$H$85</f>
        <v/>
      </c>
      <c r="J105" s="402">
        <f>H105+'2026 Απρίλιος'!J105</f>
        <v/>
      </c>
      <c r="K105" s="403">
        <f>J105/$J$85</f>
        <v/>
      </c>
      <c r="L105" s="114">
        <f>'2024_60-69 ΕΞΟΔΑ+ΟΜ 2'!H58</f>
        <v/>
      </c>
      <c r="M105" s="75">
        <f>L105/$L$85</f>
        <v/>
      </c>
      <c r="N105" s="65">
        <f>L105+'2026 Απρίλιος'!N105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2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2'!H61</f>
        <v/>
      </c>
      <c r="E106" s="75">
        <f>D106/$D$85</f>
        <v/>
      </c>
      <c r="F106" s="114">
        <f>D106+'2026 Απρίλιος'!F106</f>
        <v/>
      </c>
      <c r="G106" s="75">
        <f>F106/$F$85</f>
        <v/>
      </c>
      <c r="H106" s="56">
        <f>ΠΡΟΥΠΟΛΟΓΙΣΜΟΣ_ΕΞΟΔΑ!H287</f>
        <v/>
      </c>
      <c r="I106" s="401">
        <f>H106/$H$85</f>
        <v/>
      </c>
      <c r="J106" s="402">
        <f>H106+'2026 Απρίλιος'!J106</f>
        <v/>
      </c>
      <c r="K106" s="403">
        <f>J106/$J$85</f>
        <v/>
      </c>
      <c r="L106" s="114">
        <f>'2024_60-69 ΕΞΟΔΑ+ΟΜ 2'!H59</f>
        <v/>
      </c>
      <c r="M106" s="75">
        <f>L106/$L$85</f>
        <v/>
      </c>
      <c r="N106" s="65">
        <f>L106+'2026 Απρίλιος'!N106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>
        <f>H107/$H$85</f>
        <v/>
      </c>
      <c r="J107" s="58" t="n"/>
      <c r="K107" s="58">
        <f>J107/$J$85</f>
        <v/>
      </c>
      <c r="L107" s="114">
        <f>'2024_60-69 ΕΞΟΔΑ+ΟΜ 2'!H60</f>
        <v/>
      </c>
      <c r="M107" s="75">
        <f>L107/$L$85</f>
        <v/>
      </c>
      <c r="N107" s="58">
        <f>L107+'2026 Απρίλιος'!N107</f>
        <v/>
      </c>
      <c r="O107" s="58">
        <f>N107/$N$85</f>
        <v/>
      </c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>
        <f>'2024_60-69 ΕΞΟΔΑ+ΟΜ 2'!H61</f>
        <v/>
      </c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2'!H40</f>
        <v/>
      </c>
      <c r="E112" s="81" t="n"/>
      <c r="F112" s="64">
        <f>D112+'2026 Απρίλιος'!F112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3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2'!H71</f>
        <v/>
      </c>
      <c r="E118" s="75">
        <f>D118/$D$117</f>
        <v/>
      </c>
      <c r="F118" s="65">
        <f>D118+'2026 Απρίλιος'!F118</f>
        <v/>
      </c>
      <c r="G118" s="75">
        <f>F118/$F$117</f>
        <v/>
      </c>
      <c r="H118" s="56">
        <f>ΠΡΟΥΠΟΛΟΓΙΣΜΟΣ_ΕΞΟΔΑ!H301</f>
        <v/>
      </c>
      <c r="I118" s="400">
        <f>H118/$H$117</f>
        <v/>
      </c>
      <c r="J118" s="65">
        <f>-H118+'2026 Απρίλιος'!J118</f>
        <v/>
      </c>
      <c r="K118" s="404">
        <f>J118/$J$117</f>
        <v/>
      </c>
      <c r="L118" s="56">
        <f>'2024_60-69 ΕΞΟΔΑ+ΟΜ 2'!H66</f>
        <v/>
      </c>
      <c r="M118" s="75">
        <f>L118/$L$117</f>
        <v/>
      </c>
      <c r="N118" s="65">
        <f>L118+'2026 Απρίλιος'!N118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2'!H72</f>
        <v/>
      </c>
      <c r="E119" s="75">
        <f>D119/$D$117</f>
        <v/>
      </c>
      <c r="F119" s="65">
        <f>D119+'2026 Απρίλιος'!F119</f>
        <v/>
      </c>
      <c r="G119" s="75">
        <f>F119/$F$117</f>
        <v/>
      </c>
      <c r="H119" s="56">
        <f>ΠΡΟΥΠΟΛΟΓΙΣΜΟΣ_ΕΞΟΔΑ!H306</f>
        <v/>
      </c>
      <c r="I119" s="400">
        <f>H119/$H$117</f>
        <v/>
      </c>
      <c r="J119" s="65">
        <f>-H119+'2026 Απρίλιος'!J119</f>
        <v/>
      </c>
      <c r="K119" s="404">
        <f>J119/$J$117</f>
        <v/>
      </c>
      <c r="L119" s="56">
        <f>'2024_60-69 ΕΞΟΔΑ+ΟΜ 2'!H67</f>
        <v/>
      </c>
      <c r="M119" s="75">
        <f>L119/$L$117</f>
        <v/>
      </c>
      <c r="N119" s="65">
        <f>L119+'2026 Απρίλιος'!N119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2'!H73</f>
        <v/>
      </c>
      <c r="E120" s="75">
        <f>D120/$D$117</f>
        <v/>
      </c>
      <c r="F120" s="65">
        <f>D120+'2026 Απρίλιος'!F120</f>
        <v/>
      </c>
      <c r="G120" s="75">
        <f>F120/$F$117</f>
        <v/>
      </c>
      <c r="H120" s="56">
        <f>ΠΡΟΥΠΟΛΟΓΙΣΜΟΣ_ΕΞΟΔΑ!H311</f>
        <v/>
      </c>
      <c r="I120" s="400">
        <f>H120/$H$117</f>
        <v/>
      </c>
      <c r="J120" s="65">
        <f>-H120+'2026 Απρίλιος'!J120</f>
        <v/>
      </c>
      <c r="K120" s="404">
        <f>J120/$J$117</f>
        <v/>
      </c>
      <c r="L120" s="56">
        <f>'2024_60-69 ΕΞΟΔΑ+ΟΜ 2'!H68</f>
        <v/>
      </c>
      <c r="M120" s="75">
        <f>L120/$L$117</f>
        <v/>
      </c>
      <c r="N120" s="65">
        <f>L120+'2026 Απρίλιος'!N120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2'!H74</f>
        <v/>
      </c>
      <c r="E121" s="75">
        <f>D121/$D$117</f>
        <v/>
      </c>
      <c r="F121" s="65">
        <f>D121+'2026 Απρίλιος'!F121</f>
        <v/>
      </c>
      <c r="G121" s="75">
        <f>F121/$F$117</f>
        <v/>
      </c>
      <c r="H121" s="56">
        <f>ΠΡΟΥΠΟΛΟΓΙΣΜΟΣ_ΕΞΟΔΑ!H316</f>
        <v/>
      </c>
      <c r="I121" s="400">
        <f>H121/$H$117</f>
        <v/>
      </c>
      <c r="J121" s="65">
        <f>-H121+'2026 Απρίλιος'!J121</f>
        <v/>
      </c>
      <c r="K121" s="404">
        <f>J121/$J$117</f>
        <v/>
      </c>
      <c r="L121" s="56">
        <f>'2024_60-69 ΕΞΟΔΑ+ΟΜ 2'!H69</f>
        <v/>
      </c>
      <c r="M121" s="75">
        <f>L121/$L$117</f>
        <v/>
      </c>
      <c r="N121" s="65">
        <f>L121+'2026 Απρίλιος'!N121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2'!H75</f>
        <v/>
      </c>
      <c r="E122" s="75">
        <f>D122/$D$117</f>
        <v/>
      </c>
      <c r="F122" s="65">
        <f>D122+'2026 Απρίλιος'!F122</f>
        <v/>
      </c>
      <c r="G122" s="75">
        <f>F122/$F$117</f>
        <v/>
      </c>
      <c r="H122" s="56">
        <f>ΠΡΟΥΠΟΛΟΓΙΣΜΟΣ_ΕΞΟΔΑ!H321</f>
        <v/>
      </c>
      <c r="I122" s="400">
        <f>H122/$H$117</f>
        <v/>
      </c>
      <c r="J122" s="65">
        <f>-H122+'2026 Απρίλιος'!J122</f>
        <v/>
      </c>
      <c r="K122" s="404">
        <f>J122/$J$117</f>
        <v/>
      </c>
      <c r="L122" s="56">
        <f>'2024_60-69 ΕΞΟΔΑ+ΟΜ 2'!H70</f>
        <v/>
      </c>
      <c r="M122" s="75">
        <f>L122/$L$117</f>
        <v/>
      </c>
      <c r="N122" s="65">
        <f>L122+'2026 Απρίλιος'!N122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2'!H76</f>
        <v/>
      </c>
      <c r="E123" s="75">
        <f>D123/$D$117</f>
        <v/>
      </c>
      <c r="F123" s="65">
        <f>D123+'2026 Απρίλιος'!F123</f>
        <v/>
      </c>
      <c r="G123" s="75">
        <f>F123/$F$117</f>
        <v/>
      </c>
      <c r="H123" s="56">
        <f>ΠΡΟΥΠΟΛΟΓΙΣΜΟΣ_ΕΞΟΔΑ!H326</f>
        <v/>
      </c>
      <c r="I123" s="400">
        <f>H123/$H$117</f>
        <v/>
      </c>
      <c r="J123" s="65">
        <f>-H123+'2026 Απρίλιος'!J123</f>
        <v/>
      </c>
      <c r="K123" s="404">
        <f>J123/$J$117</f>
        <v/>
      </c>
      <c r="L123" s="56">
        <f>'2024_60-69 ΕΞΟΔΑ+ΟΜ 2'!H71</f>
        <v/>
      </c>
      <c r="M123" s="75">
        <f>L123/$L$117</f>
        <v/>
      </c>
      <c r="N123" s="65">
        <f>L123+'2026 Απρίλιος'!N123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2'!H77</f>
        <v/>
      </c>
      <c r="E124" s="75">
        <f>D124/$D$117</f>
        <v/>
      </c>
      <c r="F124" s="65">
        <f>D124+'2026 Απρίλιος'!F124</f>
        <v/>
      </c>
      <c r="G124" s="75">
        <f>F124/$F$117</f>
        <v/>
      </c>
      <c r="H124" s="56">
        <f>ΠΡΟΥΠΟΛΟΓΙΣΜΟΣ_ΕΞΟΔΑ!H331</f>
        <v/>
      </c>
      <c r="I124" s="400">
        <f>H124/$H$117</f>
        <v/>
      </c>
      <c r="J124" s="65">
        <f>-H124+'2026 Απρίλιος'!J124</f>
        <v/>
      </c>
      <c r="K124" s="404">
        <f>J124/$J$117</f>
        <v/>
      </c>
      <c r="L124" s="56">
        <f>'2024_60-69 ΕΞΟΔΑ+ΟΜ 2'!H72</f>
        <v/>
      </c>
      <c r="M124" s="75">
        <f>L124/$L$117</f>
        <v/>
      </c>
      <c r="N124" s="65">
        <f>L124+'2026 Απρίλιος'!N124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2'!H78</f>
        <v/>
      </c>
      <c r="E125" s="75">
        <f>D125/$D$117</f>
        <v/>
      </c>
      <c r="F125" s="65">
        <f>D125+'2026 Απρίλιος'!F125</f>
        <v/>
      </c>
      <c r="G125" s="75">
        <f>F125/$F$117</f>
        <v/>
      </c>
      <c r="H125" s="56">
        <f>ΠΡΟΥΠΟΛΟΓΙΣΜΟΣ_ΕΞΟΔΑ!H336</f>
        <v/>
      </c>
      <c r="I125" s="400">
        <f>H125/$H$117</f>
        <v/>
      </c>
      <c r="J125" s="65">
        <f>-H125+'2026 Απρίλιος'!J125</f>
        <v/>
      </c>
      <c r="K125" s="404">
        <f>J125/$J$117</f>
        <v/>
      </c>
      <c r="L125" s="56">
        <f>'2024_60-69 ΕΞΟΔΑ+ΟΜ 2'!H73</f>
        <v/>
      </c>
      <c r="M125" s="75">
        <f>L125/$L$117</f>
        <v/>
      </c>
      <c r="N125" s="65">
        <f>L125+'2026 Απρίλιος'!N125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2'!H79</f>
        <v/>
      </c>
      <c r="E126" s="75">
        <f>D126/$D$117</f>
        <v/>
      </c>
      <c r="F126" s="65">
        <f>D126+'2026 Απρίλιος'!F126</f>
        <v/>
      </c>
      <c r="G126" s="75">
        <f>F126/$F$117</f>
        <v/>
      </c>
      <c r="H126" s="56">
        <f>ΠΡΟΥΠΟΛΟΓΙΣΜΟΣ_ΕΞΟΔΑ!H341</f>
        <v/>
      </c>
      <c r="I126" s="400">
        <f>H126/$H$117</f>
        <v/>
      </c>
      <c r="J126" s="65">
        <f>-H126+'2026 Απρίλιος'!J126</f>
        <v/>
      </c>
      <c r="K126" s="404">
        <f>J126/$J$117</f>
        <v/>
      </c>
      <c r="L126" s="56">
        <f>'2024_60-69 ΕΞΟΔΑ+ΟΜ 2'!H74</f>
        <v/>
      </c>
      <c r="M126" s="75">
        <f>L126/$L$117</f>
        <v/>
      </c>
      <c r="N126" s="65">
        <f>L126+'2026 Απρίλιος'!N126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2'!H80</f>
        <v/>
      </c>
      <c r="E127" s="75">
        <f>D127/$D$117</f>
        <v/>
      </c>
      <c r="F127" s="65">
        <f>D127+'2026 Απρίλιος'!F127</f>
        <v/>
      </c>
      <c r="G127" s="75">
        <f>F127/$F$117</f>
        <v/>
      </c>
      <c r="H127" s="56">
        <f>ΠΡΟΥΠΟΛΟΓΙΣΜΟΣ_ΕΞΟΔΑ!H346</f>
        <v/>
      </c>
      <c r="I127" s="400">
        <f>H127/$H$117</f>
        <v/>
      </c>
      <c r="J127" s="65">
        <f>-H127+'2026 Απρίλιος'!J127</f>
        <v/>
      </c>
      <c r="K127" s="404">
        <f>J127/$J$117</f>
        <v/>
      </c>
      <c r="L127" s="56">
        <f>'2024_60-69 ΕΞΟΔΑ+ΟΜ 2'!H75</f>
        <v/>
      </c>
      <c r="M127" s="75">
        <f>L127/$L$117</f>
        <v/>
      </c>
      <c r="N127" s="65">
        <f>L127+'2026 Απρίλιος'!N127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2'!H81</f>
        <v/>
      </c>
      <c r="E128" s="75">
        <f>D128/$D$117</f>
        <v/>
      </c>
      <c r="F128" s="65">
        <f>D128+'2026 Απρίλιος'!F128</f>
        <v/>
      </c>
      <c r="G128" s="75">
        <f>F128/$F$117</f>
        <v/>
      </c>
      <c r="H128" s="56">
        <f>ΠΡΟΥΠΟΛΟΓΙΣΜΟΣ_ΕΞΟΔΑ!H351</f>
        <v/>
      </c>
      <c r="I128" s="400">
        <f>H128/$H$117</f>
        <v/>
      </c>
      <c r="J128" s="65">
        <f>-H128+'2026 Απρίλιος'!J128</f>
        <v/>
      </c>
      <c r="K128" s="404">
        <f>J128/$J$117</f>
        <v/>
      </c>
      <c r="L128" s="56">
        <f>'2024_60-69 ΕΞΟΔΑ+ΟΜ 2'!H76</f>
        <v/>
      </c>
      <c r="M128" s="75">
        <f>L128/$L$117</f>
        <v/>
      </c>
      <c r="N128" s="65">
        <f>L128+'2026 Απρίλιος'!N128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2'!H82</f>
        <v/>
      </c>
      <c r="E129" s="75">
        <f>D129/$D$117</f>
        <v/>
      </c>
      <c r="F129" s="65">
        <f>D129+'2026 Απρίλιος'!F129</f>
        <v/>
      </c>
      <c r="G129" s="75">
        <f>F129/$F$117</f>
        <v/>
      </c>
      <c r="H129" s="56">
        <f>ΠΡΟΥΠΟΛΟΓΙΣΜΟΣ_ΕΞΟΔΑ!H356</f>
        <v/>
      </c>
      <c r="I129" s="400">
        <f>H129/$H$117</f>
        <v/>
      </c>
      <c r="J129" s="65">
        <f>-H129+'2026 Απρίλιος'!J129</f>
        <v/>
      </c>
      <c r="K129" s="404">
        <f>J129/$J$117</f>
        <v/>
      </c>
      <c r="L129" s="56">
        <f>'2024_60-69 ΕΞΟΔΑ+ΟΜ 2'!H77</f>
        <v/>
      </c>
      <c r="M129" s="75">
        <f>L129/$L$117</f>
        <v/>
      </c>
      <c r="N129" s="65">
        <f>L129+'2026 Απρίλιος'!N129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2'!H83</f>
        <v/>
      </c>
      <c r="E130" s="75">
        <f>D130/$D$117</f>
        <v/>
      </c>
      <c r="F130" s="65">
        <f>D130+'2026 Απρίλιος'!F130</f>
        <v/>
      </c>
      <c r="G130" s="75">
        <f>F130/$F$117</f>
        <v/>
      </c>
      <c r="H130" s="56">
        <f>ΠΡΟΥΠΟΛΟΓΙΣΜΟΣ_ΕΞΟΔΑ!H361</f>
        <v/>
      </c>
      <c r="I130" s="400">
        <f>H130/$H$117</f>
        <v/>
      </c>
      <c r="J130" s="65">
        <f>-H130+'2026 Απρίλιος'!J130</f>
        <v/>
      </c>
      <c r="K130" s="404">
        <f>J130/$J$117</f>
        <v/>
      </c>
      <c r="L130" s="56">
        <f>'2024_60-69 ΕΞΟΔΑ+ΟΜ 2'!H78</f>
        <v/>
      </c>
      <c r="M130" s="75">
        <f>L130/$L$117</f>
        <v/>
      </c>
      <c r="N130" s="65">
        <f>L130+'2026 Απρίλιος'!N130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2'!H84</f>
        <v/>
      </c>
      <c r="E131" s="75">
        <f>D131/$D$117</f>
        <v/>
      </c>
      <c r="F131" s="65">
        <f>D131+'2026 Απρίλιος'!F131</f>
        <v/>
      </c>
      <c r="G131" s="75">
        <f>F131/$F$117</f>
        <v/>
      </c>
      <c r="H131" s="56">
        <f>ΠΡΟΥΠΟΛΟΓΙΣΜΟΣ_ΕΞΟΔΑ!H366</f>
        <v/>
      </c>
      <c r="I131" s="400">
        <f>H131/$H$117</f>
        <v/>
      </c>
      <c r="J131" s="65">
        <f>-H131+'2026 Απρίλιος'!J131</f>
        <v/>
      </c>
      <c r="K131" s="404">
        <f>J131/$J$117</f>
        <v/>
      </c>
      <c r="L131" s="56">
        <f>'2024_60-69 ΕΞΟΔΑ+ΟΜ 2'!H79</f>
        <v/>
      </c>
      <c r="M131" s="75">
        <f>L131/$L$117</f>
        <v/>
      </c>
      <c r="N131" s="65">
        <f>L131+'2026 Απρίλιος'!N131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2'!H85</f>
        <v/>
      </c>
      <c r="E132" s="75">
        <f>D132/$D$117</f>
        <v/>
      </c>
      <c r="F132" s="65">
        <f>D132+'2026 Απρίλιος'!F132</f>
        <v/>
      </c>
      <c r="G132" s="75">
        <f>F132/$F$117</f>
        <v/>
      </c>
      <c r="H132" s="56">
        <f>ΠΡΟΥΠΟΛΟΓΙΣΜΟΣ_ΕΞΟΔΑ!H371</f>
        <v/>
      </c>
      <c r="I132" s="400">
        <f>H132/$H$117</f>
        <v/>
      </c>
      <c r="J132" s="65">
        <f>-H132+'2026 Απρίλιος'!J132</f>
        <v/>
      </c>
      <c r="K132" s="404">
        <f>J132/$J$117</f>
        <v/>
      </c>
      <c r="L132" s="56">
        <f>'2024_60-69 ΕΞΟΔΑ+ΟΜ 2'!H80</f>
        <v/>
      </c>
      <c r="M132" s="75">
        <f>L132/$L$117</f>
        <v/>
      </c>
      <c r="N132" s="65">
        <f>L132+'2026 Απρίλιος'!N132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2'!H86</f>
        <v/>
      </c>
      <c r="E133" s="75">
        <f>D133/$D$117</f>
        <v/>
      </c>
      <c r="F133" s="65">
        <f>D133+'2026 Απρίλιος'!F133</f>
        <v/>
      </c>
      <c r="G133" s="75">
        <f>F133/$F$117</f>
        <v/>
      </c>
      <c r="H133" s="56">
        <f>ΠΡΟΥΠΟΛΟΓΙΣΜΟΣ_ΕΞΟΔΑ!H376</f>
        <v/>
      </c>
      <c r="I133" s="400">
        <f>H133/$H$117</f>
        <v/>
      </c>
      <c r="J133" s="65">
        <f>-H133+'2026 Απρίλιος'!J133</f>
        <v/>
      </c>
      <c r="K133" s="404">
        <f>J133/$J$117</f>
        <v/>
      </c>
      <c r="L133" s="56">
        <f>'2024_60-69 ΕΞΟΔΑ+ΟΜ 2'!H81</f>
        <v/>
      </c>
      <c r="M133" s="75">
        <f>L133/$L$117</f>
        <v/>
      </c>
      <c r="N133" s="65">
        <f>L133+'2026 Απρίλιος'!N133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2'!H87</f>
        <v/>
      </c>
      <c r="E134" s="75">
        <f>D134/$D$117</f>
        <v/>
      </c>
      <c r="F134" s="65">
        <f>D134+'2026 Απρίλιος'!F134</f>
        <v/>
      </c>
      <c r="G134" s="75">
        <f>F134/$F$117</f>
        <v/>
      </c>
      <c r="H134" s="56">
        <f>ΠΡΟΥΠΟΛΟΓΙΣΜΟΣ_ΕΞΟΔΑ!H381</f>
        <v/>
      </c>
      <c r="I134" s="400">
        <f>H134/$H$117</f>
        <v/>
      </c>
      <c r="J134" s="65">
        <f>-H134+'2026 Απρίλιος'!J134</f>
        <v/>
      </c>
      <c r="K134" s="404">
        <f>J134/$J$117</f>
        <v/>
      </c>
      <c r="L134" s="56">
        <f>'2024_60-69 ΕΞΟΔΑ+ΟΜ 2'!H82</f>
        <v/>
      </c>
      <c r="M134" s="75">
        <f>L134/$L$117</f>
        <v/>
      </c>
      <c r="N134" s="65">
        <f>L134+'2026 Απρίλιος'!N134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2'!H88</f>
        <v/>
      </c>
      <c r="E135" s="75">
        <f>D135/$D$117</f>
        <v/>
      </c>
      <c r="F135" s="65">
        <f>D135+'2026 Απρίλιος'!F135</f>
        <v/>
      </c>
      <c r="G135" s="75">
        <f>F135/$F$117</f>
        <v/>
      </c>
      <c r="H135" s="56">
        <f>ΠΡΟΥΠΟΛΟΓΙΣΜΟΣ_ΕΞΟΔΑ!H386</f>
        <v/>
      </c>
      <c r="I135" s="400">
        <f>H135/$H$117</f>
        <v/>
      </c>
      <c r="J135" s="65">
        <f>-H135+'2026 Απρίλιος'!J135</f>
        <v/>
      </c>
      <c r="K135" s="404">
        <f>J135/$J$117</f>
        <v/>
      </c>
      <c r="L135" s="56">
        <f>'2024_60-69 ΕΞΟΔΑ+ΟΜ 2'!H83</f>
        <v/>
      </c>
      <c r="M135" s="75">
        <f>L135/$L$117</f>
        <v/>
      </c>
      <c r="N135" s="65">
        <f>L135+'2026 Απρίλιος'!N135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2'!H89</f>
        <v/>
      </c>
      <c r="E136" s="75">
        <f>D136/$D$117</f>
        <v/>
      </c>
      <c r="F136" s="65">
        <f>D136+'2026 Απρίλιος'!F136</f>
        <v/>
      </c>
      <c r="G136" s="75">
        <f>F136/$F$117</f>
        <v/>
      </c>
      <c r="H136" s="56">
        <f>ΠΡΟΥΠΟΛΟΓΙΣΜΟΣ_ΕΞΟΔΑ!H391</f>
        <v/>
      </c>
      <c r="I136" s="400">
        <f>H136/$H$117</f>
        <v/>
      </c>
      <c r="J136" s="65">
        <f>-H136+'2026 Απρίλιος'!J136</f>
        <v/>
      </c>
      <c r="K136" s="404">
        <f>J136/$J$117</f>
        <v/>
      </c>
      <c r="L136" s="56">
        <f>'2024_60-69 ΕΞΟΔΑ+ΟΜ 2'!H84</f>
        <v/>
      </c>
      <c r="M136" s="75">
        <f>L136/$L$117</f>
        <v/>
      </c>
      <c r="N136" s="65">
        <f>L136+'2026 Απρίλιος'!N136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2'!H90</f>
        <v/>
      </c>
      <c r="E137" s="75">
        <f>D137/$D$117</f>
        <v/>
      </c>
      <c r="F137" s="65">
        <f>D137+'2026 Απρίλιος'!F137</f>
        <v/>
      </c>
      <c r="G137" s="75">
        <f>F137/$F$117</f>
        <v/>
      </c>
      <c r="H137" s="56">
        <f>ΠΡΟΥΠΟΛΟΓΙΣΜΟΣ_ΕΞΟΔΑ!H396</f>
        <v/>
      </c>
      <c r="I137" s="400">
        <f>H137/$H$117</f>
        <v/>
      </c>
      <c r="J137" s="65">
        <f>-H137+'2026 Απρίλιος'!J137</f>
        <v/>
      </c>
      <c r="K137" s="404">
        <f>J137/$J$117</f>
        <v/>
      </c>
      <c r="L137" s="56">
        <f>'2024_60-69 ΕΞΟΔΑ+ΟΜ 2'!H85</f>
        <v/>
      </c>
      <c r="M137" s="75">
        <f>L137/$L$117</f>
        <v/>
      </c>
      <c r="N137" s="65">
        <f>L137+'2026 Απρίλιος'!N137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2'!H91</f>
        <v/>
      </c>
      <c r="E138" s="75">
        <f>D138/$D$117</f>
        <v/>
      </c>
      <c r="F138" s="65">
        <f>D138+'2026 Απρίλιος'!F138</f>
        <v/>
      </c>
      <c r="G138" s="75">
        <f>F138/$F$117</f>
        <v/>
      </c>
      <c r="H138" s="56">
        <f>ΠΡΟΥΠΟΛΟΓΙΣΜΟΣ_ΕΞΟΔΑ!H401</f>
        <v/>
      </c>
      <c r="I138" s="400">
        <f>H138/$H$117</f>
        <v/>
      </c>
      <c r="J138" s="65">
        <f>-H138+'2026 Απρίλιος'!J138</f>
        <v/>
      </c>
      <c r="K138" s="404">
        <f>J138/$J$117</f>
        <v/>
      </c>
      <c r="L138" s="56">
        <f>'2024_60-69 ΕΞΟΔΑ+ΟΜ 2'!H86</f>
        <v/>
      </c>
      <c r="M138" s="75">
        <f>L138/$L$117</f>
        <v/>
      </c>
      <c r="N138" s="65">
        <f>L138+'2026 Απρίλιος'!N138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2'!H92</f>
        <v/>
      </c>
      <c r="E139" s="75">
        <f>D139/$D$117</f>
        <v/>
      </c>
      <c r="F139" s="65">
        <f>D139+'2026 Απρίλιος'!F139</f>
        <v/>
      </c>
      <c r="G139" s="75">
        <f>F139/$F$117</f>
        <v/>
      </c>
      <c r="H139" s="56">
        <f>ΠΡΟΥΠΟΛΟΓΙΣΜΟΣ_ΕΞΟΔΑ!H406</f>
        <v/>
      </c>
      <c r="I139" s="400">
        <f>H139/$H$117</f>
        <v/>
      </c>
      <c r="J139" s="65">
        <f>-H139+'2026 Απρίλιος'!J139</f>
        <v/>
      </c>
      <c r="K139" s="404">
        <f>J139/$J$117</f>
        <v/>
      </c>
      <c r="L139" s="56">
        <f>'2024_60-69 ΕΞΟΔΑ+ΟΜ 2'!H87</f>
        <v/>
      </c>
      <c r="M139" s="75">
        <f>L139/$L$117</f>
        <v/>
      </c>
      <c r="N139" s="65">
        <f>L139+'2026 Απρίλιος'!N139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2'!H93</f>
        <v/>
      </c>
      <c r="E140" s="75">
        <f>D140/$D$117</f>
        <v/>
      </c>
      <c r="F140" s="65">
        <f>D140+'2026 Απρίλιος'!F140</f>
        <v/>
      </c>
      <c r="G140" s="75">
        <f>F140/$F$117</f>
        <v/>
      </c>
      <c r="H140" s="56">
        <f>ΠΡΟΥΠΟΛΟΓΙΣΜΟΣ_ΕΞΟΔΑ!H411</f>
        <v/>
      </c>
      <c r="I140" s="400">
        <f>H140/$H$117</f>
        <v/>
      </c>
      <c r="J140" s="65">
        <f>-H140+'2026 Απρίλιος'!J140</f>
        <v/>
      </c>
      <c r="K140" s="404">
        <f>J140/$J$117</f>
        <v/>
      </c>
      <c r="L140" s="56">
        <f>'2024_60-69 ΕΞΟΔΑ+ΟΜ 2'!H88</f>
        <v/>
      </c>
      <c r="M140" s="75">
        <f>L140/$L$117</f>
        <v/>
      </c>
      <c r="N140" s="65">
        <f>L140+'2026 Απρίλιος'!N140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2'!H94</f>
        <v/>
      </c>
      <c r="E141" s="75">
        <f>D141/$D$117</f>
        <v/>
      </c>
      <c r="F141" s="65">
        <f>D141+'2026 Απρίλιος'!F141</f>
        <v/>
      </c>
      <c r="G141" s="75">
        <f>F141/$F$117</f>
        <v/>
      </c>
      <c r="H141" s="56">
        <f>ΠΡΟΥΠΟΛΟΓΙΣΜΟΣ_ΕΞΟΔΑ!H416</f>
        <v/>
      </c>
      <c r="I141" s="400">
        <f>H141/$H$117</f>
        <v/>
      </c>
      <c r="J141" s="65">
        <f>-H141+'2026 Απρίλιος'!J141</f>
        <v/>
      </c>
      <c r="K141" s="404">
        <f>J141/$J$117</f>
        <v/>
      </c>
      <c r="L141" s="56">
        <f>'2024_60-69 ΕΞΟΔΑ+ΟΜ 2'!H89</f>
        <v/>
      </c>
      <c r="M141" s="75">
        <f>L141/$L$117</f>
        <v/>
      </c>
      <c r="N141" s="65">
        <f>L141+'2026 Απρίλιος'!N141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2'!H95</f>
        <v/>
      </c>
      <c r="E142" s="75">
        <f>D142/$D$117</f>
        <v/>
      </c>
      <c r="F142" s="65">
        <f>D142+'2026 Απρίλιος'!F142</f>
        <v/>
      </c>
      <c r="G142" s="75">
        <f>F142/$F$117</f>
        <v/>
      </c>
      <c r="H142" s="56">
        <f>ΠΡΟΥΠΟΛΟΓΙΣΜΟΣ_ΕΞΟΔΑ!H421</f>
        <v/>
      </c>
      <c r="I142" s="400">
        <f>H142/$H$117</f>
        <v/>
      </c>
      <c r="J142" s="65">
        <f>-H142+'2026 Απρίλιος'!J142</f>
        <v/>
      </c>
      <c r="K142" s="404">
        <f>J142/$J$117</f>
        <v/>
      </c>
      <c r="L142" s="56">
        <f>'2024_60-69 ΕΞΟΔΑ+ΟΜ 2'!H90</f>
        <v/>
      </c>
      <c r="M142" s="75">
        <f>L142/$L$117</f>
        <v/>
      </c>
      <c r="N142" s="65">
        <f>L142+'2026 Απρίλιος'!N142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2'!H96</f>
        <v/>
      </c>
      <c r="E143" s="75">
        <f>D143/$D$117</f>
        <v/>
      </c>
      <c r="F143" s="65">
        <f>D143+'2026 Απρίλιος'!F143</f>
        <v/>
      </c>
      <c r="G143" s="75">
        <f>F143/$F$117</f>
        <v/>
      </c>
      <c r="H143" s="56">
        <f>ΠΡΟΥΠΟΛΟΓΙΣΜΟΣ_ΕΞΟΔΑ!H426</f>
        <v/>
      </c>
      <c r="I143" s="400">
        <f>H143/$H$117</f>
        <v/>
      </c>
      <c r="J143" s="65">
        <f>-H143+'2026 Απρίλιος'!J143</f>
        <v/>
      </c>
      <c r="K143" s="404">
        <f>J143/$J$117</f>
        <v/>
      </c>
      <c r="L143" s="56">
        <f>'2024_60-69 ΕΞΟΔΑ+ΟΜ 2'!H91</f>
        <v/>
      </c>
      <c r="M143" s="75">
        <f>L143/$L$117</f>
        <v/>
      </c>
      <c r="N143" s="65">
        <f>L143+'2026 Απρίλιος'!N143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2'!H97</f>
        <v/>
      </c>
      <c r="E144" s="75">
        <f>D144/$D$117</f>
        <v/>
      </c>
      <c r="F144" s="65">
        <f>D144+'2026 Απρίλιος'!F144</f>
        <v/>
      </c>
      <c r="G144" s="75">
        <f>F144/$F$117</f>
        <v/>
      </c>
      <c r="H144" s="56">
        <f>ΠΡΟΥΠΟΛΟΓΙΣΜΟΣ_ΕΞΟΔΑ!H431</f>
        <v/>
      </c>
      <c r="I144" s="400">
        <f>H144/$H$117</f>
        <v/>
      </c>
      <c r="J144" s="65">
        <f>-H144+'2026 Απρίλιος'!J144</f>
        <v/>
      </c>
      <c r="K144" s="404">
        <f>J144/$J$117</f>
        <v/>
      </c>
      <c r="L144" s="56">
        <f>'2024_60-69 ΕΞΟΔΑ+ΟΜ 2'!H92</f>
        <v/>
      </c>
      <c r="M144" s="75">
        <f>L144/$L$117</f>
        <v/>
      </c>
      <c r="N144" s="65">
        <f>L144+'2026 Απρίλιος'!N144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2'!H98</f>
        <v/>
      </c>
      <c r="E145" s="75">
        <f>D145/$D$117</f>
        <v/>
      </c>
      <c r="F145" s="65">
        <f>D145+'2026 Απρίλιος'!F145</f>
        <v/>
      </c>
      <c r="G145" s="75">
        <f>F145/$F$117</f>
        <v/>
      </c>
      <c r="H145" s="56">
        <f>ΠΡΟΥΠΟΛΟΓΙΣΜΟΣ_ΕΞΟΔΑ!H436</f>
        <v/>
      </c>
      <c r="I145" s="400">
        <f>H145/$H$117</f>
        <v/>
      </c>
      <c r="J145" s="65">
        <f>-H145+'2026 Απρίλιος'!J145</f>
        <v/>
      </c>
      <c r="K145" s="404">
        <f>J145/$J$117</f>
        <v/>
      </c>
      <c r="L145" s="56">
        <f>'2024_60-69 ΕΞΟΔΑ+ΟΜ 2'!H93</f>
        <v/>
      </c>
      <c r="M145" s="75">
        <f>L145/$L$117</f>
        <v/>
      </c>
      <c r="N145" s="65">
        <f>L145+'2026 Απρίλιος'!N145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2'!H99</f>
        <v/>
      </c>
      <c r="E146" s="75">
        <f>D146/$D$117</f>
        <v/>
      </c>
      <c r="F146" s="65">
        <f>D146+'2026 Απρίλιος'!F146</f>
        <v/>
      </c>
      <c r="G146" s="75">
        <f>F146/$F$117</f>
        <v/>
      </c>
      <c r="H146" s="56">
        <f>ΠΡΟΥΠΟΛΟΓΙΣΜΟΣ_ΕΞΟΔΑ!H441</f>
        <v/>
      </c>
      <c r="I146" s="400">
        <f>H146/$H$117</f>
        <v/>
      </c>
      <c r="J146" s="65">
        <f>-H146+'2026 Απρίλιος'!J146</f>
        <v/>
      </c>
      <c r="K146" s="404">
        <f>J146/$J$117</f>
        <v/>
      </c>
      <c r="L146" s="56">
        <f>'2024_60-69 ΕΞΟΔΑ+ΟΜ 2'!H94</f>
        <v/>
      </c>
      <c r="M146" s="75">
        <f>L146/$L$117</f>
        <v/>
      </c>
      <c r="N146" s="65">
        <f>L146+'2026 Απρίλιος'!N146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2'!H100</f>
        <v/>
      </c>
      <c r="E147" s="75">
        <f>D147/$D$117</f>
        <v/>
      </c>
      <c r="F147" s="65">
        <f>D147+'2026 Απρίλιος'!F147</f>
        <v/>
      </c>
      <c r="G147" s="75">
        <f>F147/$F$117</f>
        <v/>
      </c>
      <c r="H147" s="56">
        <f>ΠΡΟΥΠΟΛΟΓΙΣΜΟΣ_ΕΞΟΔΑ!H446</f>
        <v/>
      </c>
      <c r="I147" s="400">
        <f>H147/$H$117</f>
        <v/>
      </c>
      <c r="J147" s="65">
        <f>-H147+'2026 Απρίλιος'!J147</f>
        <v/>
      </c>
      <c r="K147" s="404">
        <f>J147/$J$117</f>
        <v/>
      </c>
      <c r="L147" s="56">
        <f>'2024_60-69 ΕΞΟΔΑ+ΟΜ 2'!H95</f>
        <v/>
      </c>
      <c r="M147" s="75">
        <f>L147/$L$117</f>
        <v/>
      </c>
      <c r="N147" s="65">
        <f>L147+'2026 Απρίλιος'!N147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2'!H101</f>
        <v/>
      </c>
      <c r="E148" s="75">
        <f>D148/$D$117</f>
        <v/>
      </c>
      <c r="F148" s="65">
        <f>D148+'2026 Απρίλιος'!F148</f>
        <v/>
      </c>
      <c r="G148" s="75">
        <f>F148/$F$117</f>
        <v/>
      </c>
      <c r="H148" s="56">
        <f>ΠΡΟΥΠΟΛΟΓΙΣΜΟΣ_ΕΞΟΔΑ!H451</f>
        <v/>
      </c>
      <c r="I148" s="400">
        <f>H148/$H$117</f>
        <v/>
      </c>
      <c r="J148" s="65">
        <f>-H148+'2026 Απρίλιος'!J148</f>
        <v/>
      </c>
      <c r="K148" s="404">
        <f>J148/$J$117</f>
        <v/>
      </c>
      <c r="L148" s="56">
        <f>'2024_60-69 ΕΞΟΔΑ+ΟΜ 2'!H96</f>
        <v/>
      </c>
      <c r="M148" s="75">
        <f>L148/$L$117</f>
        <v/>
      </c>
      <c r="N148" s="65">
        <f>L148+'2026 Απρίλιος'!N148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2'!H102</f>
        <v/>
      </c>
      <c r="E149" s="75">
        <f>D149/$D$117</f>
        <v/>
      </c>
      <c r="F149" s="65">
        <f>D149+'2026 Απρίλιος'!F149</f>
        <v/>
      </c>
      <c r="G149" s="75">
        <f>F149/$F$117</f>
        <v/>
      </c>
      <c r="H149" s="56">
        <f>ΠΡΟΥΠΟΛΟΓΙΣΜΟΣ_ΕΞΟΔΑ!H456</f>
        <v/>
      </c>
      <c r="I149" s="400">
        <f>H149/$H$117</f>
        <v/>
      </c>
      <c r="J149" s="65">
        <f>-H149+'2026 Απρίλιος'!J149</f>
        <v/>
      </c>
      <c r="K149" s="404">
        <f>J149/$J$117</f>
        <v/>
      </c>
      <c r="L149" s="56">
        <f>'2024_60-69 ΕΞΟΔΑ+ΟΜ 2'!H97</f>
        <v/>
      </c>
      <c r="M149" s="75">
        <f>L149/$L$117</f>
        <v/>
      </c>
      <c r="N149" s="65">
        <f>L149+'2026 Απρίλιος'!N149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2'!H103</f>
        <v/>
      </c>
      <c r="E150" s="75">
        <f>D150/$D$117</f>
        <v/>
      </c>
      <c r="F150" s="65">
        <f>D150+'2026 Απρίλιος'!F150</f>
        <v/>
      </c>
      <c r="G150" s="75">
        <f>F150/$F$117</f>
        <v/>
      </c>
      <c r="H150" s="56">
        <f>ΠΡΟΥΠΟΛΟΓΙΣΜΟΣ_ΕΞΟΔΑ!H461</f>
        <v/>
      </c>
      <c r="I150" s="400">
        <f>H150/$H$117</f>
        <v/>
      </c>
      <c r="J150" s="65">
        <f>-H150+'2026 Απρίλιος'!J150</f>
        <v/>
      </c>
      <c r="K150" s="404">
        <f>J150/$J$117</f>
        <v/>
      </c>
      <c r="L150" s="56">
        <f>'2024_60-69 ΕΞΟΔΑ+ΟΜ 2'!H98</f>
        <v/>
      </c>
      <c r="M150" s="75">
        <f>L150/$L$117</f>
        <v/>
      </c>
      <c r="N150" s="65">
        <f>L150+'2026 Απρίλιος'!N150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2'!H104</f>
        <v/>
      </c>
      <c r="E151" s="75">
        <f>D151/$D$117</f>
        <v/>
      </c>
      <c r="F151" s="65">
        <f>D151+'2026 Απρίλιος'!F151</f>
        <v/>
      </c>
      <c r="G151" s="75">
        <f>F151/$F$117</f>
        <v/>
      </c>
      <c r="H151" s="56">
        <f>ΠΡΟΥΠΟΛΟΓΙΣΜΟΣ_ΕΞΟΔΑ!H466</f>
        <v/>
      </c>
      <c r="I151" s="400">
        <f>H151/$H$117</f>
        <v/>
      </c>
      <c r="J151" s="65">
        <f>-H151+'2026 Απρίλιος'!J151</f>
        <v/>
      </c>
      <c r="K151" s="404">
        <f>J151/$J$117</f>
        <v/>
      </c>
      <c r="L151" s="56">
        <f>'2024_60-69 ΕΞΟΔΑ+ΟΜ 2'!H99</f>
        <v/>
      </c>
      <c r="M151" s="75">
        <f>L151/$L$117</f>
        <v/>
      </c>
      <c r="N151" s="65">
        <f>L151+'2026 Απρίλιος'!N151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2'!H105</f>
        <v/>
      </c>
      <c r="E152" s="75">
        <f>D152/$D$117</f>
        <v/>
      </c>
      <c r="F152" s="65">
        <f>D152+'2026 Απρίλιος'!F152</f>
        <v/>
      </c>
      <c r="G152" s="75">
        <f>F152/$F$117</f>
        <v/>
      </c>
      <c r="H152" s="56">
        <f>ΠΡΟΥΠΟΛΟΓΙΣΜΟΣ_ΕΞΟΔΑ!H471</f>
        <v/>
      </c>
      <c r="I152" s="400">
        <f>H152/$H$117</f>
        <v/>
      </c>
      <c r="J152" s="65">
        <f>-H152+'2026 Απρίλιος'!J152</f>
        <v/>
      </c>
      <c r="K152" s="404">
        <f>J152/$J$117</f>
        <v/>
      </c>
      <c r="L152" s="56">
        <f>'2024_60-69 ΕΞΟΔΑ+ΟΜ 2'!H100</f>
        <v/>
      </c>
      <c r="M152" s="75">
        <f>L152/$L$117</f>
        <v/>
      </c>
      <c r="N152" s="65">
        <f>L152+'2026 Απρίλιος'!N152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2'!H106</f>
        <v/>
      </c>
      <c r="E153" s="75">
        <f>D153/$D$117</f>
        <v/>
      </c>
      <c r="F153" s="65">
        <f>D153+'2026 Απρίλιος'!F153</f>
        <v/>
      </c>
      <c r="G153" s="75">
        <f>F153/$F$117</f>
        <v/>
      </c>
      <c r="H153" s="56">
        <f>ΠΡΟΥΠΟΛΟΓΙΣΜΟΣ_ΕΞΟΔΑ!H476</f>
        <v/>
      </c>
      <c r="I153" s="400">
        <f>H153/$H$117</f>
        <v/>
      </c>
      <c r="J153" s="65">
        <f>-H153+'2026 Απρίλιος'!J153</f>
        <v/>
      </c>
      <c r="K153" s="404">
        <f>J153/$J$117</f>
        <v/>
      </c>
      <c r="L153" s="56">
        <f>'2024_60-69 ΕΞΟΔΑ+ΟΜ 2'!H101</f>
        <v/>
      </c>
      <c r="M153" s="75">
        <f>L153/$L$117</f>
        <v/>
      </c>
      <c r="N153" s="65">
        <f>L153+'2026 Απρίλιος'!N153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2'!H107</f>
        <v/>
      </c>
      <c r="E154" s="75">
        <f>D154/$D$117</f>
        <v/>
      </c>
      <c r="F154" s="65">
        <f>D154+'2026 Απρίλιος'!F154</f>
        <v/>
      </c>
      <c r="G154" s="75">
        <f>F154/$F$117</f>
        <v/>
      </c>
      <c r="H154" s="56">
        <f>ΠΡΟΥΠΟΛΟΓΙΣΜΟΣ_ΕΞΟΔΑ!H481</f>
        <v/>
      </c>
      <c r="I154" s="400">
        <f>H154/$H$117</f>
        <v/>
      </c>
      <c r="J154" s="65">
        <f>-H154+'2026 Απρίλιος'!J154</f>
        <v/>
      </c>
      <c r="K154" s="404">
        <f>J154/$J$117</f>
        <v/>
      </c>
      <c r="L154" s="56">
        <f>'2024_60-69 ΕΞΟΔΑ+ΟΜ 2'!H102</f>
        <v/>
      </c>
      <c r="M154" s="75">
        <f>L154/$L$117</f>
        <v/>
      </c>
      <c r="N154" s="65">
        <f>L154+'2026 Απρίλιος'!N154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2'!H108</f>
        <v/>
      </c>
      <c r="E155" s="75">
        <f>D155/$D$117</f>
        <v/>
      </c>
      <c r="F155" s="65">
        <f>D155+'2026 Απρίλιος'!F155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>
        <f>Q45+Q48+Q111</f>
        <v/>
      </c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2'!H70</f>
        <v/>
      </c>
      <c r="E158" s="81" t="n"/>
      <c r="F158" s="64">
        <f>'2026_60-69 ΕΞΟΔΑ+ΟΜ 2'!U70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ΑΝΤΙΣΤΟΙΧΙΣΗ!$F$111</f>
        <v/>
      </c>
      <c r="E3" s="551" t="n"/>
      <c r="F3" s="550" t="n"/>
      <c r="G3" s="107">
        <f>ΑΝΤΙΣΤΟΙΧΙΣΗ!$D$34</f>
        <v/>
      </c>
      <c r="H3" s="549">
        <f>ΑΝΤΙΣΤΟΙΧΙΣΗ!$F$111</f>
        <v/>
      </c>
      <c r="I3" s="551" t="n"/>
      <c r="J3" s="550" t="n"/>
      <c r="K3" s="107">
        <f>ΑΝΤΙΣΤΟΙΧΙΣΗ!$D$34</f>
        <v/>
      </c>
      <c r="L3" s="549">
        <f>ΑΝΤΙΣΤΟΙΧΙΣΗ!$F$125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'2026_ΕΣΟΔΑ'!H2</f>
        <v/>
      </c>
      <c r="E8" s="53">
        <f>D8/$D$7</f>
        <v/>
      </c>
      <c r="F8" s="54">
        <f>D8+'2026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H8+'2026 Μάιος'!J8</f>
        <v/>
      </c>
      <c r="K8" s="53">
        <f>J8/$J$7</f>
        <v/>
      </c>
      <c r="L8" s="89">
        <f>'2024_60-69 ΕΞΟΔΑ+ΟΜ 2'!H114</f>
        <v/>
      </c>
      <c r="M8" s="53">
        <f>L8/$L$7</f>
        <v/>
      </c>
      <c r="N8" s="54">
        <f>L8+'2026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'2026_ΕΣΟΔΑ'!H3</f>
        <v/>
      </c>
      <c r="E9" s="53">
        <f>D9/$D$7</f>
        <v/>
      </c>
      <c r="F9" s="54">
        <f>D9+'2026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H9+'2026 Μάιος'!J9</f>
        <v/>
      </c>
      <c r="K9" s="53">
        <f>J9/$J$7</f>
        <v/>
      </c>
      <c r="L9" s="89">
        <f>'2024_60-69 ΕΞΟΔΑ+ΟΜ 2'!H115</f>
        <v/>
      </c>
      <c r="M9" s="53">
        <f>L9/$L$7</f>
        <v/>
      </c>
      <c r="N9" s="54">
        <f>L9+'2026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'2026_ΕΣΟΔΑ'!H4</f>
        <v/>
      </c>
      <c r="E10" s="53">
        <f>D10/$D$7</f>
        <v/>
      </c>
      <c r="F10" s="54">
        <f>D10+'2026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H10+'2026 Μάιος'!J10</f>
        <v/>
      </c>
      <c r="K10" s="53">
        <f>J10/$J$7</f>
        <v/>
      </c>
      <c r="L10" s="89">
        <f>'2024_60-69 ΕΞΟΔΑ+ΟΜ 2'!H116</f>
        <v/>
      </c>
      <c r="M10" s="53">
        <f>L10/$L$7</f>
        <v/>
      </c>
      <c r="N10" s="54">
        <f>L10+'2026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'2026_ΕΣΟΔΑ'!H5</f>
        <v/>
      </c>
      <c r="E11" s="53">
        <f>D11/$D$7</f>
        <v/>
      </c>
      <c r="F11" s="54">
        <f>D11+'2026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H11+'2026 Μάιος'!J11</f>
        <v/>
      </c>
      <c r="K11" s="53">
        <f>J11/$J$7</f>
        <v/>
      </c>
      <c r="L11" s="89">
        <f>'2024_60-69 ΕΞΟΔΑ+ΟΜ 2'!H117</f>
        <v/>
      </c>
      <c r="M11" s="53">
        <f>L11/$L$7</f>
        <v/>
      </c>
      <c r="N11" s="54">
        <f>L11+'2026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'2026_ΕΣΟΔΑ'!H6</f>
        <v/>
      </c>
      <c r="E12" s="53">
        <f>D12/$D$7</f>
        <v/>
      </c>
      <c r="F12" s="54">
        <f>D12+'2026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H12+'2026 Μάιος'!J12</f>
        <v/>
      </c>
      <c r="K12" s="53">
        <f>J12/$J$7</f>
        <v/>
      </c>
      <c r="L12" s="89">
        <f>'2024_60-69 ΕΞΟΔΑ+ΟΜ 2'!H118</f>
        <v/>
      </c>
      <c r="M12" s="53">
        <f>L12/$L$7</f>
        <v/>
      </c>
      <c r="N12" s="54">
        <f>L12+'2026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'2026_ΕΣΟΔΑ'!H7</f>
        <v/>
      </c>
      <c r="E13" s="53">
        <f>D13/$D$7</f>
        <v/>
      </c>
      <c r="F13" s="54">
        <f>D13+'2026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H13+'2026 Μάιος'!J13</f>
        <v/>
      </c>
      <c r="K13" s="53">
        <f>J13/$J$7</f>
        <v/>
      </c>
      <c r="L13" s="89">
        <f>'2024_60-69 ΕΞΟΔΑ+ΟΜ 2'!H119</f>
        <v/>
      </c>
      <c r="M13" s="53">
        <f>L13/$L$7</f>
        <v/>
      </c>
      <c r="N13" s="54">
        <f>L13+'2026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'2026_ΕΣΟΔΑ'!H8</f>
        <v/>
      </c>
      <c r="E14" s="53">
        <f>D14/$D$7</f>
        <v/>
      </c>
      <c r="F14" s="54">
        <f>D14+'2026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H14+'2026 Μάιος'!J14</f>
        <v/>
      </c>
      <c r="K14" s="53">
        <f>J14/$J$7</f>
        <v/>
      </c>
      <c r="L14" s="89">
        <f>'2024_60-69 ΕΞΟΔΑ+ΟΜ 2'!H120</f>
        <v/>
      </c>
      <c r="M14" s="53">
        <f>L14/$L$7</f>
        <v/>
      </c>
      <c r="N14" s="54">
        <f>L14+'2026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'2026_ΕΣΟΔΑ'!H9</f>
        <v/>
      </c>
      <c r="E15" s="53">
        <f>D15/$D$7</f>
        <v/>
      </c>
      <c r="F15" s="54">
        <f>D15+'2026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H15+'2026 Μάιος'!J15</f>
        <v/>
      </c>
      <c r="K15" s="53">
        <f>J15/$J$7</f>
        <v/>
      </c>
      <c r="L15" s="89">
        <f>'2024_60-69 ΕΞΟΔΑ+ΟΜ 2'!H121</f>
        <v/>
      </c>
      <c r="M15" s="53">
        <f>L15/$L$7</f>
        <v/>
      </c>
      <c r="N15" s="54">
        <f>L15+'2026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'2026_ΕΣΟΔΑ'!H10</f>
        <v/>
      </c>
      <c r="E16" s="53">
        <f>D16/$D$7</f>
        <v/>
      </c>
      <c r="F16" s="54">
        <f>D16+'2026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H16+'2026 Μάιος'!J16</f>
        <v/>
      </c>
      <c r="K16" s="53">
        <f>J16/$J$7</f>
        <v/>
      </c>
      <c r="L16" s="89">
        <f>'2024_60-69 ΕΞΟΔΑ+ΟΜ 2'!H122</f>
        <v/>
      </c>
      <c r="M16" s="53">
        <f>L16/$L$7</f>
        <v/>
      </c>
      <c r="N16" s="54">
        <f>L16+'2026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'2026_ΕΣΟΔΑ'!H11</f>
        <v/>
      </c>
      <c r="E17" s="53">
        <f>D17/$D$7</f>
        <v/>
      </c>
      <c r="F17" s="54">
        <f>D17+'2026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H17+'2026 Μάιος'!J17</f>
        <v/>
      </c>
      <c r="K17" s="53">
        <f>J17/$J$7</f>
        <v/>
      </c>
      <c r="L17" s="89">
        <f>'2024_60-69 ΕΞΟΔΑ+ΟΜ 2'!H123</f>
        <v/>
      </c>
      <c r="M17" s="53">
        <f>L17/$L$7</f>
        <v/>
      </c>
      <c r="N17" s="54">
        <f>L17+'2026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'2026_ΕΣΟΔΑ'!H12</f>
        <v/>
      </c>
      <c r="E18" s="53">
        <f>D18/$D$7</f>
        <v/>
      </c>
      <c r="F18" s="54">
        <f>D18+'2026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H18+'2026 Μάιος'!J18</f>
        <v/>
      </c>
      <c r="K18" s="53">
        <f>J18/$J$7</f>
        <v/>
      </c>
      <c r="L18" s="89">
        <f>'2024_60-69 ΕΞΟΔΑ+ΟΜ 2'!H124</f>
        <v/>
      </c>
      <c r="M18" s="53">
        <f>L18/$L$7</f>
        <v/>
      </c>
      <c r="N18" s="54">
        <f>L18+'2026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'2026_ΕΣΟΔΑ'!H13</f>
        <v/>
      </c>
      <c r="E19" s="53">
        <f>D19/$D$7</f>
        <v/>
      </c>
      <c r="F19" s="54">
        <f>D19+'2026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H19+'2026 Μάιος'!J19</f>
        <v/>
      </c>
      <c r="K19" s="53">
        <f>J19/$J$7</f>
        <v/>
      </c>
      <c r="L19" s="89">
        <f>'2024_60-69 ΕΞΟΔΑ+ΟΜ 2'!H125</f>
        <v/>
      </c>
      <c r="M19" s="53">
        <f>L19/$L$7</f>
        <v/>
      </c>
      <c r="N19" s="54">
        <f>L19+'2026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'2026_ΕΣΟΔΑ'!H14</f>
        <v/>
      </c>
      <c r="E20" s="53">
        <f>D20/$D$7</f>
        <v/>
      </c>
      <c r="F20" s="54">
        <f>D20+'2026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H20+'2026 Μάιος'!J20</f>
        <v/>
      </c>
      <c r="K20" s="53">
        <f>J20/$J$7</f>
        <v/>
      </c>
      <c r="L20" s="89">
        <f>'2024_60-69 ΕΞΟΔΑ+ΟΜ 2'!H126</f>
        <v/>
      </c>
      <c r="M20" s="53">
        <f>L20/$L$7</f>
        <v/>
      </c>
      <c r="N20" s="54">
        <f>L20+'2026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'2026_ΕΣΟΔΑ'!H15</f>
        <v/>
      </c>
      <c r="E21" s="53">
        <f>D21/$D$7</f>
        <v/>
      </c>
      <c r="F21" s="54">
        <f>D21+'2026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H21+'2026 Μάιος'!J21</f>
        <v/>
      </c>
      <c r="K21" s="53">
        <f>J21/$J$7</f>
        <v/>
      </c>
      <c r="L21" s="89">
        <f>'2024_60-69 ΕΞΟΔΑ+ΟΜ 2'!H127</f>
        <v/>
      </c>
      <c r="M21" s="53">
        <f>L21/$L$7</f>
        <v/>
      </c>
      <c r="N21" s="54">
        <f>L21+'2026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'2026_ΕΣΟΔΑ'!H16</f>
        <v/>
      </c>
      <c r="E22" s="53">
        <f>D22/$D$7</f>
        <v/>
      </c>
      <c r="F22" s="54">
        <f>D22+'2026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H22+'2026 Μάιος'!J22</f>
        <v/>
      </c>
      <c r="K22" s="53">
        <f>J22/$J$7</f>
        <v/>
      </c>
      <c r="L22" s="89">
        <f>'2024_60-69 ΕΞΟΔΑ+ΟΜ 2'!H128</f>
        <v/>
      </c>
      <c r="M22" s="53">
        <f>L22/$L$7</f>
        <v/>
      </c>
      <c r="N22" s="54">
        <f>L22+'2026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'2026_ΕΣΟΔΑ'!H17</f>
        <v/>
      </c>
      <c r="E23" s="53">
        <f>D23/$D$7</f>
        <v/>
      </c>
      <c r="F23" s="54">
        <f>D23+'2026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H23+'2026 Μάιος'!J23</f>
        <v/>
      </c>
      <c r="K23" s="53">
        <f>J23/$J$7</f>
        <v/>
      </c>
      <c r="L23" s="89">
        <f>'2024_60-69 ΕΞΟΔΑ+ΟΜ 2'!H129</f>
        <v/>
      </c>
      <c r="M23" s="53">
        <f>L23/$L$7</f>
        <v/>
      </c>
      <c r="N23" s="54">
        <f>L23+'2026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'2026_ΕΣΟΔΑ'!H19</f>
        <v/>
      </c>
      <c r="E25" s="53">
        <f>D25/$D$7</f>
        <v/>
      </c>
      <c r="F25" s="54">
        <f>D25+'2026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H25+'2026 Μάιος'!J25</f>
        <v/>
      </c>
      <c r="K25" s="53">
        <f>J25/$J$7</f>
        <v/>
      </c>
      <c r="L25" s="89">
        <f>'2024_60-69 ΕΞΟΔΑ+ΟΜ 2'!H130</f>
        <v/>
      </c>
      <c r="M25" s="53">
        <f>L25/$L$7</f>
        <v/>
      </c>
      <c r="N25" s="54">
        <f>L25+'2026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'2026_ΕΣΟΔΑ'!H20</f>
        <v/>
      </c>
      <c r="E26" s="53">
        <f>D26/$D$7</f>
        <v/>
      </c>
      <c r="F26" s="54">
        <f>D26+'2026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H26+'2026 Μάιος'!J26</f>
        <v/>
      </c>
      <c r="K26" s="53">
        <f>J26/$J$7</f>
        <v/>
      </c>
      <c r="L26" s="89">
        <f>'2024_60-69 ΕΞΟΔΑ+ΟΜ 2'!H131</f>
        <v/>
      </c>
      <c r="M26" s="53">
        <f>L26/$L$7</f>
        <v/>
      </c>
      <c r="N26" s="54">
        <f>L26+'2026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'2026_ΕΣΟΔΑ'!H21</f>
        <v/>
      </c>
      <c r="E27" s="53">
        <f>D27/$D$7</f>
        <v/>
      </c>
      <c r="F27" s="54">
        <f>D27+'2026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H27+'2026 Μάιος'!J27</f>
        <v/>
      </c>
      <c r="K27" s="53">
        <f>J27/$J$7</f>
        <v/>
      </c>
      <c r="L27" s="89">
        <f>'2024_60-69 ΕΞΟΔΑ+ΟΜ 2'!H132</f>
        <v/>
      </c>
      <c r="M27" s="53">
        <f>L27/$L$7</f>
        <v/>
      </c>
      <c r="N27" s="54">
        <f>L27+'2026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'2026_ΕΣΟΔΑ'!H22</f>
        <v/>
      </c>
      <c r="E28" s="53">
        <f>D28/$D$7</f>
        <v/>
      </c>
      <c r="F28" s="54">
        <f>D28+'2026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H28+'2026 Μάιος'!J28</f>
        <v/>
      </c>
      <c r="K28" s="53">
        <f>J28/$J$7</f>
        <v/>
      </c>
      <c r="L28" s="89">
        <f>'2024_60-69 ΕΞΟΔΑ+ΟΜ 2'!H133</f>
        <v/>
      </c>
      <c r="M28" s="53">
        <f>L28/$L$7</f>
        <v/>
      </c>
      <c r="N28" s="54">
        <f>L28+'2026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'2026_ΕΣΟΔΑ'!H23</f>
        <v/>
      </c>
      <c r="E29" s="53">
        <f>D29/$D$7</f>
        <v/>
      </c>
      <c r="F29" s="54">
        <f>D29+'2026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H29+'2026 Μάιος'!J29</f>
        <v/>
      </c>
      <c r="K29" s="53">
        <f>J29/$J$7</f>
        <v/>
      </c>
      <c r="L29" s="89">
        <f>'2024_60-69 ΕΞΟΔΑ+ΟΜ 2'!H134</f>
        <v/>
      </c>
      <c r="M29" s="53">
        <f>L29/$L$7</f>
        <v/>
      </c>
      <c r="N29" s="54">
        <f>L29+'2026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'2026_ΕΣΟΔΑ'!H24</f>
        <v/>
      </c>
      <c r="E30" s="53">
        <f>D30/$D$7</f>
        <v/>
      </c>
      <c r="F30" s="54">
        <f>D30+'2026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H30+'2026 Μάιος'!J30</f>
        <v/>
      </c>
      <c r="K30" s="53">
        <f>J30/$J$7</f>
        <v/>
      </c>
      <c r="L30" s="89">
        <f>'2024_60-69 ΕΞΟΔΑ+ΟΜ 2'!H135</f>
        <v/>
      </c>
      <c r="M30" s="53">
        <f>L30/$L$7</f>
        <v/>
      </c>
      <c r="N30" s="54">
        <f>L30+'2026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'2026_ΕΣΟΔΑ'!H25</f>
        <v/>
      </c>
      <c r="E31" s="53">
        <f>D31/$D$7</f>
        <v/>
      </c>
      <c r="F31" s="54">
        <f>D31+'2026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H31+'2026 Μάιος'!J31</f>
        <v/>
      </c>
      <c r="K31" s="53">
        <f>J31/$J$7</f>
        <v/>
      </c>
      <c r="L31" s="89">
        <f>'2024_60-69 ΕΞΟΔΑ+ΟΜ 2'!H136</f>
        <v/>
      </c>
      <c r="M31" s="53">
        <f>L31/$L$7</f>
        <v/>
      </c>
      <c r="N31" s="54">
        <f>L31+'2026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'2026_ΕΣΟΔΑ'!H26</f>
        <v/>
      </c>
      <c r="E32" s="53">
        <f>D32/$D$7</f>
        <v/>
      </c>
      <c r="F32" s="54">
        <f>D32+'2026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H32+'2026 Μάιος'!J32</f>
        <v/>
      </c>
      <c r="K32" s="53">
        <f>J32/$J$7</f>
        <v/>
      </c>
      <c r="L32" s="89">
        <f>'2024_60-69 ΕΞΟΔΑ+ΟΜ 2'!H137</f>
        <v/>
      </c>
      <c r="M32" s="53">
        <f>L32/$L$7</f>
        <v/>
      </c>
      <c r="N32" s="54">
        <f>L32+'2026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'2026_ΕΣΟΔΑ'!H27</f>
        <v/>
      </c>
      <c r="E33" s="53">
        <f>D33/$D$7</f>
        <v/>
      </c>
      <c r="F33" s="54">
        <f>D33+'2026 Μάιος'!F33</f>
        <v/>
      </c>
      <c r="G33" s="53">
        <f>F33/$F$7</f>
        <v/>
      </c>
      <c r="H33" s="54" t="n"/>
      <c r="I33" s="53">
        <f>H33/$H$7</f>
        <v/>
      </c>
      <c r="J33" s="54">
        <f>H33+'2026 Μάιος'!J33</f>
        <v/>
      </c>
      <c r="K33" s="53">
        <f>J33/$J$7</f>
        <v/>
      </c>
      <c r="L33" s="89">
        <f>'2024_60-69 ΕΞΟΔΑ+ΟΜ 2'!H138</f>
        <v/>
      </c>
      <c r="M33" s="53">
        <f>L33/$L$7</f>
        <v/>
      </c>
      <c r="N33" s="54">
        <f>L33+'2026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'2026_ΕΣΟΔΑ'!H28</f>
        <v/>
      </c>
      <c r="E34" s="53">
        <f>D34/$D$7</f>
        <v/>
      </c>
      <c r="F34" s="54">
        <f>D34+'2026 Μάιος'!F34</f>
        <v/>
      </c>
      <c r="G34" s="53">
        <f>F34/$F$7</f>
        <v/>
      </c>
      <c r="H34" s="54" t="n"/>
      <c r="I34" s="53">
        <f>H34/$H$7</f>
        <v/>
      </c>
      <c r="J34" s="54">
        <f>H34+'2026 Μάιος'!J34</f>
        <v/>
      </c>
      <c r="K34" s="53">
        <f>J34/$J$7</f>
        <v/>
      </c>
      <c r="L34" s="89">
        <f>'2024_60-69 ΕΞΟΔΑ+ΟΜ 2'!H139</f>
        <v/>
      </c>
      <c r="M34" s="53">
        <f>L34/$L$7</f>
        <v/>
      </c>
      <c r="N34" s="54">
        <f>L34+'2026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'2026_ΕΣΟΔΑ'!H29</f>
        <v/>
      </c>
      <c r="E35" s="53">
        <f>D35/$D$7</f>
        <v/>
      </c>
      <c r="F35" s="54">
        <f>D35+'2026 Μάιος'!F35</f>
        <v/>
      </c>
      <c r="G35" s="53">
        <f>F35/$F$7</f>
        <v/>
      </c>
      <c r="H35" s="54" t="n"/>
      <c r="I35" s="53">
        <f>H35/$H$7</f>
        <v/>
      </c>
      <c r="J35" s="54">
        <f>H35+'2026 Μάιος'!J35</f>
        <v/>
      </c>
      <c r="K35" s="53">
        <f>J35/$J$7</f>
        <v/>
      </c>
      <c r="L35" s="89">
        <f>'2024_60-69 ΕΞΟΔΑ+ΟΜ 2'!H140</f>
        <v/>
      </c>
      <c r="M35" s="53">
        <f>L35/$L$7</f>
        <v/>
      </c>
      <c r="N35" s="54">
        <f>L35+'2026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'2026_ΕΣΟΔΑ'!H30</f>
        <v/>
      </c>
      <c r="E36" s="53">
        <f>D36/$D$7</f>
        <v/>
      </c>
      <c r="F36" s="54">
        <f>D36+'2026 Μάιος'!F36</f>
        <v/>
      </c>
      <c r="G36" s="53">
        <f>F36/$F$7</f>
        <v/>
      </c>
      <c r="H36" s="54" t="n"/>
      <c r="I36" s="53">
        <f>H36/$H$7</f>
        <v/>
      </c>
      <c r="J36" s="54">
        <f>H36+'2026 Μάιος'!J36</f>
        <v/>
      </c>
      <c r="K36" s="53">
        <f>J36/$J$7</f>
        <v/>
      </c>
      <c r="L36" s="89">
        <f>'2024_60-69 ΕΞΟΔΑ+ΟΜ 2'!H141</f>
        <v/>
      </c>
      <c r="M36" s="53">
        <f>L36/$L$7</f>
        <v/>
      </c>
      <c r="N36" s="54">
        <f>L36+'2026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'2026_ΕΣΟΔΑ'!H31</f>
        <v/>
      </c>
      <c r="E37" s="53">
        <f>D37/$D$7</f>
        <v/>
      </c>
      <c r="F37" s="54">
        <f>D37+'2026 Μάιος'!F37</f>
        <v/>
      </c>
      <c r="G37" s="53">
        <f>F37/$F$7</f>
        <v/>
      </c>
      <c r="H37" s="54" t="n"/>
      <c r="I37" s="53">
        <f>H37/$H$7</f>
        <v/>
      </c>
      <c r="J37" s="54">
        <f>H37+'2026 Μάιος'!J37</f>
        <v/>
      </c>
      <c r="K37" s="53">
        <f>J37/$J$7</f>
        <v/>
      </c>
      <c r="L37" s="89">
        <f>'2024_60-69 ΕΞΟΔΑ+ΟΜ 2'!H142</f>
        <v/>
      </c>
      <c r="M37" s="53">
        <f>L37/$L$7</f>
        <v/>
      </c>
      <c r="N37" s="54">
        <f>L37+'2026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'2026_ΕΣΟΔΑ'!H32</f>
        <v/>
      </c>
      <c r="E38" s="53">
        <f>D38/$D$7</f>
        <v/>
      </c>
      <c r="F38" s="54">
        <f>D38+'2026 Μάιος'!F38</f>
        <v/>
      </c>
      <c r="G38" s="53">
        <f>F38/$F$7</f>
        <v/>
      </c>
      <c r="H38" s="54" t="n"/>
      <c r="I38" s="53">
        <f>H38/$H$7</f>
        <v/>
      </c>
      <c r="J38" s="54">
        <f>H38+'2026 Μάιος'!J38</f>
        <v/>
      </c>
      <c r="K38" s="53">
        <f>J38/$J$7</f>
        <v/>
      </c>
      <c r="L38" s="89">
        <f>'2024_60-69 ΕΞΟΔΑ+ΟΜ 2'!H143</f>
        <v/>
      </c>
      <c r="M38" s="53">
        <f>L38/$L$7</f>
        <v/>
      </c>
      <c r="N38" s="54">
        <f>L38+'2026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'2026_ΕΣΟΔΑ'!H33</f>
        <v/>
      </c>
      <c r="E39" s="81" t="n"/>
      <c r="F39" s="64">
        <f>'2026_ΕΣΟΔΑ'!H35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ΑΝΤΙΣΤΟΙΧΙΣΗ!$F$111</f>
        <v/>
      </c>
      <c r="E42" s="551" t="n"/>
      <c r="F42" s="550" t="n"/>
      <c r="G42" s="107">
        <f>ΑΝΤΙΣΤΟΙΧΙΣΗ!$D$34</f>
        <v/>
      </c>
      <c r="H42" s="549">
        <f>ΑΝΤΙΣΤΟΙΧΙΣΗ!$F$111</f>
        <v/>
      </c>
      <c r="I42" s="551" t="n"/>
      <c r="J42" s="550" t="n"/>
      <c r="K42" s="107">
        <f>ΑΝΤΙΣΤΟΙΧΙΣΗ!$D$34</f>
        <v/>
      </c>
      <c r="L42" s="549">
        <f>ΑΝΤΙΣΤΟΙΧΙΣΗ!$F$125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2'!I4</f>
        <v/>
      </c>
      <c r="E45" s="75">
        <f>D45/$D$44</f>
        <v/>
      </c>
      <c r="F45" s="65">
        <f>D45+'2026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H45+'2026 Μάιος'!J45</f>
        <v/>
      </c>
      <c r="K45" s="404">
        <f>J45/$J$44</f>
        <v/>
      </c>
      <c r="L45" s="56">
        <f>'2024_60-69 ΕΞΟΔΑ+ΟΜ 2'!I4</f>
        <v/>
      </c>
      <c r="M45" s="75">
        <f>L45/$L$44</f>
        <v/>
      </c>
      <c r="N45" s="65">
        <f>L45+'2026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2'!I5</f>
        <v/>
      </c>
      <c r="E46" s="75">
        <f>D46/$D$44</f>
        <v/>
      </c>
      <c r="F46" s="65">
        <f>D46+'2026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H46+'2026 Μάιος'!J46</f>
        <v/>
      </c>
      <c r="K46" s="404">
        <f>J46/$J$44</f>
        <v/>
      </c>
      <c r="L46" s="56">
        <f>'2024_60-69 ΕΞΟΔΑ+ΟΜ 2'!I5</f>
        <v/>
      </c>
      <c r="M46" s="75">
        <f>L46/$L$44</f>
        <v/>
      </c>
      <c r="N46" s="65">
        <f>L46+'2026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2'!I6</f>
        <v/>
      </c>
      <c r="E47" s="75">
        <f>D47/$D$44</f>
        <v/>
      </c>
      <c r="F47" s="65">
        <f>D47+'2026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H47+'2026 Μάιος'!J47</f>
        <v/>
      </c>
      <c r="K47" s="404">
        <f>J47/$J$44</f>
        <v/>
      </c>
      <c r="L47" s="56">
        <f>'2024_60-69 ΕΞΟΔΑ+ΟΜ 2'!I6</f>
        <v/>
      </c>
      <c r="M47" s="75">
        <f>L47/$L$44</f>
        <v/>
      </c>
      <c r="N47" s="65">
        <f>L47+'2026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2'!I7</f>
        <v/>
      </c>
      <c r="E48" s="75">
        <f>D48/$D$85</f>
        <v/>
      </c>
      <c r="F48" s="114">
        <f>'2026 Μάιος'!F48+'2026 Ιούνιος'!D48</f>
        <v/>
      </c>
      <c r="G48" s="75">
        <f>F48/$F$85</f>
        <v/>
      </c>
      <c r="H48" s="56">
        <f>ΠΡΟΥΠΟΛΟΓΙΣΜΟΣ_ΕΞΟΔΑ!I167</f>
        <v/>
      </c>
      <c r="I48" s="401">
        <f>H48/$H$85</f>
        <v/>
      </c>
      <c r="J48" s="402">
        <f>H48+'2026 Μάιος'!J48</f>
        <v/>
      </c>
      <c r="K48" s="403">
        <f>J48/$J$85</f>
        <v/>
      </c>
      <c r="L48" s="114">
        <f>'2024_60-69 ΕΞΟΔΑ+ΟΜ 2'!I35</f>
        <v/>
      </c>
      <c r="M48" s="75">
        <f>L48/$L$85</f>
        <v/>
      </c>
      <c r="N48" s="65">
        <f>L48+'2026 Μάιος'!N48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8.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2'!I8</f>
        <v/>
      </c>
      <c r="E49" s="75">
        <f>D49/$D$85</f>
        <v/>
      </c>
      <c r="F49" s="114">
        <f>'2026 Μάιος'!F49+'2026 Ιούνιος'!D49</f>
        <v/>
      </c>
      <c r="G49" s="75">
        <f>F49/$F$85</f>
        <v/>
      </c>
      <c r="H49" s="56">
        <f>ΠΡΟΥΠΟΛΟΓΙΣΜΟΣ_ΕΞΟΔΑ!I172</f>
        <v/>
      </c>
      <c r="I49" s="401">
        <f>H49/$H$85</f>
        <v/>
      </c>
      <c r="J49" s="402">
        <f>H49+'2026 Μάιος'!J49</f>
        <v/>
      </c>
      <c r="K49" s="403">
        <f>J49/$J$85</f>
        <v/>
      </c>
      <c r="L49" s="114">
        <f>'2024_60-69 ΕΞΟΔΑ+ΟΜ 2'!I36</f>
        <v/>
      </c>
      <c r="M49" s="75">
        <f>L49/$L$85</f>
        <v/>
      </c>
      <c r="N49" s="65">
        <f>L49+'2026 Μάιος'!N49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2'!I9</f>
        <v/>
      </c>
      <c r="E50" s="75">
        <f>D50/$D$44</f>
        <v/>
      </c>
      <c r="F50" s="65">
        <f>D50+'2026 Μάιος'!F50</f>
        <v/>
      </c>
      <c r="G50" s="75">
        <f>F50/$F$44</f>
        <v/>
      </c>
      <c r="H50" s="56">
        <f>ΠΡΟΥΠΟΛΟΓΙΣΜΟΣ_ΕΞΟΔΑ!I23</f>
        <v/>
      </c>
      <c r="I50" s="400">
        <f>H50/$H$44</f>
        <v/>
      </c>
      <c r="J50" s="65">
        <f>H50+'2026 Μάιος'!J50</f>
        <v/>
      </c>
      <c r="K50" s="404">
        <f>J50/$J$44</f>
        <v/>
      </c>
      <c r="L50" s="56">
        <f>'2024_60-69 ΕΞΟΔΑ+ΟΜ 2'!I7</f>
        <v/>
      </c>
      <c r="M50" s="75">
        <f>L50/$L$44</f>
        <v/>
      </c>
      <c r="N50" s="65">
        <f>L50+'2026 Μάιος'!N50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2'!I10</f>
        <v/>
      </c>
      <c r="E51" s="75">
        <f>D51/$D$44</f>
        <v/>
      </c>
      <c r="F51" s="65">
        <f>D51+'2026 Μάιος'!F51</f>
        <v/>
      </c>
      <c r="G51" s="75">
        <f>F51/$F$44</f>
        <v/>
      </c>
      <c r="H51" s="56">
        <f>ΠΡΟΥΠΟΛΟΓΙΣΜΟΣ_ΕΞΟΔΑ!I28</f>
        <v/>
      </c>
      <c r="I51" s="400">
        <f>H51/$H$44</f>
        <v/>
      </c>
      <c r="J51" s="65">
        <f>H51+'2026 Μάιος'!J51</f>
        <v/>
      </c>
      <c r="K51" s="404">
        <f>J51/$J$44</f>
        <v/>
      </c>
      <c r="L51" s="56">
        <f>'2024_60-69 ΕΞΟΔΑ+ΟΜ 2'!I8</f>
        <v/>
      </c>
      <c r="M51" s="75">
        <f>L51/$L$44</f>
        <v/>
      </c>
      <c r="N51" s="65">
        <f>L51+'2026 Μάιος'!N51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2'!I11</f>
        <v/>
      </c>
      <c r="E52" s="75">
        <f>D52/$D$44</f>
        <v/>
      </c>
      <c r="F52" s="65">
        <f>D52+'2026 Μάιος'!F52</f>
        <v/>
      </c>
      <c r="G52" s="75">
        <f>F52/$F$44</f>
        <v/>
      </c>
      <c r="H52" s="56">
        <f>ΠΡΟΥΠΟΛΟΓΙΣΜΟΣ_ΕΞΟΔΑ!I33</f>
        <v/>
      </c>
      <c r="I52" s="400">
        <f>H52/$H$44</f>
        <v/>
      </c>
      <c r="J52" s="65">
        <f>H52+'2026 Μάιος'!J52</f>
        <v/>
      </c>
      <c r="K52" s="404">
        <f>J52/$J$44</f>
        <v/>
      </c>
      <c r="L52" s="56">
        <f>'2024_60-69 ΕΞΟΔΑ+ΟΜ 2'!I9</f>
        <v/>
      </c>
      <c r="M52" s="75">
        <f>L52/$L$44</f>
        <v/>
      </c>
      <c r="N52" s="65">
        <f>L52+'2026 Μάιος'!N52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5.2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2'!I12</f>
        <v/>
      </c>
      <c r="E53" s="75">
        <f>D53/$D$85</f>
        <v/>
      </c>
      <c r="F53" s="114">
        <f>'2026 Μάιος'!F53+'2026 Ιούνιος'!D53</f>
        <v/>
      </c>
      <c r="G53" s="75">
        <f>F53/$F$85</f>
        <v/>
      </c>
      <c r="H53" s="56">
        <f>ΠΡΟΥΠΟΛΟΓΙΣΜΟΣ_ΕΞΟΔΑ!I187</f>
        <v/>
      </c>
      <c r="I53" s="401">
        <f>H53/$H$85</f>
        <v/>
      </c>
      <c r="J53" s="402">
        <f>H53+'2026 Μάιος'!J53</f>
        <v/>
      </c>
      <c r="K53" s="403">
        <f>J53/$J$85</f>
        <v/>
      </c>
      <c r="L53" s="114">
        <f>'2024_60-69 ΕΞΟΔΑ+ΟΜ 2'!I39</f>
        <v/>
      </c>
      <c r="M53" s="75">
        <f>L53/$L$85</f>
        <v/>
      </c>
      <c r="N53" s="65">
        <f>L53+'2026 Μάιος'!N53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1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2'!I13</f>
        <v/>
      </c>
      <c r="E54" s="75">
        <f>D54/$D$85</f>
        <v/>
      </c>
      <c r="F54" s="114">
        <f>'2026 Μάιος'!F54+'2026 Ιούνιος'!D54</f>
        <v/>
      </c>
      <c r="G54" s="75">
        <f>F54/$F$85</f>
        <v/>
      </c>
      <c r="H54" s="56">
        <f>ΠΡΟΥΠΟΛΟΓΙΣΜΟΣ_ΕΞΟΔΑ!I192</f>
        <v/>
      </c>
      <c r="I54" s="401">
        <f>H54/$H$85</f>
        <v/>
      </c>
      <c r="J54" s="402">
        <f>H54+'2026 Μάιος'!J54</f>
        <v/>
      </c>
      <c r="K54" s="403">
        <f>J54/$J$85</f>
        <v/>
      </c>
      <c r="L54" s="114">
        <f>'2024_60-69 ΕΞΟΔΑ+ΟΜ 2'!I40</f>
        <v/>
      </c>
      <c r="M54" s="75">
        <f>L54/$L$85</f>
        <v/>
      </c>
      <c r="N54" s="65">
        <f>L54+'2026 Μάιος'!N54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2'!I14</f>
        <v/>
      </c>
      <c r="E55" s="75">
        <f>D55/$D$44</f>
        <v/>
      </c>
      <c r="F55" s="65">
        <f>D55+'2026 Μάιος'!F55</f>
        <v/>
      </c>
      <c r="G55" s="75">
        <f>F55/$F$44</f>
        <v/>
      </c>
      <c r="H55" s="56">
        <f>ΠΡΟΥΠΟΛΟΓΙΣΜΟΣ_ΕΞΟΔΑ!I38</f>
        <v/>
      </c>
      <c r="I55" s="400">
        <f>H55/$H$44</f>
        <v/>
      </c>
      <c r="J55" s="65">
        <f>H55+'2026 Μάιος'!J55</f>
        <v/>
      </c>
      <c r="K55" s="404">
        <f>J55/$J$44</f>
        <v/>
      </c>
      <c r="L55" s="56">
        <f>'2024_60-69 ΕΞΟΔΑ+ΟΜ 2'!I10</f>
        <v/>
      </c>
      <c r="M55" s="75">
        <f>L55/$L$44</f>
        <v/>
      </c>
      <c r="N55" s="65">
        <f>L55+'2026 Μάιος'!N55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2'!I15</f>
        <v/>
      </c>
      <c r="E56" s="75">
        <f>D56/$D$44</f>
        <v/>
      </c>
      <c r="F56" s="65">
        <f>D56+'2026 Μάιος'!F56</f>
        <v/>
      </c>
      <c r="G56" s="75">
        <f>F56/$F$44</f>
        <v/>
      </c>
      <c r="H56" s="56">
        <f>ΠΡΟΥΠΟΛΟΓΙΣΜΟΣ_ΕΞΟΔΑ!I43</f>
        <v/>
      </c>
      <c r="I56" s="400">
        <f>H56/$H$44</f>
        <v/>
      </c>
      <c r="J56" s="65">
        <f>H56+'2026 Μάιος'!J56</f>
        <v/>
      </c>
      <c r="K56" s="404">
        <f>J56/$J$44</f>
        <v/>
      </c>
      <c r="L56" s="56">
        <f>'2024_60-69 ΕΞΟΔΑ+ΟΜ 2'!I11</f>
        <v/>
      </c>
      <c r="M56" s="75">
        <f>L56/$L$44</f>
        <v/>
      </c>
      <c r="N56" s="65">
        <f>L56+'2026 Μάιος'!N56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2'!I16</f>
        <v/>
      </c>
      <c r="E57" s="75">
        <f>D57/$D$44</f>
        <v/>
      </c>
      <c r="F57" s="65">
        <f>D57+'2026 Μάιος'!F57</f>
        <v/>
      </c>
      <c r="G57" s="75">
        <f>F57/$F$44</f>
        <v/>
      </c>
      <c r="H57" s="56">
        <f>ΠΡΟΥΠΟΛΟΓΙΣΜΟΣ_ΕΞΟΔΑ!I48</f>
        <v/>
      </c>
      <c r="I57" s="400">
        <f>H57/$H$44</f>
        <v/>
      </c>
      <c r="J57" s="65">
        <f>H57+'2026 Μάιος'!J57</f>
        <v/>
      </c>
      <c r="K57" s="404">
        <f>J57/$J$44</f>
        <v/>
      </c>
      <c r="L57" s="56">
        <f>'2024_60-69 ΕΞΟΔΑ+ΟΜ 2'!I12</f>
        <v/>
      </c>
      <c r="M57" s="75">
        <f>L57/$L$44</f>
        <v/>
      </c>
      <c r="N57" s="65">
        <f>L57+'2026 Μάιος'!N57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2'!I17</f>
        <v/>
      </c>
      <c r="E58" s="75">
        <f>D58/$D$44</f>
        <v/>
      </c>
      <c r="F58" s="65">
        <f>D58+'2026 Μάιος'!F58</f>
        <v/>
      </c>
      <c r="G58" s="75">
        <f>F58/$F$44</f>
        <v/>
      </c>
      <c r="H58" s="56">
        <f>ΠΡΟΥΠΟΛΟΓΙΣΜΟΣ_ΕΞΟΔΑ!I53</f>
        <v/>
      </c>
      <c r="I58" s="400">
        <f>H58/$H$44</f>
        <v/>
      </c>
      <c r="J58" s="65">
        <f>H58+'2026 Μάιος'!J58</f>
        <v/>
      </c>
      <c r="K58" s="404">
        <f>J58/$J$44</f>
        <v/>
      </c>
      <c r="L58" s="56">
        <f>'2024_60-69 ΕΞΟΔΑ+ΟΜ 2'!I13</f>
        <v/>
      </c>
      <c r="M58" s="75">
        <f>L58/$L$44</f>
        <v/>
      </c>
      <c r="N58" s="65">
        <f>L58+'2026 Μάιος'!N58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2'!I18</f>
        <v/>
      </c>
      <c r="E59" s="75">
        <f>D59/$D$44</f>
        <v/>
      </c>
      <c r="F59" s="65">
        <f>D59+'2026 Μάιος'!F59</f>
        <v/>
      </c>
      <c r="G59" s="75">
        <f>F59/$F$44</f>
        <v/>
      </c>
      <c r="H59" s="56">
        <f>ΠΡΟΥΠΟΛΟΓΙΣΜΟΣ_ΕΞΟΔΑ!I58</f>
        <v/>
      </c>
      <c r="I59" s="400">
        <f>H59/$H$44</f>
        <v/>
      </c>
      <c r="J59" s="65">
        <f>H59+'2026 Μάιος'!J59</f>
        <v/>
      </c>
      <c r="K59" s="404">
        <f>J59/$J$44</f>
        <v/>
      </c>
      <c r="L59" s="56">
        <f>'2024_60-69 ΕΞΟΔΑ+ΟΜ 2'!I14</f>
        <v/>
      </c>
      <c r="M59" s="75">
        <f>L59/$L$44</f>
        <v/>
      </c>
      <c r="N59" s="65">
        <f>L59+'2026 Μάιος'!N59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2'!I19</f>
        <v/>
      </c>
      <c r="E60" s="75">
        <f>D60/$D$44</f>
        <v/>
      </c>
      <c r="F60" s="65">
        <f>D60+'2026 Μάιος'!F60</f>
        <v/>
      </c>
      <c r="G60" s="75">
        <f>F60/$F$44</f>
        <v/>
      </c>
      <c r="H60" s="56">
        <f>ΠΡΟΥΠΟΛΟΓΙΣΜΟΣ_ΕΞΟΔΑ!I63</f>
        <v/>
      </c>
      <c r="I60" s="400">
        <f>H60/$H$44</f>
        <v/>
      </c>
      <c r="J60" s="65">
        <f>H60+'2026 Μάιος'!J60</f>
        <v/>
      </c>
      <c r="K60" s="404">
        <f>J60/$J$44</f>
        <v/>
      </c>
      <c r="L60" s="56">
        <f>'2024_60-69 ΕΞΟΔΑ+ΟΜ 2'!I15</f>
        <v/>
      </c>
      <c r="M60" s="75">
        <f>L60/$L$44</f>
        <v/>
      </c>
      <c r="N60" s="65">
        <f>L60+'2026 Μάιος'!N60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2'!I20</f>
        <v/>
      </c>
      <c r="E61" s="75">
        <f>D61/$D$44</f>
        <v/>
      </c>
      <c r="F61" s="65">
        <f>D61+'2026 Μάιος'!F61</f>
        <v/>
      </c>
      <c r="G61" s="75">
        <f>F61/$F$44</f>
        <v/>
      </c>
      <c r="H61" s="56">
        <f>ΠΡΟΥΠΟΛΟΓΙΣΜΟΣ_ΕΞΟΔΑ!I68</f>
        <v/>
      </c>
      <c r="I61" s="400">
        <f>H61/$H$44</f>
        <v/>
      </c>
      <c r="J61" s="65">
        <f>H61+'2026 Μάιος'!J61</f>
        <v/>
      </c>
      <c r="K61" s="404">
        <f>J61/$J$44</f>
        <v/>
      </c>
      <c r="L61" s="56">
        <f>'2024_60-69 ΕΞΟΔΑ+ΟΜ 2'!I16</f>
        <v/>
      </c>
      <c r="M61" s="75">
        <f>L61/$L$44</f>
        <v/>
      </c>
      <c r="N61" s="65">
        <f>L61+'2026 Μάιος'!N61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2'!I21</f>
        <v/>
      </c>
      <c r="E62" s="75">
        <f>D62/$D$44</f>
        <v/>
      </c>
      <c r="F62" s="65">
        <f>D62+'2026 Μάιος'!F62</f>
        <v/>
      </c>
      <c r="G62" s="75">
        <f>F62/$F$44</f>
        <v/>
      </c>
      <c r="H62" s="56">
        <f>ΠΡΟΥΠΟΛΟΓΙΣΜΟΣ_ΕΞΟΔΑ!I73</f>
        <v/>
      </c>
      <c r="I62" s="400">
        <f>H62/$H$44</f>
        <v/>
      </c>
      <c r="J62" s="65">
        <f>H62+'2026 Μάιος'!J62</f>
        <v/>
      </c>
      <c r="K62" s="404">
        <f>J62/$J$44</f>
        <v/>
      </c>
      <c r="L62" s="56">
        <f>'2024_60-69 ΕΞΟΔΑ+ΟΜ 2'!I17</f>
        <v/>
      </c>
      <c r="M62" s="75">
        <f>L62/$L$44</f>
        <v/>
      </c>
      <c r="N62" s="65">
        <f>L62+'2026 Μάιος'!N62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2'!I22</f>
        <v/>
      </c>
      <c r="E63" s="75">
        <f>D63/$D$44</f>
        <v/>
      </c>
      <c r="F63" s="65">
        <f>D63+'2026 Μάιος'!F63</f>
        <v/>
      </c>
      <c r="G63" s="75">
        <f>F63/$F$44</f>
        <v/>
      </c>
      <c r="H63" s="56">
        <f>ΠΡΟΥΠΟΛΟΓΙΣΜΟΣ_ΕΞΟΔΑ!I78</f>
        <v/>
      </c>
      <c r="I63" s="400">
        <f>H63/$H$44</f>
        <v/>
      </c>
      <c r="J63" s="65">
        <f>H63+'2026 Μάιος'!J63</f>
        <v/>
      </c>
      <c r="K63" s="404">
        <f>J63/$J$44</f>
        <v/>
      </c>
      <c r="L63" s="56">
        <f>'2024_60-69 ΕΞΟΔΑ+ΟΜ 2'!I18</f>
        <v/>
      </c>
      <c r="M63" s="75">
        <f>L63/$L$44</f>
        <v/>
      </c>
      <c r="N63" s="65">
        <f>L63+'2026 Μάιος'!N63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2'!I23</f>
        <v/>
      </c>
      <c r="E64" s="75">
        <f>D64/$D$44</f>
        <v/>
      </c>
      <c r="F64" s="65">
        <f>D64+'2026 Μάιος'!F64</f>
        <v/>
      </c>
      <c r="G64" s="75">
        <f>F64/$F$44</f>
        <v/>
      </c>
      <c r="H64" s="56">
        <f>ΠΡΟΥΠΟΛΟΓΙΣΜΟΣ_ΕΞΟΔΑ!I83</f>
        <v/>
      </c>
      <c r="I64" s="400">
        <f>H64/$H$44</f>
        <v/>
      </c>
      <c r="J64" s="65">
        <f>H64+'2026 Μάιος'!J64</f>
        <v/>
      </c>
      <c r="K64" s="404">
        <f>J64/$J$44</f>
        <v/>
      </c>
      <c r="L64" s="56">
        <f>'2024_60-69 ΕΞΟΔΑ+ΟΜ 2'!I19</f>
        <v/>
      </c>
      <c r="M64" s="75">
        <f>L64/$L$44</f>
        <v/>
      </c>
      <c r="N64" s="65">
        <f>L64+'2026 Μάιος'!N64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2'!I24</f>
        <v/>
      </c>
      <c r="E65" s="75">
        <f>D65/$D$44</f>
        <v/>
      </c>
      <c r="F65" s="65">
        <f>D65+'2026 Μάιος'!F65</f>
        <v/>
      </c>
      <c r="G65" s="75">
        <f>F65/$F$44</f>
        <v/>
      </c>
      <c r="H65" s="56">
        <f>ΠΡΟΥΠΟΛΟΓΙΣΜΟΣ_ΕΞΟΔΑ!I88</f>
        <v/>
      </c>
      <c r="I65" s="400">
        <f>H65/$H$44</f>
        <v/>
      </c>
      <c r="J65" s="65">
        <f>H65+'2026 Μάιος'!J65</f>
        <v/>
      </c>
      <c r="K65" s="404">
        <f>J65/$J$44</f>
        <v/>
      </c>
      <c r="L65" s="56">
        <f>'2024_60-69 ΕΞΟΔΑ+ΟΜ 2'!I20</f>
        <v/>
      </c>
      <c r="M65" s="75">
        <f>L65/$L$44</f>
        <v/>
      </c>
      <c r="N65" s="65">
        <f>L65+'2026 Μάιος'!N65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2'!I181</f>
        <v/>
      </c>
      <c r="E66" s="75">
        <f>D66/$D$44</f>
        <v/>
      </c>
      <c r="F66" s="65">
        <f>D66+'2026 Μάιος'!F66</f>
        <v/>
      </c>
      <c r="G66" s="75">
        <f>F66/$F$44</f>
        <v/>
      </c>
      <c r="H66" s="56">
        <f>ΠΡΟΥΠΟΛΟΓΙΣΜΟΣ_ΕΞΟΔΑ!I93</f>
        <v/>
      </c>
      <c r="I66" s="400">
        <f>H66/$H$44</f>
        <v/>
      </c>
      <c r="J66" s="65">
        <f>H66+'2026 Μάιος'!J66</f>
        <v/>
      </c>
      <c r="K66" s="404">
        <f>J66/$J$44</f>
        <v/>
      </c>
      <c r="L66" s="56">
        <f>'2024_60-69 ΕΞΟΔΑ+ΟΜ 2'!I21</f>
        <v/>
      </c>
      <c r="M66" s="75">
        <f>L66/$L$44</f>
        <v/>
      </c>
      <c r="N66" s="65">
        <f>L66+'2026 Μάιος'!N66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2'!I26</f>
        <v/>
      </c>
      <c r="E67" s="75">
        <f>D67/$D$44</f>
        <v/>
      </c>
      <c r="F67" s="65">
        <f>D67+'2026 Μάιος'!F67</f>
        <v/>
      </c>
      <c r="G67" s="75">
        <f>F67/$F$44</f>
        <v/>
      </c>
      <c r="H67" s="56">
        <f>ΠΡΟΥΠΟΛΟΓΙΣΜΟΣ_ΕΞΟΔΑ!I98</f>
        <v/>
      </c>
      <c r="I67" s="400">
        <f>H67/$H$44</f>
        <v/>
      </c>
      <c r="J67" s="65">
        <f>H67+'2026 Μάιος'!J67</f>
        <v/>
      </c>
      <c r="K67" s="404">
        <f>J67/$J$44</f>
        <v/>
      </c>
      <c r="L67" s="56">
        <f>'2024_60-69 ΕΞΟΔΑ+ΟΜ 2'!I22</f>
        <v/>
      </c>
      <c r="M67" s="75">
        <f>L67/$L$44</f>
        <v/>
      </c>
      <c r="N67" s="65">
        <f>L67+'2026 Μάιος'!N67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2'!I27</f>
        <v/>
      </c>
      <c r="E68" s="75">
        <f>D68/$D$44</f>
        <v/>
      </c>
      <c r="F68" s="65">
        <f>D68+'2026 Μάιος'!F68</f>
        <v/>
      </c>
      <c r="G68" s="75">
        <f>F68/$F$44</f>
        <v/>
      </c>
      <c r="H68" s="56">
        <f>ΠΡΟΥΠΟΛΟΓΙΣΜΟΣ_ΕΞΟΔΑ!I103</f>
        <v/>
      </c>
      <c r="I68" s="400">
        <f>H68/$H$44</f>
        <v/>
      </c>
      <c r="J68" s="65">
        <f>H68+'2026 Μάιος'!J68</f>
        <v/>
      </c>
      <c r="K68" s="404">
        <f>J68/$J$44</f>
        <v/>
      </c>
      <c r="L68" s="56">
        <f>'2024_60-69 ΕΞΟΔΑ+ΟΜ 2'!I23</f>
        <v/>
      </c>
      <c r="M68" s="75">
        <f>L68/$L$44</f>
        <v/>
      </c>
      <c r="N68" s="65">
        <f>L68+'2026 Μάιος'!N68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2'!I28</f>
        <v/>
      </c>
      <c r="E69" s="75">
        <f>D69/$D$44</f>
        <v/>
      </c>
      <c r="F69" s="65">
        <f>D69+'2026 Μάιος'!F69</f>
        <v/>
      </c>
      <c r="G69" s="75">
        <f>F69/$F$44</f>
        <v/>
      </c>
      <c r="H69" s="56">
        <f>ΠΡΟΥΠΟΛΟΓΙΣΜΟΣ_ΕΞΟΔΑ!I108</f>
        <v/>
      </c>
      <c r="I69" s="400">
        <f>H69/$H$44</f>
        <v/>
      </c>
      <c r="J69" s="65">
        <f>H69+'2026 Μάιος'!J69</f>
        <v/>
      </c>
      <c r="K69" s="404">
        <f>J69/$J$44</f>
        <v/>
      </c>
      <c r="L69" s="56">
        <f>'2024_60-69 ΕΞΟΔΑ+ΟΜ 2'!I24</f>
        <v/>
      </c>
      <c r="M69" s="75">
        <f>L69/$L$44</f>
        <v/>
      </c>
      <c r="N69" s="65">
        <f>L69+'2026 Μάιος'!N69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2'!I29</f>
        <v/>
      </c>
      <c r="E70" s="75">
        <f>D70/$D$44</f>
        <v/>
      </c>
      <c r="F70" s="65">
        <f>D70+'2026 Μάιος'!F70</f>
        <v/>
      </c>
      <c r="G70" s="75">
        <f>F70/$F$44</f>
        <v/>
      </c>
      <c r="H70" s="56">
        <f>ΠΡΟΥΠΟΛΟΓΙΣΜΟΣ_ΕΞΟΔΑ!I113</f>
        <v/>
      </c>
      <c r="I70" s="400">
        <f>H70/$H$44</f>
        <v/>
      </c>
      <c r="J70" s="65">
        <f>H70+'2026 Μάιος'!J70</f>
        <v/>
      </c>
      <c r="K70" s="404">
        <f>J70/$J$44</f>
        <v/>
      </c>
      <c r="L70" s="56">
        <f>'2024_60-69 ΕΞΟΔΑ+ΟΜ 2'!I25</f>
        <v/>
      </c>
      <c r="M70" s="75">
        <f>L70/$L$44</f>
        <v/>
      </c>
      <c r="N70" s="65">
        <f>L70+'2026 Μάιος'!N70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2'!I30</f>
        <v/>
      </c>
      <c r="E71" s="75">
        <f>D71/$D$44</f>
        <v/>
      </c>
      <c r="F71" s="65">
        <f>D71+'2026 Μάιος'!F71</f>
        <v/>
      </c>
      <c r="G71" s="75">
        <f>F71/$F$44</f>
        <v/>
      </c>
      <c r="H71" s="56">
        <f>ΠΡΟΥΠΟΛΟΓΙΣΜΟΣ_ΕΞΟΔΑ!I118</f>
        <v/>
      </c>
      <c r="I71" s="400">
        <f>H71/$H$44</f>
        <v/>
      </c>
      <c r="J71" s="65">
        <f>H71+'2026 Μάιος'!J71</f>
        <v/>
      </c>
      <c r="K71" s="404">
        <f>J71/$J$44</f>
        <v/>
      </c>
      <c r="L71" s="56">
        <f>'2024_60-69 ΕΞΟΔΑ+ΟΜ 2'!I26</f>
        <v/>
      </c>
      <c r="M71" s="75">
        <f>L71/$L$44</f>
        <v/>
      </c>
      <c r="N71" s="65">
        <f>L71+'2026 Μάιος'!N71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2'!I31</f>
        <v/>
      </c>
      <c r="E72" s="75">
        <f>D72/$D$44</f>
        <v/>
      </c>
      <c r="F72" s="65">
        <f>D72+'2026 Μάιος'!F72</f>
        <v/>
      </c>
      <c r="G72" s="75">
        <f>F72/$F$44</f>
        <v/>
      </c>
      <c r="H72" s="56">
        <f>ΠΡΟΥΠΟΛΟΓΙΣΜΟΣ_ΕΞΟΔΑ!I123</f>
        <v/>
      </c>
      <c r="I72" s="400">
        <f>H72/$H$44</f>
        <v/>
      </c>
      <c r="J72" s="65">
        <f>H72+'2026 Μάιος'!J72</f>
        <v/>
      </c>
      <c r="K72" s="404">
        <f>J72/$J$44</f>
        <v/>
      </c>
      <c r="L72" s="56">
        <f>'2024_60-69 ΕΞΟΔΑ+ΟΜ 2'!I27</f>
        <v/>
      </c>
      <c r="M72" s="75">
        <f>L72/$L$44</f>
        <v/>
      </c>
      <c r="N72" s="65">
        <f>L72+'2026 Μάιος'!N72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2'!I32</f>
        <v/>
      </c>
      <c r="E73" s="75">
        <f>D73/$D$44</f>
        <v/>
      </c>
      <c r="F73" s="65">
        <f>D73+'2026 Μάιος'!F73</f>
        <v/>
      </c>
      <c r="G73" s="75">
        <f>F73/$F$44</f>
        <v/>
      </c>
      <c r="H73" s="56">
        <f>ΠΡΟΥΠΟΛΟΓΙΣΜΟΣ_ΕΞΟΔΑ!I128</f>
        <v/>
      </c>
      <c r="I73" s="400">
        <f>H73/$H$44</f>
        <v/>
      </c>
      <c r="J73" s="65">
        <f>H73+'2026 Μάιος'!J73</f>
        <v/>
      </c>
      <c r="K73" s="404">
        <f>J73/$J$44</f>
        <v/>
      </c>
      <c r="L73" s="56">
        <f>'2024_60-69 ΕΞΟΔΑ+ΟΜ 2'!I28</f>
        <v/>
      </c>
      <c r="M73" s="75">
        <f>L73/$L$44</f>
        <v/>
      </c>
      <c r="N73" s="65">
        <f>L73+'2026 Μάιος'!N73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2'!I33</f>
        <v/>
      </c>
      <c r="E74" s="75">
        <f>D74/$D$44</f>
        <v/>
      </c>
      <c r="F74" s="65">
        <f>D74+'2026 Μάιος'!F74</f>
        <v/>
      </c>
      <c r="G74" s="75">
        <f>F74/$F$44</f>
        <v/>
      </c>
      <c r="H74" s="56">
        <f>ΠΡΟΥΠΟΛΟΓΙΣΜΟΣ_ΕΞΟΔΑ!I133</f>
        <v/>
      </c>
      <c r="I74" s="400">
        <f>H74/$H$44</f>
        <v/>
      </c>
      <c r="J74" s="65">
        <f>H74+'2026 Μάιος'!J74</f>
        <v/>
      </c>
      <c r="K74" s="404">
        <f>J74/$J$44</f>
        <v/>
      </c>
      <c r="L74" s="56">
        <f>'2024_60-69 ΕΞΟΔΑ+ΟΜ 2'!I29</f>
        <v/>
      </c>
      <c r="M74" s="75">
        <f>L74/$L$44</f>
        <v/>
      </c>
      <c r="N74" s="65">
        <f>L74+'2026 Μάιος'!N74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2'!I34</f>
        <v/>
      </c>
      <c r="E75" s="75">
        <f>D75/$D$44</f>
        <v/>
      </c>
      <c r="F75" s="65">
        <f>D75+'2026 Μάιος'!F75</f>
        <v/>
      </c>
      <c r="G75" s="75">
        <f>F75/$F$44</f>
        <v/>
      </c>
      <c r="H75" s="56">
        <f>ΠΡΟΥΠΟΛΟΓΙΣΜΟΣ_ΕΞΟΔΑ!I138</f>
        <v/>
      </c>
      <c r="I75" s="400">
        <f>H75/$H$44</f>
        <v/>
      </c>
      <c r="J75" s="65">
        <f>H75+'2026 Μάιος'!J75</f>
        <v/>
      </c>
      <c r="K75" s="404">
        <f>J75/$J$44</f>
        <v/>
      </c>
      <c r="L75" s="56">
        <f>'2024_60-69 ΕΞΟΔΑ+ΟΜ 2'!I30</f>
        <v/>
      </c>
      <c r="M75" s="75">
        <f>L75/$L$44</f>
        <v/>
      </c>
      <c r="N75" s="65">
        <f>L75+'2026 Μάιος'!N75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2'!I35</f>
        <v/>
      </c>
      <c r="E76" s="75">
        <f>D76/$D$44</f>
        <v/>
      </c>
      <c r="F76" s="65">
        <f>D76+'2026 Μάιος'!F76</f>
        <v/>
      </c>
      <c r="G76" s="75">
        <f>F76/$F$44</f>
        <v/>
      </c>
      <c r="H76" s="56">
        <f>ΠΡΟΥΠΟΛΟΓΙΣΜΟΣ_ΕΞΟΔΑ!I143</f>
        <v/>
      </c>
      <c r="I76" s="400">
        <f>H76/$H$44</f>
        <v/>
      </c>
      <c r="J76" s="65">
        <f>H76+'2026 Μάιος'!J76</f>
        <v/>
      </c>
      <c r="K76" s="404">
        <f>J76/$J$44</f>
        <v/>
      </c>
      <c r="L76" s="56">
        <f>'2024_60-69 ΕΞΟΔΑ+ΟΜ 2'!I31</f>
        <v/>
      </c>
      <c r="M76" s="75">
        <f>L76/$L$44</f>
        <v/>
      </c>
      <c r="N76" s="65">
        <f>L76+'2026 Μάιος'!N76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2'!I36</f>
        <v/>
      </c>
      <c r="E77" s="75">
        <f>D77/$D$44</f>
        <v/>
      </c>
      <c r="F77" s="65">
        <f>D77+'2026 Μάιος'!F77</f>
        <v/>
      </c>
      <c r="G77" s="75">
        <f>F77/$F$44</f>
        <v/>
      </c>
      <c r="H77" s="56">
        <f>ΠΡΟΥΠΟΛΟΓΙΣΜΟΣ_ΕΞΟΔΑ!I148</f>
        <v/>
      </c>
      <c r="I77" s="400">
        <f>H77/$H$44</f>
        <v/>
      </c>
      <c r="J77" s="65">
        <f>H77+'2026 Μάιος'!J77</f>
        <v/>
      </c>
      <c r="K77" s="404">
        <f>J77/$J$44</f>
        <v/>
      </c>
      <c r="L77" s="56">
        <f>'2024_60-69 ΕΞΟΔΑ+ΟΜ 2'!I32</f>
        <v/>
      </c>
      <c r="M77" s="75">
        <f>L77/$L$44</f>
        <v/>
      </c>
      <c r="N77" s="65">
        <f>L77+'2026 Μάιος'!N77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2'!I37</f>
        <v/>
      </c>
      <c r="E78" s="75">
        <f>D78/$D$44</f>
        <v/>
      </c>
      <c r="F78" s="65">
        <f>D78+'2026 Μάιος'!F78</f>
        <v/>
      </c>
      <c r="G78" s="75">
        <f>F78/$F$44</f>
        <v/>
      </c>
      <c r="H78" s="56">
        <f>ΠΡΟΥΠΟΛΟΓΙΣΜΟΣ_ΕΞΟΔΑ!I153</f>
        <v/>
      </c>
      <c r="I78" s="400">
        <f>H78/$H$44</f>
        <v/>
      </c>
      <c r="J78" s="65">
        <f>H78+'2026 Μάιος'!J78</f>
        <v/>
      </c>
      <c r="K78" s="404">
        <f>J78/$J$44</f>
        <v/>
      </c>
      <c r="L78" s="56">
        <f>'2024_60-69 ΕΞΟΔΑ+ΟΜ 2'!I33</f>
        <v/>
      </c>
      <c r="M78" s="75">
        <f>L78/$L$44</f>
        <v/>
      </c>
      <c r="N78" s="65">
        <f>L78+'2026 Μάιος'!N78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2.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2'!I3+#REF!</f>
        <v/>
      </c>
      <c r="E79" s="297" t="n"/>
      <c r="F79" s="64">
        <f>D79+'2026 Μάιος'!F79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3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7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2'!I41</f>
        <v/>
      </c>
      <c r="E86" s="75">
        <f>D86/$D$85</f>
        <v/>
      </c>
      <c r="F86" s="114">
        <f>'2026 Μάιος'!F86+'2026 Ιούνιος'!D86</f>
        <v/>
      </c>
      <c r="G86" s="75">
        <f>F86/$F$85</f>
        <v/>
      </c>
      <c r="H86" s="56">
        <f>ΠΡΟΥΠΟΛΟΓΙΣΜΟΣ_ΕΞΟΔΑ!I177</f>
        <v/>
      </c>
      <c r="I86" s="401">
        <f>H86/$H$85</f>
        <v/>
      </c>
      <c r="J86" s="402">
        <f>H86+'2026 Μάιος'!J86</f>
        <v/>
      </c>
      <c r="K86" s="403">
        <f>J86/$J$85</f>
        <v/>
      </c>
      <c r="L86" s="114">
        <f>'2024_60-69 ΕΞΟΔΑ+ΟΜ 2'!I37</f>
        <v/>
      </c>
      <c r="M86" s="75">
        <f>L86/$L$85</f>
        <v/>
      </c>
      <c r="N86" s="65">
        <f>L86+'2026 Μάιος'!N86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34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2'!I42</f>
        <v/>
      </c>
      <c r="E87" s="75">
        <f>D87/$D$85</f>
        <v/>
      </c>
      <c r="F87" s="114">
        <f>'2026 Μάιος'!F87+'2026 Ιούνιος'!D87</f>
        <v/>
      </c>
      <c r="G87" s="75">
        <f>F87/$F$85</f>
        <v/>
      </c>
      <c r="H87" s="56">
        <f>ΠΡΟΥΠΟΛΟΓΙΣΜΟΣ_ΕΞΟΔΑ!I182</f>
        <v/>
      </c>
      <c r="I87" s="401">
        <f>H87/$H$85</f>
        <v/>
      </c>
      <c r="J87" s="402">
        <f>H87+'2026 Μάιος'!J87</f>
        <v/>
      </c>
      <c r="K87" s="403">
        <f>J87/$J$85</f>
        <v/>
      </c>
      <c r="L87" s="114">
        <f>'2024_60-69 ΕΞΟΔΑ+ΟΜ 2'!I38</f>
        <v/>
      </c>
      <c r="M87" s="75">
        <f>L87/$L$85</f>
        <v/>
      </c>
      <c r="N87" s="65">
        <f>L87+'2026 Μάιος'!N87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8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2'!I43</f>
        <v/>
      </c>
      <c r="E88" s="75">
        <f>D88/$D$85</f>
        <v/>
      </c>
      <c r="F88" s="114">
        <f>'2026 Μάιος'!F88+'2026 Ιούνιος'!D88</f>
        <v/>
      </c>
      <c r="G88" s="75">
        <f>F88/$F$85</f>
        <v/>
      </c>
      <c r="H88" s="56">
        <f>ΠΡΟΥΠΟΛΟΓΙΣΜΟΣ_ΕΞΟΔΑ!I197</f>
        <v/>
      </c>
      <c r="I88" s="401">
        <f>H88/$H$85</f>
        <v/>
      </c>
      <c r="J88" s="402">
        <f>H88+'2026 Μάιος'!J88</f>
        <v/>
      </c>
      <c r="K88" s="403">
        <f>J88/$J$85</f>
        <v/>
      </c>
      <c r="L88" s="114">
        <f>'2024_60-69 ΕΞΟΔΑ+ΟΜ 2'!I41</f>
        <v/>
      </c>
      <c r="M88" s="75">
        <f>L88/$L$85</f>
        <v/>
      </c>
      <c r="N88" s="65">
        <f>L88+'2026 Μάιος'!N88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1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2'!I44</f>
        <v/>
      </c>
      <c r="E89" s="75">
        <f>D89/$D$85</f>
        <v/>
      </c>
      <c r="F89" s="114">
        <f>'2026 Μάιος'!F89+'2026 Ιούνιος'!D89</f>
        <v/>
      </c>
      <c r="G89" s="75">
        <f>F89/$F$85</f>
        <v/>
      </c>
      <c r="H89" s="56">
        <f>ΠΡΟΥΠΟΛΟΓΙΣΜΟΣ_ΕΞΟΔΑ!I202</f>
        <v/>
      </c>
      <c r="I89" s="401">
        <f>H89/$H$85</f>
        <v/>
      </c>
      <c r="J89" s="402">
        <f>H89+'2026 Μάιος'!J89</f>
        <v/>
      </c>
      <c r="K89" s="403">
        <f>J89/$J$85</f>
        <v/>
      </c>
      <c r="L89" s="114">
        <f>'2024_60-69 ΕΞΟΔΑ+ΟΜ 2'!I42</f>
        <v/>
      </c>
      <c r="M89" s="75">
        <f>L89/$L$85</f>
        <v/>
      </c>
      <c r="N89" s="65">
        <f>L89+'2026 Μάιος'!N89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2'!I45</f>
        <v/>
      </c>
      <c r="E90" s="75">
        <f>D90/$D$85</f>
        <v/>
      </c>
      <c r="F90" s="114">
        <f>'2026 Μάιος'!F90+'2026 Ιούνιος'!D90</f>
        <v/>
      </c>
      <c r="G90" s="75">
        <f>F90/$F$85</f>
        <v/>
      </c>
      <c r="H90" s="399">
        <f>ΠΡΟΥΠΟΛΟΓΙΣΜΟΣ_ΕΞΟΔΑ!I207</f>
        <v/>
      </c>
      <c r="I90" s="401">
        <f>H90/$H$85</f>
        <v/>
      </c>
      <c r="J90" s="402">
        <f>H90+'2026 Μάιος'!J90</f>
        <v/>
      </c>
      <c r="K90" s="403">
        <f>J90/$J$85</f>
        <v/>
      </c>
      <c r="L90" s="114">
        <f>'2024_60-69 ΕΞΟΔΑ+ΟΜ 2'!I43</f>
        <v/>
      </c>
      <c r="M90" s="75">
        <f>L90/$L$85</f>
        <v/>
      </c>
      <c r="N90" s="65">
        <f>L90+'2026 Μάιος'!N90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2'!I46</f>
        <v/>
      </c>
      <c r="E91" s="75">
        <f>D91/$D$85</f>
        <v/>
      </c>
      <c r="F91" s="114">
        <f>'2026 Μάιος'!F91+'2026 Ιούνιος'!D91</f>
        <v/>
      </c>
      <c r="G91" s="75">
        <f>F91/$F$85</f>
        <v/>
      </c>
      <c r="H91" s="399">
        <f>ΠΡΟΥΠΟΛΟΓΙΣΜΟΣ_ΕΞΟΔΑ!I212</f>
        <v/>
      </c>
      <c r="I91" s="401">
        <f>H91/$H$85</f>
        <v/>
      </c>
      <c r="J91" s="402">
        <f>H91+'2026 Μάιος'!J91</f>
        <v/>
      </c>
      <c r="K91" s="403">
        <f>J91/$J$85</f>
        <v/>
      </c>
      <c r="L91" s="114">
        <f>'2024_60-69 ΕΞΟΔΑ+ΟΜ 2'!I44</f>
        <v/>
      </c>
      <c r="M91" s="75">
        <f>L91/$L$85</f>
        <v/>
      </c>
      <c r="N91" s="65">
        <f>L91+'2026 Μάιος'!N91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7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2'!I47</f>
        <v/>
      </c>
      <c r="E92" s="75">
        <f>D92/$D$85</f>
        <v/>
      </c>
      <c r="F92" s="114">
        <f>'2026 Μάιος'!F92+'2026 Ιούνιος'!D92</f>
        <v/>
      </c>
      <c r="G92" s="75">
        <f>F92/$F$85</f>
        <v/>
      </c>
      <c r="H92" s="399">
        <f>ΠΡΟΥΠΟΛΟΓΙΣΜΟΣ_ΕΞΟΔΑ!I217</f>
        <v/>
      </c>
      <c r="I92" s="401">
        <f>H92/$H$85</f>
        <v/>
      </c>
      <c r="J92" s="402">
        <f>H92+'2026 Μάιος'!J92</f>
        <v/>
      </c>
      <c r="K92" s="403">
        <f>J92/$J$85</f>
        <v/>
      </c>
      <c r="L92" s="114">
        <f>'2024_60-69 ΕΞΟΔΑ+ΟΜ 2'!I45</f>
        <v/>
      </c>
      <c r="M92" s="75">
        <f>L92/$L$85</f>
        <v/>
      </c>
      <c r="N92" s="65">
        <f>L92+'2026 Μάιος'!N92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2'!I48</f>
        <v/>
      </c>
      <c r="E93" s="75">
        <f>D93/$D$85</f>
        <v/>
      </c>
      <c r="F93" s="114">
        <f>'2026 Μάιος'!F93+'2026 Ιούνιος'!D93</f>
        <v/>
      </c>
      <c r="G93" s="75">
        <f>F93/$F$85</f>
        <v/>
      </c>
      <c r="H93" s="56">
        <f>ΠΡΟΥΠΟΛΟΓΙΣΜΟΣ_ΕΞΟΔΑ!I222</f>
        <v/>
      </c>
      <c r="I93" s="401">
        <f>H93/$H$85</f>
        <v/>
      </c>
      <c r="J93" s="402">
        <f>H93+'2026 Μάιος'!J93</f>
        <v/>
      </c>
      <c r="K93" s="403">
        <f>J93/$J$85</f>
        <v/>
      </c>
      <c r="L93" s="114">
        <f>'2024_60-69 ΕΞΟΔΑ+ΟΜ 2'!I46</f>
        <v/>
      </c>
      <c r="M93" s="75">
        <f>L93/$L$85</f>
        <v/>
      </c>
      <c r="N93" s="65">
        <f>L93+'2026 Μάιος'!N93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2'!I49</f>
        <v/>
      </c>
      <c r="E94" s="75">
        <f>D94/$D$85</f>
        <v/>
      </c>
      <c r="F94" s="114">
        <f>'2026 Μάιος'!F94+'2026 Ιούνιος'!D94</f>
        <v/>
      </c>
      <c r="G94" s="75">
        <f>F94/$F$85</f>
        <v/>
      </c>
      <c r="H94" s="56">
        <f>ΠΡΟΥΠΟΛΟΓΙΣΜΟΣ_ΕΞΟΔΑ!I227</f>
        <v/>
      </c>
      <c r="I94" s="401">
        <f>H94/$H$85</f>
        <v/>
      </c>
      <c r="J94" s="402">
        <f>H94+'2026 Μάιος'!J94</f>
        <v/>
      </c>
      <c r="K94" s="403">
        <f>J94/$J$85</f>
        <v/>
      </c>
      <c r="L94" s="114">
        <f>'2024_60-69 ΕΞΟΔΑ+ΟΜ 2'!I47</f>
        <v/>
      </c>
      <c r="M94" s="75">
        <f>L94/$L$85</f>
        <v/>
      </c>
      <c r="N94" s="65">
        <f>L94+'2026 Μάιος'!N94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2'!I50</f>
        <v/>
      </c>
      <c r="E95" s="75">
        <f>D95/$D$85</f>
        <v/>
      </c>
      <c r="F95" s="114">
        <f>'2026 Μάιος'!F95+'2026 Ιούνιος'!D95</f>
        <v/>
      </c>
      <c r="G95" s="75">
        <f>F95/$F$85</f>
        <v/>
      </c>
      <c r="H95" s="118">
        <f>ΠΡΟΥΠΟΛΟΓΙΣΜΟΣ_ΕΞΟΔΑ!I232</f>
        <v/>
      </c>
      <c r="I95" s="401">
        <f>H95/$H$85</f>
        <v/>
      </c>
      <c r="J95" s="402">
        <f>H95+'2026 Μάιος'!J95</f>
        <v/>
      </c>
      <c r="K95" s="403">
        <f>J95/$J$85</f>
        <v/>
      </c>
      <c r="L95" s="114">
        <f>'2024_60-69 ΕΞΟΔΑ+ΟΜ 2'!I48</f>
        <v/>
      </c>
      <c r="M95" s="75">
        <f>L95/$L$85</f>
        <v/>
      </c>
      <c r="N95" s="65">
        <f>L95+'2026 Μάιος'!N95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2'!I51</f>
        <v/>
      </c>
      <c r="E96" s="75">
        <f>D96/$D$85</f>
        <v/>
      </c>
      <c r="F96" s="114">
        <f>'2026 Μάιος'!F96+'2026 Ιούνιος'!D96</f>
        <v/>
      </c>
      <c r="G96" s="75">
        <f>F96/$F$85</f>
        <v/>
      </c>
      <c r="H96" s="56">
        <f>ΠΡΟΥΠΟΛΟΓΙΣΜΟΣ_ΕΞΟΔΑ!I237</f>
        <v/>
      </c>
      <c r="I96" s="401">
        <f>H96/$H$85</f>
        <v/>
      </c>
      <c r="J96" s="402">
        <f>H96+'2026 Μάιος'!J96</f>
        <v/>
      </c>
      <c r="K96" s="403">
        <f>J96/$J$85</f>
        <v/>
      </c>
      <c r="L96" s="114">
        <f>'2024_60-69 ΕΞΟΔΑ+ΟΜ 2'!I49</f>
        <v/>
      </c>
      <c r="M96" s="75">
        <f>L96/$L$85</f>
        <v/>
      </c>
      <c r="N96" s="65">
        <f>L96+'2026 Μάιος'!N96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7.7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2'!I52</f>
        <v/>
      </c>
      <c r="E97" s="75">
        <f>D97/$D$85</f>
        <v/>
      </c>
      <c r="F97" s="114">
        <f>'2026 Μάιος'!F97+'2026 Ιούνιος'!D97</f>
        <v/>
      </c>
      <c r="G97" s="75">
        <f>F97/$F$85</f>
        <v/>
      </c>
      <c r="H97" s="56">
        <f>ΠΡΟΥΠΟΛΟΓΙΣΜΟΣ_ΕΞΟΔΑ!I242</f>
        <v/>
      </c>
      <c r="I97" s="401">
        <f>H97/$H$85</f>
        <v/>
      </c>
      <c r="J97" s="402">
        <f>H97+'2026 Μάιος'!J97</f>
        <v/>
      </c>
      <c r="K97" s="403">
        <f>J97/$J$85</f>
        <v/>
      </c>
      <c r="L97" s="114">
        <f>'2024_60-69 ΕΞΟΔΑ+ΟΜ 2'!I50</f>
        <v/>
      </c>
      <c r="M97" s="75">
        <f>L97/$L$85</f>
        <v/>
      </c>
      <c r="N97" s="65">
        <f>L97+'2026 Μάιος'!N97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2'!I53</f>
        <v/>
      </c>
      <c r="E98" s="75">
        <f>D98/$D$85</f>
        <v/>
      </c>
      <c r="F98" s="114">
        <f>'2026 Μάιος'!F98+'2026 Ιούνιος'!D98</f>
        <v/>
      </c>
      <c r="G98" s="75">
        <f>F98/$F$85</f>
        <v/>
      </c>
      <c r="H98" s="56">
        <f>ΠΡΟΥΠΟΛΟΓΙΣΜΟΣ_ΕΞΟΔΑ!I247</f>
        <v/>
      </c>
      <c r="I98" s="401">
        <f>H98/$H$85</f>
        <v/>
      </c>
      <c r="J98" s="402">
        <f>H98+'2026 Μάιος'!J98</f>
        <v/>
      </c>
      <c r="K98" s="403">
        <f>J98/$J$85</f>
        <v/>
      </c>
      <c r="L98" s="114">
        <f>'2024_60-69 ΕΞΟΔΑ+ΟΜ 2'!I51</f>
        <v/>
      </c>
      <c r="M98" s="75">
        <f>L98/$L$85</f>
        <v/>
      </c>
      <c r="N98" s="65">
        <f>L98+'2026 Μάιος'!N98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2'!I54</f>
        <v/>
      </c>
      <c r="E99" s="75">
        <f>D99/$D$85</f>
        <v/>
      </c>
      <c r="F99" s="114">
        <f>'2026 Μάιος'!F99+'2026 Ιούνιος'!D99</f>
        <v/>
      </c>
      <c r="G99" s="75">
        <f>F99/$F$85</f>
        <v/>
      </c>
      <c r="H99" s="56">
        <f>ΠΡΟΥΠΟΛΟΓΙΣΜΟΣ_ΕΞΟΔΑ!I252</f>
        <v/>
      </c>
      <c r="I99" s="401">
        <f>H99/$H$85</f>
        <v/>
      </c>
      <c r="J99" s="402">
        <f>H99+'2026 Μάιος'!J99</f>
        <v/>
      </c>
      <c r="K99" s="403">
        <f>J99/$J$85</f>
        <v/>
      </c>
      <c r="L99" s="114">
        <f>'2024_60-69 ΕΞΟΔΑ+ΟΜ 2'!I52</f>
        <v/>
      </c>
      <c r="M99" s="75">
        <f>L99/$L$85</f>
        <v/>
      </c>
      <c r="N99" s="65">
        <f>L99+'2026 Μάιος'!N99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2'!I55</f>
        <v/>
      </c>
      <c r="E100" s="75">
        <f>D100/$D$85</f>
        <v/>
      </c>
      <c r="F100" s="114">
        <f>'2026 Μάιος'!F100+'2026 Ιούνιος'!D100</f>
        <v/>
      </c>
      <c r="G100" s="75">
        <f>F100/$F$85</f>
        <v/>
      </c>
      <c r="H100" s="56">
        <f>ΠΡΟΥΠΟΛΟΓΙΣΜΟΣ_ΕΞΟΔΑ!I257</f>
        <v/>
      </c>
      <c r="I100" s="401">
        <f>H100/$H$85</f>
        <v/>
      </c>
      <c r="J100" s="402">
        <f>H100+'2026 Μάιος'!J100</f>
        <v/>
      </c>
      <c r="K100" s="403">
        <f>J100/$J$85</f>
        <v/>
      </c>
      <c r="L100" s="114">
        <f>'2024_60-69 ΕΞΟΔΑ+ΟΜ 2'!I53</f>
        <v/>
      </c>
      <c r="M100" s="75">
        <f>L100/$L$85</f>
        <v/>
      </c>
      <c r="N100" s="65">
        <f>L100+'2026 Μάιος'!N100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1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2'!I56</f>
        <v/>
      </c>
      <c r="E101" s="75">
        <f>D101/$D$85</f>
        <v/>
      </c>
      <c r="F101" s="114">
        <f>'2026 Μάιος'!F101+'2026 Ιούνιος'!D101</f>
        <v/>
      </c>
      <c r="G101" s="75">
        <f>F101/$F$85</f>
        <v/>
      </c>
      <c r="H101" s="56">
        <f>ΠΡΟΥΠΟΛΟΓΙΣΜΟΣ_ΕΞΟΔΑ!I262</f>
        <v/>
      </c>
      <c r="I101" s="401">
        <f>H101/$H$85</f>
        <v/>
      </c>
      <c r="J101" s="402">
        <f>H101+'2026 Μάιος'!J101</f>
        <v/>
      </c>
      <c r="K101" s="403">
        <f>J101/$J$85</f>
        <v/>
      </c>
      <c r="L101" s="114">
        <f>'2024_60-69 ΕΞΟΔΑ+ΟΜ 2'!I54</f>
        <v/>
      </c>
      <c r="M101" s="75">
        <f>L101/$L$85</f>
        <v/>
      </c>
      <c r="N101" s="65">
        <f>L101+'2026 Μάιος'!N101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2'!I57</f>
        <v/>
      </c>
      <c r="E102" s="75">
        <f>D102/$D$85</f>
        <v/>
      </c>
      <c r="F102" s="114">
        <f>'2026 Μάιος'!F102+'2026 Ιούνιος'!D102</f>
        <v/>
      </c>
      <c r="G102" s="75">
        <f>F102/$F$85</f>
        <v/>
      </c>
      <c r="H102" s="56">
        <f>ΠΡΟΥΠΟΛΟΓΙΣΜΟΣ_ΕΞΟΔΑ!I267</f>
        <v/>
      </c>
      <c r="I102" s="401">
        <f>H102/$H$85</f>
        <v/>
      </c>
      <c r="J102" s="402">
        <f>H102+'2026 Μάιος'!J102</f>
        <v/>
      </c>
      <c r="K102" s="403">
        <f>J102/$J$85</f>
        <v/>
      </c>
      <c r="L102" s="114">
        <f>'2024_60-69 ΕΞΟΔΑ+ΟΜ 2'!I55</f>
        <v/>
      </c>
      <c r="M102" s="75">
        <f>L102/$L$85</f>
        <v/>
      </c>
      <c r="N102" s="65">
        <f>L102+'2026 Μάιος'!N102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7.7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2'!I58</f>
        <v/>
      </c>
      <c r="E103" s="75">
        <f>D103/$D$85</f>
        <v/>
      </c>
      <c r="F103" s="114">
        <f>'2026 Μάιος'!F103+'2026 Ιούνιος'!D103</f>
        <v/>
      </c>
      <c r="G103" s="75">
        <f>F103/$F$85</f>
        <v/>
      </c>
      <c r="H103" s="56">
        <f>ΠΡΟΥΠΟΛΟΓΙΣΜΟΣ_ΕΞΟΔΑ!I272</f>
        <v/>
      </c>
      <c r="I103" s="401">
        <f>H103/$H$85</f>
        <v/>
      </c>
      <c r="J103" s="402">
        <f>H103+'2026 Μάιος'!J103</f>
        <v/>
      </c>
      <c r="K103" s="403">
        <f>J103/$J$85</f>
        <v/>
      </c>
      <c r="L103" s="114">
        <f>'2024_60-69 ΕΞΟΔΑ+ΟΜ 2'!I56</f>
        <v/>
      </c>
      <c r="M103" s="75">
        <f>L103/$L$85</f>
        <v/>
      </c>
      <c r="N103" s="65">
        <f>L103+'2026 Μάιος'!N103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2'!I59</f>
        <v/>
      </c>
      <c r="E104" s="75">
        <f>D104/$D$85</f>
        <v/>
      </c>
      <c r="F104" s="114">
        <f>'2026 Μάιος'!F104+'2026 Ιούνιος'!D104</f>
        <v/>
      </c>
      <c r="G104" s="75">
        <f>F104/$F$85</f>
        <v/>
      </c>
      <c r="H104" s="56">
        <f>ΠΡΟΥΠΟΛΟΓΙΣΜΟΣ_ΕΞΟΔΑ!I277</f>
        <v/>
      </c>
      <c r="I104" s="401">
        <f>H104/$H$85</f>
        <v/>
      </c>
      <c r="J104" s="402">
        <f>H104+'2026 Μάιος'!J104</f>
        <v/>
      </c>
      <c r="K104" s="403">
        <f>J104/$J$85</f>
        <v/>
      </c>
      <c r="L104" s="114">
        <f>'2024_60-69 ΕΞΟΔΑ+ΟΜ 2'!I57</f>
        <v/>
      </c>
      <c r="M104" s="75">
        <f>L104/$L$85</f>
        <v/>
      </c>
      <c r="N104" s="65">
        <f>L104+'2026 Μάιος'!N104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2'!I60</f>
        <v/>
      </c>
      <c r="E105" s="75">
        <f>D105/$D$85</f>
        <v/>
      </c>
      <c r="F105" s="114">
        <f>'2026 Μάιος'!F105+'2026 Ιούνιος'!D105</f>
        <v/>
      </c>
      <c r="G105" s="75">
        <f>F105/$F$85</f>
        <v/>
      </c>
      <c r="H105" s="56">
        <f>ΠΡΟΥΠΟΛΟΓΙΣΜΟΣ_ΕΞΟΔΑ!I282</f>
        <v/>
      </c>
      <c r="I105" s="401">
        <f>H105/$H$85</f>
        <v/>
      </c>
      <c r="J105" s="402">
        <f>H105+'2026 Μάιος'!J105</f>
        <v/>
      </c>
      <c r="K105" s="403">
        <f>J105/$J$85</f>
        <v/>
      </c>
      <c r="L105" s="114">
        <f>'2024_60-69 ΕΞΟΔΑ+ΟΜ 2'!I58</f>
        <v/>
      </c>
      <c r="M105" s="75">
        <f>L105/$L$85</f>
        <v/>
      </c>
      <c r="N105" s="65">
        <f>L105+'2026 Μάιος'!N105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5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2'!I61</f>
        <v/>
      </c>
      <c r="E106" s="75">
        <f>D106/$D$85</f>
        <v/>
      </c>
      <c r="F106" s="114">
        <f>'2026 Μάιος'!F106+'2026 Ιούνιος'!D106</f>
        <v/>
      </c>
      <c r="G106" s="75">
        <f>F106/$F$85</f>
        <v/>
      </c>
      <c r="H106" s="56">
        <f>ΠΡΟΥΠΟΛΟΓΙΣΜΟΣ_ΕΞΟΔΑ!I287</f>
        <v/>
      </c>
      <c r="I106" s="401">
        <f>H106/$H$85</f>
        <v/>
      </c>
      <c r="J106" s="402">
        <f>H106+'2026 Μάιος'!J106</f>
        <v/>
      </c>
      <c r="K106" s="403">
        <f>J106/$J$85</f>
        <v/>
      </c>
      <c r="L106" s="114">
        <f>'2024_60-69 ΕΞΟΔΑ+ΟΜ 2'!I59</f>
        <v/>
      </c>
      <c r="M106" s="75">
        <f>L106/$L$85</f>
        <v/>
      </c>
      <c r="N106" s="65">
        <f>L106+'2026 Μάιος'!N106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2'!I40</f>
        <v/>
      </c>
      <c r="E112" s="81" t="n"/>
      <c r="F112" s="64">
        <f>D112+'2026 Μάιος'!F112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36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6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2'!I71</f>
        <v/>
      </c>
      <c r="E118" s="75">
        <f>D118/$D4117</f>
        <v/>
      </c>
      <c r="F118" s="65">
        <f>D118+'2026 Μάιος'!F118</f>
        <v/>
      </c>
      <c r="G118" s="75">
        <f>F118/$F$117</f>
        <v/>
      </c>
      <c r="H118" s="56">
        <f>ΠΡΟΥΠΟΛΟΓΙΣΜΟΣ_ΕΞΟΔΑ!I301</f>
        <v/>
      </c>
      <c r="I118" s="400">
        <f>H118/$H$117</f>
        <v/>
      </c>
      <c r="J118" s="65">
        <f>H118+'2026 Μάιος'!J118</f>
        <v/>
      </c>
      <c r="K118" s="404">
        <f>J118/$J$117</f>
        <v/>
      </c>
      <c r="L118" s="56">
        <f>'2024_60-69 ΕΞΟΔΑ+ΟΜ 2'!I66</f>
        <v/>
      </c>
      <c r="M118" s="75">
        <f>L118/$L$117</f>
        <v/>
      </c>
      <c r="N118" s="65">
        <f>L118+'2026 Μάιος'!N118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2'!I72</f>
        <v/>
      </c>
      <c r="E119" s="75">
        <f>D119/$D4118</f>
        <v/>
      </c>
      <c r="F119" s="65">
        <f>D119+'2026 Μάιος'!F119</f>
        <v/>
      </c>
      <c r="G119" s="75">
        <f>F119/$F$117</f>
        <v/>
      </c>
      <c r="H119" s="56">
        <f>ΠΡΟΥΠΟΛΟΓΙΣΜΟΣ_ΕΞΟΔΑ!I306</f>
        <v/>
      </c>
      <c r="I119" s="400">
        <f>H119/$H$117</f>
        <v/>
      </c>
      <c r="J119" s="65">
        <f>H119+'2026 Μάιος'!J119</f>
        <v/>
      </c>
      <c r="K119" s="404">
        <f>J119/$J$117</f>
        <v/>
      </c>
      <c r="L119" s="56">
        <f>'2024_60-69 ΕΞΟΔΑ+ΟΜ 2'!I67</f>
        <v/>
      </c>
      <c r="M119" s="75">
        <f>L119/$L$117</f>
        <v/>
      </c>
      <c r="N119" s="65">
        <f>L119+'2026 Μάιος'!N119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2'!I73</f>
        <v/>
      </c>
      <c r="E120" s="75">
        <f>D120/$D4119</f>
        <v/>
      </c>
      <c r="F120" s="65">
        <f>D120+'2026 Μάιος'!F120</f>
        <v/>
      </c>
      <c r="G120" s="75">
        <f>F120/$F$117</f>
        <v/>
      </c>
      <c r="H120" s="56">
        <f>ΠΡΟΥΠΟΛΟΓΙΣΜΟΣ_ΕΞΟΔΑ!I311</f>
        <v/>
      </c>
      <c r="I120" s="400">
        <f>H120/$H$117</f>
        <v/>
      </c>
      <c r="J120" s="65">
        <f>H120+'2026 Μάιος'!J120</f>
        <v/>
      </c>
      <c r="K120" s="404">
        <f>J120/$J$117</f>
        <v/>
      </c>
      <c r="L120" s="56">
        <f>'2024_60-69 ΕΞΟΔΑ+ΟΜ 2'!I68</f>
        <v/>
      </c>
      <c r="M120" s="75">
        <f>L120/$L$117</f>
        <v/>
      </c>
      <c r="N120" s="65">
        <f>L120+'2026 Μάιος'!N120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2'!I74</f>
        <v/>
      </c>
      <c r="E121" s="75">
        <f>D121/$D4120</f>
        <v/>
      </c>
      <c r="F121" s="65">
        <f>D121+'2026 Μάιος'!F121</f>
        <v/>
      </c>
      <c r="G121" s="75">
        <f>F121/$F$117</f>
        <v/>
      </c>
      <c r="H121" s="56">
        <f>ΠΡΟΥΠΟΛΟΓΙΣΜΟΣ_ΕΞΟΔΑ!I316</f>
        <v/>
      </c>
      <c r="I121" s="400">
        <f>H121/$H$117</f>
        <v/>
      </c>
      <c r="J121" s="65">
        <f>H121+'2026 Μάιος'!J121</f>
        <v/>
      </c>
      <c r="K121" s="404">
        <f>J121/$J$117</f>
        <v/>
      </c>
      <c r="L121" s="56">
        <f>'2024_60-69 ΕΞΟΔΑ+ΟΜ 2'!I69</f>
        <v/>
      </c>
      <c r="M121" s="75">
        <f>L121/$L$117</f>
        <v/>
      </c>
      <c r="N121" s="65">
        <f>L121+'2026 Μάιος'!N121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2'!I75</f>
        <v/>
      </c>
      <c r="E122" s="75">
        <f>D122/$D4121</f>
        <v/>
      </c>
      <c r="F122" s="65">
        <f>D122+'2026 Μάιος'!F122</f>
        <v/>
      </c>
      <c r="G122" s="75">
        <f>F122/$F$117</f>
        <v/>
      </c>
      <c r="H122" s="56">
        <f>ΠΡΟΥΠΟΛΟΓΙΣΜΟΣ_ΕΞΟΔΑ!I321</f>
        <v/>
      </c>
      <c r="I122" s="400">
        <f>H122/$H$117</f>
        <v/>
      </c>
      <c r="J122" s="65">
        <f>H122+'2026 Μάιος'!J122</f>
        <v/>
      </c>
      <c r="K122" s="404">
        <f>J122/$J$117</f>
        <v/>
      </c>
      <c r="L122" s="56">
        <f>'2024_60-69 ΕΞΟΔΑ+ΟΜ 2'!I70</f>
        <v/>
      </c>
      <c r="M122" s="75">
        <f>L122/$L$117</f>
        <v/>
      </c>
      <c r="N122" s="65">
        <f>L122+'2026 Μάιος'!N122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2'!I76</f>
        <v/>
      </c>
      <c r="E123" s="75">
        <f>D123/$D4122</f>
        <v/>
      </c>
      <c r="F123" s="65">
        <f>D123+'2026 Μάιος'!F123</f>
        <v/>
      </c>
      <c r="G123" s="75">
        <f>F123/$F$117</f>
        <v/>
      </c>
      <c r="H123" s="56">
        <f>ΠΡΟΥΠΟΛΟΓΙΣΜΟΣ_ΕΞΟΔΑ!I326</f>
        <v/>
      </c>
      <c r="I123" s="400">
        <f>H123/$H$117</f>
        <v/>
      </c>
      <c r="J123" s="65">
        <f>H123+'2026 Μάιος'!J123</f>
        <v/>
      </c>
      <c r="K123" s="404">
        <f>J123/$J$117</f>
        <v/>
      </c>
      <c r="L123" s="56">
        <f>'2024_60-69 ΕΞΟΔΑ+ΟΜ 2'!I71</f>
        <v/>
      </c>
      <c r="M123" s="75">
        <f>L123/$L$117</f>
        <v/>
      </c>
      <c r="N123" s="65">
        <f>L123+'2026 Μάιος'!N123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2'!I77</f>
        <v/>
      </c>
      <c r="E124" s="75">
        <f>D124/$D4123</f>
        <v/>
      </c>
      <c r="F124" s="65">
        <f>D124+'2026 Μάιος'!F124</f>
        <v/>
      </c>
      <c r="G124" s="75">
        <f>F124/$F$117</f>
        <v/>
      </c>
      <c r="H124" s="56">
        <f>ΠΡΟΥΠΟΛΟΓΙΣΜΟΣ_ΕΞΟΔΑ!I331</f>
        <v/>
      </c>
      <c r="I124" s="400">
        <f>H124/$H$117</f>
        <v/>
      </c>
      <c r="J124" s="65">
        <f>H124+'2026 Μάιος'!J124</f>
        <v/>
      </c>
      <c r="K124" s="404">
        <f>J124/$J$117</f>
        <v/>
      </c>
      <c r="L124" s="56">
        <f>'2024_60-69 ΕΞΟΔΑ+ΟΜ 2'!I72</f>
        <v/>
      </c>
      <c r="M124" s="75">
        <f>L124/$L$117</f>
        <v/>
      </c>
      <c r="N124" s="65">
        <f>L124+'2026 Μάιος'!N124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2'!I78</f>
        <v/>
      </c>
      <c r="E125" s="75">
        <f>D125/$D4124</f>
        <v/>
      </c>
      <c r="F125" s="65">
        <f>D125+'2026 Μάιος'!F125</f>
        <v/>
      </c>
      <c r="G125" s="75">
        <f>F125/$F$117</f>
        <v/>
      </c>
      <c r="H125" s="56">
        <f>ΠΡΟΥΠΟΛΟΓΙΣΜΟΣ_ΕΞΟΔΑ!I336</f>
        <v/>
      </c>
      <c r="I125" s="400">
        <f>H125/$H$117</f>
        <v/>
      </c>
      <c r="J125" s="65">
        <f>H125+'2026 Μάιος'!J125</f>
        <v/>
      </c>
      <c r="K125" s="404">
        <f>J125/$J$117</f>
        <v/>
      </c>
      <c r="L125" s="56">
        <f>'2024_60-69 ΕΞΟΔΑ+ΟΜ 2'!I73</f>
        <v/>
      </c>
      <c r="M125" s="75">
        <f>L125/$L$117</f>
        <v/>
      </c>
      <c r="N125" s="65">
        <f>L125+'2026 Μάιος'!N125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2'!I79</f>
        <v/>
      </c>
      <c r="E126" s="75">
        <f>D126/$D4125</f>
        <v/>
      </c>
      <c r="F126" s="65">
        <f>D126+'2026 Μάιος'!F126</f>
        <v/>
      </c>
      <c r="G126" s="75">
        <f>F126/$F$117</f>
        <v/>
      </c>
      <c r="H126" s="56">
        <f>ΠΡΟΥΠΟΛΟΓΙΣΜΟΣ_ΕΞΟΔΑ!I341</f>
        <v/>
      </c>
      <c r="I126" s="400">
        <f>H126/$H$117</f>
        <v/>
      </c>
      <c r="J126" s="65">
        <f>H126+'2026 Μάιος'!J126</f>
        <v/>
      </c>
      <c r="K126" s="404">
        <f>J126/$J$117</f>
        <v/>
      </c>
      <c r="L126" s="56">
        <f>'2024_60-69 ΕΞΟΔΑ+ΟΜ 2'!I74</f>
        <v/>
      </c>
      <c r="M126" s="75">
        <f>L126/$L$117</f>
        <v/>
      </c>
      <c r="N126" s="65">
        <f>L126+'2026 Μάιος'!N126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2'!I80</f>
        <v/>
      </c>
      <c r="E127" s="75">
        <f>D127/$D4126</f>
        <v/>
      </c>
      <c r="F127" s="65">
        <f>D127+'2026 Μάιος'!F127</f>
        <v/>
      </c>
      <c r="G127" s="75">
        <f>F127/$F$117</f>
        <v/>
      </c>
      <c r="H127" s="56">
        <f>ΠΡΟΥΠΟΛΟΓΙΣΜΟΣ_ΕΞΟΔΑ!I346</f>
        <v/>
      </c>
      <c r="I127" s="400">
        <f>H127/$H$117</f>
        <v/>
      </c>
      <c r="J127" s="65">
        <f>H127+'2026 Μάιος'!J127</f>
        <v/>
      </c>
      <c r="K127" s="404">
        <f>J127/$J$117</f>
        <v/>
      </c>
      <c r="L127" s="56">
        <f>'2024_60-69 ΕΞΟΔΑ+ΟΜ 2'!I75</f>
        <v/>
      </c>
      <c r="M127" s="75">
        <f>L127/$L$117</f>
        <v/>
      </c>
      <c r="N127" s="65">
        <f>L127+'2026 Μάιος'!N127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2'!I81</f>
        <v/>
      </c>
      <c r="E128" s="75">
        <f>D128/$D4127</f>
        <v/>
      </c>
      <c r="F128" s="65">
        <f>D128+'2026 Μάιος'!F128</f>
        <v/>
      </c>
      <c r="G128" s="75">
        <f>F128/$F$117</f>
        <v/>
      </c>
      <c r="H128" s="56">
        <f>ΠΡΟΥΠΟΛΟΓΙΣΜΟΣ_ΕΞΟΔΑ!I351</f>
        <v/>
      </c>
      <c r="I128" s="400">
        <f>H128/$H$117</f>
        <v/>
      </c>
      <c r="J128" s="65">
        <f>H128+'2026 Μάιος'!J128</f>
        <v/>
      </c>
      <c r="K128" s="404">
        <f>J128/$J$117</f>
        <v/>
      </c>
      <c r="L128" s="56">
        <f>'2024_60-69 ΕΞΟΔΑ+ΟΜ 2'!I76</f>
        <v/>
      </c>
      <c r="M128" s="75">
        <f>L128/$L$117</f>
        <v/>
      </c>
      <c r="N128" s="65">
        <f>L128+'2026 Μάιος'!N128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2'!I82</f>
        <v/>
      </c>
      <c r="E129" s="75">
        <f>D129/$D4128</f>
        <v/>
      </c>
      <c r="F129" s="65">
        <f>D129+'2026 Μάιος'!F129</f>
        <v/>
      </c>
      <c r="G129" s="75">
        <f>F129/$F$117</f>
        <v/>
      </c>
      <c r="H129" s="56">
        <f>ΠΡΟΥΠΟΛΟΓΙΣΜΟΣ_ΕΞΟΔΑ!I356</f>
        <v/>
      </c>
      <c r="I129" s="400">
        <f>H129/$H$117</f>
        <v/>
      </c>
      <c r="J129" s="65">
        <f>H129+'2026 Μάιος'!J129</f>
        <v/>
      </c>
      <c r="K129" s="404">
        <f>J129/$J$117</f>
        <v/>
      </c>
      <c r="L129" s="56">
        <f>'2024_60-69 ΕΞΟΔΑ+ΟΜ 2'!I77</f>
        <v/>
      </c>
      <c r="M129" s="75">
        <f>L129/$L$117</f>
        <v/>
      </c>
      <c r="N129" s="65">
        <f>L129+'2026 Μάιος'!N129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2'!I83</f>
        <v/>
      </c>
      <c r="E130" s="75">
        <f>D130/$D4129</f>
        <v/>
      </c>
      <c r="F130" s="65">
        <f>D130+'2026 Μάιος'!F130</f>
        <v/>
      </c>
      <c r="G130" s="75">
        <f>F130/$F$117</f>
        <v/>
      </c>
      <c r="H130" s="56">
        <f>ΠΡΟΥΠΟΛΟΓΙΣΜΟΣ_ΕΞΟΔΑ!I361</f>
        <v/>
      </c>
      <c r="I130" s="400">
        <f>H130/$H$117</f>
        <v/>
      </c>
      <c r="J130" s="65">
        <f>H130+'2026 Μάιος'!J130</f>
        <v/>
      </c>
      <c r="K130" s="404">
        <f>J130/$J$117</f>
        <v/>
      </c>
      <c r="L130" s="56">
        <f>'2024_60-69 ΕΞΟΔΑ+ΟΜ 2'!I78</f>
        <v/>
      </c>
      <c r="M130" s="75">
        <f>L130/$L$117</f>
        <v/>
      </c>
      <c r="N130" s="65">
        <f>L130+'2026 Μάιος'!N130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2'!I84</f>
        <v/>
      </c>
      <c r="E131" s="75">
        <f>D131/$D4130</f>
        <v/>
      </c>
      <c r="F131" s="65">
        <f>D131+'2026 Μάιος'!F131</f>
        <v/>
      </c>
      <c r="G131" s="75">
        <f>F131/$F$117</f>
        <v/>
      </c>
      <c r="H131" s="56">
        <f>ΠΡΟΥΠΟΛΟΓΙΣΜΟΣ_ΕΞΟΔΑ!I366</f>
        <v/>
      </c>
      <c r="I131" s="400">
        <f>H131/$H$117</f>
        <v/>
      </c>
      <c r="J131" s="65">
        <f>H131+'2026 Μάιος'!J131</f>
        <v/>
      </c>
      <c r="K131" s="404">
        <f>J131/$J$117</f>
        <v/>
      </c>
      <c r="L131" s="56">
        <f>'2024_60-69 ΕΞΟΔΑ+ΟΜ 2'!I79</f>
        <v/>
      </c>
      <c r="M131" s="75">
        <f>L131/$L$117</f>
        <v/>
      </c>
      <c r="N131" s="65">
        <f>L131+'2026 Μάιος'!N131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2'!I85</f>
        <v/>
      </c>
      <c r="E132" s="75">
        <f>D132/$D4131</f>
        <v/>
      </c>
      <c r="F132" s="65">
        <f>D132+'2026 Μάιος'!F132</f>
        <v/>
      </c>
      <c r="G132" s="75">
        <f>F132/$F$117</f>
        <v/>
      </c>
      <c r="H132" s="56">
        <f>ΠΡΟΥΠΟΛΟΓΙΣΜΟΣ_ΕΞΟΔΑ!I371</f>
        <v/>
      </c>
      <c r="I132" s="400">
        <f>H132/$H$117</f>
        <v/>
      </c>
      <c r="J132" s="65">
        <f>H132+'2026 Μάιος'!J132</f>
        <v/>
      </c>
      <c r="K132" s="404">
        <f>J132/$J$117</f>
        <v/>
      </c>
      <c r="L132" s="56">
        <f>'2024_60-69 ΕΞΟΔΑ+ΟΜ 2'!I80</f>
        <v/>
      </c>
      <c r="M132" s="75">
        <f>L132/$L$117</f>
        <v/>
      </c>
      <c r="N132" s="65">
        <f>L132+'2026 Μάιος'!N132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2'!I86</f>
        <v/>
      </c>
      <c r="E133" s="75">
        <f>D133/$D4132</f>
        <v/>
      </c>
      <c r="F133" s="65">
        <f>D133+'2026 Μάιος'!F133</f>
        <v/>
      </c>
      <c r="G133" s="75">
        <f>F133/$F$117</f>
        <v/>
      </c>
      <c r="H133" s="56">
        <f>ΠΡΟΥΠΟΛΟΓΙΣΜΟΣ_ΕΞΟΔΑ!I376</f>
        <v/>
      </c>
      <c r="I133" s="400">
        <f>H133/$H$117</f>
        <v/>
      </c>
      <c r="J133" s="65">
        <f>H133+'2026 Μάιος'!J133</f>
        <v/>
      </c>
      <c r="K133" s="404">
        <f>J133/$J$117</f>
        <v/>
      </c>
      <c r="L133" s="56">
        <f>'2024_60-69 ΕΞΟΔΑ+ΟΜ 2'!I81</f>
        <v/>
      </c>
      <c r="M133" s="75">
        <f>L133/$L$117</f>
        <v/>
      </c>
      <c r="N133" s="65">
        <f>L133+'2026 Μάιος'!N133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2'!I87</f>
        <v/>
      </c>
      <c r="E134" s="75">
        <f>D134/$D4133</f>
        <v/>
      </c>
      <c r="F134" s="65">
        <f>D134+'2026 Μάιος'!F134</f>
        <v/>
      </c>
      <c r="G134" s="75">
        <f>F134/$F$117</f>
        <v/>
      </c>
      <c r="H134" s="56">
        <f>ΠΡΟΥΠΟΛΟΓΙΣΜΟΣ_ΕΞΟΔΑ!I381</f>
        <v/>
      </c>
      <c r="I134" s="400">
        <f>H134/$H$117</f>
        <v/>
      </c>
      <c r="J134" s="65">
        <f>H134+'2026 Μάιος'!J134</f>
        <v/>
      </c>
      <c r="K134" s="404">
        <f>J134/$J$117</f>
        <v/>
      </c>
      <c r="L134" s="56">
        <f>'2024_60-69 ΕΞΟΔΑ+ΟΜ 2'!I82</f>
        <v/>
      </c>
      <c r="M134" s="75">
        <f>L134/$L$117</f>
        <v/>
      </c>
      <c r="N134" s="65">
        <f>L134+'2026 Μάιος'!N134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2'!I88</f>
        <v/>
      </c>
      <c r="E135" s="75">
        <f>D135/$D4134</f>
        <v/>
      </c>
      <c r="F135" s="65">
        <f>D135+'2026 Μάιος'!F135</f>
        <v/>
      </c>
      <c r="G135" s="75">
        <f>F135/$F$117</f>
        <v/>
      </c>
      <c r="H135" s="56">
        <f>ΠΡΟΥΠΟΛΟΓΙΣΜΟΣ_ΕΞΟΔΑ!I386</f>
        <v/>
      </c>
      <c r="I135" s="400">
        <f>H135/$H$117</f>
        <v/>
      </c>
      <c r="J135" s="65">
        <f>H135+'2026 Μάιος'!J135</f>
        <v/>
      </c>
      <c r="K135" s="404">
        <f>J135/$J$117</f>
        <v/>
      </c>
      <c r="L135" s="56">
        <f>'2024_60-69 ΕΞΟΔΑ+ΟΜ 2'!I83</f>
        <v/>
      </c>
      <c r="M135" s="75">
        <f>L135/$L$117</f>
        <v/>
      </c>
      <c r="N135" s="65">
        <f>L135+'2026 Μάιος'!N135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2'!I89</f>
        <v/>
      </c>
      <c r="E136" s="75">
        <f>D136/$D4135</f>
        <v/>
      </c>
      <c r="F136" s="65">
        <f>D136+'2026 Μάιος'!F136</f>
        <v/>
      </c>
      <c r="G136" s="75">
        <f>F136/$F$117</f>
        <v/>
      </c>
      <c r="H136" s="56">
        <f>ΠΡΟΥΠΟΛΟΓΙΣΜΟΣ_ΕΞΟΔΑ!I391</f>
        <v/>
      </c>
      <c r="I136" s="400">
        <f>H136/$H$117</f>
        <v/>
      </c>
      <c r="J136" s="65">
        <f>H136+'2026 Μάιος'!J136</f>
        <v/>
      </c>
      <c r="K136" s="404">
        <f>J136/$J$117</f>
        <v/>
      </c>
      <c r="L136" s="56">
        <f>'2024_60-69 ΕΞΟΔΑ+ΟΜ 2'!I84</f>
        <v/>
      </c>
      <c r="M136" s="75">
        <f>L136/$L$117</f>
        <v/>
      </c>
      <c r="N136" s="65">
        <f>L136+'2026 Μάιος'!N136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2'!I90</f>
        <v/>
      </c>
      <c r="E137" s="75">
        <f>D137/$D4136</f>
        <v/>
      </c>
      <c r="F137" s="65">
        <f>D137+'2026 Μάιος'!F137</f>
        <v/>
      </c>
      <c r="G137" s="75">
        <f>F137/$F$117</f>
        <v/>
      </c>
      <c r="H137" s="56">
        <f>ΠΡΟΥΠΟΛΟΓΙΣΜΟΣ_ΕΞΟΔΑ!I396</f>
        <v/>
      </c>
      <c r="I137" s="400">
        <f>H137/$H$117</f>
        <v/>
      </c>
      <c r="J137" s="65">
        <f>H137+'2026 Μάιος'!J137</f>
        <v/>
      </c>
      <c r="K137" s="404">
        <f>J137/$J$117</f>
        <v/>
      </c>
      <c r="L137" s="56">
        <f>'2024_60-69 ΕΞΟΔΑ+ΟΜ 2'!I85</f>
        <v/>
      </c>
      <c r="M137" s="75">
        <f>L137/$L$117</f>
        <v/>
      </c>
      <c r="N137" s="65">
        <f>L137+'2026 Μάιος'!N137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2'!I91</f>
        <v/>
      </c>
      <c r="E138" s="75">
        <f>D138/$D4137</f>
        <v/>
      </c>
      <c r="F138" s="65">
        <f>D138+'2026 Μάιος'!F138</f>
        <v/>
      </c>
      <c r="G138" s="75">
        <f>F138/$F$117</f>
        <v/>
      </c>
      <c r="H138" s="56">
        <f>ΠΡΟΥΠΟΛΟΓΙΣΜΟΣ_ΕΞΟΔΑ!I401</f>
        <v/>
      </c>
      <c r="I138" s="400">
        <f>H138/$H$117</f>
        <v/>
      </c>
      <c r="J138" s="65">
        <f>H138+'2026 Μάιος'!J138</f>
        <v/>
      </c>
      <c r="K138" s="404">
        <f>J138/$J$117</f>
        <v/>
      </c>
      <c r="L138" s="56">
        <f>'2024_60-69 ΕΞΟΔΑ+ΟΜ 2'!I86</f>
        <v/>
      </c>
      <c r="M138" s="75">
        <f>L138/$L$117</f>
        <v/>
      </c>
      <c r="N138" s="65">
        <f>L138+'2026 Μάιος'!N138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2'!I92</f>
        <v/>
      </c>
      <c r="E139" s="75">
        <f>D139/$D4138</f>
        <v/>
      </c>
      <c r="F139" s="65">
        <f>D139+'2026 Μάιος'!F139</f>
        <v/>
      </c>
      <c r="G139" s="75">
        <f>F139/$F$117</f>
        <v/>
      </c>
      <c r="H139" s="56">
        <f>ΠΡΟΥΠΟΛΟΓΙΣΜΟΣ_ΕΞΟΔΑ!I406</f>
        <v/>
      </c>
      <c r="I139" s="400">
        <f>H139/$H$117</f>
        <v/>
      </c>
      <c r="J139" s="65">
        <f>H139+'2026 Μάιος'!J139</f>
        <v/>
      </c>
      <c r="K139" s="404">
        <f>J139/$J$117</f>
        <v/>
      </c>
      <c r="L139" s="56">
        <f>'2024_60-69 ΕΞΟΔΑ+ΟΜ 2'!I87</f>
        <v/>
      </c>
      <c r="M139" s="75">
        <f>L139/$L$117</f>
        <v/>
      </c>
      <c r="N139" s="65">
        <f>L139+'2026 Μάιος'!N139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2'!I93</f>
        <v/>
      </c>
      <c r="E140" s="75">
        <f>D140/$D4139</f>
        <v/>
      </c>
      <c r="F140" s="65">
        <f>D140+'2026 Μάιος'!F140</f>
        <v/>
      </c>
      <c r="G140" s="75">
        <f>F140/$F$117</f>
        <v/>
      </c>
      <c r="H140" s="56">
        <f>ΠΡΟΥΠΟΛΟΓΙΣΜΟΣ_ΕΞΟΔΑ!I411</f>
        <v/>
      </c>
      <c r="I140" s="400">
        <f>H140/$H$117</f>
        <v/>
      </c>
      <c r="J140" s="65">
        <f>H140+'2026 Μάιος'!J140</f>
        <v/>
      </c>
      <c r="K140" s="404">
        <f>J140/$J$117</f>
        <v/>
      </c>
      <c r="L140" s="56">
        <f>'2024_60-69 ΕΞΟΔΑ+ΟΜ 2'!I88</f>
        <v/>
      </c>
      <c r="M140" s="75">
        <f>L140/$L$117</f>
        <v/>
      </c>
      <c r="N140" s="65">
        <f>L140+'2026 Μάιος'!N140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2'!I94</f>
        <v/>
      </c>
      <c r="E141" s="75">
        <f>D141/$D4140</f>
        <v/>
      </c>
      <c r="F141" s="65">
        <f>D141+'2026 Μάιος'!F141</f>
        <v/>
      </c>
      <c r="G141" s="75">
        <f>F141/$F$117</f>
        <v/>
      </c>
      <c r="H141" s="56">
        <f>ΠΡΟΥΠΟΛΟΓΙΣΜΟΣ_ΕΞΟΔΑ!I416</f>
        <v/>
      </c>
      <c r="I141" s="400">
        <f>H141/$H$117</f>
        <v/>
      </c>
      <c r="J141" s="65">
        <f>H141+'2026 Μάιος'!J141</f>
        <v/>
      </c>
      <c r="K141" s="404">
        <f>J141/$J$117</f>
        <v/>
      </c>
      <c r="L141" s="56">
        <f>'2024_60-69 ΕΞΟΔΑ+ΟΜ 2'!I89</f>
        <v/>
      </c>
      <c r="M141" s="75">
        <f>L141/$L$117</f>
        <v/>
      </c>
      <c r="N141" s="65">
        <f>L141+'2026 Μάιος'!N141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2'!I95</f>
        <v/>
      </c>
      <c r="E142" s="75">
        <f>D142/$D4141</f>
        <v/>
      </c>
      <c r="F142" s="65">
        <f>D142+'2026 Μάιος'!F142</f>
        <v/>
      </c>
      <c r="G142" s="75">
        <f>F142/$F$117</f>
        <v/>
      </c>
      <c r="H142" s="56">
        <f>ΠΡΟΥΠΟΛΟΓΙΣΜΟΣ_ΕΞΟΔΑ!I421</f>
        <v/>
      </c>
      <c r="I142" s="400">
        <f>H142/$H$117</f>
        <v/>
      </c>
      <c r="J142" s="65">
        <f>H142+'2026 Μάιος'!J142</f>
        <v/>
      </c>
      <c r="K142" s="404">
        <f>J142/$J$117</f>
        <v/>
      </c>
      <c r="L142" s="56">
        <f>'2024_60-69 ΕΞΟΔΑ+ΟΜ 2'!I90</f>
        <v/>
      </c>
      <c r="M142" s="75">
        <f>L142/$L$117</f>
        <v/>
      </c>
      <c r="N142" s="65">
        <f>L142+'2026 Μάιος'!N142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2'!I96</f>
        <v/>
      </c>
      <c r="E143" s="75">
        <f>D143/$D4142</f>
        <v/>
      </c>
      <c r="F143" s="65">
        <f>D143+'2026 Μάιος'!F143</f>
        <v/>
      </c>
      <c r="G143" s="75">
        <f>F143/$F$117</f>
        <v/>
      </c>
      <c r="H143" s="56">
        <f>ΠΡΟΥΠΟΛΟΓΙΣΜΟΣ_ΕΞΟΔΑ!I426</f>
        <v/>
      </c>
      <c r="I143" s="400">
        <f>H143/$H$117</f>
        <v/>
      </c>
      <c r="J143" s="65">
        <f>H143+'2026 Μάιος'!J143</f>
        <v/>
      </c>
      <c r="K143" s="404">
        <f>J143/$J$117</f>
        <v/>
      </c>
      <c r="L143" s="56">
        <f>'2024_60-69 ΕΞΟΔΑ+ΟΜ 2'!I91</f>
        <v/>
      </c>
      <c r="M143" s="75">
        <f>L143/$L$117</f>
        <v/>
      </c>
      <c r="N143" s="65">
        <f>L143+'2026 Μάιος'!N143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2'!I97</f>
        <v/>
      </c>
      <c r="E144" s="75">
        <f>D144/$D4143</f>
        <v/>
      </c>
      <c r="F144" s="65">
        <f>D144+'2026 Μάιος'!F144</f>
        <v/>
      </c>
      <c r="G144" s="75">
        <f>F144/$F$117</f>
        <v/>
      </c>
      <c r="H144" s="56">
        <f>ΠΡΟΥΠΟΛΟΓΙΣΜΟΣ_ΕΞΟΔΑ!I431</f>
        <v/>
      </c>
      <c r="I144" s="400">
        <f>H144/$H$117</f>
        <v/>
      </c>
      <c r="J144" s="65">
        <f>H144+'2026 Μάιος'!J144</f>
        <v/>
      </c>
      <c r="K144" s="404">
        <f>J144/$J$117</f>
        <v/>
      </c>
      <c r="L144" s="56">
        <f>'2024_60-69 ΕΞΟΔΑ+ΟΜ 2'!I92</f>
        <v/>
      </c>
      <c r="M144" s="75">
        <f>L144/$L$117</f>
        <v/>
      </c>
      <c r="N144" s="65">
        <f>L144+'2026 Μάιος'!N144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2'!I98</f>
        <v/>
      </c>
      <c r="E145" s="75">
        <f>D145/$D4144</f>
        <v/>
      </c>
      <c r="F145" s="65">
        <f>D145+'2026 Μάιος'!F145</f>
        <v/>
      </c>
      <c r="G145" s="75">
        <f>F145/$F$117</f>
        <v/>
      </c>
      <c r="H145" s="56">
        <f>ΠΡΟΥΠΟΛΟΓΙΣΜΟΣ_ΕΞΟΔΑ!I436</f>
        <v/>
      </c>
      <c r="I145" s="400">
        <f>H145/$H$117</f>
        <v/>
      </c>
      <c r="J145" s="65">
        <f>H145+'2026 Μάιος'!J145</f>
        <v/>
      </c>
      <c r="K145" s="404">
        <f>J145/$J$117</f>
        <v/>
      </c>
      <c r="L145" s="56">
        <f>'2024_60-69 ΕΞΟΔΑ+ΟΜ 2'!I93</f>
        <v/>
      </c>
      <c r="M145" s="75">
        <f>L145/$L$117</f>
        <v/>
      </c>
      <c r="N145" s="65">
        <f>L145+'2026 Μάιος'!N145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2'!I99</f>
        <v/>
      </c>
      <c r="E146" s="75">
        <f>D146/$D4145</f>
        <v/>
      </c>
      <c r="F146" s="65">
        <f>D146+'2026 Μάιος'!F146</f>
        <v/>
      </c>
      <c r="G146" s="75">
        <f>F146/$F$117</f>
        <v/>
      </c>
      <c r="H146" s="56">
        <f>ΠΡΟΥΠΟΛΟΓΙΣΜΟΣ_ΕΞΟΔΑ!I441</f>
        <v/>
      </c>
      <c r="I146" s="400">
        <f>H146/$H$117</f>
        <v/>
      </c>
      <c r="J146" s="65">
        <f>H146+'2026 Μάιος'!J146</f>
        <v/>
      </c>
      <c r="K146" s="404">
        <f>J146/$J$117</f>
        <v/>
      </c>
      <c r="L146" s="56">
        <f>'2024_60-69 ΕΞΟΔΑ+ΟΜ 2'!I94</f>
        <v/>
      </c>
      <c r="M146" s="75">
        <f>L146/$L$117</f>
        <v/>
      </c>
      <c r="N146" s="65">
        <f>L146+'2026 Μάιος'!N146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2'!I100</f>
        <v/>
      </c>
      <c r="E147" s="75">
        <f>D147/$D4146</f>
        <v/>
      </c>
      <c r="F147" s="65">
        <f>D147+'2026 Μάιος'!F147</f>
        <v/>
      </c>
      <c r="G147" s="75">
        <f>F147/$F$117</f>
        <v/>
      </c>
      <c r="H147" s="56">
        <f>ΠΡΟΥΠΟΛΟΓΙΣΜΟΣ_ΕΞΟΔΑ!I446</f>
        <v/>
      </c>
      <c r="I147" s="400">
        <f>H147/$H$117</f>
        <v/>
      </c>
      <c r="J147" s="65">
        <f>H147+'2026 Μάιος'!J147</f>
        <v/>
      </c>
      <c r="K147" s="404">
        <f>J147/$J$117</f>
        <v/>
      </c>
      <c r="L147" s="56">
        <f>'2024_60-69 ΕΞΟΔΑ+ΟΜ 2'!I95</f>
        <v/>
      </c>
      <c r="M147" s="75">
        <f>L147/$L$117</f>
        <v/>
      </c>
      <c r="N147" s="65">
        <f>L147+'2026 Μάιος'!N147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2'!I101</f>
        <v/>
      </c>
      <c r="E148" s="75">
        <f>D148/$D4147</f>
        <v/>
      </c>
      <c r="F148" s="65">
        <f>D148+'2026 Μάιος'!F148</f>
        <v/>
      </c>
      <c r="G148" s="75">
        <f>F148/$F$117</f>
        <v/>
      </c>
      <c r="H148" s="56">
        <f>ΠΡΟΥΠΟΛΟΓΙΣΜΟΣ_ΕΞΟΔΑ!I451</f>
        <v/>
      </c>
      <c r="I148" s="400">
        <f>H148/$H$117</f>
        <v/>
      </c>
      <c r="J148" s="65">
        <f>H148+'2026 Μάιος'!J148</f>
        <v/>
      </c>
      <c r="K148" s="404">
        <f>J148/$J$117</f>
        <v/>
      </c>
      <c r="L148" s="56">
        <f>'2024_60-69 ΕΞΟΔΑ+ΟΜ 2'!I96</f>
        <v/>
      </c>
      <c r="M148" s="75">
        <f>L148/$L$117</f>
        <v/>
      </c>
      <c r="N148" s="65">
        <f>L148+'2026 Μάιος'!N148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2'!I102</f>
        <v/>
      </c>
      <c r="E149" s="75">
        <f>D149/$D4148</f>
        <v/>
      </c>
      <c r="F149" s="65">
        <f>D149+'2026 Μάιος'!F149</f>
        <v/>
      </c>
      <c r="G149" s="75">
        <f>F149/$F$117</f>
        <v/>
      </c>
      <c r="H149" s="56">
        <f>ΠΡΟΥΠΟΛΟΓΙΣΜΟΣ_ΕΞΟΔΑ!I456</f>
        <v/>
      </c>
      <c r="I149" s="400">
        <f>H149/$H$117</f>
        <v/>
      </c>
      <c r="J149" s="65">
        <f>H149+'2026 Μάιος'!J149</f>
        <v/>
      </c>
      <c r="K149" s="404">
        <f>J149/$J$117</f>
        <v/>
      </c>
      <c r="L149" s="56">
        <f>'2024_60-69 ΕΞΟΔΑ+ΟΜ 2'!I97</f>
        <v/>
      </c>
      <c r="M149" s="75">
        <f>L149/$L$117</f>
        <v/>
      </c>
      <c r="N149" s="65">
        <f>L149+'2026 Μάιος'!N149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2'!I103</f>
        <v/>
      </c>
      <c r="E150" s="75">
        <f>D150/$D4149</f>
        <v/>
      </c>
      <c r="F150" s="65">
        <f>D150+'2026 Μάιος'!F150</f>
        <v/>
      </c>
      <c r="G150" s="75">
        <f>F150/$F$117</f>
        <v/>
      </c>
      <c r="H150" s="56">
        <f>ΠΡΟΥΠΟΛΟΓΙΣΜΟΣ_ΕΞΟΔΑ!I461</f>
        <v/>
      </c>
      <c r="I150" s="400">
        <f>H150/$H$117</f>
        <v/>
      </c>
      <c r="J150" s="65">
        <f>H150+'2026 Μάιος'!J150</f>
        <v/>
      </c>
      <c r="K150" s="404">
        <f>J150/$J$117</f>
        <v/>
      </c>
      <c r="L150" s="56">
        <f>'2024_60-69 ΕΞΟΔΑ+ΟΜ 2'!I98</f>
        <v/>
      </c>
      <c r="M150" s="75">
        <f>L150/$L$117</f>
        <v/>
      </c>
      <c r="N150" s="65">
        <f>L150+'2026 Μάιος'!N150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2'!I104</f>
        <v/>
      </c>
      <c r="E151" s="75">
        <f>D151/$D4150</f>
        <v/>
      </c>
      <c r="F151" s="65">
        <f>D151+'2026 Μάιος'!F151</f>
        <v/>
      </c>
      <c r="G151" s="75">
        <f>F151/$F$117</f>
        <v/>
      </c>
      <c r="H151" s="56">
        <f>ΠΡΟΥΠΟΛΟΓΙΣΜΟΣ_ΕΞΟΔΑ!I466</f>
        <v/>
      </c>
      <c r="I151" s="400">
        <f>H151/$H$117</f>
        <v/>
      </c>
      <c r="J151" s="65">
        <f>H151+'2026 Μάιος'!J151</f>
        <v/>
      </c>
      <c r="K151" s="404">
        <f>J151/$J$117</f>
        <v/>
      </c>
      <c r="L151" s="56">
        <f>'2024_60-69 ΕΞΟΔΑ+ΟΜ 2'!I99</f>
        <v/>
      </c>
      <c r="M151" s="75">
        <f>L151/$L$117</f>
        <v/>
      </c>
      <c r="N151" s="65">
        <f>L151+'2026 Μάιος'!N151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2'!I105</f>
        <v/>
      </c>
      <c r="E152" s="75">
        <f>D152/$D4151</f>
        <v/>
      </c>
      <c r="F152" s="65">
        <f>D152+'2026 Μάιος'!F152</f>
        <v/>
      </c>
      <c r="G152" s="75">
        <f>F152/$F$117</f>
        <v/>
      </c>
      <c r="H152" s="56">
        <f>ΠΡΟΥΠΟΛΟΓΙΣΜΟΣ_ΕΞΟΔΑ!I471</f>
        <v/>
      </c>
      <c r="I152" s="400">
        <f>H152/$H$117</f>
        <v/>
      </c>
      <c r="J152" s="65">
        <f>H152+'2026 Μάιος'!J152</f>
        <v/>
      </c>
      <c r="K152" s="404">
        <f>J152/$J$117</f>
        <v/>
      </c>
      <c r="L152" s="56">
        <f>'2024_60-69 ΕΞΟΔΑ+ΟΜ 2'!I100</f>
        <v/>
      </c>
      <c r="M152" s="75">
        <f>L152/$L$117</f>
        <v/>
      </c>
      <c r="N152" s="65">
        <f>L152+'2026 Μάιος'!N152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2'!I106</f>
        <v/>
      </c>
      <c r="E153" s="75">
        <f>D153/$D4152</f>
        <v/>
      </c>
      <c r="F153" s="65">
        <f>D153+'2026 Μάιος'!F153</f>
        <v/>
      </c>
      <c r="G153" s="75">
        <f>F153/$F$117</f>
        <v/>
      </c>
      <c r="H153" s="56">
        <f>ΠΡΟΥΠΟΛΟΓΙΣΜΟΣ_ΕΞΟΔΑ!I476</f>
        <v/>
      </c>
      <c r="I153" s="400">
        <f>H153/$H$117</f>
        <v/>
      </c>
      <c r="J153" s="65">
        <f>H153+'2026 Μάιος'!J153</f>
        <v/>
      </c>
      <c r="K153" s="404">
        <f>J153/$J$117</f>
        <v/>
      </c>
      <c r="L153" s="56">
        <f>'2024_60-69 ΕΞΟΔΑ+ΟΜ 2'!I101</f>
        <v/>
      </c>
      <c r="M153" s="75">
        <f>L153/$L$117</f>
        <v/>
      </c>
      <c r="N153" s="65">
        <f>L153+'2026 Μάιος'!N153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2'!I107</f>
        <v/>
      </c>
      <c r="E154" s="75">
        <f>D154/$D4153</f>
        <v/>
      </c>
      <c r="F154" s="65">
        <f>D154+'2026 Μάιος'!F154</f>
        <v/>
      </c>
      <c r="G154" s="75">
        <f>F154/$F$117</f>
        <v/>
      </c>
      <c r="H154" s="56">
        <f>ΠΡΟΥΠΟΛΟΓΙΣΜΟΣ_ΕΞΟΔΑ!I481</f>
        <v/>
      </c>
      <c r="I154" s="400">
        <f>H154/$H$117</f>
        <v/>
      </c>
      <c r="J154" s="65">
        <f>H154+'2026 Μάιος'!J154</f>
        <v/>
      </c>
      <c r="K154" s="404">
        <f>J154/$J$117</f>
        <v/>
      </c>
      <c r="L154" s="56">
        <f>'2024_60-69 ΕΞΟΔΑ+ΟΜ 2'!I102</f>
        <v/>
      </c>
      <c r="M154" s="75">
        <f>L154/$L$117</f>
        <v/>
      </c>
      <c r="N154" s="65">
        <f>L154+'2026 Μάιος'!N154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2'!I108</f>
        <v/>
      </c>
      <c r="E155" s="75">
        <f>D155/$D$117</f>
        <v/>
      </c>
      <c r="F155" s="65">
        <f>D155+'2026 Μάιος'!F155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2'!I70</f>
        <v/>
      </c>
      <c r="E158" s="81" t="n"/>
      <c r="F158" s="64">
        <f>'2026_60-69 ΕΞΟΔΑ+ΟΜ 2'!V70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0"/>
  <sheetViews>
    <sheetView tabSelected="1"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ΑΝΤΙΣΤΟΙΧΙΣΗ!$F$112</f>
        <v/>
      </c>
      <c r="E3" s="551" t="n"/>
      <c r="F3" s="550" t="n"/>
      <c r="G3" s="107">
        <f>ΑΝΤΙΣΤΟΙΧΙΣΗ!$D$34</f>
        <v/>
      </c>
      <c r="H3" s="549">
        <f>ΑΝΤΙΣΤΟΙΧΙΣΗ!$F$112</f>
        <v/>
      </c>
      <c r="I3" s="551" t="n"/>
      <c r="J3" s="550" t="n"/>
      <c r="K3" s="107">
        <f>ΑΝΤΙΣΤΟΙΧΙΣΗ!$D$34</f>
        <v/>
      </c>
      <c r="L3" s="549">
        <f>ΑΝΤΙΣΤΟΙΧΙΣΗ!$F$126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'2026_ΕΣΟΔΑ'!I2</f>
        <v/>
      </c>
      <c r="E8" s="53">
        <f>D8/$D$7</f>
        <v/>
      </c>
      <c r="F8" s="54">
        <f>D8+'2026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H8+'2026 Ιούνιος'!J8</f>
        <v/>
      </c>
      <c r="K8" s="53">
        <f>J8/$J$7</f>
        <v/>
      </c>
      <c r="L8" s="89">
        <f>'2024_60-69 ΕΞΟΔΑ+ΟΜ 2'!I114</f>
        <v/>
      </c>
      <c r="M8" s="53">
        <f>L8/$L$7</f>
        <v/>
      </c>
      <c r="N8" s="54">
        <f>L8+'2026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'2026_ΕΣΟΔΑ'!I3</f>
        <v/>
      </c>
      <c r="E9" s="53">
        <f>D9/$D$7</f>
        <v/>
      </c>
      <c r="F9" s="54">
        <f>D9+'2026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H9+'2026 Ιούνιος'!J9</f>
        <v/>
      </c>
      <c r="K9" s="53">
        <f>J9/$J$7</f>
        <v/>
      </c>
      <c r="L9" s="89">
        <f>'2024_60-69 ΕΞΟΔΑ+ΟΜ 2'!I115</f>
        <v/>
      </c>
      <c r="M9" s="53">
        <f>L9/$L$7</f>
        <v/>
      </c>
      <c r="N9" s="54">
        <f>L9+'2026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'2026_ΕΣΟΔΑ'!I4</f>
        <v/>
      </c>
      <c r="E10" s="53">
        <f>D10/$D$7</f>
        <v/>
      </c>
      <c r="F10" s="54">
        <f>D10+'2026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H10+'2026 Ιούνιος'!J10</f>
        <v/>
      </c>
      <c r="K10" s="53">
        <f>J10/$J$7</f>
        <v/>
      </c>
      <c r="L10" s="89">
        <f>'2024_60-69 ΕΞΟΔΑ+ΟΜ 2'!I116</f>
        <v/>
      </c>
      <c r="M10" s="53">
        <f>L10/$L$7</f>
        <v/>
      </c>
      <c r="N10" s="54">
        <f>L10+'2026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'2026_ΕΣΟΔΑ'!I5</f>
        <v/>
      </c>
      <c r="E11" s="53">
        <f>D11/$D$7</f>
        <v/>
      </c>
      <c r="F11" s="54">
        <f>D11+'2026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H11+'2026 Ιούνιος'!J11</f>
        <v/>
      </c>
      <c r="K11" s="53">
        <f>J11/$J$7</f>
        <v/>
      </c>
      <c r="L11" s="89">
        <f>'2024_60-69 ΕΞΟΔΑ+ΟΜ 2'!I117</f>
        <v/>
      </c>
      <c r="M11" s="53">
        <f>L11/$L$7</f>
        <v/>
      </c>
      <c r="N11" s="54">
        <f>L11+'2026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'2026_ΕΣΟΔΑ'!I6</f>
        <v/>
      </c>
      <c r="E12" s="53">
        <f>D12/$D$7</f>
        <v/>
      </c>
      <c r="F12" s="54">
        <f>D12+'2026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H12+'2026 Ιούνιος'!J12</f>
        <v/>
      </c>
      <c r="K12" s="53">
        <f>J12/$J$7</f>
        <v/>
      </c>
      <c r="L12" s="89">
        <f>'2024_60-69 ΕΞΟΔΑ+ΟΜ 2'!I118</f>
        <v/>
      </c>
      <c r="M12" s="53">
        <f>L12/$L$7</f>
        <v/>
      </c>
      <c r="N12" s="54">
        <f>L12+'2026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'2026_ΕΣΟΔΑ'!I7</f>
        <v/>
      </c>
      <c r="E13" s="53">
        <f>D13/$D$7</f>
        <v/>
      </c>
      <c r="F13" s="54">
        <f>D13+'2026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H13+'2026 Ιούνιος'!J13</f>
        <v/>
      </c>
      <c r="K13" s="53">
        <f>J13/$J$7</f>
        <v/>
      </c>
      <c r="L13" s="89">
        <f>'2024_60-69 ΕΞΟΔΑ+ΟΜ 2'!I119</f>
        <v/>
      </c>
      <c r="M13" s="53">
        <f>L13/$L$7</f>
        <v/>
      </c>
      <c r="N13" s="54">
        <f>L13+'2026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'2026_ΕΣΟΔΑ'!I8</f>
        <v/>
      </c>
      <c r="E14" s="53">
        <f>D14/$D$7</f>
        <v/>
      </c>
      <c r="F14" s="54">
        <f>D14+'2026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H14+'2026 Ιούνιος'!J14</f>
        <v/>
      </c>
      <c r="K14" s="53">
        <f>J14/$J$7</f>
        <v/>
      </c>
      <c r="L14" s="89">
        <f>'2024_60-69 ΕΞΟΔΑ+ΟΜ 2'!I120</f>
        <v/>
      </c>
      <c r="M14" s="53">
        <f>L14/$L$7</f>
        <v/>
      </c>
      <c r="N14" s="54">
        <f>L14+'2026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'2026_ΕΣΟΔΑ'!I9</f>
        <v/>
      </c>
      <c r="E15" s="53">
        <f>D15/$D$7</f>
        <v/>
      </c>
      <c r="F15" s="54">
        <f>D15+'2026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H15+'2026 Ιούνιος'!J15</f>
        <v/>
      </c>
      <c r="K15" s="53">
        <f>J15/$J$7</f>
        <v/>
      </c>
      <c r="L15" s="89">
        <f>'2024_60-69 ΕΞΟΔΑ+ΟΜ 2'!I121</f>
        <v/>
      </c>
      <c r="M15" s="53">
        <f>L15/$L$7</f>
        <v/>
      </c>
      <c r="N15" s="54">
        <f>L15+'2026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'2026_ΕΣΟΔΑ'!I10</f>
        <v/>
      </c>
      <c r="E16" s="53">
        <f>D16/$D$7</f>
        <v/>
      </c>
      <c r="F16" s="54">
        <f>D16+'2026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H16+'2026 Ιούνιος'!J16</f>
        <v/>
      </c>
      <c r="K16" s="53">
        <f>J16/$J$7</f>
        <v/>
      </c>
      <c r="L16" s="89">
        <f>'2024_60-69 ΕΞΟΔΑ+ΟΜ 2'!I122</f>
        <v/>
      </c>
      <c r="M16" s="53">
        <f>L16/$L$7</f>
        <v/>
      </c>
      <c r="N16" s="54">
        <f>L16+'2026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'2026_ΕΣΟΔΑ'!I11</f>
        <v/>
      </c>
      <c r="E17" s="53">
        <f>D17/$D$7</f>
        <v/>
      </c>
      <c r="F17" s="54">
        <f>D17+'2026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H17+'2026 Ιούνιος'!J17</f>
        <v/>
      </c>
      <c r="K17" s="53">
        <f>J17/$J$7</f>
        <v/>
      </c>
      <c r="L17" s="89">
        <f>'2024_60-69 ΕΞΟΔΑ+ΟΜ 2'!I123</f>
        <v/>
      </c>
      <c r="M17" s="53">
        <f>L17/$L$7</f>
        <v/>
      </c>
      <c r="N17" s="54">
        <f>L17+'2026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'2026_ΕΣΟΔΑ'!I12</f>
        <v/>
      </c>
      <c r="E18" s="53">
        <f>D18/$D$7</f>
        <v/>
      </c>
      <c r="F18" s="54">
        <f>D18+'2026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H18+'2026 Ιούνιος'!J18</f>
        <v/>
      </c>
      <c r="K18" s="53">
        <f>J18/$J$7</f>
        <v/>
      </c>
      <c r="L18" s="89">
        <f>'2024_60-69 ΕΞΟΔΑ+ΟΜ 2'!I124</f>
        <v/>
      </c>
      <c r="M18" s="53">
        <f>L18/$L$7</f>
        <v/>
      </c>
      <c r="N18" s="54">
        <f>L18+'2026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'2026_ΕΣΟΔΑ'!I13</f>
        <v/>
      </c>
      <c r="E19" s="53">
        <f>D19/$D$7</f>
        <v/>
      </c>
      <c r="F19" s="54">
        <f>D19+'2026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H19+'2026 Ιούνιος'!J19</f>
        <v/>
      </c>
      <c r="K19" s="53">
        <f>J19/$J$7</f>
        <v/>
      </c>
      <c r="L19" s="89">
        <f>'2024_60-69 ΕΞΟΔΑ+ΟΜ 2'!I125</f>
        <v/>
      </c>
      <c r="M19" s="53">
        <f>L19/$L$7</f>
        <v/>
      </c>
      <c r="N19" s="54">
        <f>L19+'2026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'2026_ΕΣΟΔΑ'!I14</f>
        <v/>
      </c>
      <c r="E20" s="53">
        <f>D20/$D$7</f>
        <v/>
      </c>
      <c r="F20" s="54">
        <f>D20+'2026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H20+'2026 Ιούνιος'!J20</f>
        <v/>
      </c>
      <c r="K20" s="53">
        <f>J20/$J$7</f>
        <v/>
      </c>
      <c r="L20" s="89">
        <f>'2024_60-69 ΕΞΟΔΑ+ΟΜ 2'!I126</f>
        <v/>
      </c>
      <c r="M20" s="53">
        <f>L20/$L$7</f>
        <v/>
      </c>
      <c r="N20" s="54">
        <f>L20+'2026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'2026_ΕΣΟΔΑ'!I15</f>
        <v/>
      </c>
      <c r="E21" s="53">
        <f>D21/$D$7</f>
        <v/>
      </c>
      <c r="F21" s="54">
        <f>D21+'2026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H21+'2026 Ιούνιος'!J21</f>
        <v/>
      </c>
      <c r="K21" s="53">
        <f>J21/$J$7</f>
        <v/>
      </c>
      <c r="L21" s="89">
        <f>'2024_60-69 ΕΞΟΔΑ+ΟΜ 2'!I127</f>
        <v/>
      </c>
      <c r="M21" s="53">
        <f>L21/$L$7</f>
        <v/>
      </c>
      <c r="N21" s="54">
        <f>L21+'2026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'2026_ΕΣΟΔΑ'!I16</f>
        <v/>
      </c>
      <c r="E22" s="53">
        <f>D22/$D$7</f>
        <v/>
      </c>
      <c r="F22" s="54">
        <f>D22+'2026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H22+'2026 Ιούνιος'!J22</f>
        <v/>
      </c>
      <c r="K22" s="53">
        <f>J22/$J$7</f>
        <v/>
      </c>
      <c r="L22" s="89">
        <f>'2024_60-69 ΕΞΟΔΑ+ΟΜ 2'!I128</f>
        <v/>
      </c>
      <c r="M22" s="53">
        <f>L22/$L$7</f>
        <v/>
      </c>
      <c r="N22" s="54">
        <f>L22+'2026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'2026_ΕΣΟΔΑ'!I17</f>
        <v/>
      </c>
      <c r="E23" s="53">
        <f>D23/$D$7</f>
        <v/>
      </c>
      <c r="F23" s="54">
        <f>D23+'2026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H23+'2026 Ιούνιος'!J23</f>
        <v/>
      </c>
      <c r="K23" s="53">
        <f>J23/$J$7</f>
        <v/>
      </c>
      <c r="L23" s="89">
        <f>'2024_60-69 ΕΞΟΔΑ+ΟΜ 2'!I129</f>
        <v/>
      </c>
      <c r="M23" s="53">
        <f>L23/$L$7</f>
        <v/>
      </c>
      <c r="N23" s="54">
        <f>L23+'2026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'2026_ΕΣΟΔΑ'!I19</f>
        <v/>
      </c>
      <c r="E25" s="53">
        <f>D25/$D$7</f>
        <v/>
      </c>
      <c r="F25" s="54">
        <f>D25+'2026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H25+'2026 Ιούνιος'!J25</f>
        <v/>
      </c>
      <c r="K25" s="53">
        <f>J25/$J$7</f>
        <v/>
      </c>
      <c r="L25" s="89">
        <f>'2024_60-69 ΕΞΟΔΑ+ΟΜ 2'!I130</f>
        <v/>
      </c>
      <c r="M25" s="53">
        <f>L25/$L$7</f>
        <v/>
      </c>
      <c r="N25" s="54">
        <f>L25+'2026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'2026_ΕΣΟΔΑ'!I20</f>
        <v/>
      </c>
      <c r="E26" s="53">
        <f>D26/$D$7</f>
        <v/>
      </c>
      <c r="F26" s="54">
        <f>D26+'2026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H26+'2026 Ιούνιος'!J26</f>
        <v/>
      </c>
      <c r="K26" s="53">
        <f>J26/$J$7</f>
        <v/>
      </c>
      <c r="L26" s="89">
        <f>'2024_60-69 ΕΞΟΔΑ+ΟΜ 2'!I131</f>
        <v/>
      </c>
      <c r="M26" s="53">
        <f>L26/$L$7</f>
        <v/>
      </c>
      <c r="N26" s="54">
        <f>L26+'2026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'2026_ΕΣΟΔΑ'!I21</f>
        <v/>
      </c>
      <c r="E27" s="53">
        <f>D27/$D$7</f>
        <v/>
      </c>
      <c r="F27" s="54">
        <f>D27+'2026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H27+'2026 Ιούνιος'!J27</f>
        <v/>
      </c>
      <c r="K27" s="53">
        <f>J27/$J$7</f>
        <v/>
      </c>
      <c r="L27" s="89">
        <f>'2024_60-69 ΕΞΟΔΑ+ΟΜ 2'!I132</f>
        <v/>
      </c>
      <c r="M27" s="53">
        <f>L27/$L$7</f>
        <v/>
      </c>
      <c r="N27" s="54">
        <f>L27+'2026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'2026_ΕΣΟΔΑ'!I22</f>
        <v/>
      </c>
      <c r="E28" s="53">
        <f>D28/$D$7</f>
        <v/>
      </c>
      <c r="F28" s="54">
        <f>D28+'2026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H28+'2026 Ιούνιος'!J28</f>
        <v/>
      </c>
      <c r="K28" s="53">
        <f>J28/$J$7</f>
        <v/>
      </c>
      <c r="L28" s="89">
        <f>'2024_60-69 ΕΞΟΔΑ+ΟΜ 2'!I133</f>
        <v/>
      </c>
      <c r="M28" s="53">
        <f>L28/$L$7</f>
        <v/>
      </c>
      <c r="N28" s="54">
        <f>L28+'2026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'2026_ΕΣΟΔΑ'!I23</f>
        <v/>
      </c>
      <c r="E29" s="53">
        <f>D29/$D$7</f>
        <v/>
      </c>
      <c r="F29" s="54">
        <f>D29+'2026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H29+'2026 Ιούνιος'!J29</f>
        <v/>
      </c>
      <c r="K29" s="53">
        <f>J29/$J$7</f>
        <v/>
      </c>
      <c r="L29" s="89">
        <f>'2024_60-69 ΕΞΟΔΑ+ΟΜ 2'!I134</f>
        <v/>
      </c>
      <c r="M29" s="53">
        <f>L29/$L$7</f>
        <v/>
      </c>
      <c r="N29" s="54">
        <f>L29+'2026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'2026_ΕΣΟΔΑ'!I24</f>
        <v/>
      </c>
      <c r="E30" s="53">
        <f>D30/$D$7</f>
        <v/>
      </c>
      <c r="F30" s="54">
        <f>D30+'2026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H30+'2026 Ιούνιος'!J30</f>
        <v/>
      </c>
      <c r="K30" s="53">
        <f>J30/$J$7</f>
        <v/>
      </c>
      <c r="L30" s="89">
        <f>'2024_60-69 ΕΞΟΔΑ+ΟΜ 2'!I135</f>
        <v/>
      </c>
      <c r="M30" s="53">
        <f>L30/$L$7</f>
        <v/>
      </c>
      <c r="N30" s="54">
        <f>L30+'2026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'2026_ΕΣΟΔΑ'!I25</f>
        <v/>
      </c>
      <c r="E31" s="53">
        <f>D31/$D$7</f>
        <v/>
      </c>
      <c r="F31" s="54">
        <f>D31+'2026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H31+'2026 Ιούνιος'!J31</f>
        <v/>
      </c>
      <c r="K31" s="53">
        <f>J31/$J$7</f>
        <v/>
      </c>
      <c r="L31" s="89">
        <f>'2024_60-69 ΕΞΟΔΑ+ΟΜ 2'!I136</f>
        <v/>
      </c>
      <c r="M31" s="53">
        <f>L31/$L$7</f>
        <v/>
      </c>
      <c r="N31" s="54">
        <f>L31+'2026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'2026_ΕΣΟΔΑ'!I26</f>
        <v/>
      </c>
      <c r="E32" s="53">
        <f>D32/$D$7</f>
        <v/>
      </c>
      <c r="F32" s="54">
        <f>D32+'2026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H32+'2026 Ιούνιος'!J32</f>
        <v/>
      </c>
      <c r="K32" s="53">
        <f>J32/$J$7</f>
        <v/>
      </c>
      <c r="L32" s="89">
        <f>'2024_60-69 ΕΞΟΔΑ+ΟΜ 2'!I137</f>
        <v/>
      </c>
      <c r="M32" s="53">
        <f>L32/$L$7</f>
        <v/>
      </c>
      <c r="N32" s="54">
        <f>L32+'2026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'2026_ΕΣΟΔΑ'!I27</f>
        <v/>
      </c>
      <c r="E33" s="53">
        <f>D33/$D$7</f>
        <v/>
      </c>
      <c r="F33" s="54">
        <f>D33+'2026 Ιούνιος'!F33</f>
        <v/>
      </c>
      <c r="G33" s="53">
        <f>F33/$F$7</f>
        <v/>
      </c>
      <c r="H33" s="54" t="n"/>
      <c r="I33" s="53">
        <f>H33/$H$7</f>
        <v/>
      </c>
      <c r="J33" s="54">
        <f>H33+'2026 Ιούνιος'!J33</f>
        <v/>
      </c>
      <c r="K33" s="53">
        <f>J33/$J$7</f>
        <v/>
      </c>
      <c r="L33" s="89">
        <f>'2024_60-69 ΕΞΟΔΑ+ΟΜ 2'!I138</f>
        <v/>
      </c>
      <c r="M33" s="53">
        <f>L33/$L$7</f>
        <v/>
      </c>
      <c r="N33" s="54">
        <f>L33+'2026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'2026_ΕΣΟΔΑ'!I28</f>
        <v/>
      </c>
      <c r="E34" s="53">
        <f>D34/$D$7</f>
        <v/>
      </c>
      <c r="F34" s="54">
        <f>D34+'2026 Ιούνιος'!F34</f>
        <v/>
      </c>
      <c r="G34" s="53">
        <f>F34/$F$7</f>
        <v/>
      </c>
      <c r="H34" s="54" t="n"/>
      <c r="I34" s="53">
        <f>H34/$H$7</f>
        <v/>
      </c>
      <c r="J34" s="54">
        <f>H34+'2026 Ιούνιος'!J34</f>
        <v/>
      </c>
      <c r="K34" s="53">
        <f>J34/$J$7</f>
        <v/>
      </c>
      <c r="L34" s="89">
        <f>'2024_60-69 ΕΞΟΔΑ+ΟΜ 2'!I139</f>
        <v/>
      </c>
      <c r="M34" s="53">
        <f>L34/$L$7</f>
        <v/>
      </c>
      <c r="N34" s="54">
        <f>L34+'2026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'2026_ΕΣΟΔΑ'!I29</f>
        <v/>
      </c>
      <c r="E35" s="53">
        <f>D35/$D$7</f>
        <v/>
      </c>
      <c r="F35" s="54">
        <f>D35+'2026 Ιούνιος'!F35</f>
        <v/>
      </c>
      <c r="G35" s="53">
        <f>F35/$F$7</f>
        <v/>
      </c>
      <c r="H35" s="54" t="n"/>
      <c r="I35" s="53">
        <f>H35/$H$7</f>
        <v/>
      </c>
      <c r="J35" s="54">
        <f>H35+'2026 Ιούνιος'!J35</f>
        <v/>
      </c>
      <c r="K35" s="53">
        <f>J35/$J$7</f>
        <v/>
      </c>
      <c r="L35" s="89">
        <f>'2024_60-69 ΕΞΟΔΑ+ΟΜ 2'!I140</f>
        <v/>
      </c>
      <c r="M35" s="53">
        <f>L35/$L$7</f>
        <v/>
      </c>
      <c r="N35" s="54">
        <f>L35+'2026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'2026_ΕΣΟΔΑ'!I30</f>
        <v/>
      </c>
      <c r="E36" s="53">
        <f>D36/$D$7</f>
        <v/>
      </c>
      <c r="F36" s="54">
        <f>D36+'2026 Ιούνιος'!F36</f>
        <v/>
      </c>
      <c r="G36" s="53">
        <f>F36/$F$7</f>
        <v/>
      </c>
      <c r="H36" s="54" t="n"/>
      <c r="I36" s="53">
        <f>H36/$H$7</f>
        <v/>
      </c>
      <c r="J36" s="54">
        <f>H36+'2026 Ιούνιος'!J36</f>
        <v/>
      </c>
      <c r="K36" s="53">
        <f>J36/$J$7</f>
        <v/>
      </c>
      <c r="L36" s="89">
        <f>'2024_60-69 ΕΞΟΔΑ+ΟΜ 2'!I141</f>
        <v/>
      </c>
      <c r="M36" s="53">
        <f>L36/$L$7</f>
        <v/>
      </c>
      <c r="N36" s="54">
        <f>L36+'2026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'2026_ΕΣΟΔΑ'!I31</f>
        <v/>
      </c>
      <c r="E37" s="53">
        <f>D37/$D$7</f>
        <v/>
      </c>
      <c r="F37" s="54">
        <f>D37+'2026 Ιούνιος'!F37</f>
        <v/>
      </c>
      <c r="G37" s="53">
        <f>F37/$F$7</f>
        <v/>
      </c>
      <c r="H37" s="54" t="n"/>
      <c r="I37" s="53">
        <f>H37/$H$7</f>
        <v/>
      </c>
      <c r="J37" s="54">
        <f>H37+'2026 Ιούνιος'!J37</f>
        <v/>
      </c>
      <c r="K37" s="53">
        <f>J37/$J$7</f>
        <v/>
      </c>
      <c r="L37" s="89">
        <f>'2024_60-69 ΕΞΟΔΑ+ΟΜ 2'!I142</f>
        <v/>
      </c>
      <c r="M37" s="53">
        <f>L37/$L$7</f>
        <v/>
      </c>
      <c r="N37" s="54">
        <f>L37+'2026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'2026_ΕΣΟΔΑ'!I32</f>
        <v/>
      </c>
      <c r="E38" s="53">
        <f>D38/$D$7</f>
        <v/>
      </c>
      <c r="F38" s="54">
        <f>D38+'2026 Ιούνιος'!F38</f>
        <v/>
      </c>
      <c r="G38" s="53">
        <f>F38/$F$7</f>
        <v/>
      </c>
      <c r="H38" s="54" t="n"/>
      <c r="I38" s="53">
        <f>H38/$H$7</f>
        <v/>
      </c>
      <c r="J38" s="54">
        <f>H38+'2026 Ιούνιος'!J38</f>
        <v/>
      </c>
      <c r="K38" s="53">
        <f>J38/$J$7</f>
        <v/>
      </c>
      <c r="L38" s="89">
        <f>'2024_60-69 ΕΞΟΔΑ+ΟΜ 2'!I143</f>
        <v/>
      </c>
      <c r="M38" s="53">
        <f>L38/$L$7</f>
        <v/>
      </c>
      <c r="N38" s="54">
        <f>L38+'2026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'2026_ΕΣΟΔΑ'!I33</f>
        <v/>
      </c>
      <c r="E39" s="81" t="n"/>
      <c r="F39" s="64">
        <f>'2026_ΕΣΟΔΑ'!I35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ΑΝΤΙΣΤΟΙΧΙΣΗ!$F$112</f>
        <v/>
      </c>
      <c r="E42" s="551" t="n"/>
      <c r="F42" s="550" t="n"/>
      <c r="G42" s="107">
        <f>ΑΝΤΙΣΤΟΙΧΙΣΗ!$D$34</f>
        <v/>
      </c>
      <c r="H42" s="549">
        <f>ΑΝΤΙΣΤΟΙΧΙΣΗ!$F$112</f>
        <v/>
      </c>
      <c r="I42" s="551" t="n"/>
      <c r="J42" s="550" t="n"/>
      <c r="K42" s="107">
        <f>ΑΝΤΙΣΤΟΙΧΙΣΗ!$D$34</f>
        <v/>
      </c>
      <c r="L42" s="549">
        <f>ΑΝΤΙΣΤΟΙΧΙΣΗ!$F$126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2'!J4</f>
        <v/>
      </c>
      <c r="E45" s="75">
        <f>D45/$D$44</f>
        <v/>
      </c>
      <c r="F45" s="65">
        <f>D45+'2026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H45+'2026 Ιούνιος'!J45</f>
        <v/>
      </c>
      <c r="K45" s="404">
        <f>J45/$J$44</f>
        <v/>
      </c>
      <c r="L45" s="56">
        <f>'2024_60-69 ΕΞΟΔΑ+ΟΜ 2'!J4</f>
        <v/>
      </c>
      <c r="M45" s="75">
        <f>L45/$L$44</f>
        <v/>
      </c>
      <c r="N45" s="65">
        <f>L45+'2026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2'!J5</f>
        <v/>
      </c>
      <c r="E46" s="75">
        <f>D46/$D$44</f>
        <v/>
      </c>
      <c r="F46" s="65">
        <f>D46+'2026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H46+'2026 Ιούνιος'!J46</f>
        <v/>
      </c>
      <c r="K46" s="404">
        <f>J46/$J$44</f>
        <v/>
      </c>
      <c r="L46" s="56">
        <f>'2024_60-69 ΕΞΟΔΑ+ΟΜ 2'!J5</f>
        <v/>
      </c>
      <c r="M46" s="75">
        <f>L46/$L$44</f>
        <v/>
      </c>
      <c r="N46" s="65">
        <f>L46+'2026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2'!J6</f>
        <v/>
      </c>
      <c r="E47" s="75">
        <f>D47/$D$44</f>
        <v/>
      </c>
      <c r="F47" s="65">
        <f>D47+'2026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H47+'2026 Ιούνιος'!J47</f>
        <v/>
      </c>
      <c r="K47" s="404">
        <f>J47/$J$44</f>
        <v/>
      </c>
      <c r="L47" s="56">
        <f>'2024_60-69 ΕΞΟΔΑ+ΟΜ 2'!J6</f>
        <v/>
      </c>
      <c r="M47" s="75">
        <f>L47/$L$44</f>
        <v/>
      </c>
      <c r="N47" s="65">
        <f>L47+'2026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4.9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2'!J7</f>
        <v/>
      </c>
      <c r="E48" s="75">
        <f>D48/$D$85</f>
        <v/>
      </c>
      <c r="F48" s="114">
        <f>'2026 Ιούνιος'!F48+'2026 Ιούλιος'!D48</f>
        <v/>
      </c>
      <c r="G48" s="75">
        <f>F48/$F$85</f>
        <v/>
      </c>
      <c r="H48" s="56">
        <f>ΠΡΟΥΠΟΛΟΓΙΣΜΟΣ_ΕΞΟΔΑ!J167</f>
        <v/>
      </c>
      <c r="I48" s="401">
        <f>H48/$H$85</f>
        <v/>
      </c>
      <c r="J48" s="402">
        <f>H48+'2026 Ιούνιος'!J48</f>
        <v/>
      </c>
      <c r="K48" s="403">
        <f>J48/$J$85</f>
        <v/>
      </c>
      <c r="L48" s="114">
        <f>'2024_60-69 ΕΞΟΔΑ+ΟΜ 2'!J35</f>
        <v/>
      </c>
      <c r="M48" s="75">
        <f>L48/$L$85</f>
        <v/>
      </c>
      <c r="N48" s="65">
        <f>L48+'2026 Ιούνιος'!N48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24.9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2'!J8</f>
        <v/>
      </c>
      <c r="E49" s="75">
        <f>D49/$D$85</f>
        <v/>
      </c>
      <c r="F49" s="114">
        <f>'2026 Ιούνιος'!F49+'2026 Ιούλιος'!D49</f>
        <v/>
      </c>
      <c r="G49" s="75">
        <f>F49/$F$85</f>
        <v/>
      </c>
      <c r="H49" s="56">
        <f>ΠΡΟΥΠΟΛΟΓΙΣΜΟΣ_ΕΞΟΔΑ!J172</f>
        <v/>
      </c>
      <c r="I49" s="401">
        <f>H49/$H$85</f>
        <v/>
      </c>
      <c r="J49" s="402">
        <f>H49+'2026 Ιούνιος'!J49</f>
        <v/>
      </c>
      <c r="K49" s="403">
        <f>J49/$J$85</f>
        <v/>
      </c>
      <c r="L49" s="114">
        <f>'2024_60-69 ΕΞΟΔΑ+ΟΜ 2'!J36</f>
        <v/>
      </c>
      <c r="M49" s="75">
        <f>L49/$L$85</f>
        <v/>
      </c>
      <c r="N49" s="65">
        <f>L49+'2026 Ιούνιος'!N49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1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2'!J9</f>
        <v/>
      </c>
      <c r="E50" s="75">
        <f>D50/$D$44</f>
        <v/>
      </c>
      <c r="F50" s="65">
        <f>D50+'2026 Ιούνιος'!F50</f>
        <v/>
      </c>
      <c r="G50" s="75">
        <f>F50/$F$44</f>
        <v/>
      </c>
      <c r="H50" s="56">
        <f>ΠΡΟΥΠΟΛΟΓΙΣΜΟΣ_ΕΞΟΔΑ!J23</f>
        <v/>
      </c>
      <c r="I50" s="400">
        <f>H50/$H$44</f>
        <v/>
      </c>
      <c r="J50" s="65">
        <f>H50+'2026 Ιούνιος'!J50</f>
        <v/>
      </c>
      <c r="K50" s="404">
        <f>J50/$J$44</f>
        <v/>
      </c>
      <c r="L50" s="56">
        <f>'2024_60-69 ΕΞΟΔΑ+ΟΜ 2'!J7</f>
        <v/>
      </c>
      <c r="M50" s="75">
        <f>L50/$L$44</f>
        <v/>
      </c>
      <c r="N50" s="65">
        <f>L50+'2026 Ιούνιος'!N50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1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2'!J10</f>
        <v/>
      </c>
      <c r="E51" s="75">
        <f>D51/$D$44</f>
        <v/>
      </c>
      <c r="F51" s="65">
        <f>D51+'2026 Ιούνιος'!F51</f>
        <v/>
      </c>
      <c r="G51" s="75">
        <f>F51/$F$44</f>
        <v/>
      </c>
      <c r="H51" s="56">
        <f>ΠΡΟΥΠΟΛΟΓΙΣΜΟΣ_ΕΞΟΔΑ!J28</f>
        <v/>
      </c>
      <c r="I51" s="400">
        <f>H51/$H$44</f>
        <v/>
      </c>
      <c r="J51" s="65">
        <f>H51+'2026 Ιούνιος'!J51</f>
        <v/>
      </c>
      <c r="K51" s="404">
        <f>J51/$J$44</f>
        <v/>
      </c>
      <c r="L51" s="56">
        <f>'2024_60-69 ΕΞΟΔΑ+ΟΜ 2'!J8</f>
        <v/>
      </c>
      <c r="M51" s="75">
        <f>L51/$L$44</f>
        <v/>
      </c>
      <c r="N51" s="65">
        <f>L51+'2026 Ιούνιος'!N51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1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2'!J11</f>
        <v/>
      </c>
      <c r="E52" s="75">
        <f>D52/$D$44</f>
        <v/>
      </c>
      <c r="F52" s="65">
        <f>D52+'2026 Ιούνιος'!F52</f>
        <v/>
      </c>
      <c r="G52" s="75">
        <f>F52/$F$44</f>
        <v/>
      </c>
      <c r="H52" s="56">
        <f>ΠΡΟΥΠΟΛΟΓΙΣΜΟΣ_ΕΞΟΔΑ!J33</f>
        <v/>
      </c>
      <c r="I52" s="400">
        <f>H52/$H$44</f>
        <v/>
      </c>
      <c r="J52" s="65">
        <f>H52+'2026 Ιούνιος'!J52</f>
        <v/>
      </c>
      <c r="K52" s="404">
        <f>J52/$J$44</f>
        <v/>
      </c>
      <c r="L52" s="56">
        <f>'2024_60-69 ΕΞΟΔΑ+ΟΜ 2'!J9</f>
        <v/>
      </c>
      <c r="M52" s="75">
        <f>L52/$L$44</f>
        <v/>
      </c>
      <c r="N52" s="65">
        <f>L52+'2026 Ιούνιος'!N52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4.9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2'!J12</f>
        <v/>
      </c>
      <c r="E53" s="75">
        <f>D53/$D$85</f>
        <v/>
      </c>
      <c r="F53" s="114">
        <f>'2026 Ιούνιος'!F53+'2026 Ιούλιος'!D53</f>
        <v/>
      </c>
      <c r="G53" s="75">
        <f>F53/$F$85</f>
        <v/>
      </c>
      <c r="H53" s="56">
        <f>ΠΡΟΥΠΟΛΟΓΙΣΜΟΣ_ΕΞΟΔΑ!J187</f>
        <v/>
      </c>
      <c r="I53" s="401">
        <f>H53/$H$85</f>
        <v/>
      </c>
      <c r="J53" s="402">
        <f>H53+'2026 Ιούνιος'!J53</f>
        <v/>
      </c>
      <c r="K53" s="403">
        <f>J53/$J$85</f>
        <v/>
      </c>
      <c r="L53" s="114">
        <f>'2024_60-69 ΕΞΟΔΑ+ΟΜ 2'!J39</f>
        <v/>
      </c>
      <c r="M53" s="75">
        <f>L53/$L$85</f>
        <v/>
      </c>
      <c r="N53" s="65">
        <f>L53+'2026 Ιούνιος'!N53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4.9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2'!J13</f>
        <v/>
      </c>
      <c r="E54" s="75">
        <f>D54/$D$85</f>
        <v/>
      </c>
      <c r="F54" s="114">
        <f>'2026 Ιούνιος'!F54+'2026 Ιούλιος'!D54</f>
        <v/>
      </c>
      <c r="G54" s="75">
        <f>F54/$F$85</f>
        <v/>
      </c>
      <c r="H54" s="56">
        <f>ΠΡΟΥΠΟΛΟΓΙΣΜΟΣ_ΕΞΟΔΑ!J192</f>
        <v/>
      </c>
      <c r="I54" s="401">
        <f>H54/$H$85</f>
        <v/>
      </c>
      <c r="J54" s="402">
        <f>H54+'2026 Ιούνιος'!J54</f>
        <v/>
      </c>
      <c r="K54" s="403">
        <f>J54/$J$85</f>
        <v/>
      </c>
      <c r="L54" s="114">
        <f>'2024_60-69 ΕΞΟΔΑ+ΟΜ 2'!J40</f>
        <v/>
      </c>
      <c r="M54" s="75">
        <f>L54/$L$85</f>
        <v/>
      </c>
      <c r="N54" s="65">
        <f>L54+'2026 Ιούνιος'!N54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2'!J14</f>
        <v/>
      </c>
      <c r="E55" s="75">
        <f>D55/$D$44</f>
        <v/>
      </c>
      <c r="F55" s="65">
        <f>D55+'2026 Ιούνιος'!F55</f>
        <v/>
      </c>
      <c r="G55" s="75">
        <f>F55/$F$44</f>
        <v/>
      </c>
      <c r="H55" s="56">
        <f>ΠΡΟΥΠΟΛΟΓΙΣΜΟΣ_ΕΞΟΔΑ!J38</f>
        <v/>
      </c>
      <c r="I55" s="400">
        <f>H55/$H$44</f>
        <v/>
      </c>
      <c r="J55" s="65">
        <f>H55+'2026 Ιούνιος'!J55</f>
        <v/>
      </c>
      <c r="K55" s="404">
        <f>J55/$J$44</f>
        <v/>
      </c>
      <c r="L55" s="56">
        <f>'2024_60-69 ΕΞΟΔΑ+ΟΜ 2'!J10</f>
        <v/>
      </c>
      <c r="M55" s="75">
        <f>L55/$L$44</f>
        <v/>
      </c>
      <c r="N55" s="65">
        <f>L55+'2026 Ιούνιος'!N55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2'!J15</f>
        <v/>
      </c>
      <c r="E56" s="75">
        <f>D56/$D$44</f>
        <v/>
      </c>
      <c r="F56" s="65">
        <f>D56+'2026 Ιούνιος'!F56</f>
        <v/>
      </c>
      <c r="G56" s="75">
        <f>F56/$F$44</f>
        <v/>
      </c>
      <c r="H56" s="56">
        <f>ΠΡΟΥΠΟΛΟΓΙΣΜΟΣ_ΕΞΟΔΑ!J43</f>
        <v/>
      </c>
      <c r="I56" s="400">
        <f>H56/$H$44</f>
        <v/>
      </c>
      <c r="J56" s="65">
        <f>H56+'2026 Ιούνιος'!J56</f>
        <v/>
      </c>
      <c r="K56" s="404">
        <f>J56/$J$44</f>
        <v/>
      </c>
      <c r="L56" s="56">
        <f>'2024_60-69 ΕΞΟΔΑ+ΟΜ 2'!J11</f>
        <v/>
      </c>
      <c r="M56" s="75">
        <f>L56/$L$44</f>
        <v/>
      </c>
      <c r="N56" s="65">
        <f>L56+'2026 Ιούνιος'!N56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2'!J16</f>
        <v/>
      </c>
      <c r="E57" s="75">
        <f>D57/$D$44</f>
        <v/>
      </c>
      <c r="F57" s="65">
        <f>D57+'2026 Ιούνιος'!F57</f>
        <v/>
      </c>
      <c r="G57" s="75">
        <f>F57/$F$44</f>
        <v/>
      </c>
      <c r="H57" s="56">
        <f>ΠΡΟΥΠΟΛΟΓΙΣΜΟΣ_ΕΞΟΔΑ!J48</f>
        <v/>
      </c>
      <c r="I57" s="400">
        <f>H57/$H$44</f>
        <v/>
      </c>
      <c r="J57" s="65">
        <f>H57+'2026 Ιούνιος'!J57</f>
        <v/>
      </c>
      <c r="K57" s="404">
        <f>J57/$J$44</f>
        <v/>
      </c>
      <c r="L57" s="56">
        <f>'2024_60-69 ΕΞΟΔΑ+ΟΜ 2'!J12</f>
        <v/>
      </c>
      <c r="M57" s="75">
        <f>L57/$L$44</f>
        <v/>
      </c>
      <c r="N57" s="65">
        <f>L57+'2026 Ιούνιος'!N57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2'!J17</f>
        <v/>
      </c>
      <c r="E58" s="75">
        <f>D58/$D$44</f>
        <v/>
      </c>
      <c r="F58" s="65">
        <f>D58+'2026 Ιούνιος'!F58</f>
        <v/>
      </c>
      <c r="G58" s="75">
        <f>F58/$F$44</f>
        <v/>
      </c>
      <c r="H58" s="56">
        <f>ΠΡΟΥΠΟΛΟΓΙΣΜΟΣ_ΕΞΟΔΑ!J53</f>
        <v/>
      </c>
      <c r="I58" s="400">
        <f>H58/$H$44</f>
        <v/>
      </c>
      <c r="J58" s="65">
        <f>H58+'2026 Ιούνιος'!J58</f>
        <v/>
      </c>
      <c r="K58" s="404">
        <f>J58/$J$44</f>
        <v/>
      </c>
      <c r="L58" s="56">
        <f>'2024_60-69 ΕΞΟΔΑ+ΟΜ 2'!J13</f>
        <v/>
      </c>
      <c r="M58" s="75">
        <f>L58/$L$44</f>
        <v/>
      </c>
      <c r="N58" s="65">
        <f>L58+'2026 Ιούνιος'!N58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2'!J18</f>
        <v/>
      </c>
      <c r="E59" s="75">
        <f>D59/$D$44</f>
        <v/>
      </c>
      <c r="F59" s="65">
        <f>D59+'2026 Ιούνιος'!F59</f>
        <v/>
      </c>
      <c r="G59" s="75">
        <f>F59/$F$44</f>
        <v/>
      </c>
      <c r="H59" s="56">
        <f>ΠΡΟΥΠΟΛΟΓΙΣΜΟΣ_ΕΞΟΔΑ!J58</f>
        <v/>
      </c>
      <c r="I59" s="400">
        <f>H59/$H$44</f>
        <v/>
      </c>
      <c r="J59" s="65">
        <f>H59+'2026 Ιούνιος'!J59</f>
        <v/>
      </c>
      <c r="K59" s="404">
        <f>J59/$J$44</f>
        <v/>
      </c>
      <c r="L59" s="56">
        <f>'2024_60-69 ΕΞΟΔΑ+ΟΜ 2'!J14</f>
        <v/>
      </c>
      <c r="M59" s="75">
        <f>L59/$L$44</f>
        <v/>
      </c>
      <c r="N59" s="65">
        <f>L59+'2026 Ιούνιος'!N59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2'!J19</f>
        <v/>
      </c>
      <c r="E60" s="75">
        <f>D60/$D$44</f>
        <v/>
      </c>
      <c r="F60" s="65">
        <f>D60+'2026 Ιούνιος'!F60</f>
        <v/>
      </c>
      <c r="G60" s="75">
        <f>F60/$F$44</f>
        <v/>
      </c>
      <c r="H60" s="56">
        <f>ΠΡΟΥΠΟΛΟΓΙΣΜΟΣ_ΕΞΟΔΑ!J63</f>
        <v/>
      </c>
      <c r="I60" s="400">
        <f>H60/$H$44</f>
        <v/>
      </c>
      <c r="J60" s="65">
        <f>H60+'2026 Ιούνιος'!J60</f>
        <v/>
      </c>
      <c r="K60" s="404">
        <f>J60/$J$44</f>
        <v/>
      </c>
      <c r="L60" s="56">
        <f>'2024_60-69 ΕΞΟΔΑ+ΟΜ 2'!J15</f>
        <v/>
      </c>
      <c r="M60" s="75">
        <f>L60/$L$44</f>
        <v/>
      </c>
      <c r="N60" s="65">
        <f>L60+'2026 Ιούνιος'!N60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2'!J20</f>
        <v/>
      </c>
      <c r="E61" s="75">
        <f>D61/$D$44</f>
        <v/>
      </c>
      <c r="F61" s="65">
        <f>D61+'2026 Ιούνιος'!F61</f>
        <v/>
      </c>
      <c r="G61" s="75">
        <f>F61/$F$44</f>
        <v/>
      </c>
      <c r="H61" s="56">
        <f>ΠΡΟΥΠΟΛΟΓΙΣΜΟΣ_ΕΞΟΔΑ!J68</f>
        <v/>
      </c>
      <c r="I61" s="400">
        <f>H61/$H$44</f>
        <v/>
      </c>
      <c r="J61" s="65">
        <f>H61+'2026 Ιούνιος'!J61</f>
        <v/>
      </c>
      <c r="K61" s="404">
        <f>J61/$J$44</f>
        <v/>
      </c>
      <c r="L61" s="56">
        <f>'2024_60-69 ΕΞΟΔΑ+ΟΜ 2'!J16</f>
        <v/>
      </c>
      <c r="M61" s="75">
        <f>L61/$L$44</f>
        <v/>
      </c>
      <c r="N61" s="65">
        <f>L61+'2026 Ιούνιος'!N61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2'!J21</f>
        <v/>
      </c>
      <c r="E62" s="75">
        <f>D62/$D$44</f>
        <v/>
      </c>
      <c r="F62" s="65">
        <f>D62+'2026 Ιούνιος'!F62</f>
        <v/>
      </c>
      <c r="G62" s="75">
        <f>F62/$F$44</f>
        <v/>
      </c>
      <c r="H62" s="56">
        <f>ΠΡΟΥΠΟΛΟΓΙΣΜΟΣ_ΕΞΟΔΑ!J73</f>
        <v/>
      </c>
      <c r="I62" s="400">
        <f>H62/$H$44</f>
        <v/>
      </c>
      <c r="J62" s="65">
        <f>H62+'2026 Ιούνιος'!J62</f>
        <v/>
      </c>
      <c r="K62" s="404">
        <f>J62/$J$44</f>
        <v/>
      </c>
      <c r="L62" s="56">
        <f>'2024_60-69 ΕΞΟΔΑ+ΟΜ 2'!J17</f>
        <v/>
      </c>
      <c r="M62" s="75">
        <f>L62/$L$44</f>
        <v/>
      </c>
      <c r="N62" s="65">
        <f>L62+'2026 Ιούνιος'!N62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2'!J22</f>
        <v/>
      </c>
      <c r="E63" s="75">
        <f>D63/$D$44</f>
        <v/>
      </c>
      <c r="F63" s="65">
        <f>D63+'2026 Ιούνιος'!F63</f>
        <v/>
      </c>
      <c r="G63" s="75">
        <f>F63/$F$44</f>
        <v/>
      </c>
      <c r="H63" s="56">
        <f>ΠΡΟΥΠΟΛΟΓΙΣΜΟΣ_ΕΞΟΔΑ!J78</f>
        <v/>
      </c>
      <c r="I63" s="400">
        <f>H63/$H$44</f>
        <v/>
      </c>
      <c r="J63" s="65">
        <f>H63+'2026 Ιούνιος'!J63</f>
        <v/>
      </c>
      <c r="K63" s="404">
        <f>J63/$J$44</f>
        <v/>
      </c>
      <c r="L63" s="56">
        <f>'2024_60-69 ΕΞΟΔΑ+ΟΜ 2'!J18</f>
        <v/>
      </c>
      <c r="M63" s="75">
        <f>L63/$L$44</f>
        <v/>
      </c>
      <c r="N63" s="65">
        <f>L63+'2026 Ιούνιος'!N63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2'!J23</f>
        <v/>
      </c>
      <c r="E64" s="75">
        <f>D64/$D$44</f>
        <v/>
      </c>
      <c r="F64" s="65">
        <f>D64+'2026 Ιούνιος'!F64</f>
        <v/>
      </c>
      <c r="G64" s="75">
        <f>F64/$F$44</f>
        <v/>
      </c>
      <c r="H64" s="56">
        <f>ΠΡΟΥΠΟΛΟΓΙΣΜΟΣ_ΕΞΟΔΑ!J83</f>
        <v/>
      </c>
      <c r="I64" s="400">
        <f>H64/$H$44</f>
        <v/>
      </c>
      <c r="J64" s="65">
        <f>H64+'2026 Ιούνιος'!J64</f>
        <v/>
      </c>
      <c r="K64" s="404">
        <f>J64/$J$44</f>
        <v/>
      </c>
      <c r="L64" s="56">
        <f>'2024_60-69 ΕΞΟΔΑ+ΟΜ 2'!J19</f>
        <v/>
      </c>
      <c r="M64" s="75">
        <f>L64/$L$44</f>
        <v/>
      </c>
      <c r="N64" s="65">
        <f>L64+'2026 Ιούνιος'!N64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2'!J24</f>
        <v/>
      </c>
      <c r="E65" s="75">
        <f>D65/$D$44</f>
        <v/>
      </c>
      <c r="F65" s="65">
        <f>D65+'2026 Ιούνιος'!F65</f>
        <v/>
      </c>
      <c r="G65" s="75">
        <f>F65/$F$44</f>
        <v/>
      </c>
      <c r="H65" s="56">
        <f>ΠΡΟΥΠΟΛΟΓΙΣΜΟΣ_ΕΞΟΔΑ!J88</f>
        <v/>
      </c>
      <c r="I65" s="400">
        <f>H65/$H$44</f>
        <v/>
      </c>
      <c r="J65" s="65">
        <f>H65+'2026 Ιούνιος'!J65</f>
        <v/>
      </c>
      <c r="K65" s="404">
        <f>J65/$J$44</f>
        <v/>
      </c>
      <c r="L65" s="56">
        <f>'2024_60-69 ΕΞΟΔΑ+ΟΜ 2'!J20</f>
        <v/>
      </c>
      <c r="M65" s="75">
        <f>L65/$L$44</f>
        <v/>
      </c>
      <c r="N65" s="65">
        <f>L65+'2026 Ιούνιος'!N65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2'!J25</f>
        <v/>
      </c>
      <c r="E66" s="75">
        <f>D66/$D$44</f>
        <v/>
      </c>
      <c r="F66" s="65">
        <f>D66+'2026 Ιούνιος'!F66</f>
        <v/>
      </c>
      <c r="G66" s="75">
        <f>F66/$F$44</f>
        <v/>
      </c>
      <c r="H66" s="56">
        <f>ΠΡΟΥΠΟΛΟΓΙΣΜΟΣ_ΕΞΟΔΑ!J93</f>
        <v/>
      </c>
      <c r="I66" s="400">
        <f>H66/$H$44</f>
        <v/>
      </c>
      <c r="J66" s="65">
        <f>H66+'2026 Ιούνιος'!J66</f>
        <v/>
      </c>
      <c r="K66" s="404">
        <f>J66/$J$44</f>
        <v/>
      </c>
      <c r="L66" s="56">
        <f>'2024_60-69 ΕΞΟΔΑ+ΟΜ 2'!J21</f>
        <v/>
      </c>
      <c r="M66" s="75">
        <f>L66/$L$44</f>
        <v/>
      </c>
      <c r="N66" s="65">
        <f>L66+'2026 Ιούνιος'!N66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2'!J26</f>
        <v/>
      </c>
      <c r="E67" s="75">
        <f>D67/$D$44</f>
        <v/>
      </c>
      <c r="F67" s="65">
        <f>D67+'2026 Ιούνιος'!F67</f>
        <v/>
      </c>
      <c r="G67" s="75">
        <f>F67/$F$44</f>
        <v/>
      </c>
      <c r="H67" s="56">
        <f>ΠΡΟΥΠΟΛΟΓΙΣΜΟΣ_ΕΞΟΔΑ!J98</f>
        <v/>
      </c>
      <c r="I67" s="400">
        <f>H67/$H$44</f>
        <v/>
      </c>
      <c r="J67" s="65">
        <f>H67+'2026 Ιούνιος'!J67</f>
        <v/>
      </c>
      <c r="K67" s="404">
        <f>J67/$J$44</f>
        <v/>
      </c>
      <c r="L67" s="56">
        <f>'2024_60-69 ΕΞΟΔΑ+ΟΜ 2'!J22</f>
        <v/>
      </c>
      <c r="M67" s="75">
        <f>L67/$L$44</f>
        <v/>
      </c>
      <c r="N67" s="65">
        <f>L67+'2026 Ιούνιος'!N67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2'!J27</f>
        <v/>
      </c>
      <c r="E68" s="75">
        <f>D68/$D$44</f>
        <v/>
      </c>
      <c r="F68" s="65">
        <f>D68+'2026 Ιούνιος'!F68</f>
        <v/>
      </c>
      <c r="G68" s="75">
        <f>F68/$F$44</f>
        <v/>
      </c>
      <c r="H68" s="56">
        <f>ΠΡΟΥΠΟΛΟΓΙΣΜΟΣ_ΕΞΟΔΑ!J103</f>
        <v/>
      </c>
      <c r="I68" s="400">
        <f>H68/$H$44</f>
        <v/>
      </c>
      <c r="J68" s="65">
        <f>H68+'2026 Ιούνιος'!J68</f>
        <v/>
      </c>
      <c r="K68" s="404">
        <f>J68/$J$44</f>
        <v/>
      </c>
      <c r="L68" s="56">
        <f>'2024_60-69 ΕΞΟΔΑ+ΟΜ 2'!J23</f>
        <v/>
      </c>
      <c r="M68" s="75">
        <f>L68/$L$44</f>
        <v/>
      </c>
      <c r="N68" s="65">
        <f>L68+'2026 Ιούνιος'!N68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28.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2'!J28</f>
        <v/>
      </c>
      <c r="E69" s="75">
        <f>D69/$D$44</f>
        <v/>
      </c>
      <c r="F69" s="65">
        <f>D69+'2026 Ιούνιος'!F69</f>
        <v/>
      </c>
      <c r="G69" s="75">
        <f>F69/$F$44</f>
        <v/>
      </c>
      <c r="H69" s="56">
        <f>ΠΡΟΥΠΟΛΟΓΙΣΜΟΣ_ΕΞΟΔΑ!J108</f>
        <v/>
      </c>
      <c r="I69" s="400">
        <f>H69/$H$44</f>
        <v/>
      </c>
      <c r="J69" s="65">
        <f>H69+'2026 Ιούνιος'!J69</f>
        <v/>
      </c>
      <c r="K69" s="404">
        <f>J69/$J$44</f>
        <v/>
      </c>
      <c r="L69" s="56">
        <f>'2024_60-69 ΕΞΟΔΑ+ΟΜ 2'!J24</f>
        <v/>
      </c>
      <c r="M69" s="75">
        <f>L69/$L$44</f>
        <v/>
      </c>
      <c r="N69" s="65">
        <f>L69+'2026 Ιούνιος'!N69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28.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2'!J29</f>
        <v/>
      </c>
      <c r="E70" s="75">
        <f>D70/$D$44</f>
        <v/>
      </c>
      <c r="F70" s="65">
        <f>D70+'2026 Ιούνιος'!F70</f>
        <v/>
      </c>
      <c r="G70" s="75">
        <f>F70/$F$44</f>
        <v/>
      </c>
      <c r="H70" s="56">
        <f>ΠΡΟΥΠΟΛΟΓΙΣΜΟΣ_ΕΞΟΔΑ!J113</f>
        <v/>
      </c>
      <c r="I70" s="400">
        <f>H70/$H$44</f>
        <v/>
      </c>
      <c r="J70" s="65">
        <f>H70+'2026 Ιούνιος'!J70</f>
        <v/>
      </c>
      <c r="K70" s="404">
        <f>J70/$J$44</f>
        <v/>
      </c>
      <c r="L70" s="56">
        <f>'2024_60-69 ΕΞΟΔΑ+ΟΜ 2'!J25</f>
        <v/>
      </c>
      <c r="M70" s="75">
        <f>L70/$L$44</f>
        <v/>
      </c>
      <c r="N70" s="65">
        <f>L70+'2026 Ιούνιος'!N70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2'!J30</f>
        <v/>
      </c>
      <c r="E71" s="75">
        <f>D71/$D$44</f>
        <v/>
      </c>
      <c r="F71" s="65">
        <f>D71+'2026 Ιούνιος'!F71</f>
        <v/>
      </c>
      <c r="G71" s="75">
        <f>F71/$F$44</f>
        <v/>
      </c>
      <c r="H71" s="56">
        <f>ΠΡΟΥΠΟΛΟΓΙΣΜΟΣ_ΕΞΟΔΑ!J118</f>
        <v/>
      </c>
      <c r="I71" s="400">
        <f>H71/$H$44</f>
        <v/>
      </c>
      <c r="J71" s="65">
        <f>H71+'2026 Ιούνιος'!J71</f>
        <v/>
      </c>
      <c r="K71" s="404">
        <f>J71/$J$44</f>
        <v/>
      </c>
      <c r="L71" s="56">
        <f>'2024_60-69 ΕΞΟΔΑ+ΟΜ 2'!J26</f>
        <v/>
      </c>
      <c r="M71" s="75">
        <f>L71/$L$44</f>
        <v/>
      </c>
      <c r="N71" s="65">
        <f>L71+'2026 Ιούνιος'!N71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28.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2'!J31</f>
        <v/>
      </c>
      <c r="E72" s="75">
        <f>D72/$D$44</f>
        <v/>
      </c>
      <c r="F72" s="65">
        <f>D72+'2026 Ιούνιος'!F72</f>
        <v/>
      </c>
      <c r="G72" s="75">
        <f>F72/$F$44</f>
        <v/>
      </c>
      <c r="H72" s="56">
        <f>ΠΡΟΥΠΟΛΟΓΙΣΜΟΣ_ΕΞΟΔΑ!J123</f>
        <v/>
      </c>
      <c r="I72" s="400">
        <f>H72/$H$44</f>
        <v/>
      </c>
      <c r="J72" s="65">
        <f>H72+'2026 Ιούνιος'!J72</f>
        <v/>
      </c>
      <c r="K72" s="404">
        <f>J72/$J$44</f>
        <v/>
      </c>
      <c r="L72" s="56">
        <f>'2024_60-69 ΕΞΟΔΑ+ΟΜ 2'!J27</f>
        <v/>
      </c>
      <c r="M72" s="75">
        <f>L72/$L$44</f>
        <v/>
      </c>
      <c r="N72" s="65">
        <f>L72+'2026 Ιούνιος'!N72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2'!J32</f>
        <v/>
      </c>
      <c r="E73" s="75">
        <f>D73/$D$44</f>
        <v/>
      </c>
      <c r="F73" s="65">
        <f>D73+'2026 Ιούνιος'!F73</f>
        <v/>
      </c>
      <c r="G73" s="75">
        <f>F73/$F$44</f>
        <v/>
      </c>
      <c r="H73" s="56">
        <f>ΠΡΟΥΠΟΛΟΓΙΣΜΟΣ_ΕΞΟΔΑ!J128</f>
        <v/>
      </c>
      <c r="I73" s="400">
        <f>H73/$H$44</f>
        <v/>
      </c>
      <c r="J73" s="65">
        <f>H73+'2026 Ιούνιος'!J73</f>
        <v/>
      </c>
      <c r="K73" s="404">
        <f>J73/$J$44</f>
        <v/>
      </c>
      <c r="L73" s="56">
        <f>'2024_60-69 ΕΞΟΔΑ+ΟΜ 2'!J28</f>
        <v/>
      </c>
      <c r="M73" s="75">
        <f>L73/$L$44</f>
        <v/>
      </c>
      <c r="N73" s="65">
        <f>L73+'2026 Ιούνιος'!N73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2'!J33</f>
        <v/>
      </c>
      <c r="E74" s="75">
        <f>D74/$D$44</f>
        <v/>
      </c>
      <c r="F74" s="65">
        <f>D74+'2026 Ιούνιος'!F74</f>
        <v/>
      </c>
      <c r="G74" s="75">
        <f>F74/$F$44</f>
        <v/>
      </c>
      <c r="H74" s="56">
        <f>ΠΡΟΥΠΟΛΟΓΙΣΜΟΣ_ΕΞΟΔΑ!J133</f>
        <v/>
      </c>
      <c r="I74" s="400">
        <f>H74/$H$44</f>
        <v/>
      </c>
      <c r="J74" s="65">
        <f>H74+'2026 Ιούνιος'!J74</f>
        <v/>
      </c>
      <c r="K74" s="404">
        <f>J74/$J$44</f>
        <v/>
      </c>
      <c r="L74" s="56">
        <f>'2024_60-69 ΕΞΟΔΑ+ΟΜ 2'!J29</f>
        <v/>
      </c>
      <c r="M74" s="75">
        <f>L74/$L$44</f>
        <v/>
      </c>
      <c r="N74" s="65">
        <f>L74+'2026 Ιούνιος'!N74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Ιούνιος'!F75</f>
        <v/>
      </c>
      <c r="G75" s="75">
        <f>F75/$F$44</f>
        <v/>
      </c>
      <c r="H75" s="56">
        <f>ΠΡΟΥΠΟΛΟΓΙΣΜΟΣ_ΕΞΟΔΑ!J138</f>
        <v/>
      </c>
      <c r="I75" s="400">
        <f>H75/$H$44</f>
        <v/>
      </c>
      <c r="J75" s="65">
        <f>H75+'2026 Ιούνιος'!J75</f>
        <v/>
      </c>
      <c r="K75" s="404">
        <f>J75/$J$44</f>
        <v/>
      </c>
      <c r="L75" s="56">
        <f>'2024_60-69 ΕΞΟΔΑ+ΟΜ 2'!J30</f>
        <v/>
      </c>
      <c r="M75" s="75">
        <f>L75/$L$44</f>
        <v/>
      </c>
      <c r="N75" s="65">
        <f>L75+'2026 Ιούνιος'!N75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2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2'!J35</f>
        <v/>
      </c>
      <c r="E76" s="75">
        <f>D76/$D$44</f>
        <v/>
      </c>
      <c r="F76" s="65">
        <f>D76+'2026 Ιούνιος'!F76</f>
        <v/>
      </c>
      <c r="G76" s="75">
        <f>F76/$D$40</f>
        <v/>
      </c>
      <c r="H76" s="56">
        <f>ΠΡΟΥΠΟΛΟΓΙΣΜΟΣ_ΕΞΟΔΑ!J143</f>
        <v/>
      </c>
      <c r="I76" s="400">
        <f>H76/$H$44</f>
        <v/>
      </c>
      <c r="J76" s="65">
        <f>H76+'2026 Ιούνιος'!J76</f>
        <v/>
      </c>
      <c r="K76" s="404">
        <f>J76/$J$44</f>
        <v/>
      </c>
      <c r="L76" s="56">
        <f>'2024_60-69 ΕΞΟΔΑ+ΟΜ 2'!J31</f>
        <v/>
      </c>
      <c r="M76" s="75">
        <f>L76/$L$44</f>
        <v/>
      </c>
      <c r="N76" s="65">
        <f>L76+'2026 Ιούνιος'!N76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2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2'!J36</f>
        <v/>
      </c>
      <c r="E77" s="75">
        <f>D77/$D$44</f>
        <v/>
      </c>
      <c r="F77" s="65">
        <f>D77+'2026 Ιούνιος'!F77</f>
        <v/>
      </c>
      <c r="G77" s="75">
        <f>F77/$D$40</f>
        <v/>
      </c>
      <c r="H77" s="56">
        <f>ΠΡΟΥΠΟΛΟΓΙΣΜΟΣ_ΕΞΟΔΑ!J148</f>
        <v/>
      </c>
      <c r="I77" s="400">
        <f>H77/$H$44</f>
        <v/>
      </c>
      <c r="J77" s="65">
        <f>H77+'2026 Ιούνιος'!J77</f>
        <v/>
      </c>
      <c r="K77" s="404">
        <f>J77/$J$44</f>
        <v/>
      </c>
      <c r="L77" s="56">
        <f>'2024_60-69 ΕΞΟΔΑ+ΟΜ 2'!J32</f>
        <v/>
      </c>
      <c r="M77" s="75">
        <f>L77/$L$44</f>
        <v/>
      </c>
      <c r="N77" s="65">
        <f>L77+'2026 Ιούνιος'!N77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2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2'!J37</f>
        <v/>
      </c>
      <c r="E78" s="75">
        <f>D78/$D$44</f>
        <v/>
      </c>
      <c r="F78" s="65">
        <f>D78+'2026 Ιούνιος'!F78</f>
        <v/>
      </c>
      <c r="G78" s="75">
        <f>F78/$D$40</f>
        <v/>
      </c>
      <c r="H78" s="56">
        <f>ΠΡΟΥΠΟΛΟΓΙΣΜΟΣ_ΕΞΟΔΑ!J153</f>
        <v/>
      </c>
      <c r="I78" s="400">
        <f>H78/$H$44</f>
        <v/>
      </c>
      <c r="J78" s="65">
        <f>H78+'2026 Ιούνιος'!J78</f>
        <v/>
      </c>
      <c r="K78" s="404">
        <f>J78/$J$44</f>
        <v/>
      </c>
      <c r="L78" s="56">
        <f>'2024_60-69 ΕΞΟΔΑ+ΟΜ 2'!J33</f>
        <v/>
      </c>
      <c r="M78" s="75">
        <f>L78/$L$44</f>
        <v/>
      </c>
      <c r="N78" s="65">
        <f>L78+'2026 Ιούνιος'!N78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42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2'!J3</f>
        <v/>
      </c>
      <c r="E79" s="297" t="n"/>
      <c r="F79" s="64">
        <f>'2026_60-69 ΕΞΟΔΑ+ΟΜ 2'!W3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ΑΝΤΙΣΤΟΙΧΙΣΗ!$F$112</f>
        <v/>
      </c>
      <c r="E83" s="551" t="n"/>
      <c r="F83" s="550" t="n"/>
      <c r="G83" s="107">
        <f>ΑΝΤΙΣΤΟΙΧΙΣΗ!$D$34</f>
        <v/>
      </c>
      <c r="H83" s="549">
        <f>ΑΝΤΙΣΤΟΙΧΙΣΗ!$F$112</f>
        <v/>
      </c>
      <c r="I83" s="551" t="n"/>
      <c r="J83" s="550" t="n"/>
      <c r="K83" s="107">
        <f>ΑΝΤΙΣΤΟΙΧΙΣΗ!$D$34</f>
        <v/>
      </c>
      <c r="L83" s="549">
        <f>ΑΝΤΙΣΤΟΙΧΙΣΗ!$F$126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7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4.9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2'!J41</f>
        <v/>
      </c>
      <c r="E86" s="75">
        <f>D86/$D$85</f>
        <v/>
      </c>
      <c r="F86" s="114">
        <f>'2026 Ιούνιος'!F86+'2026 Ιούλιος'!D86</f>
        <v/>
      </c>
      <c r="G86" s="75">
        <f>F86/$F$85</f>
        <v/>
      </c>
      <c r="H86" s="56">
        <f>ΠΡΟΥΠΟΛΟΓΙΣΜΟΣ_ΕΞΟΔΑ!J177</f>
        <v/>
      </c>
      <c r="I86" s="401">
        <f>H86/$H$85</f>
        <v/>
      </c>
      <c r="J86" s="402">
        <f>H86+'2026 Ιούνιος'!J86</f>
        <v/>
      </c>
      <c r="K86" s="403">
        <f>J86/$J$85</f>
        <v/>
      </c>
      <c r="L86" s="114">
        <f>'2024_60-69 ΕΞΟΔΑ+ΟΜ 2'!J37</f>
        <v/>
      </c>
      <c r="M86" s="75">
        <f>L86/$L$85</f>
        <v/>
      </c>
      <c r="N86" s="65">
        <f>L86+'2026 Ιούνιος'!N86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4.9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2'!J42</f>
        <v/>
      </c>
      <c r="E87" s="75">
        <f>D87/$D$85</f>
        <v/>
      </c>
      <c r="F87" s="114">
        <f>'2026 Ιούνιος'!F87+'2026 Ιούλιος'!D87</f>
        <v/>
      </c>
      <c r="G87" s="75">
        <f>F87/$F$85</f>
        <v/>
      </c>
      <c r="H87" s="56">
        <f>ΠΡΟΥΠΟΛΟΓΙΣΜΟΣ_ΕΞΟΔΑ!J182</f>
        <v/>
      </c>
      <c r="I87" s="401">
        <f>H87/$H$85</f>
        <v/>
      </c>
      <c r="J87" s="402">
        <f>H87+'2026 Ιούνιος'!J87</f>
        <v/>
      </c>
      <c r="K87" s="403">
        <f>J87/$J$85</f>
        <v/>
      </c>
      <c r="L87" s="114">
        <f>'2024_60-69 ΕΞΟΔΑ+ΟΜ 2'!J38</f>
        <v/>
      </c>
      <c r="M87" s="75">
        <f>L87/$L$85</f>
        <v/>
      </c>
      <c r="N87" s="65">
        <f>L87+'2026 Ιούνιος'!N87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4.9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2'!J43</f>
        <v/>
      </c>
      <c r="E88" s="75">
        <f>D88/$D$85</f>
        <v/>
      </c>
      <c r="F88" s="114">
        <f>'2026 Ιούνιος'!F88+'2026 Ιούλιος'!D88</f>
        <v/>
      </c>
      <c r="G88" s="75">
        <f>F88/$F$85</f>
        <v/>
      </c>
      <c r="H88" s="56">
        <f>ΠΡΟΥΠΟΛΟΓΙΣΜΟΣ_ΕΞΟΔΑ!J197</f>
        <v/>
      </c>
      <c r="I88" s="401">
        <f>H88/$H$85</f>
        <v/>
      </c>
      <c r="J88" s="402">
        <f>H88+'2026 Ιούνιος'!J88</f>
        <v/>
      </c>
      <c r="K88" s="403">
        <f>J88/$J$85</f>
        <v/>
      </c>
      <c r="L88" s="114">
        <f>'2024_60-69 ΕΞΟΔΑ+ΟΜ 2'!J41</f>
        <v/>
      </c>
      <c r="M88" s="75">
        <f>L88/$L$85</f>
        <v/>
      </c>
      <c r="N88" s="65">
        <f>L88+'2026 Ιούνιος'!N88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4.9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2'!J44</f>
        <v/>
      </c>
      <c r="E89" s="75">
        <f>D89/$D$85</f>
        <v/>
      </c>
      <c r="F89" s="114">
        <f>'2026 Ιούνιος'!F89+'2026 Ιούλιος'!D89</f>
        <v/>
      </c>
      <c r="G89" s="75">
        <f>F89/$F$85</f>
        <v/>
      </c>
      <c r="H89" s="56">
        <f>ΠΡΟΥΠΟΛΟΓΙΣΜΟΣ_ΕΞΟΔΑ!J202</f>
        <v/>
      </c>
      <c r="I89" s="401">
        <f>H89/$H$85</f>
        <v/>
      </c>
      <c r="J89" s="402">
        <f>H89+'2026 Ιούνιος'!J89</f>
        <v/>
      </c>
      <c r="K89" s="403">
        <f>J89/$J$85</f>
        <v/>
      </c>
      <c r="L89" s="114">
        <f>'2024_60-69 ΕΞΟΔΑ+ΟΜ 2'!J42</f>
        <v/>
      </c>
      <c r="M89" s="75">
        <f>L89/$L$85</f>
        <v/>
      </c>
      <c r="N89" s="65">
        <f>L89+'2026 Ιούνιος'!N89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4.9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2'!J45</f>
        <v/>
      </c>
      <c r="E90" s="75">
        <f>D90/$D$85</f>
        <v/>
      </c>
      <c r="F90" s="114">
        <f>'2026 Ιούνιος'!F90+'2026 Ιούλιος'!D90</f>
        <v/>
      </c>
      <c r="G90" s="75">
        <f>F90/$F$85</f>
        <v/>
      </c>
      <c r="H90" s="399">
        <f>ΠΡΟΥΠΟΛΟΓΙΣΜΟΣ_ΕΞΟΔΑ!J207</f>
        <v/>
      </c>
      <c r="I90" s="401">
        <f>H90/$H$85</f>
        <v/>
      </c>
      <c r="J90" s="402">
        <f>H90+'2026 Ιούνιος'!J90</f>
        <v/>
      </c>
      <c r="K90" s="403">
        <f>J90/$J$85</f>
        <v/>
      </c>
      <c r="L90" s="114">
        <f>'2024_60-69 ΕΞΟΔΑ+ΟΜ 2'!J43</f>
        <v/>
      </c>
      <c r="M90" s="75">
        <f>L90/$L$85</f>
        <v/>
      </c>
      <c r="N90" s="65">
        <f>L90+'2026 Ιούνιος'!N90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24.9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2'!J46</f>
        <v/>
      </c>
      <c r="E91" s="75">
        <f>D91/$D$85</f>
        <v/>
      </c>
      <c r="F91" s="114">
        <f>'2026 Ιούνιος'!F91+'2026 Ιούλιος'!D91</f>
        <v/>
      </c>
      <c r="G91" s="75">
        <f>F91/$F$85</f>
        <v/>
      </c>
      <c r="H91" s="399">
        <f>ΠΡΟΥΠΟΛΟΓΙΣΜΟΣ_ΕΞΟΔΑ!J212</f>
        <v/>
      </c>
      <c r="I91" s="401">
        <f>H91/$H$85</f>
        <v/>
      </c>
      <c r="J91" s="402">
        <f>H91+'2026 Ιούνιος'!J91</f>
        <v/>
      </c>
      <c r="K91" s="403">
        <f>J91/$J$85</f>
        <v/>
      </c>
      <c r="L91" s="114">
        <f>'2024_60-69 ΕΞΟΔΑ+ΟΜ 2'!J44</f>
        <v/>
      </c>
      <c r="M91" s="75">
        <f>L91/$L$85</f>
        <v/>
      </c>
      <c r="N91" s="65">
        <f>L91+'2026 Ιούνιος'!N91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4.9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2'!J47</f>
        <v/>
      </c>
      <c r="E92" s="75">
        <f>D92/$D$85</f>
        <v/>
      </c>
      <c r="F92" s="114">
        <f>'2026 Ιούνιος'!F92+'2026 Ιούλιος'!D92</f>
        <v/>
      </c>
      <c r="G92" s="75">
        <f>F92/$F$85</f>
        <v/>
      </c>
      <c r="H92" s="399">
        <f>ΠΡΟΥΠΟΛΟΓΙΣΜΟΣ_ΕΞΟΔΑ!J217</f>
        <v/>
      </c>
      <c r="I92" s="401">
        <f>H92/$H$85</f>
        <v/>
      </c>
      <c r="J92" s="402">
        <f>H92+'2026 Ιούνιος'!J92</f>
        <v/>
      </c>
      <c r="K92" s="403">
        <f>J92/$J$85</f>
        <v/>
      </c>
      <c r="L92" s="114">
        <f>'2024_60-69 ΕΞΟΔΑ+ΟΜ 2'!J45</f>
        <v/>
      </c>
      <c r="M92" s="75">
        <f>L92/$L$85</f>
        <v/>
      </c>
      <c r="N92" s="65">
        <f>L92+'2026 Ιούνιος'!N92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24.9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2'!J48</f>
        <v/>
      </c>
      <c r="E93" s="75">
        <f>D93/$D$85</f>
        <v/>
      </c>
      <c r="F93" s="114">
        <f>'2026 Ιούνιος'!F93+'2026 Ιούλιος'!D93</f>
        <v/>
      </c>
      <c r="G93" s="75">
        <f>F93/$F$85</f>
        <v/>
      </c>
      <c r="H93" s="56">
        <f>ΠΡΟΥΠΟΛΟΓΙΣΜΟΣ_ΕΞΟΔΑ!J222</f>
        <v/>
      </c>
      <c r="I93" s="401">
        <f>H93/$H$85</f>
        <v/>
      </c>
      <c r="J93" s="402">
        <f>H93+'2026 Ιούνιος'!J93</f>
        <v/>
      </c>
      <c r="K93" s="403">
        <f>J93/$J$85</f>
        <v/>
      </c>
      <c r="L93" s="114">
        <f>'2024_60-69 ΕΞΟΔΑ+ΟΜ 2'!J46</f>
        <v/>
      </c>
      <c r="M93" s="75">
        <f>L93/$L$85</f>
        <v/>
      </c>
      <c r="N93" s="65">
        <f>L93+'2026 Ιούνιος'!N93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4.9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2'!J49</f>
        <v/>
      </c>
      <c r="E94" s="75">
        <f>D94/$D$85</f>
        <v/>
      </c>
      <c r="F94" s="114">
        <f>'2026 Ιούνιος'!F94+'2026 Ιούλιος'!D94</f>
        <v/>
      </c>
      <c r="G94" s="75">
        <f>F94/$F$85</f>
        <v/>
      </c>
      <c r="H94" s="56">
        <f>ΠΡΟΥΠΟΛΟΓΙΣΜΟΣ_ΕΞΟΔΑ!J227</f>
        <v/>
      </c>
      <c r="I94" s="401">
        <f>H94/$H$85</f>
        <v/>
      </c>
      <c r="J94" s="402">
        <f>H94+'2026 Ιούνιος'!J94</f>
        <v/>
      </c>
      <c r="K94" s="403">
        <f>J94/$J$85</f>
        <v/>
      </c>
      <c r="L94" s="114">
        <f>'2024_60-69 ΕΞΟΔΑ+ΟΜ 2'!J47</f>
        <v/>
      </c>
      <c r="M94" s="75">
        <f>L94/$L$85</f>
        <v/>
      </c>
      <c r="N94" s="65">
        <f>L94+'2026 Ιούνιος'!N94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4.9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2'!J50</f>
        <v/>
      </c>
      <c r="E95" s="75">
        <f>D95/$D$85</f>
        <v/>
      </c>
      <c r="F95" s="114">
        <f>'2026 Ιούνιος'!F95+'2026 Ιούλιος'!D95</f>
        <v/>
      </c>
      <c r="G95" s="75">
        <f>F95/$F$85</f>
        <v/>
      </c>
      <c r="H95" s="118">
        <f>ΠΡΟΥΠΟΛΟΓΙΣΜΟΣ_ΕΞΟΔΑ!J232</f>
        <v/>
      </c>
      <c r="I95" s="401">
        <f>H95/$H$85</f>
        <v/>
      </c>
      <c r="J95" s="402">
        <f>H95+'2026 Ιούνιος'!J95</f>
        <v/>
      </c>
      <c r="K95" s="403">
        <f>J95/$J$85</f>
        <v/>
      </c>
      <c r="L95" s="114">
        <f>'2024_60-69 ΕΞΟΔΑ+ΟΜ 2'!J48</f>
        <v/>
      </c>
      <c r="M95" s="75">
        <f>L95/$L$85</f>
        <v/>
      </c>
      <c r="N95" s="65">
        <f>L95+'2026 Ιούνιος'!N95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24.9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2'!J51</f>
        <v/>
      </c>
      <c r="E96" s="75">
        <f>D96/$D$85</f>
        <v/>
      </c>
      <c r="F96" s="114">
        <f>'2026 Ιούνιος'!F96+'2026 Ιούλιος'!D96</f>
        <v/>
      </c>
      <c r="G96" s="75">
        <f>F96/$F$85</f>
        <v/>
      </c>
      <c r="H96" s="56">
        <f>ΠΡΟΥΠΟΛΟΓΙΣΜΟΣ_ΕΞΟΔΑ!J237</f>
        <v/>
      </c>
      <c r="I96" s="401">
        <f>H96/$H$85</f>
        <v/>
      </c>
      <c r="J96" s="402">
        <f>H96+'2026 Ιούνιος'!J96</f>
        <v/>
      </c>
      <c r="K96" s="403">
        <f>J96/$J$85</f>
        <v/>
      </c>
      <c r="L96" s="114">
        <f>'2024_60-69 ΕΞΟΔΑ+ΟΜ 2'!J49</f>
        <v/>
      </c>
      <c r="M96" s="75">
        <f>L96/$L$85</f>
        <v/>
      </c>
      <c r="N96" s="65">
        <f>L96+'2026 Ιούνιος'!N96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4.9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2'!J52</f>
        <v/>
      </c>
      <c r="E97" s="75">
        <f>D97/$D$85</f>
        <v/>
      </c>
      <c r="F97" s="114">
        <f>'2026 Ιούνιος'!F97+'2026 Ιούλιος'!D97</f>
        <v/>
      </c>
      <c r="G97" s="75">
        <f>F97/$F$85</f>
        <v/>
      </c>
      <c r="H97" s="56">
        <f>ΠΡΟΥΠΟΛΟΓΙΣΜΟΣ_ΕΞΟΔΑ!J242</f>
        <v/>
      </c>
      <c r="I97" s="401">
        <f>H97/$H$85</f>
        <v/>
      </c>
      <c r="J97" s="402">
        <f>H97+'2026 Ιούνιος'!J97</f>
        <v/>
      </c>
      <c r="K97" s="403">
        <f>J97/$J$85</f>
        <v/>
      </c>
      <c r="L97" s="114">
        <f>'2024_60-69 ΕΞΟΔΑ+ΟΜ 2'!J50</f>
        <v/>
      </c>
      <c r="M97" s="75">
        <f>L97/$L$85</f>
        <v/>
      </c>
      <c r="N97" s="65">
        <f>L97+'2026 Ιούνιος'!N97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24.9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2'!J53</f>
        <v/>
      </c>
      <c r="E98" s="75">
        <f>D98/$D$85</f>
        <v/>
      </c>
      <c r="F98" s="114">
        <f>'2026 Ιούνιος'!F98+'2026 Ιούλιος'!D98</f>
        <v/>
      </c>
      <c r="G98" s="75">
        <f>F98/$F$85</f>
        <v/>
      </c>
      <c r="H98" s="56">
        <f>ΠΡΟΥΠΟΛΟΓΙΣΜΟΣ_ΕΞΟΔΑ!J247</f>
        <v/>
      </c>
      <c r="I98" s="401">
        <f>H98/$H$85</f>
        <v/>
      </c>
      <c r="J98" s="402">
        <f>H98+'2026 Ιούνιος'!J98</f>
        <v/>
      </c>
      <c r="K98" s="403">
        <f>J98/$J$85</f>
        <v/>
      </c>
      <c r="L98" s="114">
        <f>'2024_60-69 ΕΞΟΔΑ+ΟΜ 2'!J51</f>
        <v/>
      </c>
      <c r="M98" s="75">
        <f>L98/$L$85</f>
        <v/>
      </c>
      <c r="N98" s="65">
        <f>L98+'2026 Ιούνιος'!N98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24.9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2'!J54</f>
        <v/>
      </c>
      <c r="E99" s="75">
        <f>D99/$D$85</f>
        <v/>
      </c>
      <c r="F99" s="114">
        <f>'2026 Ιούνιος'!F99+'2026 Ιούλιος'!D99</f>
        <v/>
      </c>
      <c r="G99" s="75">
        <f>F99/$F$85</f>
        <v/>
      </c>
      <c r="H99" s="56">
        <f>ΠΡΟΥΠΟΛΟΓΙΣΜΟΣ_ΕΞΟΔΑ!J252</f>
        <v/>
      </c>
      <c r="I99" s="401">
        <f>H99/$H$85</f>
        <v/>
      </c>
      <c r="J99" s="402">
        <f>H99+'2026 Ιούνιος'!J99</f>
        <v/>
      </c>
      <c r="K99" s="403">
        <f>J99/$J$85</f>
        <v/>
      </c>
      <c r="L99" s="114">
        <f>'2024_60-69 ΕΞΟΔΑ+ΟΜ 2'!J52</f>
        <v/>
      </c>
      <c r="M99" s="75">
        <f>L99/$L$85</f>
        <v/>
      </c>
      <c r="N99" s="65">
        <f>L99+'2026 Ιούνιος'!N99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9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2'!J55</f>
        <v/>
      </c>
      <c r="E100" s="75">
        <f>D100/$D$85</f>
        <v/>
      </c>
      <c r="F100" s="114">
        <f>'2026 Ιούνιος'!F100+'2026 Ιούλιος'!D100</f>
        <v/>
      </c>
      <c r="G100" s="75">
        <f>F100/$F$85</f>
        <v/>
      </c>
      <c r="H100" s="56">
        <f>ΠΡΟΥΠΟΛΟΓΙΣΜΟΣ_ΕΞΟΔΑ!J257</f>
        <v/>
      </c>
      <c r="I100" s="401">
        <f>H100/$H$85</f>
        <v/>
      </c>
      <c r="J100" s="402">
        <f>H100+'2026 Ιούνιος'!J100</f>
        <v/>
      </c>
      <c r="K100" s="403">
        <f>J100/$J$85</f>
        <v/>
      </c>
      <c r="L100" s="114">
        <f>'2024_60-69 ΕΞΟΔΑ+ΟΜ 2'!J53</f>
        <v/>
      </c>
      <c r="M100" s="75">
        <f>L100/$L$85</f>
        <v/>
      </c>
      <c r="N100" s="65">
        <f>L100+'2026 Ιούνιος'!N100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28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2'!J56</f>
        <v/>
      </c>
      <c r="E101" s="75">
        <f>D101/$D$85</f>
        <v/>
      </c>
      <c r="F101" s="114">
        <f>'2026 Ιούνιος'!F101+'2026 Ιούλιος'!D101</f>
        <v/>
      </c>
      <c r="G101" s="75">
        <f>F101/$F$85</f>
        <v/>
      </c>
      <c r="H101" s="56">
        <f>ΠΡΟΥΠΟΛΟΓΙΣΜΟΣ_ΕΞΟΔΑ!J262</f>
        <v/>
      </c>
      <c r="I101" s="401">
        <f>H101/$H$85</f>
        <v/>
      </c>
      <c r="J101" s="402">
        <f>H101+'2026 Ιούνιος'!J101</f>
        <v/>
      </c>
      <c r="K101" s="403">
        <f>J101/$J$85</f>
        <v/>
      </c>
      <c r="L101" s="114">
        <f>'2024_60-69 ΕΞΟΔΑ+ΟΜ 2'!J54</f>
        <v/>
      </c>
      <c r="M101" s="75">
        <f>L101/$L$85</f>
        <v/>
      </c>
      <c r="N101" s="65">
        <f>L101+'2026 Ιούνιος'!N101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24.9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2'!J57</f>
        <v/>
      </c>
      <c r="E102" s="75">
        <f>D102/$D$85</f>
        <v/>
      </c>
      <c r="F102" s="114">
        <f>'2026 Ιούνιος'!F102+'2026 Ιούλιος'!D102</f>
        <v/>
      </c>
      <c r="G102" s="75">
        <f>F102/$F$85</f>
        <v/>
      </c>
      <c r="H102" s="56">
        <f>ΠΡΟΥΠΟΛΟΓΙΣΜΟΣ_ΕΞΟΔΑ!J267</f>
        <v/>
      </c>
      <c r="I102" s="401">
        <f>H102/$H$85</f>
        <v/>
      </c>
      <c r="J102" s="402">
        <f>H102+'2026 Ιούνιος'!J102</f>
        <v/>
      </c>
      <c r="K102" s="403">
        <f>J102/$J$85</f>
        <v/>
      </c>
      <c r="L102" s="114">
        <f>'2024_60-69 ΕΞΟΔΑ+ΟΜ 2'!J55</f>
        <v/>
      </c>
      <c r="M102" s="75">
        <f>L102/$L$85</f>
        <v/>
      </c>
      <c r="N102" s="65">
        <f>L102+'2026 Ιούνιος'!N102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4.9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2'!J58</f>
        <v/>
      </c>
      <c r="E103" s="75">
        <f>D103/$D$85</f>
        <v/>
      </c>
      <c r="F103" s="114">
        <f>'2026 Ιούνιος'!F103+'2026 Ιούλιος'!D103</f>
        <v/>
      </c>
      <c r="G103" s="75">
        <f>F103/$F$85</f>
        <v/>
      </c>
      <c r="H103" s="56">
        <f>ΠΡΟΥΠΟΛΟΓΙΣΜΟΣ_ΕΞΟΔΑ!J272</f>
        <v/>
      </c>
      <c r="I103" s="401">
        <f>H103/$H$85</f>
        <v/>
      </c>
      <c r="J103" s="402">
        <f>H103+'2026 Ιούνιος'!J103</f>
        <v/>
      </c>
      <c r="K103" s="403">
        <f>J103/$J$85</f>
        <v/>
      </c>
      <c r="L103" s="114">
        <f>'2024_60-69 ΕΞΟΔΑ+ΟΜ 2'!J56</f>
        <v/>
      </c>
      <c r="M103" s="75">
        <f>L103/$L$85</f>
        <v/>
      </c>
      <c r="N103" s="65">
        <f>L103+'2026 Ιούνιος'!N103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24.9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2'!J59</f>
        <v/>
      </c>
      <c r="E104" s="75">
        <f>D104/$D$85</f>
        <v/>
      </c>
      <c r="F104" s="114">
        <f>'2026 Ιούνιος'!F104+'2026 Ιούλιος'!D104</f>
        <v/>
      </c>
      <c r="G104" s="75">
        <f>F104/$F$85</f>
        <v/>
      </c>
      <c r="H104" s="56">
        <f>ΠΡΟΥΠΟΛΟΓΙΣΜΟΣ_ΕΞΟΔΑ!J277</f>
        <v/>
      </c>
      <c r="I104" s="401">
        <f>H104/$H$85</f>
        <v/>
      </c>
      <c r="J104" s="402">
        <f>H104+'2026 Ιούνιος'!J104</f>
        <v/>
      </c>
      <c r="K104" s="403">
        <f>J104/$J$85</f>
        <v/>
      </c>
      <c r="L104" s="114">
        <f>'2024_60-69 ΕΞΟΔΑ+ΟΜ 2'!J57</f>
        <v/>
      </c>
      <c r="M104" s="75">
        <f>L104/$L$85</f>
        <v/>
      </c>
      <c r="N104" s="65">
        <f>L104+'2026 Ιούνιος'!N104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4.9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2'!J60</f>
        <v/>
      </c>
      <c r="E105" s="75">
        <f>D105/$D$85</f>
        <v/>
      </c>
      <c r="F105" s="114">
        <f>'2026 Ιούνιος'!F105+'2026 Ιούλιος'!D105</f>
        <v/>
      </c>
      <c r="G105" s="75">
        <f>F105/$F$85</f>
        <v/>
      </c>
      <c r="H105" s="56">
        <f>ΠΡΟΥΠΟΛΟΓΙΣΜΟΣ_ΕΞΟΔΑ!J282</f>
        <v/>
      </c>
      <c r="I105" s="401">
        <f>H105/$H$85</f>
        <v/>
      </c>
      <c r="J105" s="402">
        <f>H105+'2026 Ιούνιος'!J105</f>
        <v/>
      </c>
      <c r="K105" s="403">
        <f>J105/$J$85</f>
        <v/>
      </c>
      <c r="L105" s="114">
        <f>'2024_60-69 ΕΞΟΔΑ+ΟΜ 2'!J58</f>
        <v/>
      </c>
      <c r="M105" s="75">
        <f>L105/$L$85</f>
        <v/>
      </c>
      <c r="N105" s="65">
        <f>L105+'2026 Ιούνιος'!N105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2'!J61</f>
        <v/>
      </c>
      <c r="E106" s="75">
        <f>D106/$D$85</f>
        <v/>
      </c>
      <c r="F106" s="114">
        <f>'2026 Ιούνιος'!F106+'2026 Ιούλιος'!D106</f>
        <v/>
      </c>
      <c r="G106" s="75">
        <f>F106/$F$85</f>
        <v/>
      </c>
      <c r="H106" s="56">
        <f>ΠΡΟΥΠΟΛΟΓΙΣΜΟΣ_ΕΞΟΔΑ!J287</f>
        <v/>
      </c>
      <c r="I106" s="401">
        <f>H106/$H$85</f>
        <v/>
      </c>
      <c r="J106" s="402">
        <f>H106+'2026 Ιούνιος'!J106</f>
        <v/>
      </c>
      <c r="K106" s="403">
        <f>J106/$J$85</f>
        <v/>
      </c>
      <c r="L106" s="114">
        <f>'2024_60-69 ΕΞΟΔΑ+ΟΜ 2'!J59</f>
        <v/>
      </c>
      <c r="M106" s="75">
        <f>L106/$L$85</f>
        <v/>
      </c>
      <c r="N106" s="65">
        <f>L106+'2026 Ιούνιος'!N106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24.9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4.9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4.9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24.9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4.9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2'!J40</f>
        <v/>
      </c>
      <c r="E112" s="81" t="n"/>
      <c r="F112" s="64">
        <f>D112+'2026 Ιούνιος'!F112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15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ΑΝΤΙΣΤΟΙΧΙΣΗ!$F$112</f>
        <v/>
      </c>
      <c r="E115" s="551" t="n"/>
      <c r="F115" s="550" t="n"/>
      <c r="G115" s="107">
        <f>ΑΝΤΙΣΤΟΙΧΙΣΗ!$D$34</f>
        <v/>
      </c>
      <c r="H115" s="549">
        <f>ΑΝΤΙΣΤΟΙΧΙΣΗ!$F$112</f>
        <v/>
      </c>
      <c r="I115" s="551" t="n"/>
      <c r="J115" s="550" t="n"/>
      <c r="K115" s="107">
        <f>ΑΝΤΙΣΤΟΙΧΙΣΗ!$D$34</f>
        <v/>
      </c>
      <c r="L115" s="549">
        <f>ΑΝΤΙΣΤΟΙΧΙΣΗ!$F$126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15.7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2'!J71</f>
        <v/>
      </c>
      <c r="E118" s="75">
        <f>D118/$D$117</f>
        <v/>
      </c>
      <c r="F118" s="65">
        <f>D118+'2026 Ιούνιος'!F118</f>
        <v/>
      </c>
      <c r="G118" s="75">
        <f>F118/$F$117</f>
        <v/>
      </c>
      <c r="H118" s="56">
        <f>ΠΡΟΥΠΟΛΟΓΙΣΜΟΣ_ΕΞΟΔΑ!J301</f>
        <v/>
      </c>
      <c r="I118" s="400">
        <f>H118/$H$117</f>
        <v/>
      </c>
      <c r="J118" s="65">
        <f>H118+'2026 Ιούνιος'!J118</f>
        <v/>
      </c>
      <c r="K118" s="404">
        <f>J118/$J$117</f>
        <v/>
      </c>
      <c r="L118" s="56">
        <f>'2024_60-69 ΕΞΟΔΑ+ΟΜ 2'!J66</f>
        <v/>
      </c>
      <c r="M118" s="75">
        <f>L118/$L$117</f>
        <v/>
      </c>
      <c r="N118" s="65">
        <f>L118+'2026 Ιούνιος'!N118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1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2'!J72</f>
        <v/>
      </c>
      <c r="E119" s="75">
        <f>D119/$D$117</f>
        <v/>
      </c>
      <c r="F119" s="65">
        <f>D119+'2026 Ιούνιος'!F119</f>
        <v/>
      </c>
      <c r="G119" s="75">
        <f>F119/$F$117</f>
        <v/>
      </c>
      <c r="H119" s="56">
        <f>ΠΡΟΥΠΟΛΟΓΙΣΜΟΣ_ΕΞΟΔΑ!J306</f>
        <v/>
      </c>
      <c r="I119" s="400">
        <f>H119/$H$117</f>
        <v/>
      </c>
      <c r="J119" s="65">
        <f>H119+'2026 Ιούνιος'!J119</f>
        <v/>
      </c>
      <c r="K119" s="404">
        <f>J119/$J$117</f>
        <v/>
      </c>
      <c r="L119" s="56">
        <f>'2024_60-69 ΕΞΟΔΑ+ΟΜ 2'!J67</f>
        <v/>
      </c>
      <c r="M119" s="75">
        <f>L119/$L$117</f>
        <v/>
      </c>
      <c r="N119" s="65">
        <f>L119+'2026 Ιούνιος'!N119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2'!J73</f>
        <v/>
      </c>
      <c r="E120" s="75">
        <f>D120/$D$117</f>
        <v/>
      </c>
      <c r="F120" s="65">
        <f>D120+'2026 Ιούνιος'!F120</f>
        <v/>
      </c>
      <c r="G120" s="75">
        <f>F120/$F$117</f>
        <v/>
      </c>
      <c r="H120" s="56">
        <f>ΠΡΟΥΠΟΛΟΓΙΣΜΟΣ_ΕΞΟΔΑ!J311</f>
        <v/>
      </c>
      <c r="I120" s="400">
        <f>H120/$H$117</f>
        <v/>
      </c>
      <c r="J120" s="65">
        <f>H120+'2026 Ιούνιος'!J120</f>
        <v/>
      </c>
      <c r="K120" s="404">
        <f>J120/$J$117</f>
        <v/>
      </c>
      <c r="L120" s="56">
        <f>'2024_60-69 ΕΞΟΔΑ+ΟΜ 2'!J68</f>
        <v/>
      </c>
      <c r="M120" s="75">
        <f>L120/$L$117</f>
        <v/>
      </c>
      <c r="N120" s="65">
        <f>L120+'2026 Ιούνιος'!N120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2'!J74</f>
        <v/>
      </c>
      <c r="E121" s="75">
        <f>D121/$D$117</f>
        <v/>
      </c>
      <c r="F121" s="65">
        <f>D121+'2026 Ιούνιος'!F121</f>
        <v/>
      </c>
      <c r="G121" s="75">
        <f>F121/$F$117</f>
        <v/>
      </c>
      <c r="H121" s="56">
        <f>ΠΡΟΥΠΟΛΟΓΙΣΜΟΣ_ΕΞΟΔΑ!J316</f>
        <v/>
      </c>
      <c r="I121" s="400">
        <f>H121/$H$117</f>
        <v/>
      </c>
      <c r="J121" s="65">
        <f>H121+'2026 Ιούνιος'!J121</f>
        <v/>
      </c>
      <c r="K121" s="404">
        <f>J121/$J$117</f>
        <v/>
      </c>
      <c r="L121" s="56">
        <f>'2024_60-69 ΕΞΟΔΑ+ΟΜ 2'!J69</f>
        <v/>
      </c>
      <c r="M121" s="75">
        <f>L121/$L$117</f>
        <v/>
      </c>
      <c r="N121" s="65">
        <f>L121+'2026 Ιούνιος'!N121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2'!J75</f>
        <v/>
      </c>
      <c r="E122" s="75">
        <f>D122/$D$117</f>
        <v/>
      </c>
      <c r="F122" s="65">
        <f>D122+'2026 Ιούνιος'!F122</f>
        <v/>
      </c>
      <c r="G122" s="75">
        <f>F122/$F$117</f>
        <v/>
      </c>
      <c r="H122" s="56">
        <f>ΠΡΟΥΠΟΛΟΓΙΣΜΟΣ_ΕΞΟΔΑ!J321</f>
        <v/>
      </c>
      <c r="I122" s="400">
        <f>H122/$H$117</f>
        <v/>
      </c>
      <c r="J122" s="65">
        <f>H122+'2026 Ιούνιος'!J122</f>
        <v/>
      </c>
      <c r="K122" s="404">
        <f>J122/$J$117</f>
        <v/>
      </c>
      <c r="L122" s="56">
        <f>'2024_60-69 ΕΞΟΔΑ+ΟΜ 2'!J70</f>
        <v/>
      </c>
      <c r="M122" s="75">
        <f>L122/$L$117</f>
        <v/>
      </c>
      <c r="N122" s="65">
        <f>L122+'2026 Ιούνιος'!N122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2'!J76</f>
        <v/>
      </c>
      <c r="E123" s="75">
        <f>D123/$D$117</f>
        <v/>
      </c>
      <c r="F123" s="65">
        <f>D123+'2026 Ιούνιος'!F123</f>
        <v/>
      </c>
      <c r="G123" s="75">
        <f>F123/$F$117</f>
        <v/>
      </c>
      <c r="H123" s="56">
        <f>ΠΡΟΥΠΟΛΟΓΙΣΜΟΣ_ΕΞΟΔΑ!J326</f>
        <v/>
      </c>
      <c r="I123" s="400">
        <f>H123/$H$117</f>
        <v/>
      </c>
      <c r="J123" s="65">
        <f>H123+'2026 Ιούνιος'!J123</f>
        <v/>
      </c>
      <c r="K123" s="404">
        <f>J123/$J$117</f>
        <v/>
      </c>
      <c r="L123" s="56">
        <f>'2024_60-69 ΕΞΟΔΑ+ΟΜ 2'!J71</f>
        <v/>
      </c>
      <c r="M123" s="75">
        <f>L123/$L$117</f>
        <v/>
      </c>
      <c r="N123" s="65">
        <f>L123+'2026 Ιούνιος'!N123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2'!J77</f>
        <v/>
      </c>
      <c r="E124" s="75">
        <f>D124/$D$117</f>
        <v/>
      </c>
      <c r="F124" s="65">
        <f>D124+'2026 Ιούνιος'!F124</f>
        <v/>
      </c>
      <c r="G124" s="75">
        <f>F124/$F$117</f>
        <v/>
      </c>
      <c r="H124" s="56">
        <f>ΠΡΟΥΠΟΛΟΓΙΣΜΟΣ_ΕΞΟΔΑ!J331</f>
        <v/>
      </c>
      <c r="I124" s="400">
        <f>H124/$H$117</f>
        <v/>
      </c>
      <c r="J124" s="65">
        <f>H124+'2026 Ιούνιος'!J124</f>
        <v/>
      </c>
      <c r="K124" s="404">
        <f>J124/$J$117</f>
        <v/>
      </c>
      <c r="L124" s="56">
        <f>'2024_60-69 ΕΞΟΔΑ+ΟΜ 2'!J72</f>
        <v/>
      </c>
      <c r="M124" s="75">
        <f>L124/$L$117</f>
        <v/>
      </c>
      <c r="N124" s="65">
        <f>L124+'2026 Ιούνιος'!N124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2'!J78</f>
        <v/>
      </c>
      <c r="E125" s="75">
        <f>D125/$D$117</f>
        <v/>
      </c>
      <c r="F125" s="65">
        <f>D125+'2026 Ιούνιος'!F125</f>
        <v/>
      </c>
      <c r="G125" s="75">
        <f>F125/$F$117</f>
        <v/>
      </c>
      <c r="H125" s="56">
        <f>ΠΡΟΥΠΟΛΟΓΙΣΜΟΣ_ΕΞΟΔΑ!J336</f>
        <v/>
      </c>
      <c r="I125" s="400">
        <f>H125/$H$117</f>
        <v/>
      </c>
      <c r="J125" s="65">
        <f>H125+'2026 Ιούνιος'!J125</f>
        <v/>
      </c>
      <c r="K125" s="404">
        <f>J125/$J$117</f>
        <v/>
      </c>
      <c r="L125" s="56">
        <f>'2024_60-69 ΕΞΟΔΑ+ΟΜ 2'!J73</f>
        <v/>
      </c>
      <c r="M125" s="75">
        <f>L125/$L$117</f>
        <v/>
      </c>
      <c r="N125" s="65">
        <f>L125+'2026 Ιούνιος'!N125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2'!J79</f>
        <v/>
      </c>
      <c r="E126" s="75">
        <f>D126/$D$117</f>
        <v/>
      </c>
      <c r="F126" s="65">
        <f>D126+'2026 Ιούνιος'!F126</f>
        <v/>
      </c>
      <c r="G126" s="75">
        <f>F126/$F$117</f>
        <v/>
      </c>
      <c r="H126" s="56">
        <f>ΠΡΟΥΠΟΛΟΓΙΣΜΟΣ_ΕΞΟΔΑ!J341</f>
        <v/>
      </c>
      <c r="I126" s="400">
        <f>H126/$H$117</f>
        <v/>
      </c>
      <c r="J126" s="65">
        <f>H126+'2026 Ιούνιος'!J126</f>
        <v/>
      </c>
      <c r="K126" s="404">
        <f>J126/$J$117</f>
        <v/>
      </c>
      <c r="L126" s="56">
        <f>'2024_60-69 ΕΞΟΔΑ+ΟΜ 2'!J74</f>
        <v/>
      </c>
      <c r="M126" s="75">
        <f>L126/$L$117</f>
        <v/>
      </c>
      <c r="N126" s="65">
        <f>L126+'2026 Ιούνιος'!N126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1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2'!J80</f>
        <v/>
      </c>
      <c r="E127" s="75">
        <f>D127/$D$117</f>
        <v/>
      </c>
      <c r="F127" s="65">
        <f>D127+'2026 Ιούνιος'!F127</f>
        <v/>
      </c>
      <c r="G127" s="75">
        <f>F127/$F$117</f>
        <v/>
      </c>
      <c r="H127" s="56">
        <f>ΠΡΟΥΠΟΛΟΓΙΣΜΟΣ_ΕΞΟΔΑ!J346</f>
        <v/>
      </c>
      <c r="I127" s="400">
        <f>H127/$H$117</f>
        <v/>
      </c>
      <c r="J127" s="65">
        <f>H127+'2026 Ιούνιος'!J127</f>
        <v/>
      </c>
      <c r="K127" s="404">
        <f>J127/$J$117</f>
        <v/>
      </c>
      <c r="L127" s="56">
        <f>'2024_60-69 ΕΞΟΔΑ+ΟΜ 2'!J75</f>
        <v/>
      </c>
      <c r="M127" s="75">
        <f>L127/$L$117</f>
        <v/>
      </c>
      <c r="N127" s="65">
        <f>L127+'2026 Ιούνιος'!N127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2'!J81</f>
        <v/>
      </c>
      <c r="E128" s="75">
        <f>D128/$D$117</f>
        <v/>
      </c>
      <c r="F128" s="65">
        <f>D128+'2026 Ιούνιος'!F128</f>
        <v/>
      </c>
      <c r="G128" s="75">
        <f>F128/$F$117</f>
        <v/>
      </c>
      <c r="H128" s="56">
        <f>ΠΡΟΥΠΟΛΟΓΙΣΜΟΣ_ΕΞΟΔΑ!J351</f>
        <v/>
      </c>
      <c r="I128" s="400">
        <f>H128/$H$117</f>
        <v/>
      </c>
      <c r="J128" s="65">
        <f>H128+'2026 Ιούνιος'!J128</f>
        <v/>
      </c>
      <c r="K128" s="404">
        <f>J128/$J$117</f>
        <v/>
      </c>
      <c r="L128" s="56">
        <f>'2024_60-69 ΕΞΟΔΑ+ΟΜ 2'!J76</f>
        <v/>
      </c>
      <c r="M128" s="75">
        <f>L128/$L$117</f>
        <v/>
      </c>
      <c r="N128" s="65">
        <f>L128+'2026 Ιούνιος'!N128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1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2'!J82</f>
        <v/>
      </c>
      <c r="E129" s="75">
        <f>D129/$D$117</f>
        <v/>
      </c>
      <c r="F129" s="65">
        <f>D129+'2026 Ιούνιος'!F129</f>
        <v/>
      </c>
      <c r="G129" s="75">
        <f>F129/$F$117</f>
        <v/>
      </c>
      <c r="H129" s="56">
        <f>ΠΡΟΥΠΟΛΟΓΙΣΜΟΣ_ΕΞΟΔΑ!J356</f>
        <v/>
      </c>
      <c r="I129" s="400">
        <f>H129/$H$117</f>
        <v/>
      </c>
      <c r="J129" s="65">
        <f>H129+'2026 Ιούνιος'!J129</f>
        <v/>
      </c>
      <c r="K129" s="404">
        <f>J129/$J$117</f>
        <v/>
      </c>
      <c r="L129" s="56">
        <f>'2024_60-69 ΕΞΟΔΑ+ΟΜ 2'!J77</f>
        <v/>
      </c>
      <c r="M129" s="75">
        <f>L129/$L$117</f>
        <v/>
      </c>
      <c r="N129" s="65">
        <f>L129+'2026 Ιούνιος'!N129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1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2'!J83</f>
        <v/>
      </c>
      <c r="E130" s="75">
        <f>D130/$D$117</f>
        <v/>
      </c>
      <c r="F130" s="65">
        <f>D130+'2026 Ιούνιος'!F130</f>
        <v/>
      </c>
      <c r="G130" s="75">
        <f>F130/$F$117</f>
        <v/>
      </c>
      <c r="H130" s="56">
        <f>ΠΡΟΥΠΟΛΟΓΙΣΜΟΣ_ΕΞΟΔΑ!J361</f>
        <v/>
      </c>
      <c r="I130" s="400">
        <f>H130/$H$117</f>
        <v/>
      </c>
      <c r="J130" s="65">
        <f>H130+'2026 Ιούνιος'!J130</f>
        <v/>
      </c>
      <c r="K130" s="404">
        <f>J130/$J$117</f>
        <v/>
      </c>
      <c r="L130" s="56">
        <f>'2024_60-69 ΕΞΟΔΑ+ΟΜ 2'!J78</f>
        <v/>
      </c>
      <c r="M130" s="75">
        <f>L130/$L$117</f>
        <v/>
      </c>
      <c r="N130" s="65">
        <f>L130+'2026 Ιούνιος'!N130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1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2'!J84</f>
        <v/>
      </c>
      <c r="E131" s="75">
        <f>D131/$D$117</f>
        <v/>
      </c>
      <c r="F131" s="65">
        <f>D131+'2026 Ιούνιος'!F131</f>
        <v/>
      </c>
      <c r="G131" s="75">
        <f>F131/$F$117</f>
        <v/>
      </c>
      <c r="H131" s="56">
        <f>ΠΡΟΥΠΟΛΟΓΙΣΜΟΣ_ΕΞΟΔΑ!J366</f>
        <v/>
      </c>
      <c r="I131" s="400">
        <f>H131/$H$117</f>
        <v/>
      </c>
      <c r="J131" s="65">
        <f>H131+'2026 Ιούνιος'!J131</f>
        <v/>
      </c>
      <c r="K131" s="404">
        <f>J131/$J$117</f>
        <v/>
      </c>
      <c r="L131" s="56">
        <f>'2024_60-69 ΕΞΟΔΑ+ΟΜ 2'!J79</f>
        <v/>
      </c>
      <c r="M131" s="75">
        <f>L131/$L$117</f>
        <v/>
      </c>
      <c r="N131" s="65">
        <f>L131+'2026 Ιούνιος'!N131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2'!J85</f>
        <v/>
      </c>
      <c r="E132" s="75">
        <f>D132/$D$117</f>
        <v/>
      </c>
      <c r="F132" s="65">
        <f>D132+'2026 Ιούνιος'!F132</f>
        <v/>
      </c>
      <c r="G132" s="75">
        <f>F132/$F$117</f>
        <v/>
      </c>
      <c r="H132" s="56">
        <f>ΠΡΟΥΠΟΛΟΓΙΣΜΟΣ_ΕΞΟΔΑ!J371</f>
        <v/>
      </c>
      <c r="I132" s="400">
        <f>H132/$H$117</f>
        <v/>
      </c>
      <c r="J132" s="65">
        <f>H132+'2026 Ιούνιος'!J132</f>
        <v/>
      </c>
      <c r="K132" s="404">
        <f>J132/$J$117</f>
        <v/>
      </c>
      <c r="L132" s="56">
        <f>'2024_60-69 ΕΞΟΔΑ+ΟΜ 2'!J80</f>
        <v/>
      </c>
      <c r="M132" s="75">
        <f>L132/$L$117</f>
        <v/>
      </c>
      <c r="N132" s="65">
        <f>L132+'2026 Ιούνιος'!N132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2'!J86</f>
        <v/>
      </c>
      <c r="E133" s="75">
        <f>D133/$D$117</f>
        <v/>
      </c>
      <c r="F133" s="65">
        <f>D133+'2026 Ιούνιος'!F133</f>
        <v/>
      </c>
      <c r="G133" s="75">
        <f>F133/$F$117</f>
        <v/>
      </c>
      <c r="H133" s="56">
        <f>ΠΡΟΥΠΟΛΟΓΙΣΜΟΣ_ΕΞΟΔΑ!J376</f>
        <v/>
      </c>
      <c r="I133" s="400">
        <f>H133/$H$117</f>
        <v/>
      </c>
      <c r="J133" s="65">
        <f>H133+'2026 Ιούνιος'!J133</f>
        <v/>
      </c>
      <c r="K133" s="404">
        <f>J133/$J$117</f>
        <v/>
      </c>
      <c r="L133" s="56">
        <f>'2024_60-69 ΕΞΟΔΑ+ΟΜ 2'!J81</f>
        <v/>
      </c>
      <c r="M133" s="75">
        <f>L133/$L$117</f>
        <v/>
      </c>
      <c r="N133" s="65">
        <f>L133+'2026 Ιούνιος'!N133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1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2'!J87</f>
        <v/>
      </c>
      <c r="E134" s="75">
        <f>D134/$D$117</f>
        <v/>
      </c>
      <c r="F134" s="65">
        <f>D134+'2026 Ιούνιος'!F134</f>
        <v/>
      </c>
      <c r="G134" s="75">
        <f>F134/$F$117</f>
        <v/>
      </c>
      <c r="H134" s="56">
        <f>ΠΡΟΥΠΟΛΟΓΙΣΜΟΣ_ΕΞΟΔΑ!J381</f>
        <v/>
      </c>
      <c r="I134" s="400">
        <f>H134/$H$117</f>
        <v/>
      </c>
      <c r="J134" s="65">
        <f>H134+'2026 Ιούνιος'!J134</f>
        <v/>
      </c>
      <c r="K134" s="404">
        <f>J134/$J$117</f>
        <v/>
      </c>
      <c r="L134" s="56">
        <f>'2024_60-69 ΕΞΟΔΑ+ΟΜ 2'!J82</f>
        <v/>
      </c>
      <c r="M134" s="75">
        <f>L134/$L$117</f>
        <v/>
      </c>
      <c r="N134" s="65">
        <f>L134+'2026 Ιούνιος'!N134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2'!J88</f>
        <v/>
      </c>
      <c r="E135" s="75">
        <f>D135/$D$117</f>
        <v/>
      </c>
      <c r="F135" s="65">
        <f>D135+'2026 Ιούνιος'!F135</f>
        <v/>
      </c>
      <c r="G135" s="75">
        <f>F135/$F$117</f>
        <v/>
      </c>
      <c r="H135" s="56">
        <f>ΠΡΟΥΠΟΛΟΓΙΣΜΟΣ_ΕΞΟΔΑ!J386</f>
        <v/>
      </c>
      <c r="I135" s="400">
        <f>H135/$H$117</f>
        <v/>
      </c>
      <c r="J135" s="65">
        <f>H135+'2026 Ιούνιος'!J135</f>
        <v/>
      </c>
      <c r="K135" s="404">
        <f>J135/$J$117</f>
        <v/>
      </c>
      <c r="L135" s="56">
        <f>'2024_60-69 ΕΞΟΔΑ+ΟΜ 2'!J83</f>
        <v/>
      </c>
      <c r="M135" s="75">
        <f>L135/$L$117</f>
        <v/>
      </c>
      <c r="N135" s="65">
        <f>L135+'2026 Ιούνιος'!N135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1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2'!J89</f>
        <v/>
      </c>
      <c r="E136" s="75">
        <f>D136/$D$117</f>
        <v/>
      </c>
      <c r="F136" s="65">
        <f>D136+'2026 Ιούνιος'!F136</f>
        <v/>
      </c>
      <c r="G136" s="75">
        <f>F136/$F$117</f>
        <v/>
      </c>
      <c r="H136" s="56">
        <f>ΠΡΟΥΠΟΛΟΓΙΣΜΟΣ_ΕΞΟΔΑ!J391</f>
        <v/>
      </c>
      <c r="I136" s="400">
        <f>H136/$H$117</f>
        <v/>
      </c>
      <c r="J136" s="65">
        <f>H136+'2026 Ιούνιος'!J136</f>
        <v/>
      </c>
      <c r="K136" s="404">
        <f>J136/$J$117</f>
        <v/>
      </c>
      <c r="L136" s="56">
        <f>'2024_60-69 ΕΞΟΔΑ+ΟΜ 2'!J84</f>
        <v/>
      </c>
      <c r="M136" s="75">
        <f>L136/$L$117</f>
        <v/>
      </c>
      <c r="N136" s="65">
        <f>L136+'2026 Ιούνιος'!N136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2'!J90</f>
        <v/>
      </c>
      <c r="E137" s="75">
        <f>D137/$D$117</f>
        <v/>
      </c>
      <c r="F137" s="65">
        <f>D137+'2026 Ιούνιος'!F137</f>
        <v/>
      </c>
      <c r="G137" s="75">
        <f>F137/$F$117</f>
        <v/>
      </c>
      <c r="H137" s="56">
        <f>ΠΡΟΥΠΟΛΟΓΙΣΜΟΣ_ΕΞΟΔΑ!J396</f>
        <v/>
      </c>
      <c r="I137" s="400">
        <f>H137/$H$117</f>
        <v/>
      </c>
      <c r="J137" s="65">
        <f>H137+'2026 Ιούνιος'!J137</f>
        <v/>
      </c>
      <c r="K137" s="404">
        <f>J137/$J$117</f>
        <v/>
      </c>
      <c r="L137" s="56">
        <f>'2024_60-69 ΕΞΟΔΑ+ΟΜ 2'!J85</f>
        <v/>
      </c>
      <c r="M137" s="75">
        <f>L137/$L$117</f>
        <v/>
      </c>
      <c r="N137" s="65">
        <f>L137+'2026 Ιούνιος'!N137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2'!J91</f>
        <v/>
      </c>
      <c r="E138" s="75">
        <f>D138/$D$117</f>
        <v/>
      </c>
      <c r="F138" s="65">
        <f>D138+'2026 Ιούνιος'!F138</f>
        <v/>
      </c>
      <c r="G138" s="75">
        <f>F138/$F$117</f>
        <v/>
      </c>
      <c r="H138" s="56">
        <f>ΠΡΟΥΠΟΛΟΓΙΣΜΟΣ_ΕΞΟΔΑ!J401</f>
        <v/>
      </c>
      <c r="I138" s="400">
        <f>H138/$H$117</f>
        <v/>
      </c>
      <c r="J138" s="65">
        <f>H138+'2026 Ιούνιος'!J138</f>
        <v/>
      </c>
      <c r="K138" s="404">
        <f>J138/$J$117</f>
        <v/>
      </c>
      <c r="L138" s="56">
        <f>'2024_60-69 ΕΞΟΔΑ+ΟΜ 2'!J86</f>
        <v/>
      </c>
      <c r="M138" s="75">
        <f>L138/$L$117</f>
        <v/>
      </c>
      <c r="N138" s="65">
        <f>L138+'2026 Ιούνιος'!N138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2'!J92</f>
        <v/>
      </c>
      <c r="E139" s="75">
        <f>D139/$D$117</f>
        <v/>
      </c>
      <c r="F139" s="65">
        <f>D139+'2026 Ιούνιος'!F139</f>
        <v/>
      </c>
      <c r="G139" s="75">
        <f>F139/$F$117</f>
        <v/>
      </c>
      <c r="H139" s="56">
        <f>ΠΡΟΥΠΟΛΟΓΙΣΜΟΣ_ΕΞΟΔΑ!J406</f>
        <v/>
      </c>
      <c r="I139" s="400">
        <f>H139/$H$117</f>
        <v/>
      </c>
      <c r="J139" s="65">
        <f>H139+'2026 Ιούνιος'!J139</f>
        <v/>
      </c>
      <c r="K139" s="404">
        <f>J139/$J$117</f>
        <v/>
      </c>
      <c r="L139" s="56">
        <f>'2024_60-69 ΕΞΟΔΑ+ΟΜ 2'!J87</f>
        <v/>
      </c>
      <c r="M139" s="75">
        <f>L139/$L$117</f>
        <v/>
      </c>
      <c r="N139" s="65">
        <f>L139+'2026 Ιούνιος'!N139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2'!J93</f>
        <v/>
      </c>
      <c r="E140" s="75">
        <f>D140/$D$117</f>
        <v/>
      </c>
      <c r="F140" s="65">
        <f>D140+'2026 Ιούνιος'!F140</f>
        <v/>
      </c>
      <c r="G140" s="75">
        <f>F140/$F$117</f>
        <v/>
      </c>
      <c r="H140" s="56">
        <f>ΠΡΟΥΠΟΛΟΓΙΣΜΟΣ_ΕΞΟΔΑ!J411</f>
        <v/>
      </c>
      <c r="I140" s="400">
        <f>H140/$H$117</f>
        <v/>
      </c>
      <c r="J140" s="65">
        <f>H140+'2026 Ιούνιος'!J140</f>
        <v/>
      </c>
      <c r="K140" s="404">
        <f>J140/$J$117</f>
        <v/>
      </c>
      <c r="L140" s="56">
        <f>'2024_60-69 ΕΞΟΔΑ+ΟΜ 2'!J88</f>
        <v/>
      </c>
      <c r="M140" s="75">
        <f>L140/$L$117</f>
        <v/>
      </c>
      <c r="N140" s="65">
        <f>L140+'2026 Ιούνιος'!N140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2'!J94</f>
        <v/>
      </c>
      <c r="E141" s="75">
        <f>D141/$D$117</f>
        <v/>
      </c>
      <c r="F141" s="65">
        <f>D141+'2026 Ιούνιος'!F141</f>
        <v/>
      </c>
      <c r="G141" s="75">
        <f>F141/$F$117</f>
        <v/>
      </c>
      <c r="H141" s="56">
        <f>ΠΡΟΥΠΟΛΟΓΙΣΜΟΣ_ΕΞΟΔΑ!J416</f>
        <v/>
      </c>
      <c r="I141" s="400">
        <f>H141/$H$117</f>
        <v/>
      </c>
      <c r="J141" s="65">
        <f>H141+'2026 Ιούνιος'!J141</f>
        <v/>
      </c>
      <c r="K141" s="404">
        <f>J141/$J$117</f>
        <v/>
      </c>
      <c r="L141" s="56">
        <f>'2024_60-69 ΕΞΟΔΑ+ΟΜ 2'!J89</f>
        <v/>
      </c>
      <c r="M141" s="75">
        <f>L141/$L$117</f>
        <v/>
      </c>
      <c r="N141" s="65">
        <f>L141+'2026 Ιούνιος'!N141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2'!J95</f>
        <v/>
      </c>
      <c r="E142" s="75">
        <f>D142/$D$117</f>
        <v/>
      </c>
      <c r="F142" s="65">
        <f>D142+'2026 Ιούνιος'!F142</f>
        <v/>
      </c>
      <c r="G142" s="75">
        <f>F142/$F$117</f>
        <v/>
      </c>
      <c r="H142" s="56">
        <f>ΠΡΟΥΠΟΛΟΓΙΣΜΟΣ_ΕΞΟΔΑ!J421</f>
        <v/>
      </c>
      <c r="I142" s="400">
        <f>H142/$H$117</f>
        <v/>
      </c>
      <c r="J142" s="65">
        <f>H142+'2026 Ιούνιος'!J142</f>
        <v/>
      </c>
      <c r="K142" s="404">
        <f>J142/$J$117</f>
        <v/>
      </c>
      <c r="L142" s="56">
        <f>'2024_60-69 ΕΞΟΔΑ+ΟΜ 2'!J90</f>
        <v/>
      </c>
      <c r="M142" s="75">
        <f>L142/$L$117</f>
        <v/>
      </c>
      <c r="N142" s="65">
        <f>L142+'2026 Ιούνιος'!N142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1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2'!J96</f>
        <v/>
      </c>
      <c r="E143" s="75">
        <f>D143/$D$117</f>
        <v/>
      </c>
      <c r="F143" s="65">
        <f>D143+'2026 Ιούνιος'!F143</f>
        <v/>
      </c>
      <c r="G143" s="75">
        <f>F143/$F$117</f>
        <v/>
      </c>
      <c r="H143" s="56">
        <f>ΠΡΟΥΠΟΛΟΓΙΣΜΟΣ_ΕΞΟΔΑ!J426</f>
        <v/>
      </c>
      <c r="I143" s="400">
        <f>H143/$H$117</f>
        <v/>
      </c>
      <c r="J143" s="65">
        <f>H143+'2026 Ιούνιος'!J143</f>
        <v/>
      </c>
      <c r="K143" s="404">
        <f>J143/$J$117</f>
        <v/>
      </c>
      <c r="L143" s="56">
        <f>'2024_60-69 ΕΞΟΔΑ+ΟΜ 2'!J91</f>
        <v/>
      </c>
      <c r="M143" s="75">
        <f>L143/$L$117</f>
        <v/>
      </c>
      <c r="N143" s="65">
        <f>L143+'2026 Ιούνιος'!N143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1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2'!J97</f>
        <v/>
      </c>
      <c r="E144" s="75">
        <f>D144/$D$117</f>
        <v/>
      </c>
      <c r="F144" s="65">
        <f>D144+'2026 Ιούνιος'!F144</f>
        <v/>
      </c>
      <c r="G144" s="75">
        <f>F144/$F$117</f>
        <v/>
      </c>
      <c r="H144" s="56">
        <f>ΠΡΟΥΠΟΛΟΓΙΣΜΟΣ_ΕΞΟΔΑ!J431</f>
        <v/>
      </c>
      <c r="I144" s="400">
        <f>H144/$H$117</f>
        <v/>
      </c>
      <c r="J144" s="65">
        <f>H144+'2026 Ιούνιος'!J144</f>
        <v/>
      </c>
      <c r="K144" s="404">
        <f>J144/$J$117</f>
        <v/>
      </c>
      <c r="L144" s="56">
        <f>'2024_60-69 ΕΞΟΔΑ+ΟΜ 2'!J92</f>
        <v/>
      </c>
      <c r="M144" s="75">
        <f>L144/$L$117</f>
        <v/>
      </c>
      <c r="N144" s="65">
        <f>L144+'2026 Ιούνιος'!N144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2'!J98</f>
        <v/>
      </c>
      <c r="E145" s="75">
        <f>D145/$D$117</f>
        <v/>
      </c>
      <c r="F145" s="65">
        <f>D145+'2026 Ιούνιος'!F145</f>
        <v/>
      </c>
      <c r="G145" s="75">
        <f>F145/$F$117</f>
        <v/>
      </c>
      <c r="H145" s="56">
        <f>ΠΡΟΥΠΟΛΟΓΙΣΜΟΣ_ΕΞΟΔΑ!J436</f>
        <v/>
      </c>
      <c r="I145" s="400">
        <f>H145/$H$117</f>
        <v/>
      </c>
      <c r="J145" s="65">
        <f>H145+'2026 Ιούνιος'!J145</f>
        <v/>
      </c>
      <c r="K145" s="404">
        <f>J145/$J$117</f>
        <v/>
      </c>
      <c r="L145" s="56">
        <f>'2024_60-69 ΕΞΟΔΑ+ΟΜ 2'!J93</f>
        <v/>
      </c>
      <c r="M145" s="75">
        <f>L145/$L$117</f>
        <v/>
      </c>
      <c r="N145" s="65">
        <f>L145+'2026 Ιούνιος'!N145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2'!J99</f>
        <v/>
      </c>
      <c r="E146" s="75">
        <f>D146/$D$117</f>
        <v/>
      </c>
      <c r="F146" s="65">
        <f>D146+'2026 Ιούνιος'!F146</f>
        <v/>
      </c>
      <c r="G146" s="75">
        <f>F146/$F$117</f>
        <v/>
      </c>
      <c r="H146" s="56">
        <f>ΠΡΟΥΠΟΛΟΓΙΣΜΟΣ_ΕΞΟΔΑ!J441</f>
        <v/>
      </c>
      <c r="I146" s="400">
        <f>H146/$H$117</f>
        <v/>
      </c>
      <c r="J146" s="65">
        <f>H146+'2026 Ιούνιος'!J146</f>
        <v/>
      </c>
      <c r="K146" s="404">
        <f>J146/$J$117</f>
        <v/>
      </c>
      <c r="L146" s="56">
        <f>'2024_60-69 ΕΞΟΔΑ+ΟΜ 2'!J94</f>
        <v/>
      </c>
      <c r="M146" s="75">
        <f>L146/$L$117</f>
        <v/>
      </c>
      <c r="N146" s="65">
        <f>L146+'2026 Ιούνιος'!N146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2'!J100</f>
        <v/>
      </c>
      <c r="E147" s="75">
        <f>D147/$D$117</f>
        <v/>
      </c>
      <c r="F147" s="65">
        <f>D147+'2026 Ιούνιος'!F147</f>
        <v/>
      </c>
      <c r="G147" s="75">
        <f>F147/$F$117</f>
        <v/>
      </c>
      <c r="H147" s="56">
        <f>ΠΡΟΥΠΟΛΟΓΙΣΜΟΣ_ΕΞΟΔΑ!J446</f>
        <v/>
      </c>
      <c r="I147" s="400">
        <f>H147/$H$117</f>
        <v/>
      </c>
      <c r="J147" s="65">
        <f>H147+'2026 Ιούνιος'!J147</f>
        <v/>
      </c>
      <c r="K147" s="404">
        <f>J147/$J$117</f>
        <v/>
      </c>
      <c r="L147" s="56">
        <f>'2024_60-69 ΕΞΟΔΑ+ΟΜ 2'!J95</f>
        <v/>
      </c>
      <c r="M147" s="75">
        <f>L147/$L$117</f>
        <v/>
      </c>
      <c r="N147" s="65">
        <f>L147+'2026 Ιούνιος'!N147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2'!J101</f>
        <v/>
      </c>
      <c r="E148" s="75">
        <f>D148/$D$117</f>
        <v/>
      </c>
      <c r="F148" s="65">
        <f>D148+'2026 Ιούνιος'!F148</f>
        <v/>
      </c>
      <c r="G148" s="75">
        <f>F148/$F$117</f>
        <v/>
      </c>
      <c r="H148" s="56">
        <f>ΠΡΟΥΠΟΛΟΓΙΣΜΟΣ_ΕΞΟΔΑ!J451</f>
        <v/>
      </c>
      <c r="I148" s="400">
        <f>H148/$H$117</f>
        <v/>
      </c>
      <c r="J148" s="65">
        <f>H148+'2026 Ιούνιος'!J148</f>
        <v/>
      </c>
      <c r="K148" s="404">
        <f>J148/$J$117</f>
        <v/>
      </c>
      <c r="L148" s="56">
        <f>'2024_60-69 ΕΞΟΔΑ+ΟΜ 2'!J96</f>
        <v/>
      </c>
      <c r="M148" s="75">
        <f>L148/$L$117</f>
        <v/>
      </c>
      <c r="N148" s="65">
        <f>L148+'2026 Ιούνιος'!N148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2'!J102</f>
        <v/>
      </c>
      <c r="E149" s="75">
        <f>D149/$D$117</f>
        <v/>
      </c>
      <c r="F149" s="65">
        <f>D149+'2026 Ιούνιος'!F149</f>
        <v/>
      </c>
      <c r="G149" s="75">
        <f>F149/$F$117</f>
        <v/>
      </c>
      <c r="H149" s="56">
        <f>ΠΡΟΥΠΟΛΟΓΙΣΜΟΣ_ΕΞΟΔΑ!J456</f>
        <v/>
      </c>
      <c r="I149" s="400">
        <f>H149/$H$117</f>
        <v/>
      </c>
      <c r="J149" s="65">
        <f>H149+'2026 Ιούνιος'!J149</f>
        <v/>
      </c>
      <c r="K149" s="404">
        <f>J149/$J$117</f>
        <v/>
      </c>
      <c r="L149" s="56">
        <f>'2024_60-69 ΕΞΟΔΑ+ΟΜ 2'!J97</f>
        <v/>
      </c>
      <c r="M149" s="75">
        <f>L149/$L$117</f>
        <v/>
      </c>
      <c r="N149" s="65">
        <f>L149+'2026 Ιούνιος'!N149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2'!J103</f>
        <v/>
      </c>
      <c r="E150" s="75">
        <f>D150/$D$117</f>
        <v/>
      </c>
      <c r="F150" s="65">
        <f>D150+'2026 Ιούνιος'!F150</f>
        <v/>
      </c>
      <c r="G150" s="75">
        <f>F150/$F$117</f>
        <v/>
      </c>
      <c r="H150" s="56">
        <f>ΠΡΟΥΠΟΛΟΓΙΣΜΟΣ_ΕΞΟΔΑ!J461</f>
        <v/>
      </c>
      <c r="I150" s="400">
        <f>H150/$H$117</f>
        <v/>
      </c>
      <c r="J150" s="65">
        <f>H150+'2026 Ιούνιος'!J150</f>
        <v/>
      </c>
      <c r="K150" s="404">
        <f>J150/$J$117</f>
        <v/>
      </c>
      <c r="L150" s="56">
        <f>'2024_60-69 ΕΞΟΔΑ+ΟΜ 2'!J98</f>
        <v/>
      </c>
      <c r="M150" s="75">
        <f>L150/$L$117</f>
        <v/>
      </c>
      <c r="N150" s="65">
        <f>L150+'2026 Ιούνιος'!N150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2'!J104</f>
        <v/>
      </c>
      <c r="E151" s="75">
        <f>D151/$D$117</f>
        <v/>
      </c>
      <c r="F151" s="65">
        <f>D151+'2026 Ιούνιος'!F151</f>
        <v/>
      </c>
      <c r="G151" s="75">
        <f>F151/$F$117</f>
        <v/>
      </c>
      <c r="H151" s="56">
        <f>ΠΡΟΥΠΟΛΟΓΙΣΜΟΣ_ΕΞΟΔΑ!J466</f>
        <v/>
      </c>
      <c r="I151" s="400">
        <f>H151/$H$117</f>
        <v/>
      </c>
      <c r="J151" s="65">
        <f>H151+'2026 Ιούνιος'!J151</f>
        <v/>
      </c>
      <c r="K151" s="404">
        <f>J151/$J$117</f>
        <v/>
      </c>
      <c r="L151" s="56">
        <f>'2024_60-69 ΕΞΟΔΑ+ΟΜ 2'!J99</f>
        <v/>
      </c>
      <c r="M151" s="75">
        <f>L151/$L$117</f>
        <v/>
      </c>
      <c r="N151" s="65">
        <f>L151+'2026 Ιούνιος'!N151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2'!J105</f>
        <v/>
      </c>
      <c r="E152" s="75">
        <f>D152/$D$117</f>
        <v/>
      </c>
      <c r="F152" s="65">
        <f>D152+'2026 Ιούνιος'!F152</f>
        <v/>
      </c>
      <c r="G152" s="75">
        <f>F152/$F$117</f>
        <v/>
      </c>
      <c r="H152" s="56">
        <f>ΠΡΟΥΠΟΛΟΓΙΣΜΟΣ_ΕΞΟΔΑ!J471</f>
        <v/>
      </c>
      <c r="I152" s="400">
        <f>H152/$H$117</f>
        <v/>
      </c>
      <c r="J152" s="65">
        <f>H152+'2026 Ιούνιος'!J152</f>
        <v/>
      </c>
      <c r="K152" s="404">
        <f>J152/$J$117</f>
        <v/>
      </c>
      <c r="L152" s="56">
        <f>'2024_60-69 ΕΞΟΔΑ+ΟΜ 2'!J100</f>
        <v/>
      </c>
      <c r="M152" s="75">
        <f>L152/$L$117</f>
        <v/>
      </c>
      <c r="N152" s="65">
        <f>L152+'2026 Ιούνιος'!N152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28.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2'!J106</f>
        <v/>
      </c>
      <c r="E153" s="75">
        <f>D153/$D$117</f>
        <v/>
      </c>
      <c r="F153" s="65">
        <f>D153+'2026 Ιούνιος'!F153</f>
        <v/>
      </c>
      <c r="G153" s="75">
        <f>F153/$F$117</f>
        <v/>
      </c>
      <c r="H153" s="56">
        <f>ΠΡΟΥΠΟΛΟΓΙΣΜΟΣ_ΕΞΟΔΑ!J476</f>
        <v/>
      </c>
      <c r="I153" s="400">
        <f>H153/$H$117</f>
        <v/>
      </c>
      <c r="J153" s="65">
        <f>H153+'2026 Ιούνιος'!J153</f>
        <v/>
      </c>
      <c r="K153" s="404">
        <f>J153/$J$117</f>
        <v/>
      </c>
      <c r="L153" s="56">
        <f>'2024_60-69 ΕΞΟΔΑ+ΟΜ 2'!J101</f>
        <v/>
      </c>
      <c r="M153" s="75">
        <f>L153/$L$117</f>
        <v/>
      </c>
      <c r="N153" s="65">
        <f>L153+'2026 Ιούνιος'!N153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2'!J107</f>
        <v/>
      </c>
      <c r="E154" s="75">
        <f>D154/$D$117</f>
        <v/>
      </c>
      <c r="F154" s="65">
        <f>D154+'2026 Ιούνιος'!F154</f>
        <v/>
      </c>
      <c r="G154" s="75">
        <f>F154/$F$117</f>
        <v/>
      </c>
      <c r="H154" s="56">
        <f>ΠΡΟΥΠΟΛΟΓΙΣΜΟΣ_ΕΞΟΔΑ!J481</f>
        <v/>
      </c>
      <c r="I154" s="400">
        <f>H154/$H$117</f>
        <v/>
      </c>
      <c r="J154" s="65">
        <f>H154+'2026 Ιούνιος'!J154</f>
        <v/>
      </c>
      <c r="K154" s="404">
        <f>J154/$J$117</f>
        <v/>
      </c>
      <c r="L154" s="56">
        <f>'2024_60-69 ΕΞΟΔΑ+ΟΜ 2'!J102</f>
        <v/>
      </c>
      <c r="M154" s="75">
        <f>L154/$L$117</f>
        <v/>
      </c>
      <c r="N154" s="65">
        <f>L154+'2026 Ιούνιος'!N154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2'!J108</f>
        <v/>
      </c>
      <c r="E155" s="75">
        <f>D155/$D$117</f>
        <v/>
      </c>
      <c r="F155" s="65">
        <f>D155+'2026 Ιούνιος'!F155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2'!J70</f>
        <v/>
      </c>
      <c r="E158" s="81" t="n"/>
      <c r="F158" s="64">
        <f>D158+'2026 Ιούνιος'!F158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15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15.7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60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ΑΝΤΙΣΤΟΙΧΙΣΗ!$F$113</f>
        <v/>
      </c>
      <c r="E3" s="551" t="n"/>
      <c r="F3" s="550" t="n"/>
      <c r="G3" s="107">
        <f>ΑΝΤΙΣΤΟΙΧΙΣΗ!$D$34</f>
        <v/>
      </c>
      <c r="H3" s="549">
        <f>ΑΝΤΙΣΤΟΙΧΙΣΗ!$F$113</f>
        <v/>
      </c>
      <c r="I3" s="551" t="n"/>
      <c r="J3" s="550" t="n"/>
      <c r="K3" s="107">
        <f>ΑΝΤΙΣΤΟΙΧΙΣΗ!$D$34</f>
        <v/>
      </c>
      <c r="L3" s="549">
        <f>ΑΝΤΙΣΤΟΙΧΙΣΗ!$F$127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'2026_ΕΣΟΔΑ'!J2</f>
        <v/>
      </c>
      <c r="E8" s="53">
        <f>D8/$D$7</f>
        <v/>
      </c>
      <c r="F8" s="54">
        <f>D8+'2026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H8+'2026 Ιούλιος'!J8</f>
        <v/>
      </c>
      <c r="K8" s="53">
        <f>J8/$J$7</f>
        <v/>
      </c>
      <c r="L8" s="89">
        <f>'2024_60-69 ΕΞΟΔΑ+ΟΜ 2'!J114</f>
        <v/>
      </c>
      <c r="M8" s="53">
        <f>L8/$L$7</f>
        <v/>
      </c>
      <c r="N8" s="54">
        <f>L8+'2026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'2026_ΕΣΟΔΑ'!J3</f>
        <v/>
      </c>
      <c r="E9" s="53">
        <f>D9/$D$7</f>
        <v/>
      </c>
      <c r="F9" s="54">
        <f>D9+'2026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H9+'2026 Ιούλιος'!J9</f>
        <v/>
      </c>
      <c r="K9" s="53">
        <f>J9/$J$7</f>
        <v/>
      </c>
      <c r="L9" s="89">
        <f>'2024_60-69 ΕΞΟΔΑ+ΟΜ 2'!J115</f>
        <v/>
      </c>
      <c r="M9" s="53">
        <f>L9/$L$7</f>
        <v/>
      </c>
      <c r="N9" s="54">
        <f>L9+'2026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'2026_ΕΣΟΔΑ'!J4</f>
        <v/>
      </c>
      <c r="E10" s="53">
        <f>D10/$D$7</f>
        <v/>
      </c>
      <c r="F10" s="54">
        <f>D10+'2026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H10+'2026 Ιούλιος'!J10</f>
        <v/>
      </c>
      <c r="K10" s="53">
        <f>J10/$J$7</f>
        <v/>
      </c>
      <c r="L10" s="89">
        <f>'2024_60-69 ΕΞΟΔΑ+ΟΜ 2'!J116</f>
        <v/>
      </c>
      <c r="M10" s="53">
        <f>L10/$L$7</f>
        <v/>
      </c>
      <c r="N10" s="54">
        <f>L10+'2026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'2026_ΕΣΟΔΑ'!J5</f>
        <v/>
      </c>
      <c r="E11" s="53">
        <f>D11/$D$7</f>
        <v/>
      </c>
      <c r="F11" s="54">
        <f>D11+'2026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H11+'2026 Ιούλιος'!J11</f>
        <v/>
      </c>
      <c r="K11" s="53">
        <f>J11/$J$7</f>
        <v/>
      </c>
      <c r="L11" s="89">
        <f>'2024_60-69 ΕΞΟΔΑ+ΟΜ 2'!J117</f>
        <v/>
      </c>
      <c r="M11" s="53">
        <f>L11/$L$7</f>
        <v/>
      </c>
      <c r="N11" s="54">
        <f>L11+'2026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'2026_ΕΣΟΔΑ'!J6</f>
        <v/>
      </c>
      <c r="E12" s="53">
        <f>D12/$D$7</f>
        <v/>
      </c>
      <c r="F12" s="54">
        <f>D12+'2026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H12+'2026 Ιούλιος'!J12</f>
        <v/>
      </c>
      <c r="K12" s="53">
        <f>J12/$J$7</f>
        <v/>
      </c>
      <c r="L12" s="89">
        <f>'2024_60-69 ΕΞΟΔΑ+ΟΜ 2'!J118</f>
        <v/>
      </c>
      <c r="M12" s="53">
        <f>L12/$L$7</f>
        <v/>
      </c>
      <c r="N12" s="54">
        <f>L12+'2026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'2026_ΕΣΟΔΑ'!J7</f>
        <v/>
      </c>
      <c r="E13" s="53">
        <f>D13/$D$7</f>
        <v/>
      </c>
      <c r="F13" s="54">
        <f>D13+'2026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H13+'2026 Ιούλιος'!J13</f>
        <v/>
      </c>
      <c r="K13" s="53">
        <f>J13/$J$7</f>
        <v/>
      </c>
      <c r="L13" s="89">
        <f>'2024_60-69 ΕΞΟΔΑ+ΟΜ 2'!J119</f>
        <v/>
      </c>
      <c r="M13" s="53">
        <f>L13/$L$7</f>
        <v/>
      </c>
      <c r="N13" s="54">
        <f>L13+'2026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'2026_ΕΣΟΔΑ'!J8</f>
        <v/>
      </c>
      <c r="E14" s="53">
        <f>D14/$D$7</f>
        <v/>
      </c>
      <c r="F14" s="54">
        <f>D14+'2026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H14+'2026 Ιούλιος'!J14</f>
        <v/>
      </c>
      <c r="K14" s="53">
        <f>J14/$J$7</f>
        <v/>
      </c>
      <c r="L14" s="89">
        <f>'2024_60-69 ΕΞΟΔΑ+ΟΜ 2'!J120</f>
        <v/>
      </c>
      <c r="M14" s="53">
        <f>L14/$L$7</f>
        <v/>
      </c>
      <c r="N14" s="54">
        <f>L14+'2026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'2026_ΕΣΟΔΑ'!J9</f>
        <v/>
      </c>
      <c r="E15" s="53">
        <f>D15/$D$7</f>
        <v/>
      </c>
      <c r="F15" s="54">
        <f>D15+'2026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H15+'2026 Ιούλιος'!J15</f>
        <v/>
      </c>
      <c r="K15" s="53">
        <f>J15/$J$7</f>
        <v/>
      </c>
      <c r="L15" s="89">
        <f>'2024_60-69 ΕΞΟΔΑ+ΟΜ 2'!J121</f>
        <v/>
      </c>
      <c r="M15" s="53">
        <f>L15/$L$7</f>
        <v/>
      </c>
      <c r="N15" s="54">
        <f>L15+'2026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'2026_ΕΣΟΔΑ'!J10</f>
        <v/>
      </c>
      <c r="E16" s="53">
        <f>D16/$D$7</f>
        <v/>
      </c>
      <c r="F16" s="54">
        <f>D16+'2026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H16+'2026 Ιούλιος'!J16</f>
        <v/>
      </c>
      <c r="K16" s="53">
        <f>J16/$J$7</f>
        <v/>
      </c>
      <c r="L16" s="89">
        <f>'2024_60-69 ΕΞΟΔΑ+ΟΜ 2'!J122</f>
        <v/>
      </c>
      <c r="M16" s="53">
        <f>L16/$L$7</f>
        <v/>
      </c>
      <c r="N16" s="54">
        <f>L16+'2026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'2026_ΕΣΟΔΑ'!J11</f>
        <v/>
      </c>
      <c r="E17" s="53">
        <f>D17/$D$7</f>
        <v/>
      </c>
      <c r="F17" s="54">
        <f>D17+'2026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H17+'2026 Ιούλιος'!J17</f>
        <v/>
      </c>
      <c r="K17" s="53">
        <f>J17/$J$7</f>
        <v/>
      </c>
      <c r="L17" s="89">
        <f>'2024_60-69 ΕΞΟΔΑ+ΟΜ 2'!J123</f>
        <v/>
      </c>
      <c r="M17" s="53">
        <f>L17/$L$7</f>
        <v/>
      </c>
      <c r="N17" s="54">
        <f>L17+'2026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'2026_ΕΣΟΔΑ'!J12</f>
        <v/>
      </c>
      <c r="E18" s="53">
        <f>D18/$D$7</f>
        <v/>
      </c>
      <c r="F18" s="54">
        <f>D18+'2026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H18+'2026 Ιούλιος'!J18</f>
        <v/>
      </c>
      <c r="K18" s="53">
        <f>J18/$J$7</f>
        <v/>
      </c>
      <c r="L18" s="89">
        <f>'2024_60-69 ΕΞΟΔΑ+ΟΜ 2'!J124</f>
        <v/>
      </c>
      <c r="M18" s="53">
        <f>L18/$L$7</f>
        <v/>
      </c>
      <c r="N18" s="54">
        <f>L18+'2026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'2026_ΕΣΟΔΑ'!J13</f>
        <v/>
      </c>
      <c r="E19" s="53">
        <f>D19/$D$7</f>
        <v/>
      </c>
      <c r="F19" s="54">
        <f>D19+'2026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H19+'2026 Ιούλιος'!J19</f>
        <v/>
      </c>
      <c r="K19" s="53">
        <f>J19/$J$7</f>
        <v/>
      </c>
      <c r="L19" s="89">
        <f>'2024_60-69 ΕΞΟΔΑ+ΟΜ 2'!J125</f>
        <v/>
      </c>
      <c r="M19" s="53">
        <f>L19/$L$7</f>
        <v/>
      </c>
      <c r="N19" s="54">
        <f>L19+'2026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'2026_ΕΣΟΔΑ'!J14</f>
        <v/>
      </c>
      <c r="E20" s="53">
        <f>D20/$D$7</f>
        <v/>
      </c>
      <c r="F20" s="54">
        <f>D20+'2026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H20+'2026 Ιούλιος'!J20</f>
        <v/>
      </c>
      <c r="K20" s="53">
        <f>J20/$J$7</f>
        <v/>
      </c>
      <c r="L20" s="89">
        <f>'2024_60-69 ΕΞΟΔΑ+ΟΜ 2'!J126</f>
        <v/>
      </c>
      <c r="M20" s="53">
        <f>L20/$L$7</f>
        <v/>
      </c>
      <c r="N20" s="54">
        <f>L20+'2026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'2026_ΕΣΟΔΑ'!J15</f>
        <v/>
      </c>
      <c r="E21" s="53">
        <f>D21/$D$7</f>
        <v/>
      </c>
      <c r="F21" s="54">
        <f>D21+'2026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H21+'2026 Ιούλιος'!J21</f>
        <v/>
      </c>
      <c r="K21" s="53">
        <f>J21/$J$7</f>
        <v/>
      </c>
      <c r="L21" s="89">
        <f>'2024_60-69 ΕΞΟΔΑ+ΟΜ 2'!J127</f>
        <v/>
      </c>
      <c r="M21" s="53">
        <f>L21/$L$7</f>
        <v/>
      </c>
      <c r="N21" s="54">
        <f>L21+'2026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'2026_ΕΣΟΔΑ'!J16</f>
        <v/>
      </c>
      <c r="E22" s="53">
        <f>D22/$D$7</f>
        <v/>
      </c>
      <c r="F22" s="54">
        <f>D22+'2026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H22+'2026 Ιούλιος'!J22</f>
        <v/>
      </c>
      <c r="K22" s="53">
        <f>J22/$J$7</f>
        <v/>
      </c>
      <c r="L22" s="89">
        <f>'2024_60-69 ΕΞΟΔΑ+ΟΜ 2'!J128</f>
        <v/>
      </c>
      <c r="M22" s="53">
        <f>L22/$L$7</f>
        <v/>
      </c>
      <c r="N22" s="54">
        <f>L22+'2026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'2026_ΕΣΟΔΑ'!J17</f>
        <v/>
      </c>
      <c r="E23" s="53">
        <f>D23/$D$7</f>
        <v/>
      </c>
      <c r="F23" s="54">
        <f>D23+'2026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H23+'2026 Ιούλιος'!J23</f>
        <v/>
      </c>
      <c r="K23" s="53">
        <f>J23/$J$7</f>
        <v/>
      </c>
      <c r="L23" s="89">
        <f>'2024_60-69 ΕΞΟΔΑ+ΟΜ 2'!J129</f>
        <v/>
      </c>
      <c r="M23" s="53">
        <f>L23/$L$7</f>
        <v/>
      </c>
      <c r="N23" s="54">
        <f>L23+'2026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'2026_ΕΣΟΔΑ'!J19</f>
        <v/>
      </c>
      <c r="E25" s="53">
        <f>D25/$D$7</f>
        <v/>
      </c>
      <c r="F25" s="54">
        <f>D25+'2026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H25+'2026 Ιούλιος'!J25</f>
        <v/>
      </c>
      <c r="K25" s="53">
        <f>J25/$J$7</f>
        <v/>
      </c>
      <c r="L25" s="89">
        <f>'2024_60-69 ΕΞΟΔΑ+ΟΜ 2'!J130</f>
        <v/>
      </c>
      <c r="M25" s="53">
        <f>L25/$L$7</f>
        <v/>
      </c>
      <c r="N25" s="54">
        <f>L25+'2026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'2026_ΕΣΟΔΑ'!J20</f>
        <v/>
      </c>
      <c r="E26" s="53">
        <f>D26/$D$7</f>
        <v/>
      </c>
      <c r="F26" s="54">
        <f>D26+'2026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H26+'2026 Ιούλιος'!J26</f>
        <v/>
      </c>
      <c r="K26" s="53">
        <f>J26/$J$7</f>
        <v/>
      </c>
      <c r="L26" s="89">
        <f>'2024_60-69 ΕΞΟΔΑ+ΟΜ 2'!J131</f>
        <v/>
      </c>
      <c r="M26" s="53">
        <f>L26/$L$7</f>
        <v/>
      </c>
      <c r="N26" s="54">
        <f>L26+'2026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'2026_ΕΣΟΔΑ'!J21</f>
        <v/>
      </c>
      <c r="E27" s="53">
        <f>D27/$D$7</f>
        <v/>
      </c>
      <c r="F27" s="54">
        <f>D27+'2026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H27+'2026 Ιούλιος'!J27</f>
        <v/>
      </c>
      <c r="K27" s="53">
        <f>J27/$J$7</f>
        <v/>
      </c>
      <c r="L27" s="89">
        <f>'2024_60-69 ΕΞΟΔΑ+ΟΜ 2'!J132</f>
        <v/>
      </c>
      <c r="M27" s="53">
        <f>L27/$L$7</f>
        <v/>
      </c>
      <c r="N27" s="54">
        <f>L27+'2026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'2026_ΕΣΟΔΑ'!J22</f>
        <v/>
      </c>
      <c r="E28" s="53">
        <f>D28/$D$7</f>
        <v/>
      </c>
      <c r="F28" s="54">
        <f>D28+'2026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H28+'2026 Ιούλιος'!J28</f>
        <v/>
      </c>
      <c r="K28" s="53">
        <f>J28/$J$7</f>
        <v/>
      </c>
      <c r="L28" s="89">
        <f>'2024_60-69 ΕΞΟΔΑ+ΟΜ 2'!J133</f>
        <v/>
      </c>
      <c r="M28" s="53">
        <f>L28/$L$7</f>
        <v/>
      </c>
      <c r="N28" s="54">
        <f>L28+'2026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'2026_ΕΣΟΔΑ'!J23</f>
        <v/>
      </c>
      <c r="E29" s="53">
        <f>D29/$D$7</f>
        <v/>
      </c>
      <c r="F29" s="54">
        <f>D29+'2026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H29+'2026 Ιούλιος'!J29</f>
        <v/>
      </c>
      <c r="K29" s="53">
        <f>J29/$J$7</f>
        <v/>
      </c>
      <c r="L29" s="89">
        <f>'2024_60-69 ΕΞΟΔΑ+ΟΜ 2'!J134</f>
        <v/>
      </c>
      <c r="M29" s="53">
        <f>L29/$L$7</f>
        <v/>
      </c>
      <c r="N29" s="54">
        <f>L29+'2026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'2026_ΕΣΟΔΑ'!J24</f>
        <v/>
      </c>
      <c r="E30" s="53">
        <f>D30/$D$7</f>
        <v/>
      </c>
      <c r="F30" s="54">
        <f>D30+'2026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H30+'2026 Ιούλιος'!J30</f>
        <v/>
      </c>
      <c r="K30" s="53">
        <f>J30/$J$7</f>
        <v/>
      </c>
      <c r="L30" s="89">
        <f>'2024_60-69 ΕΞΟΔΑ+ΟΜ 2'!J135</f>
        <v/>
      </c>
      <c r="M30" s="53">
        <f>L30/$L$7</f>
        <v/>
      </c>
      <c r="N30" s="54">
        <f>L30+'2026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'2026_ΕΣΟΔΑ'!J25</f>
        <v/>
      </c>
      <c r="E31" s="53">
        <f>D31/$D$7</f>
        <v/>
      </c>
      <c r="F31" s="54">
        <f>D31+'2026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H31+'2026 Ιούλιος'!J31</f>
        <v/>
      </c>
      <c r="K31" s="53">
        <f>J31/$J$7</f>
        <v/>
      </c>
      <c r="L31" s="89">
        <f>'2024_60-69 ΕΞΟΔΑ+ΟΜ 2'!J136</f>
        <v/>
      </c>
      <c r="M31" s="53">
        <f>L31/$L$7</f>
        <v/>
      </c>
      <c r="N31" s="54">
        <f>L31+'2026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'2026_ΕΣΟΔΑ'!J26</f>
        <v/>
      </c>
      <c r="E32" s="53">
        <f>D32/$D$7</f>
        <v/>
      </c>
      <c r="F32" s="54">
        <f>D32+'2026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H32+'2026 Ιούλιος'!J32</f>
        <v/>
      </c>
      <c r="K32" s="53">
        <f>J32/$J$7</f>
        <v/>
      </c>
      <c r="L32" s="89">
        <f>'2024_60-69 ΕΞΟΔΑ+ΟΜ 2'!J137</f>
        <v/>
      </c>
      <c r="M32" s="53">
        <f>L32/$L$7</f>
        <v/>
      </c>
      <c r="N32" s="54">
        <f>L32+'2026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'2026_ΕΣΟΔΑ'!J27</f>
        <v/>
      </c>
      <c r="E33" s="53">
        <f>D33/$D$7</f>
        <v/>
      </c>
      <c r="F33" s="54">
        <f>D33+'2026 Ιούλιος'!F33</f>
        <v/>
      </c>
      <c r="G33" s="53">
        <f>F33/$F$7</f>
        <v/>
      </c>
      <c r="H33" s="54" t="n"/>
      <c r="I33" s="53">
        <f>H33/$H$7</f>
        <v/>
      </c>
      <c r="J33" s="54">
        <f>H33+'2026 Ιούλιος'!J33</f>
        <v/>
      </c>
      <c r="K33" s="53">
        <f>J33/$J$7</f>
        <v/>
      </c>
      <c r="L33" s="89">
        <f>'2024_60-69 ΕΞΟΔΑ+ΟΜ 2'!J138</f>
        <v/>
      </c>
      <c r="M33" s="53">
        <f>L33/$L$7</f>
        <v/>
      </c>
      <c r="N33" s="54">
        <f>L33+'2026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'2026_ΕΣΟΔΑ'!J28</f>
        <v/>
      </c>
      <c r="E34" s="53">
        <f>D34/$D$7</f>
        <v/>
      </c>
      <c r="F34" s="54">
        <f>D34+'2026 Ιούλιος'!F34</f>
        <v/>
      </c>
      <c r="G34" s="53">
        <f>F34/$F$7</f>
        <v/>
      </c>
      <c r="H34" s="54" t="n"/>
      <c r="I34" s="53">
        <f>H34/$H$7</f>
        <v/>
      </c>
      <c r="J34" s="54">
        <f>H34+'2026 Ιούλιος'!J34</f>
        <v/>
      </c>
      <c r="K34" s="53">
        <f>J34/$J$7</f>
        <v/>
      </c>
      <c r="L34" s="89">
        <f>'2024_60-69 ΕΞΟΔΑ+ΟΜ 2'!J139</f>
        <v/>
      </c>
      <c r="M34" s="53">
        <f>L34/$L$7</f>
        <v/>
      </c>
      <c r="N34" s="54">
        <f>L34+'2026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'2026_ΕΣΟΔΑ'!J29</f>
        <v/>
      </c>
      <c r="E35" s="53">
        <f>D35/$D$7</f>
        <v/>
      </c>
      <c r="F35" s="54">
        <f>D35+'2026 Ιούλιος'!F35</f>
        <v/>
      </c>
      <c r="G35" s="53">
        <f>F35/$F$7</f>
        <v/>
      </c>
      <c r="H35" s="54" t="n"/>
      <c r="I35" s="53">
        <f>H35/$H$7</f>
        <v/>
      </c>
      <c r="J35" s="54">
        <f>H35+'2026 Ιούλιος'!J35</f>
        <v/>
      </c>
      <c r="K35" s="53">
        <f>J35/$J$7</f>
        <v/>
      </c>
      <c r="L35" s="89">
        <f>'2024_60-69 ΕΞΟΔΑ+ΟΜ 2'!J140</f>
        <v/>
      </c>
      <c r="M35" s="53">
        <f>L35/$L$7</f>
        <v/>
      </c>
      <c r="N35" s="54">
        <f>L35+'2026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'2026_ΕΣΟΔΑ'!J30</f>
        <v/>
      </c>
      <c r="E36" s="53">
        <f>D36/$D$7</f>
        <v/>
      </c>
      <c r="F36" s="54">
        <f>D36+'2026 Ιούλιος'!F36</f>
        <v/>
      </c>
      <c r="G36" s="53">
        <f>F36/$F$7</f>
        <v/>
      </c>
      <c r="H36" s="54" t="n"/>
      <c r="I36" s="53">
        <f>H36/$H$7</f>
        <v/>
      </c>
      <c r="J36" s="54">
        <f>H36+'2026 Ιούλιος'!J36</f>
        <v/>
      </c>
      <c r="K36" s="53">
        <f>J36/$J$7</f>
        <v/>
      </c>
      <c r="L36" s="89">
        <f>'2024_60-69 ΕΞΟΔΑ+ΟΜ 2'!J141</f>
        <v/>
      </c>
      <c r="M36" s="53">
        <f>L36/$L$7</f>
        <v/>
      </c>
      <c r="N36" s="54">
        <f>L36+'2026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'2026_ΕΣΟΔΑ'!J31</f>
        <v/>
      </c>
      <c r="E37" s="53">
        <f>D37/$D$7</f>
        <v/>
      </c>
      <c r="F37" s="54">
        <f>D37+'2026 Ιούλιος'!F37</f>
        <v/>
      </c>
      <c r="G37" s="53">
        <f>F37/$F$7</f>
        <v/>
      </c>
      <c r="H37" s="54" t="n"/>
      <c r="I37" s="53">
        <f>H37/$H$7</f>
        <v/>
      </c>
      <c r="J37" s="54">
        <f>H37+'2026 Ιούλιος'!J37</f>
        <v/>
      </c>
      <c r="K37" s="53">
        <f>J37/$J$7</f>
        <v/>
      </c>
      <c r="L37" s="89">
        <f>'2024_60-69 ΕΞΟΔΑ+ΟΜ 2'!J142</f>
        <v/>
      </c>
      <c r="M37" s="53">
        <f>L37/$L$7</f>
        <v/>
      </c>
      <c r="N37" s="54">
        <f>L37+'2026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'2026_ΕΣΟΔΑ'!J32</f>
        <v/>
      </c>
      <c r="E38" s="53">
        <f>D38/$D$7</f>
        <v/>
      </c>
      <c r="F38" s="54">
        <f>D38+'2026 Ιούλιος'!F38</f>
        <v/>
      </c>
      <c r="G38" s="53">
        <f>F38/$F$7</f>
        <v/>
      </c>
      <c r="H38" s="54" t="n"/>
      <c r="I38" s="53">
        <f>H38/$H$7</f>
        <v/>
      </c>
      <c r="J38" s="54">
        <f>H38+'2026 Ιούλιος'!J38</f>
        <v/>
      </c>
      <c r="K38" s="53">
        <f>J38/$J$7</f>
        <v/>
      </c>
      <c r="L38" s="89">
        <f>'2024_60-69 ΕΞΟΔΑ+ΟΜ 2'!J143</f>
        <v/>
      </c>
      <c r="M38" s="53">
        <f>L38/$L$7</f>
        <v/>
      </c>
      <c r="N38" s="54">
        <f>L38+'2026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'2026_ΕΣΟΔΑ'!J33</f>
        <v/>
      </c>
      <c r="E39" s="81" t="n"/>
      <c r="F39" s="64">
        <f>'2026_ΕΣΟΔΑ'!J35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ΑΝΤΙΣΤΟΙΧΙΣΗ!$F$113</f>
        <v/>
      </c>
      <c r="E42" s="551" t="n"/>
      <c r="F42" s="550" t="n"/>
      <c r="G42" s="107">
        <f>ΑΝΤΙΣΤΟΙΧΙΣΗ!$D$34</f>
        <v/>
      </c>
      <c r="H42" s="549">
        <f>ΑΝΤΙΣΤΟΙΧΙΣΗ!$F$113</f>
        <v/>
      </c>
      <c r="I42" s="551" t="n"/>
      <c r="J42" s="550" t="n"/>
      <c r="K42" s="107">
        <f>ΑΝΤΙΣΤΟΙΧΙΣΗ!$D$34</f>
        <v/>
      </c>
      <c r="L42" s="549">
        <f>ΑΝΤΙΣΤΟΙΧΙΣΗ!$F$127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2'!K4</f>
        <v/>
      </c>
      <c r="E45" s="75">
        <f>D45/$D$44</f>
        <v/>
      </c>
      <c r="F45" s="65">
        <f>D45+'2026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H45+'2026 Ιούλιος'!J45</f>
        <v/>
      </c>
      <c r="K45" s="404">
        <f>J45/$J$44</f>
        <v/>
      </c>
      <c r="L45" s="56">
        <f>'2024_60-69 ΕΞΟΔΑ+ΟΜ 2'!K4</f>
        <v/>
      </c>
      <c r="M45" s="75">
        <f>L45/$L$44</f>
        <v/>
      </c>
      <c r="N45" s="65">
        <f>L45+'2026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2'!K5</f>
        <v/>
      </c>
      <c r="E46" s="75">
        <f>D46/$D$44</f>
        <v/>
      </c>
      <c r="F46" s="65">
        <f>D46+'2026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H46+'2026 Ιούλιος'!J46</f>
        <v/>
      </c>
      <c r="K46" s="404">
        <f>J46/$J$44</f>
        <v/>
      </c>
      <c r="L46" s="56">
        <f>'2024_60-69 ΕΞΟΔΑ+ΟΜ 2'!K5</f>
        <v/>
      </c>
      <c r="M46" s="75">
        <f>L46/$L$44</f>
        <v/>
      </c>
      <c r="N46" s="65">
        <f>L46+'2026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2'!K6</f>
        <v/>
      </c>
      <c r="E47" s="75">
        <f>D47/$D$44</f>
        <v/>
      </c>
      <c r="F47" s="65">
        <f>D47+'2026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H47+'2026 Ιούλιος'!J47</f>
        <v/>
      </c>
      <c r="K47" s="404">
        <f>J47/$J$44</f>
        <v/>
      </c>
      <c r="L47" s="56">
        <f>'2024_60-69 ΕΞΟΔΑ+ΟΜ 2'!K6</f>
        <v/>
      </c>
      <c r="M47" s="75">
        <f>L47/$L$44</f>
        <v/>
      </c>
      <c r="N47" s="65">
        <f>L47+'2026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2'!K7</f>
        <v/>
      </c>
      <c r="E48" s="75">
        <f>D48/$D$85</f>
        <v/>
      </c>
      <c r="F48" s="114">
        <f>'2026 Ιούλιος'!F48+'2026 Aύγουστος'!D48</f>
        <v/>
      </c>
      <c r="G48" s="75">
        <f>F48/$F$85</f>
        <v/>
      </c>
      <c r="H48" s="56">
        <f>ΠΡΟΥΠΟΛΟΓΙΣΜΟΣ_ΕΞΟΔΑ!K167</f>
        <v/>
      </c>
      <c r="I48" s="401">
        <f>H48/$H$85</f>
        <v/>
      </c>
      <c r="J48" s="405">
        <f>G48+'2026 Ιούλιος'!J48</f>
        <v/>
      </c>
      <c r="K48" s="403">
        <f>J48/$J$85</f>
        <v/>
      </c>
      <c r="L48" s="114">
        <f>'2024_60-69 ΕΞΟΔΑ+ΟΜ 2'!K35</f>
        <v/>
      </c>
      <c r="M48" s="75">
        <f>L48/$L$85</f>
        <v/>
      </c>
      <c r="N48" s="65">
        <f>L48+'2026 Ιούλιος'!N48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2'!K8</f>
        <v/>
      </c>
      <c r="E49" s="75">
        <f>D49/$D$85</f>
        <v/>
      </c>
      <c r="F49" s="114">
        <f>'2026 Ιούλιος'!F49+'2026 Aύγουστος'!D49</f>
        <v/>
      </c>
      <c r="G49" s="75">
        <f>F49/$F$85</f>
        <v/>
      </c>
      <c r="H49" s="56">
        <f>ΠΡΟΥΠΟΛΟΓΙΣΜΟΣ_ΕΞΟΔΑ!K172</f>
        <v/>
      </c>
      <c r="I49" s="401">
        <f>H49/$H$85</f>
        <v/>
      </c>
      <c r="J49" s="405">
        <f>G49+'2026 Ιούλιος'!J49</f>
        <v/>
      </c>
      <c r="K49" s="403">
        <f>J49/$J$85</f>
        <v/>
      </c>
      <c r="L49" s="114">
        <f>'2024_60-69 ΕΞΟΔΑ+ΟΜ 2'!K36</f>
        <v/>
      </c>
      <c r="M49" s="75">
        <f>L49/$L$85</f>
        <v/>
      </c>
      <c r="N49" s="65">
        <f>L49+'2026 Ιούλιος'!N49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2'!K9</f>
        <v/>
      </c>
      <c r="E50" s="75">
        <f>D50/$D$44</f>
        <v/>
      </c>
      <c r="F50" s="65">
        <f>D50+'2026 Ιούλιος'!F50</f>
        <v/>
      </c>
      <c r="G50" s="75">
        <f>F50/$F$44</f>
        <v/>
      </c>
      <c r="H50" s="56">
        <f>ΠΡΟΥΠΟΛΟΓΙΣΜΟΣ_ΕΞΟΔΑ!K23</f>
        <v/>
      </c>
      <c r="I50" s="400">
        <f>H50/$H$44</f>
        <v/>
      </c>
      <c r="J50" s="65">
        <f>H50+'2026 Ιούλιος'!J50</f>
        <v/>
      </c>
      <c r="K50" s="404">
        <f>J50/$J$44</f>
        <v/>
      </c>
      <c r="L50" s="56">
        <f>'2024_60-69 ΕΞΟΔΑ+ΟΜ 2'!K7</f>
        <v/>
      </c>
      <c r="M50" s="75">
        <f>L50/$L$44</f>
        <v/>
      </c>
      <c r="N50" s="65">
        <f>L50+'2026 Ιούλιος'!N50</f>
        <v/>
      </c>
      <c r="O50" s="75">
        <f>N50/$N$44</f>
        <v/>
      </c>
      <c r="P50" s="65">
        <f>F50-N50</f>
        <v/>
      </c>
      <c r="Q50" s="75">
        <f>N50/J50</f>
        <v/>
      </c>
      <c r="W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2'!K10</f>
        <v/>
      </c>
      <c r="E51" s="75">
        <f>D51/$D$44</f>
        <v/>
      </c>
      <c r="F51" s="65">
        <f>D51+'2026 Ιούλιος'!F51</f>
        <v/>
      </c>
      <c r="G51" s="75">
        <f>F51/$F$44</f>
        <v/>
      </c>
      <c r="H51" s="56">
        <f>ΠΡΟΥΠΟΛΟΓΙΣΜΟΣ_ΕΞΟΔΑ!K28</f>
        <v/>
      </c>
      <c r="I51" s="400">
        <f>H51/$H$44</f>
        <v/>
      </c>
      <c r="J51" s="65">
        <f>H51+'2026 Ιούλιος'!J51</f>
        <v/>
      </c>
      <c r="K51" s="404">
        <f>J51/$J$44</f>
        <v/>
      </c>
      <c r="L51" s="56">
        <f>'2024_60-69 ΕΞΟΔΑ+ΟΜ 2'!K8</f>
        <v/>
      </c>
      <c r="M51" s="75">
        <f>L51/$L$44</f>
        <v/>
      </c>
      <c r="N51" s="65">
        <f>L51+'2026 Ιούλιος'!N51</f>
        <v/>
      </c>
      <c r="O51" s="75">
        <f>N51/$N$44</f>
        <v/>
      </c>
      <c r="P51" s="65">
        <f>F51-N51</f>
        <v/>
      </c>
      <c r="Q51" s="75">
        <f>N51/J51</f>
        <v/>
      </c>
      <c r="W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2'!K11</f>
        <v/>
      </c>
      <c r="E52" s="75">
        <f>D52/$D$44</f>
        <v/>
      </c>
      <c r="F52" s="65">
        <f>D52+'2026 Ιούλιος'!F52</f>
        <v/>
      </c>
      <c r="G52" s="75">
        <f>F52/$F$44</f>
        <v/>
      </c>
      <c r="H52" s="56">
        <f>ΠΡΟΥΠΟΛΟΓΙΣΜΟΣ_ΕΞΟΔΑ!K33</f>
        <v/>
      </c>
      <c r="I52" s="400">
        <f>H52/$H$44</f>
        <v/>
      </c>
      <c r="J52" s="65">
        <f>H52+'2026 Ιούλιος'!J52</f>
        <v/>
      </c>
      <c r="K52" s="404">
        <f>J52/$J$44</f>
        <v/>
      </c>
      <c r="L52" s="56">
        <f>'2024_60-69 ΕΞΟΔΑ+ΟΜ 2'!K9</f>
        <v/>
      </c>
      <c r="M52" s="75">
        <f>L52/$L$44</f>
        <v/>
      </c>
      <c r="N52" s="65">
        <f>L52+'2026 Ιούλιος'!N52</f>
        <v/>
      </c>
      <c r="O52" s="75">
        <f>N52/$N$44</f>
        <v/>
      </c>
      <c r="P52" s="65">
        <f>F52-N52</f>
        <v/>
      </c>
      <c r="Q52" s="75">
        <f>N52/J52</f>
        <v/>
      </c>
      <c r="W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2'!K12</f>
        <v/>
      </c>
      <c r="E53" s="75">
        <f>D53/$D$85</f>
        <v/>
      </c>
      <c r="F53" s="114">
        <f>'2026 Ιούλιος'!F53+'2026 Aύγουστος'!D53</f>
        <v/>
      </c>
      <c r="G53" s="75">
        <f>F53/$F$85</f>
        <v/>
      </c>
      <c r="H53" s="56">
        <f>ΠΡΟΥΠΟΛΟΓΙΣΜΟΣ_ΕΞΟΔΑ!K187</f>
        <v/>
      </c>
      <c r="I53" s="401">
        <f>H53/$H$85</f>
        <v/>
      </c>
      <c r="J53" s="405">
        <f>G53+'2026 Ιούλιος'!J53</f>
        <v/>
      </c>
      <c r="K53" s="403">
        <f>J53/$J$85</f>
        <v/>
      </c>
      <c r="L53" s="114">
        <f>'2024_60-69 ΕΞΟΔΑ+ΟΜ 2'!K39</f>
        <v/>
      </c>
      <c r="M53" s="75">
        <f>L53/$L$85</f>
        <v/>
      </c>
      <c r="N53" s="65">
        <f>L53+'2026 Ιούλιος'!N53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2'!K13</f>
        <v/>
      </c>
      <c r="E54" s="75">
        <f>D54/$D$85</f>
        <v/>
      </c>
      <c r="F54" s="114">
        <f>'2026 Ιούλιος'!F54+'2026 Aύγουστος'!D54</f>
        <v/>
      </c>
      <c r="G54" s="75">
        <f>F54/$F$85</f>
        <v/>
      </c>
      <c r="H54" s="56">
        <f>ΠΡΟΥΠΟΛΟΓΙΣΜΟΣ_ΕΞΟΔΑ!K192</f>
        <v/>
      </c>
      <c r="I54" s="401">
        <f>H54/$H$85</f>
        <v/>
      </c>
      <c r="J54" s="405">
        <f>G54+'2026 Ιούλιος'!J54</f>
        <v/>
      </c>
      <c r="K54" s="403">
        <f>J54/$J$85</f>
        <v/>
      </c>
      <c r="L54" s="114">
        <f>'2024_60-69 ΕΞΟΔΑ+ΟΜ 2'!K40</f>
        <v/>
      </c>
      <c r="M54" s="75">
        <f>L54/$L$85</f>
        <v/>
      </c>
      <c r="N54" s="65">
        <f>L54+'2026 Ιούλιος'!N54</f>
        <v/>
      </c>
      <c r="O54" s="75">
        <f>N54/$N$85</f>
        <v/>
      </c>
      <c r="P54" s="58">
        <f>F54-N54</f>
        <v/>
      </c>
      <c r="Q54" s="540">
        <f>N54/J54</f>
        <v/>
      </c>
      <c r="W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2'!K14</f>
        <v/>
      </c>
      <c r="E55" s="75">
        <f>D55/$D$44</f>
        <v/>
      </c>
      <c r="F55" s="65">
        <f>D55+'2026 Ιούλιος'!F55</f>
        <v/>
      </c>
      <c r="G55" s="75">
        <f>F55/$F$44</f>
        <v/>
      </c>
      <c r="H55" s="56">
        <f>ΠΡΟΥΠΟΛΟΓΙΣΜΟΣ_ΕΞΟΔΑ!K38</f>
        <v/>
      </c>
      <c r="I55" s="400">
        <f>H55/$H$44</f>
        <v/>
      </c>
      <c r="J55" s="65">
        <f>H55+'2026 Ιούλιος'!J55</f>
        <v/>
      </c>
      <c r="K55" s="404">
        <f>J55/$J$44</f>
        <v/>
      </c>
      <c r="L55" s="56">
        <f>'2024_60-69 ΕΞΟΔΑ+ΟΜ 2'!K10</f>
        <v/>
      </c>
      <c r="M55" s="75">
        <f>L55/$L$44</f>
        <v/>
      </c>
      <c r="N55" s="65">
        <f>L55+'2026 Ιούλιος'!N55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2'!K15</f>
        <v/>
      </c>
      <c r="E56" s="75">
        <f>D56/$D$44</f>
        <v/>
      </c>
      <c r="F56" s="65">
        <f>D56+'2026 Ιούλιος'!F56</f>
        <v/>
      </c>
      <c r="G56" s="75">
        <f>F56/$F$44</f>
        <v/>
      </c>
      <c r="H56" s="56">
        <f>ΠΡΟΥΠΟΛΟΓΙΣΜΟΣ_ΕΞΟΔΑ!K43</f>
        <v/>
      </c>
      <c r="I56" s="400">
        <f>H56/$H$44</f>
        <v/>
      </c>
      <c r="J56" s="65">
        <f>H56+'2026 Ιούλιος'!J56</f>
        <v/>
      </c>
      <c r="K56" s="404">
        <f>J56/$J$44</f>
        <v/>
      </c>
      <c r="L56" s="56">
        <f>'2024_60-69 ΕΞΟΔΑ+ΟΜ 2'!K11</f>
        <v/>
      </c>
      <c r="M56" s="75">
        <f>L56/$L$44</f>
        <v/>
      </c>
      <c r="N56" s="65">
        <f>L56+'2026 Ιούλιος'!N56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2'!K16</f>
        <v/>
      </c>
      <c r="E57" s="75">
        <f>D57/$D$44</f>
        <v/>
      </c>
      <c r="F57" s="65">
        <f>D57+'2026 Ιούλιος'!F57</f>
        <v/>
      </c>
      <c r="G57" s="75">
        <f>F57/$F$44</f>
        <v/>
      </c>
      <c r="H57" s="56">
        <f>ΠΡΟΥΠΟΛΟΓΙΣΜΟΣ_ΕΞΟΔΑ!K48</f>
        <v/>
      </c>
      <c r="I57" s="400">
        <f>H57/$H$44</f>
        <v/>
      </c>
      <c r="J57" s="65">
        <f>H57+'2026 Ιούλιος'!J57</f>
        <v/>
      </c>
      <c r="K57" s="404">
        <f>J57/$J$44</f>
        <v/>
      </c>
      <c r="L57" s="56">
        <f>'2024_60-69 ΕΞΟΔΑ+ΟΜ 2'!K12</f>
        <v/>
      </c>
      <c r="M57" s="75">
        <f>L57/$L$44</f>
        <v/>
      </c>
      <c r="N57" s="65">
        <f>L57+'2026 Ιούλιος'!N57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2'!K17</f>
        <v/>
      </c>
      <c r="E58" s="75">
        <f>D58/$D$44</f>
        <v/>
      </c>
      <c r="F58" s="65">
        <f>D58+'2026 Ιούλιος'!F58</f>
        <v/>
      </c>
      <c r="G58" s="75">
        <f>F58/$F$44</f>
        <v/>
      </c>
      <c r="H58" s="56">
        <f>ΠΡΟΥΠΟΛΟΓΙΣΜΟΣ_ΕΞΟΔΑ!K53</f>
        <v/>
      </c>
      <c r="I58" s="400">
        <f>H58/$H$44</f>
        <v/>
      </c>
      <c r="J58" s="65">
        <f>H58+'2026 Ιούλιος'!J58</f>
        <v/>
      </c>
      <c r="K58" s="404">
        <f>J58/$J$44</f>
        <v/>
      </c>
      <c r="L58" s="56">
        <f>'2024_60-69 ΕΞΟΔΑ+ΟΜ 2'!K13</f>
        <v/>
      </c>
      <c r="M58" s="75">
        <f>L58/$L$44</f>
        <v/>
      </c>
      <c r="N58" s="65">
        <f>L58+'2026 Ιούλιος'!N58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2'!K18</f>
        <v/>
      </c>
      <c r="E59" s="75">
        <f>D59/$D$44</f>
        <v/>
      </c>
      <c r="F59" s="65">
        <f>D59+'2026 Ιούλιος'!F59</f>
        <v/>
      </c>
      <c r="G59" s="75">
        <f>F59/$F$44</f>
        <v/>
      </c>
      <c r="H59" s="56">
        <f>ΠΡΟΥΠΟΛΟΓΙΣΜΟΣ_ΕΞΟΔΑ!K58</f>
        <v/>
      </c>
      <c r="I59" s="400">
        <f>H59/$H$44</f>
        <v/>
      </c>
      <c r="J59" s="65">
        <f>H59+'2026 Ιούλιος'!J59</f>
        <v/>
      </c>
      <c r="K59" s="404">
        <f>J59/$J$44</f>
        <v/>
      </c>
      <c r="L59" s="56">
        <f>'2024_60-69 ΕΞΟΔΑ+ΟΜ 2'!K14</f>
        <v/>
      </c>
      <c r="M59" s="75">
        <f>L59/$L$44</f>
        <v/>
      </c>
      <c r="N59" s="65">
        <f>L59+'2026 Ιούλιος'!N59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2'!K19</f>
        <v/>
      </c>
      <c r="E60" s="75">
        <f>D60/$D$44</f>
        <v/>
      </c>
      <c r="F60" s="65">
        <f>D60+'2026 Ιούλιος'!F60</f>
        <v/>
      </c>
      <c r="G60" s="75">
        <f>F60/$F$44</f>
        <v/>
      </c>
      <c r="H60" s="56">
        <f>ΠΡΟΥΠΟΛΟΓΙΣΜΟΣ_ΕΞΟΔΑ!K63</f>
        <v/>
      </c>
      <c r="I60" s="400">
        <f>H60/$H$44</f>
        <v/>
      </c>
      <c r="J60" s="65">
        <f>H60+'2026 Ιούλιος'!J60</f>
        <v/>
      </c>
      <c r="K60" s="404">
        <f>J60/$J$44</f>
        <v/>
      </c>
      <c r="L60" s="56">
        <f>'2024_60-69 ΕΞΟΔΑ+ΟΜ 2'!K15</f>
        <v/>
      </c>
      <c r="M60" s="75">
        <f>L60/$L$44</f>
        <v/>
      </c>
      <c r="N60" s="65">
        <f>L60+'2026 Ιούλιος'!N60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2'!K20</f>
        <v/>
      </c>
      <c r="E61" s="75">
        <f>D61/$D$44</f>
        <v/>
      </c>
      <c r="F61" s="65">
        <f>D61+'2026 Ιούλιος'!F61</f>
        <v/>
      </c>
      <c r="G61" s="75">
        <f>F61/$F$44</f>
        <v/>
      </c>
      <c r="H61" s="56">
        <f>ΠΡΟΥΠΟΛΟΓΙΣΜΟΣ_ΕΞΟΔΑ!K68</f>
        <v/>
      </c>
      <c r="I61" s="400">
        <f>H61/$H$44</f>
        <v/>
      </c>
      <c r="J61" s="65">
        <f>H61+'2026 Ιούλιος'!J61</f>
        <v/>
      </c>
      <c r="K61" s="404">
        <f>J61/$J$44</f>
        <v/>
      </c>
      <c r="L61" s="56">
        <f>'2024_60-69 ΕΞΟΔΑ+ΟΜ 2'!K16</f>
        <v/>
      </c>
      <c r="M61" s="75">
        <f>L61/$L$44</f>
        <v/>
      </c>
      <c r="N61" s="65">
        <f>L61+'2026 Ιούλιος'!N61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2'!K21</f>
        <v/>
      </c>
      <c r="E62" s="75">
        <f>D62/$D$44</f>
        <v/>
      </c>
      <c r="F62" s="65">
        <f>D62+'2026 Ιούλιος'!F62</f>
        <v/>
      </c>
      <c r="G62" s="75">
        <f>F62/$F$44</f>
        <v/>
      </c>
      <c r="H62" s="56">
        <f>ΠΡΟΥΠΟΛΟΓΙΣΜΟΣ_ΕΞΟΔΑ!K73</f>
        <v/>
      </c>
      <c r="I62" s="400">
        <f>H62/$H$44</f>
        <v/>
      </c>
      <c r="J62" s="65">
        <f>H62+'2026 Ιούλιος'!J62</f>
        <v/>
      </c>
      <c r="K62" s="404">
        <f>J62/$J$44</f>
        <v/>
      </c>
      <c r="L62" s="56">
        <f>'2024_60-69 ΕΞΟΔΑ+ΟΜ 2'!K17</f>
        <v/>
      </c>
      <c r="M62" s="75">
        <f>L62/$L$44</f>
        <v/>
      </c>
      <c r="N62" s="65">
        <f>L62+'2026 Ιούλιος'!N62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2'!K22</f>
        <v/>
      </c>
      <c r="E63" s="75">
        <f>D63/$D$44</f>
        <v/>
      </c>
      <c r="F63" s="65">
        <f>D63+'2026 Ιούλιος'!F63</f>
        <v/>
      </c>
      <c r="G63" s="75">
        <f>F63/$F$44</f>
        <v/>
      </c>
      <c r="H63" s="56">
        <f>ΠΡΟΥΠΟΛΟΓΙΣΜΟΣ_ΕΞΟΔΑ!K78</f>
        <v/>
      </c>
      <c r="I63" s="400">
        <f>H63/$H$44</f>
        <v/>
      </c>
      <c r="J63" s="65">
        <f>H63+'2026 Ιούλιος'!J63</f>
        <v/>
      </c>
      <c r="K63" s="404">
        <f>J63/$J$44</f>
        <v/>
      </c>
      <c r="L63" s="56">
        <f>'2024_60-69 ΕΞΟΔΑ+ΟΜ 2'!K18</f>
        <v/>
      </c>
      <c r="M63" s="75">
        <f>L63/$L$44</f>
        <v/>
      </c>
      <c r="N63" s="65">
        <f>L63+'2026 Ιούλιος'!N63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2'!K23</f>
        <v/>
      </c>
      <c r="E64" s="75">
        <f>D64/$D$44</f>
        <v/>
      </c>
      <c r="F64" s="65">
        <f>D64+'2026 Ιούλιος'!F64</f>
        <v/>
      </c>
      <c r="G64" s="75">
        <f>F64/$F$44</f>
        <v/>
      </c>
      <c r="H64" s="56">
        <f>ΠΡΟΥΠΟΛΟΓΙΣΜΟΣ_ΕΞΟΔΑ!K83</f>
        <v/>
      </c>
      <c r="I64" s="400">
        <f>H64/$H$44</f>
        <v/>
      </c>
      <c r="J64" s="65">
        <f>H64+'2026 Ιούλιος'!J64</f>
        <v/>
      </c>
      <c r="K64" s="404">
        <f>J64/$J$44</f>
        <v/>
      </c>
      <c r="L64" s="56">
        <f>'2024_60-69 ΕΞΟΔΑ+ΟΜ 2'!K19</f>
        <v/>
      </c>
      <c r="M64" s="75">
        <f>L64/$L$44</f>
        <v/>
      </c>
      <c r="N64" s="65">
        <f>L64+'2026 Ιούλιος'!N64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2'!K24</f>
        <v/>
      </c>
      <c r="E65" s="75">
        <f>D65/$D$44</f>
        <v/>
      </c>
      <c r="F65" s="65">
        <f>D65+'2026 Ιούλιος'!F65</f>
        <v/>
      </c>
      <c r="G65" s="75">
        <f>F65/$F$44</f>
        <v/>
      </c>
      <c r="H65" s="56">
        <f>ΠΡΟΥΠΟΛΟΓΙΣΜΟΣ_ΕΞΟΔΑ!K88</f>
        <v/>
      </c>
      <c r="I65" s="400">
        <f>H65/$H$44</f>
        <v/>
      </c>
      <c r="J65" s="65">
        <f>H65+'2026 Ιούλιος'!J65</f>
        <v/>
      </c>
      <c r="K65" s="404">
        <f>J65/$J$44</f>
        <v/>
      </c>
      <c r="L65" s="56">
        <f>'2024_60-69 ΕΞΟΔΑ+ΟΜ 2'!K20</f>
        <v/>
      </c>
      <c r="M65" s="75">
        <f>L65/$L$44</f>
        <v/>
      </c>
      <c r="N65" s="65">
        <f>L65+'2026 Ιούλιος'!N65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2'!K25</f>
        <v/>
      </c>
      <c r="E66" s="75">
        <f>D66/$D$44</f>
        <v/>
      </c>
      <c r="F66" s="65">
        <f>D66+'2026 Ιούλιος'!F66</f>
        <v/>
      </c>
      <c r="G66" s="75">
        <f>F66/$F$44</f>
        <v/>
      </c>
      <c r="H66" s="56">
        <f>ΠΡΟΥΠΟΛΟΓΙΣΜΟΣ_ΕΞΟΔΑ!K93</f>
        <v/>
      </c>
      <c r="I66" s="400">
        <f>H66/$H$44</f>
        <v/>
      </c>
      <c r="J66" s="65">
        <f>H66+'2026 Ιούλιος'!J66</f>
        <v/>
      </c>
      <c r="K66" s="404">
        <f>J66/$J$44</f>
        <v/>
      </c>
      <c r="L66" s="56">
        <f>'2024_60-69 ΕΞΟΔΑ+ΟΜ 2'!K21</f>
        <v/>
      </c>
      <c r="M66" s="75">
        <f>L66/$L$44</f>
        <v/>
      </c>
      <c r="N66" s="65">
        <f>L66+'2026 Ιούλιος'!N66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2'!K26</f>
        <v/>
      </c>
      <c r="E67" s="75">
        <f>D67/$D$44</f>
        <v/>
      </c>
      <c r="F67" s="65">
        <f>D67+'2026 Ιούλιος'!F67</f>
        <v/>
      </c>
      <c r="G67" s="75">
        <f>F67/$F$44</f>
        <v/>
      </c>
      <c r="H67" s="56">
        <f>ΠΡΟΥΠΟΛΟΓΙΣΜΟΣ_ΕΞΟΔΑ!K98</f>
        <v/>
      </c>
      <c r="I67" s="400">
        <f>H67/$H$44</f>
        <v/>
      </c>
      <c r="J67" s="65">
        <f>H67+'2026 Ιούλιος'!J67</f>
        <v/>
      </c>
      <c r="K67" s="404">
        <f>J67/$J$44</f>
        <v/>
      </c>
      <c r="L67" s="56">
        <f>'2024_60-69 ΕΞΟΔΑ+ΟΜ 2'!K22</f>
        <v/>
      </c>
      <c r="M67" s="75">
        <f>L67/$L$44</f>
        <v/>
      </c>
      <c r="N67" s="65">
        <f>L67+'2026 Ιούλιος'!N67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2'!K27</f>
        <v/>
      </c>
      <c r="E68" s="75">
        <f>D68/$D$44</f>
        <v/>
      </c>
      <c r="F68" s="65">
        <f>D68+'2026 Ιούλιος'!F68</f>
        <v/>
      </c>
      <c r="G68" s="75">
        <f>F68/$F$44</f>
        <v/>
      </c>
      <c r="H68" s="56">
        <f>ΠΡΟΥΠΟΛΟΓΙΣΜΟΣ_ΕΞΟΔΑ!K103</f>
        <v/>
      </c>
      <c r="I68" s="400">
        <f>H68/$H$44</f>
        <v/>
      </c>
      <c r="J68" s="65">
        <f>H68+'2026 Ιούλιος'!J68</f>
        <v/>
      </c>
      <c r="K68" s="404">
        <f>J68/$J$44</f>
        <v/>
      </c>
      <c r="L68" s="56">
        <f>'2024_60-69 ΕΞΟΔΑ+ΟΜ 2'!K23</f>
        <v/>
      </c>
      <c r="M68" s="75">
        <f>L68/$L$44</f>
        <v/>
      </c>
      <c r="N68" s="65">
        <f>L68+'2026 Ιούλιος'!N68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2'!K28</f>
        <v/>
      </c>
      <c r="E69" s="75">
        <f>D69/$D$44</f>
        <v/>
      </c>
      <c r="F69" s="65">
        <f>D69+'2026 Ιούλιος'!F69</f>
        <v/>
      </c>
      <c r="G69" s="75">
        <f>F69/$F$44</f>
        <v/>
      </c>
      <c r="H69" s="56">
        <f>ΠΡΟΥΠΟΛΟΓΙΣΜΟΣ_ΕΞΟΔΑ!K108</f>
        <v/>
      </c>
      <c r="I69" s="400">
        <f>H69/$H$44</f>
        <v/>
      </c>
      <c r="J69" s="65">
        <f>H69+'2026 Ιούλιος'!J69</f>
        <v/>
      </c>
      <c r="K69" s="404">
        <f>J69/$J$44</f>
        <v/>
      </c>
      <c r="L69" s="56">
        <f>'2024_60-69 ΕΞΟΔΑ+ΟΜ 2'!K24</f>
        <v/>
      </c>
      <c r="M69" s="75">
        <f>L69/$L$44</f>
        <v/>
      </c>
      <c r="N69" s="65">
        <f>L69+'2026 Ιούλιος'!N69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2'!K29</f>
        <v/>
      </c>
      <c r="E70" s="75">
        <f>D70/$D$44</f>
        <v/>
      </c>
      <c r="F70" s="65">
        <f>D70+'2026 Ιούλιος'!F70</f>
        <v/>
      </c>
      <c r="G70" s="75">
        <f>F70/$F$44</f>
        <v/>
      </c>
      <c r="H70" s="56">
        <f>ΠΡΟΥΠΟΛΟΓΙΣΜΟΣ_ΕΞΟΔΑ!K113</f>
        <v/>
      </c>
      <c r="I70" s="400">
        <f>H70/$H$44</f>
        <v/>
      </c>
      <c r="J70" s="65">
        <f>H70+'2026 Ιούλιος'!J70</f>
        <v/>
      </c>
      <c r="K70" s="404">
        <f>J70/$J$44</f>
        <v/>
      </c>
      <c r="L70" s="56">
        <f>'2024_60-69 ΕΞΟΔΑ+ΟΜ 2'!K25</f>
        <v/>
      </c>
      <c r="M70" s="75">
        <f>L70/$L$44</f>
        <v/>
      </c>
      <c r="N70" s="65">
        <f>L70+'2026 Ιούλιος'!N70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2'!K30</f>
        <v/>
      </c>
      <c r="E71" s="75">
        <f>D71/$D$44</f>
        <v/>
      </c>
      <c r="F71" s="65">
        <f>D71+'2026 Ιούλιος'!F71</f>
        <v/>
      </c>
      <c r="G71" s="75">
        <f>F71/$F$44</f>
        <v/>
      </c>
      <c r="H71" s="56">
        <f>ΠΡΟΥΠΟΛΟΓΙΣΜΟΣ_ΕΞΟΔΑ!K118</f>
        <v/>
      </c>
      <c r="I71" s="400">
        <f>H71/$H$44</f>
        <v/>
      </c>
      <c r="J71" s="65">
        <f>H71+'2026 Ιούλιος'!J71</f>
        <v/>
      </c>
      <c r="K71" s="404">
        <f>J71/$J$44</f>
        <v/>
      </c>
      <c r="L71" s="56">
        <f>'2024_60-69 ΕΞΟΔΑ+ΟΜ 2'!K26</f>
        <v/>
      </c>
      <c r="M71" s="75">
        <f>L71/$L$44</f>
        <v/>
      </c>
      <c r="N71" s="65">
        <f>L71+'2026 Ιούλιος'!N71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2'!K31</f>
        <v/>
      </c>
      <c r="E72" s="75">
        <f>D72/$D$44</f>
        <v/>
      </c>
      <c r="F72" s="65">
        <f>D72+'2026 Ιούλιος'!F72</f>
        <v/>
      </c>
      <c r="G72" s="75">
        <f>F72/$F$44</f>
        <v/>
      </c>
      <c r="H72" s="56">
        <f>ΠΡΟΥΠΟΛΟΓΙΣΜΟΣ_ΕΞΟΔΑ!K123</f>
        <v/>
      </c>
      <c r="I72" s="400">
        <f>H72/$H$44</f>
        <v/>
      </c>
      <c r="J72" s="65">
        <f>H72+'2026 Ιούλιος'!J72</f>
        <v/>
      </c>
      <c r="K72" s="404">
        <f>J72/$J$44</f>
        <v/>
      </c>
      <c r="L72" s="56">
        <f>'2024_60-69 ΕΞΟΔΑ+ΟΜ 2'!K27</f>
        <v/>
      </c>
      <c r="M72" s="75">
        <f>L72/$L$44</f>
        <v/>
      </c>
      <c r="N72" s="65">
        <f>L72+'2026 Ιούλιος'!N72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2'!K32</f>
        <v/>
      </c>
      <c r="E73" s="75">
        <f>D73/$D$44</f>
        <v/>
      </c>
      <c r="F73" s="65">
        <f>D73+'2026 Ιούλιος'!F73</f>
        <v/>
      </c>
      <c r="G73" s="75">
        <f>F73/$F$44</f>
        <v/>
      </c>
      <c r="H73" s="56">
        <f>ΠΡΟΥΠΟΛΟΓΙΣΜΟΣ_ΕΞΟΔΑ!K128</f>
        <v/>
      </c>
      <c r="I73" s="400">
        <f>H73/$H$44</f>
        <v/>
      </c>
      <c r="J73" s="65">
        <f>H73+'2026 Ιούλιος'!J73</f>
        <v/>
      </c>
      <c r="K73" s="404">
        <f>J73/$J$44</f>
        <v/>
      </c>
      <c r="L73" s="56">
        <f>'2024_60-69 ΕΞΟΔΑ+ΟΜ 2'!K28</f>
        <v/>
      </c>
      <c r="M73" s="75">
        <f>L73/$L$44</f>
        <v/>
      </c>
      <c r="N73" s="65">
        <f>L73+'2026 Ιούλιος'!N73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2'!K33</f>
        <v/>
      </c>
      <c r="E74" s="75">
        <f>D74/$D$44</f>
        <v/>
      </c>
      <c r="F74" s="65">
        <f>D74+'2026 Ιούλιος'!F74</f>
        <v/>
      </c>
      <c r="G74" s="75">
        <f>F74/$F$44</f>
        <v/>
      </c>
      <c r="H74" s="56">
        <f>ΠΡΟΥΠΟΛΟΓΙΣΜΟΣ_ΕΞΟΔΑ!K133</f>
        <v/>
      </c>
      <c r="I74" s="400">
        <f>H74/$H$44</f>
        <v/>
      </c>
      <c r="J74" s="65">
        <f>H74+'2026 Ιούλιος'!J74</f>
        <v/>
      </c>
      <c r="K74" s="404">
        <f>J74/$J$44</f>
        <v/>
      </c>
      <c r="L74" s="56">
        <f>'2024_60-69 ΕΞΟΔΑ+ΟΜ 2'!K29</f>
        <v/>
      </c>
      <c r="M74" s="75">
        <f>L74/$L$44</f>
        <v/>
      </c>
      <c r="N74" s="65">
        <f>L74+'2026 Ιούλιος'!N74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1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2'!K34</f>
        <v/>
      </c>
      <c r="E75" s="75">
        <f>D75/$D$44</f>
        <v/>
      </c>
      <c r="F75" s="65">
        <f>D75+'2026 Ιούλιος'!F75</f>
        <v/>
      </c>
      <c r="G75" s="75">
        <f>F75/$F$44</f>
        <v/>
      </c>
      <c r="H75" s="56">
        <f>ΠΡΟΥΠΟΛΟΓΙΣΜΟΣ_ΕΞΟΔΑ!K138</f>
        <v/>
      </c>
      <c r="I75" s="400">
        <f>H75/$H$44</f>
        <v/>
      </c>
      <c r="J75" s="65">
        <f>H75+'2026 Ιούλιος'!J75</f>
        <v/>
      </c>
      <c r="K75" s="404">
        <f>J75/$J$44</f>
        <v/>
      </c>
      <c r="L75" s="56">
        <f>'2024_60-69 ΕΞΟΔΑ+ΟΜ 2'!K30</f>
        <v/>
      </c>
      <c r="M75" s="75">
        <f>L75/$L$44</f>
        <v/>
      </c>
      <c r="N75" s="65">
        <f>L75+'2026 Ιούλιος'!N75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2'!K35</f>
        <v/>
      </c>
      <c r="E76" s="75">
        <f>D76/$D$44</f>
        <v/>
      </c>
      <c r="F76" s="65">
        <f>D76+'2026 Ιούλιος'!F76</f>
        <v/>
      </c>
      <c r="G76" s="75">
        <f>F76/$F$44</f>
        <v/>
      </c>
      <c r="H76" s="56">
        <f>ΠΡΟΥΠΟΛΟΓΙΣΜΟΣ_ΕΞΟΔΑ!K143</f>
        <v/>
      </c>
      <c r="I76" s="400">
        <f>H76/$H$44</f>
        <v/>
      </c>
      <c r="J76" s="65">
        <f>H76+'2026 Ιούλιος'!J76</f>
        <v/>
      </c>
      <c r="K76" s="404">
        <f>J76/$J$44</f>
        <v/>
      </c>
      <c r="L76" s="56">
        <f>'2024_60-69 ΕΞΟΔΑ+ΟΜ 2'!K31</f>
        <v/>
      </c>
      <c r="M76" s="75">
        <f>L76/$L$44</f>
        <v/>
      </c>
      <c r="N76" s="65">
        <f>L76+'2026 Ιούλιος'!N76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2'!K36</f>
        <v/>
      </c>
      <c r="E77" s="75">
        <f>D77/$D$44</f>
        <v/>
      </c>
      <c r="F77" s="65">
        <f>D77+'2026 Ιούλιος'!F77</f>
        <v/>
      </c>
      <c r="G77" s="75">
        <f>F77/$F$44</f>
        <v/>
      </c>
      <c r="H77" s="56">
        <f>ΠΡΟΥΠΟΛΟΓΙΣΜΟΣ_ΕΞΟΔΑ!K148</f>
        <v/>
      </c>
      <c r="I77" s="400">
        <f>H77/$H$44</f>
        <v/>
      </c>
      <c r="J77" s="65">
        <f>H77+'2026 Ιούλιος'!J77</f>
        <v/>
      </c>
      <c r="K77" s="404">
        <f>J77/$J$44</f>
        <v/>
      </c>
      <c r="L77" s="56">
        <f>'2024_60-69 ΕΞΟΔΑ+ΟΜ 2'!K32</f>
        <v/>
      </c>
      <c r="M77" s="75">
        <f>L77/$L$44</f>
        <v/>
      </c>
      <c r="N77" s="65">
        <f>L77+'2026 Ιούλιος'!N77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2'!K37</f>
        <v/>
      </c>
      <c r="E78" s="75">
        <f>D78/$D$44</f>
        <v/>
      </c>
      <c r="F78" s="65">
        <f>D78+'2026 Ιούλιος'!F78</f>
        <v/>
      </c>
      <c r="G78" s="75">
        <f>F78/$F$44</f>
        <v/>
      </c>
      <c r="H78" s="56">
        <f>ΠΡΟΥΠΟΛΟΓΙΣΜΟΣ_ΕΞΟΔΑ!K153</f>
        <v/>
      </c>
      <c r="I78" s="400">
        <f>H78/$H$44</f>
        <v/>
      </c>
      <c r="J78" s="65">
        <f>H78+'2026 Ιούλιος'!J78</f>
        <v/>
      </c>
      <c r="K78" s="404">
        <f>J78/$J$44</f>
        <v/>
      </c>
      <c r="L78" s="56">
        <f>'2024_60-69 ΕΞΟΔΑ+ΟΜ 2'!K33</f>
        <v/>
      </c>
      <c r="M78" s="75">
        <f>L78/$L$44</f>
        <v/>
      </c>
      <c r="N78" s="65">
        <f>L78+'2026 Ιούλιος'!N78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2'!K3</f>
        <v/>
      </c>
      <c r="E79" s="297" t="n"/>
      <c r="F79" s="64">
        <f>'2026_60-69 ΕΞΟΔΑ+ΟΜ 2'!X3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 t="n"/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ΑΝΤΙΣΤΟΙΧΙΣΗ!$F$113</f>
        <v/>
      </c>
      <c r="E83" s="551" t="n"/>
      <c r="F83" s="550" t="n"/>
      <c r="G83" s="107">
        <f>ΑΝΤΙΣΤΟΙΧΙΣΗ!$D$34</f>
        <v/>
      </c>
      <c r="H83" s="549">
        <f>ΑΝΤΙΣΤΟΙΧΙΣΗ!$F$113</f>
        <v/>
      </c>
      <c r="I83" s="551" t="n"/>
      <c r="J83" s="550" t="n"/>
      <c r="K83" s="107">
        <f>ΑΝΤΙΣΤΟΙΧΙΣΗ!$D$34</f>
        <v/>
      </c>
      <c r="L83" s="549">
        <f>ΑΝΤΙΣΤΟΙΧΙΣΗ!$F$127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5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2'!K41</f>
        <v/>
      </c>
      <c r="E86" s="75">
        <f>D86/$D$85</f>
        <v/>
      </c>
      <c r="F86" s="114">
        <f>'2026 Ιούλιος'!F86+'2026 Aύγουστος'!D86</f>
        <v/>
      </c>
      <c r="G86" s="75">
        <f>F86/$F$85</f>
        <v/>
      </c>
      <c r="H86" s="56">
        <f>ΠΡΟΥΠΟΛΟΓΙΣΜΟΣ_ΕΞΟΔΑ!K177</f>
        <v/>
      </c>
      <c r="I86" s="401">
        <f>H86/$H$85</f>
        <v/>
      </c>
      <c r="J86" s="405">
        <f>G86+'2026 Ιούλιος'!J86</f>
        <v/>
      </c>
      <c r="K86" s="403">
        <f>J86/$J$85</f>
        <v/>
      </c>
      <c r="L86" s="114">
        <f>'2024_60-69 ΕΞΟΔΑ+ΟΜ 2'!K37</f>
        <v/>
      </c>
      <c r="M86" s="75">
        <f>L86/$L$85</f>
        <v/>
      </c>
      <c r="N86" s="65">
        <f>L86+'2026 Ιούλιος'!N86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2'!K42</f>
        <v/>
      </c>
      <c r="E87" s="75">
        <f>D87/$D$85</f>
        <v/>
      </c>
      <c r="F87" s="114">
        <f>'2026 Ιούλιος'!F87+'2026 Aύγουστος'!D87</f>
        <v/>
      </c>
      <c r="G87" s="75">
        <f>F87/$F$85</f>
        <v/>
      </c>
      <c r="H87" s="56">
        <f>ΠΡΟΥΠΟΛΟΓΙΣΜΟΣ_ΕΞΟΔΑ!K182</f>
        <v/>
      </c>
      <c r="I87" s="401">
        <f>H87/$H$85</f>
        <v/>
      </c>
      <c r="J87" s="405">
        <f>G87+'2026 Ιούλιος'!J87</f>
        <v/>
      </c>
      <c r="K87" s="403">
        <f>J87/$J$85</f>
        <v/>
      </c>
      <c r="L87" s="114">
        <f>'2024_60-69 ΕΞΟΔΑ+ΟΜ 2'!K38</f>
        <v/>
      </c>
      <c r="M87" s="75">
        <f>L87/$L$85</f>
        <v/>
      </c>
      <c r="N87" s="65">
        <f>L87+'2026 Ιούλιος'!N87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2'!K43</f>
        <v/>
      </c>
      <c r="E88" s="75">
        <f>D88/$D$85</f>
        <v/>
      </c>
      <c r="F88" s="114">
        <f>'2026 Ιούλιος'!F88+'2026 Aύγουστος'!D88</f>
        <v/>
      </c>
      <c r="G88" s="75">
        <f>F88/$F$85</f>
        <v/>
      </c>
      <c r="H88" s="56">
        <f>ΠΡΟΥΠΟΛΟΓΙΣΜΟΣ_ΕΞΟΔΑ!K197</f>
        <v/>
      </c>
      <c r="I88" s="401">
        <f>H88/$H$85</f>
        <v/>
      </c>
      <c r="J88" s="405">
        <f>G88+'2026 Ιούλιος'!J88</f>
        <v/>
      </c>
      <c r="K88" s="403">
        <f>J88/$J$85</f>
        <v/>
      </c>
      <c r="L88" s="114">
        <f>'2024_60-69 ΕΞΟΔΑ+ΟΜ 2'!K41</f>
        <v/>
      </c>
      <c r="M88" s="75">
        <f>L88/$L$85</f>
        <v/>
      </c>
      <c r="N88" s="65">
        <f>L88+'2026 Ιούλιος'!N88</f>
        <v/>
      </c>
      <c r="O88" s="75">
        <f>N88/$N$85</f>
        <v/>
      </c>
      <c r="P88" s="58">
        <f>F88-N88</f>
        <v/>
      </c>
      <c r="Q88" s="540">
        <f>N88/J88</f>
        <v/>
      </c>
      <c r="W88" s="235" t="n"/>
    </row>
    <row r="89" ht="29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2'!K44</f>
        <v/>
      </c>
      <c r="E89" s="75">
        <f>D89/$D$85</f>
        <v/>
      </c>
      <c r="F89" s="114">
        <f>'2026 Ιούλιος'!F89+'2026 Aύγουστος'!D89</f>
        <v/>
      </c>
      <c r="G89" s="75">
        <f>F89/$F$85</f>
        <v/>
      </c>
      <c r="H89" s="56">
        <f>ΠΡΟΥΠΟΛΟΓΙΣΜΟΣ_ΕΞΟΔΑ!K202</f>
        <v/>
      </c>
      <c r="I89" s="401">
        <f>H89/$H$85</f>
        <v/>
      </c>
      <c r="J89" s="405">
        <f>G89+'2026 Ιούλιος'!J89</f>
        <v/>
      </c>
      <c r="K89" s="403">
        <f>J89/$J$85</f>
        <v/>
      </c>
      <c r="L89" s="114">
        <f>'2024_60-69 ΕΞΟΔΑ+ΟΜ 2'!K42</f>
        <v/>
      </c>
      <c r="M89" s="75">
        <f>L89/$L$85</f>
        <v/>
      </c>
      <c r="N89" s="65">
        <f>L89+'2026 Ιούλιος'!N89</f>
        <v/>
      </c>
      <c r="O89" s="75">
        <f>N89/$N$85</f>
        <v/>
      </c>
      <c r="P89" s="58">
        <f>F89-N89</f>
        <v/>
      </c>
      <c r="Q89" s="540">
        <f>N89/J89</f>
        <v/>
      </c>
      <c r="W89" s="235" t="n"/>
    </row>
    <row r="90" ht="27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2'!K45</f>
        <v/>
      </c>
      <c r="E90" s="75">
        <f>D90/$D$85</f>
        <v/>
      </c>
      <c r="F90" s="114">
        <f>'2026 Ιούλιος'!F90+'2026 Aύγουστος'!D90</f>
        <v/>
      </c>
      <c r="G90" s="75">
        <f>F90/$F$85</f>
        <v/>
      </c>
      <c r="H90" s="399">
        <f>ΠΡΟΥΠΟΛΟΓΙΣΜΟΣ_ΕΞΟΔΑ!K207</f>
        <v/>
      </c>
      <c r="I90" s="401">
        <f>H90/$H$85</f>
        <v/>
      </c>
      <c r="J90" s="405">
        <f>G90+'2026 Ιούλιος'!J90</f>
        <v/>
      </c>
      <c r="K90" s="403">
        <f>J90/$J$85</f>
        <v/>
      </c>
      <c r="L90" s="114">
        <f>'2024_60-69 ΕΞΟΔΑ+ΟΜ 2'!K43</f>
        <v/>
      </c>
      <c r="M90" s="75">
        <f>L90/$L$85</f>
        <v/>
      </c>
      <c r="N90" s="65">
        <f>L90+'2026 Ιούλιος'!N90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2'!K46</f>
        <v/>
      </c>
      <c r="E91" s="75">
        <f>D91/$D$85</f>
        <v/>
      </c>
      <c r="F91" s="114">
        <f>'2026 Ιούλιος'!F91+'2026 Aύγουστος'!D91</f>
        <v/>
      </c>
      <c r="G91" s="75">
        <f>F91/$F$85</f>
        <v/>
      </c>
      <c r="H91" s="399">
        <f>ΠΡΟΥΠΟΛΟΓΙΣΜΟΣ_ΕΞΟΔΑ!K212</f>
        <v/>
      </c>
      <c r="I91" s="401">
        <f>H91/$H$85</f>
        <v/>
      </c>
      <c r="J91" s="405">
        <f>G91+'2026 Ιούλιος'!J91</f>
        <v/>
      </c>
      <c r="K91" s="403">
        <f>J91/$J$85</f>
        <v/>
      </c>
      <c r="L91" s="114">
        <f>'2024_60-69 ΕΞΟΔΑ+ΟΜ 2'!K44</f>
        <v/>
      </c>
      <c r="M91" s="75">
        <f>L91/$L$85</f>
        <v/>
      </c>
      <c r="N91" s="65">
        <f>L91+'2026 Ιούλιος'!N91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2'!K47</f>
        <v/>
      </c>
      <c r="E92" s="75">
        <f>D92/$D$85</f>
        <v/>
      </c>
      <c r="F92" s="114">
        <f>'2026 Ιούλιος'!F92+'2026 Aύγουστος'!D92</f>
        <v/>
      </c>
      <c r="G92" s="75">
        <f>F92/$F$85</f>
        <v/>
      </c>
      <c r="H92" s="399">
        <f>ΠΡΟΥΠΟΛΟΓΙΣΜΟΣ_ΕΞΟΔΑ!K217</f>
        <v/>
      </c>
      <c r="I92" s="401">
        <f>H92/$H$85</f>
        <v/>
      </c>
      <c r="J92" s="405">
        <f>G92+'2026 Ιούλιος'!J92</f>
        <v/>
      </c>
      <c r="K92" s="403">
        <f>J92/$J$85</f>
        <v/>
      </c>
      <c r="L92" s="114">
        <f>'2024_60-69 ΕΞΟΔΑ+ΟΜ 2'!K45</f>
        <v/>
      </c>
      <c r="M92" s="75">
        <f>L92/$L$85</f>
        <v/>
      </c>
      <c r="N92" s="65">
        <f>L92+'2026 Ιούλιος'!N92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2'!K48</f>
        <v/>
      </c>
      <c r="E93" s="75">
        <f>D93/$D$85</f>
        <v/>
      </c>
      <c r="F93" s="114">
        <f>'2026 Ιούλιος'!F93+'2026 Aύγουστος'!D93</f>
        <v/>
      </c>
      <c r="G93" s="75">
        <f>F93/$F$85</f>
        <v/>
      </c>
      <c r="H93" s="56">
        <f>ΠΡΟΥΠΟΛΟΓΙΣΜΟΣ_ΕΞΟΔΑ!K222</f>
        <v/>
      </c>
      <c r="I93" s="401">
        <f>H93/$H$85</f>
        <v/>
      </c>
      <c r="J93" s="405">
        <f>G93+'2026 Ιούλιος'!J93</f>
        <v/>
      </c>
      <c r="K93" s="403">
        <f>J93/$J$85</f>
        <v/>
      </c>
      <c r="L93" s="114">
        <f>'2024_60-69 ΕΞΟΔΑ+ΟΜ 2'!K46</f>
        <v/>
      </c>
      <c r="M93" s="75">
        <f>L93/$L$85</f>
        <v/>
      </c>
      <c r="N93" s="65">
        <f>L93+'2026 Ιούλιος'!N93</f>
        <v/>
      </c>
      <c r="O93" s="75">
        <f>N93/$N$85</f>
        <v/>
      </c>
      <c r="P93" s="58">
        <f>F93-N93</f>
        <v/>
      </c>
      <c r="Q93" s="540">
        <f>N93/J93</f>
        <v/>
      </c>
      <c r="W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2'!K49</f>
        <v/>
      </c>
      <c r="E94" s="75">
        <f>D94/$D$85</f>
        <v/>
      </c>
      <c r="F94" s="114">
        <f>'2026 Ιούλιος'!F94+'2026 Aύγουστος'!D94</f>
        <v/>
      </c>
      <c r="G94" s="75">
        <f>F94/$F$85</f>
        <v/>
      </c>
      <c r="H94" s="56">
        <f>ΠΡΟΥΠΟΛΟΓΙΣΜΟΣ_ΕΞΟΔΑ!K227</f>
        <v/>
      </c>
      <c r="I94" s="401">
        <f>H94/$H$85</f>
        <v/>
      </c>
      <c r="J94" s="405">
        <f>G94+'2026 Ιούλιος'!J94</f>
        <v/>
      </c>
      <c r="K94" s="403">
        <f>J94/$J$85</f>
        <v/>
      </c>
      <c r="L94" s="114">
        <f>'2024_60-69 ΕΞΟΔΑ+ΟΜ 2'!K47</f>
        <v/>
      </c>
      <c r="M94" s="75">
        <f>L94/$L$85</f>
        <v/>
      </c>
      <c r="N94" s="65">
        <f>L94+'2026 Ιούλιος'!N94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1.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2'!K50</f>
        <v/>
      </c>
      <c r="E95" s="75">
        <f>D95/$D$85</f>
        <v/>
      </c>
      <c r="F95" s="114">
        <f>'2026 Ιούλιος'!F95+'2026 Aύγουστος'!D95</f>
        <v/>
      </c>
      <c r="G95" s="75">
        <f>F95/$F$85</f>
        <v/>
      </c>
      <c r="H95" s="118">
        <f>ΠΡΟΥΠΟΛΟΓΙΣΜΟΣ_ΕΞΟΔΑ!K232</f>
        <v/>
      </c>
      <c r="I95" s="401">
        <f>H95/$H$85</f>
        <v/>
      </c>
      <c r="J95" s="405">
        <f>G95+'2026 Ιούλιος'!J95</f>
        <v/>
      </c>
      <c r="K95" s="403">
        <f>J95/$J$85</f>
        <v/>
      </c>
      <c r="L95" s="114">
        <f>'2024_60-69 ΕΞΟΔΑ+ΟΜ 2'!K48</f>
        <v/>
      </c>
      <c r="M95" s="75">
        <f>L95/$L$85</f>
        <v/>
      </c>
      <c r="N95" s="65">
        <f>L95+'2026 Ιούλιος'!N95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2'!K51</f>
        <v/>
      </c>
      <c r="E96" s="75">
        <f>D96/$D$85</f>
        <v/>
      </c>
      <c r="F96" s="114">
        <f>'2026 Ιούλιος'!F96+'2026 Aύγουστος'!D96</f>
        <v/>
      </c>
      <c r="G96" s="75">
        <f>F96/$F$85</f>
        <v/>
      </c>
      <c r="H96" s="56">
        <f>ΠΡΟΥΠΟΛΟΓΙΣΜΟΣ_ΕΞΟΔΑ!K237</f>
        <v/>
      </c>
      <c r="I96" s="401">
        <f>H96/$H$85</f>
        <v/>
      </c>
      <c r="J96" s="405">
        <f>G96+'2026 Ιούλιος'!J96</f>
        <v/>
      </c>
      <c r="K96" s="403">
        <f>J96/$J$85</f>
        <v/>
      </c>
      <c r="L96" s="114">
        <f>'2024_60-69 ΕΞΟΔΑ+ΟΜ 2'!K49</f>
        <v/>
      </c>
      <c r="M96" s="75">
        <f>L96/$L$85</f>
        <v/>
      </c>
      <c r="N96" s="65">
        <f>L96+'2026 Ιούλιος'!N96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2'!K52</f>
        <v/>
      </c>
      <c r="E97" s="75">
        <f>D97/$D$85</f>
        <v/>
      </c>
      <c r="F97" s="114">
        <f>'2026 Ιούλιος'!F97+'2026 Aύγουστος'!D97</f>
        <v/>
      </c>
      <c r="G97" s="75">
        <f>F97/$F$85</f>
        <v/>
      </c>
      <c r="H97" s="56">
        <f>ΠΡΟΥΠΟΛΟΓΙΣΜΟΣ_ΕΞΟΔΑ!K242</f>
        <v/>
      </c>
      <c r="I97" s="401">
        <f>H97/$H$85</f>
        <v/>
      </c>
      <c r="J97" s="405">
        <f>G97+'2026 Ιούλιος'!J97</f>
        <v/>
      </c>
      <c r="K97" s="403">
        <f>J97/$J$85</f>
        <v/>
      </c>
      <c r="L97" s="114">
        <f>'2024_60-69 ΕΞΟΔΑ+ΟΜ 2'!K50</f>
        <v/>
      </c>
      <c r="M97" s="75">
        <f>L97/$L$85</f>
        <v/>
      </c>
      <c r="N97" s="65">
        <f>L97+'2026 Ιούλιος'!N97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2'!K53</f>
        <v/>
      </c>
      <c r="E98" s="75">
        <f>D98/$D$85</f>
        <v/>
      </c>
      <c r="F98" s="114">
        <f>'2026 Ιούλιος'!F98+'2026 Aύγουστος'!D98</f>
        <v/>
      </c>
      <c r="G98" s="75">
        <f>F98/$F$85</f>
        <v/>
      </c>
      <c r="H98" s="56">
        <f>ΠΡΟΥΠΟΛΟΓΙΣΜΟΣ_ΕΞΟΔΑ!K247</f>
        <v/>
      </c>
      <c r="I98" s="401">
        <f>H98/$H$85</f>
        <v/>
      </c>
      <c r="J98" s="405">
        <f>G98+'2026 Ιούλιος'!J98</f>
        <v/>
      </c>
      <c r="K98" s="403">
        <f>J98/$J$85</f>
        <v/>
      </c>
      <c r="L98" s="114">
        <f>'2024_60-69 ΕΞΟΔΑ+ΟΜ 2'!K51</f>
        <v/>
      </c>
      <c r="M98" s="75">
        <f>L98/$L$85</f>
        <v/>
      </c>
      <c r="N98" s="65">
        <f>L98+'2026 Ιούλιος'!N98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2'!K54</f>
        <v/>
      </c>
      <c r="E99" s="75">
        <f>D99/$D$85</f>
        <v/>
      </c>
      <c r="F99" s="114">
        <f>'2026 Ιούλιος'!F99+'2026 Aύγουστος'!D99</f>
        <v/>
      </c>
      <c r="G99" s="75">
        <f>F99/$F$85</f>
        <v/>
      </c>
      <c r="H99" s="56">
        <f>ΠΡΟΥΠΟΛΟΓΙΣΜΟΣ_ΕΞΟΔΑ!K252</f>
        <v/>
      </c>
      <c r="I99" s="401">
        <f>H99/$H$85</f>
        <v/>
      </c>
      <c r="J99" s="405">
        <f>G99+'2026 Ιούλιος'!J99</f>
        <v/>
      </c>
      <c r="K99" s="403">
        <f>J99/$J$85</f>
        <v/>
      </c>
      <c r="L99" s="114">
        <f>'2024_60-69 ΕΞΟΔΑ+ΟΜ 2'!K52</f>
        <v/>
      </c>
      <c r="M99" s="75">
        <f>L99/$L$85</f>
        <v/>
      </c>
      <c r="N99" s="65">
        <f>L99+'2026 Ιούλιος'!N99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2'!K55</f>
        <v/>
      </c>
      <c r="E100" s="75">
        <f>D100/$D$85</f>
        <v/>
      </c>
      <c r="F100" s="114">
        <f>'2026 Ιούλιος'!F100+'2026 Aύγουστος'!D100</f>
        <v/>
      </c>
      <c r="G100" s="75">
        <f>F100/$F$85</f>
        <v/>
      </c>
      <c r="H100" s="56">
        <f>ΠΡΟΥΠΟΛΟΓΙΣΜΟΣ_ΕΞΟΔΑ!K257</f>
        <v/>
      </c>
      <c r="I100" s="401">
        <f>H100/$H$85</f>
        <v/>
      </c>
      <c r="J100" s="405">
        <f>G100+'2026 Ιούλιος'!J100</f>
        <v/>
      </c>
      <c r="K100" s="403">
        <f>J100/$J$85</f>
        <v/>
      </c>
      <c r="L100" s="114">
        <f>'2024_60-69 ΕΞΟΔΑ+ΟΜ 2'!K53</f>
        <v/>
      </c>
      <c r="M100" s="75">
        <f>L100/$L$85</f>
        <v/>
      </c>
      <c r="N100" s="65">
        <f>L100+'2026 Ιούλιος'!N100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2'!K56</f>
        <v/>
      </c>
      <c r="E101" s="75">
        <f>D101/$D$85</f>
        <v/>
      </c>
      <c r="F101" s="114">
        <f>'2026 Ιούλιος'!F101+'2026 Aύγουστος'!D101</f>
        <v/>
      </c>
      <c r="G101" s="75">
        <f>F101/$F$85</f>
        <v/>
      </c>
      <c r="H101" s="56">
        <f>ΠΡΟΥΠΟΛΟΓΙΣΜΟΣ_ΕΞΟΔΑ!K262</f>
        <v/>
      </c>
      <c r="I101" s="401">
        <f>H101/$H$85</f>
        <v/>
      </c>
      <c r="J101" s="405">
        <f>G101+'2026 Ιούλιος'!J101</f>
        <v/>
      </c>
      <c r="K101" s="403">
        <f>J101/$J$85</f>
        <v/>
      </c>
      <c r="L101" s="114">
        <f>'2024_60-69 ΕΞΟΔΑ+ΟΜ 2'!K54</f>
        <v/>
      </c>
      <c r="M101" s="75">
        <f>L101/$L$85</f>
        <v/>
      </c>
      <c r="N101" s="65">
        <f>L101+'2026 Ιούλιος'!N101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2'!K57</f>
        <v/>
      </c>
      <c r="E102" s="75">
        <f>D102/$D$85</f>
        <v/>
      </c>
      <c r="F102" s="114">
        <f>'2026 Ιούλιος'!F102+'2026 Aύγουστος'!D102</f>
        <v/>
      </c>
      <c r="G102" s="75">
        <f>F102/$F$85</f>
        <v/>
      </c>
      <c r="H102" s="56">
        <f>ΠΡΟΥΠΟΛΟΓΙΣΜΟΣ_ΕΞΟΔΑ!K267</f>
        <v/>
      </c>
      <c r="I102" s="401">
        <f>H102/$H$85</f>
        <v/>
      </c>
      <c r="J102" s="405">
        <f>G102+'2026 Ιούλιος'!J102</f>
        <v/>
      </c>
      <c r="K102" s="403">
        <f>J102/$J$85</f>
        <v/>
      </c>
      <c r="L102" s="114">
        <f>'2024_60-69 ΕΞΟΔΑ+ΟΜ 2'!K55</f>
        <v/>
      </c>
      <c r="M102" s="75">
        <f>L102/$L$85</f>
        <v/>
      </c>
      <c r="N102" s="65">
        <f>L102+'2026 Ιούλιος'!N102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2'!K58</f>
        <v/>
      </c>
      <c r="E103" s="75">
        <f>D103/$D$85</f>
        <v/>
      </c>
      <c r="F103" s="114">
        <f>'2026 Ιούλιος'!F103+'2026 Aύγουστος'!D103</f>
        <v/>
      </c>
      <c r="G103" s="75">
        <f>F103/$F$85</f>
        <v/>
      </c>
      <c r="H103" s="56">
        <f>ΠΡΟΥΠΟΛΟΓΙΣΜΟΣ_ΕΞΟΔΑ!K272</f>
        <v/>
      </c>
      <c r="I103" s="401">
        <f>H103/$H$85</f>
        <v/>
      </c>
      <c r="J103" s="405">
        <f>G103+'2026 Ιούλιος'!J103</f>
        <v/>
      </c>
      <c r="K103" s="403">
        <f>J103/$J$85</f>
        <v/>
      </c>
      <c r="L103" s="114">
        <f>'2024_60-69 ΕΞΟΔΑ+ΟΜ 2'!K56</f>
        <v/>
      </c>
      <c r="M103" s="75">
        <f>L103/$L$85</f>
        <v/>
      </c>
      <c r="N103" s="65">
        <f>L103+'2026 Ιούλιος'!N103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2'!K59</f>
        <v/>
      </c>
      <c r="E104" s="75">
        <f>D104/$D$85</f>
        <v/>
      </c>
      <c r="F104" s="114">
        <f>'2026 Ιούλιος'!F104+'2026 Aύγουστος'!D104</f>
        <v/>
      </c>
      <c r="G104" s="75">
        <f>F104/$F$85</f>
        <v/>
      </c>
      <c r="H104" s="56">
        <f>ΠΡΟΥΠΟΛΟΓΙΣΜΟΣ_ΕΞΟΔΑ!K277</f>
        <v/>
      </c>
      <c r="I104" s="401">
        <f>H104/$H$85</f>
        <v/>
      </c>
      <c r="J104" s="405">
        <f>G104+'2026 Ιούλιος'!J104</f>
        <v/>
      </c>
      <c r="K104" s="403">
        <f>J104/$J$85</f>
        <v/>
      </c>
      <c r="L104" s="114">
        <f>'2024_60-69 ΕΞΟΔΑ+ΟΜ 2'!K57</f>
        <v/>
      </c>
      <c r="M104" s="75">
        <f>L104/$L$85</f>
        <v/>
      </c>
      <c r="N104" s="65">
        <f>L104+'2026 Ιούλιος'!N104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2'!K60</f>
        <v/>
      </c>
      <c r="E105" s="75">
        <f>D105/$D$85</f>
        <v/>
      </c>
      <c r="F105" s="114">
        <f>'2026 Ιούλιος'!F105+'2026 Aύγουστος'!D105</f>
        <v/>
      </c>
      <c r="G105" s="75">
        <f>F105/$F$85</f>
        <v/>
      </c>
      <c r="H105" s="56">
        <f>ΠΡΟΥΠΟΛΟΓΙΣΜΟΣ_ΕΞΟΔΑ!K282</f>
        <v/>
      </c>
      <c r="I105" s="401">
        <f>H105/$H$85</f>
        <v/>
      </c>
      <c r="J105" s="405">
        <f>G105+'2026 Ιούλιος'!J105</f>
        <v/>
      </c>
      <c r="K105" s="403">
        <f>J105/$J$85</f>
        <v/>
      </c>
      <c r="L105" s="114">
        <f>'2024_60-69 ΕΞΟΔΑ+ΟΜ 2'!K58</f>
        <v/>
      </c>
      <c r="M105" s="75">
        <f>L105/$L$85</f>
        <v/>
      </c>
      <c r="N105" s="65">
        <f>L105+'2026 Ιούλιος'!N105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9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2'!K61</f>
        <v/>
      </c>
      <c r="E106" s="75">
        <f>D106/$D$85</f>
        <v/>
      </c>
      <c r="F106" s="114">
        <f>'2026 Ιούλιος'!F106+'2026 Aύγουστος'!D106</f>
        <v/>
      </c>
      <c r="G106" s="75">
        <f>F106/$F$85</f>
        <v/>
      </c>
      <c r="H106" s="56">
        <f>ΠΡΟΥΠΟΛΟΓΙΣΜΟΣ_ΕΞΟΔΑ!K287</f>
        <v/>
      </c>
      <c r="I106" s="401">
        <f>H106/$H$85</f>
        <v/>
      </c>
      <c r="J106" s="405">
        <f>G106+'2026 Ιούλιος'!J106</f>
        <v/>
      </c>
      <c r="K106" s="403">
        <f>J106/$J$85</f>
        <v/>
      </c>
      <c r="L106" s="114">
        <f>'2024_60-69 ΕΞΟΔΑ+ΟΜ 2'!K59</f>
        <v/>
      </c>
      <c r="M106" s="75">
        <f>L106/$L$85</f>
        <v/>
      </c>
      <c r="N106" s="65">
        <f>L106+'2026 Ιούλιος'!N106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2'!K40</f>
        <v/>
      </c>
      <c r="E112" s="81" t="n"/>
      <c r="F112" s="64">
        <f>'2026_60-69 ΕΞΟΔΑ+ΟΜ 2'!X40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ΑΝΤΙΣΤΟΙΧΙΣΗ!$F$113</f>
        <v/>
      </c>
      <c r="E115" s="551" t="n"/>
      <c r="F115" s="550" t="n"/>
      <c r="G115" s="107">
        <f>ΑΝΤΙΣΤΟΙΧΙΣΗ!$D$34</f>
        <v/>
      </c>
      <c r="H115" s="549">
        <f>ΑΝΤΙΣΤΟΙΧΙΣΗ!$F$113</f>
        <v/>
      </c>
      <c r="I115" s="551" t="n"/>
      <c r="J115" s="550" t="n"/>
      <c r="K115" s="107">
        <f>ΑΝΤΙΣΤΟΙΧΙΣΗ!$D$34</f>
        <v/>
      </c>
      <c r="L115" s="549">
        <f>ΑΝΤΙΣΤΟΙΧΙΣΗ!$F$127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2'!K71</f>
        <v/>
      </c>
      <c r="E118" s="75">
        <f>D118/$D$117</f>
        <v/>
      </c>
      <c r="F118" s="65">
        <f>D118+'2026 Ιούλιος'!F118</f>
        <v/>
      </c>
      <c r="G118" s="75">
        <f>F118/$F$117</f>
        <v/>
      </c>
      <c r="H118" s="56">
        <f>ΠΡΟΥΠΟΛΟΓΙΣΜΟΣ_ΕΞΟΔΑ!K301</f>
        <v/>
      </c>
      <c r="I118" s="400">
        <f>H118/$H$117</f>
        <v/>
      </c>
      <c r="J118" s="65">
        <f>H118+'2026 Ιούλιος'!J118</f>
        <v/>
      </c>
      <c r="K118" s="404">
        <f>J118/$J$117</f>
        <v/>
      </c>
      <c r="L118" s="56">
        <f>'2024_60-69 ΕΞΟΔΑ+ΟΜ 2'!K66</f>
        <v/>
      </c>
      <c r="M118" s="75">
        <f>L118/$L$117</f>
        <v/>
      </c>
      <c r="N118" s="65">
        <f>L118+'2026 Ιούλιος'!N118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2'!K72</f>
        <v/>
      </c>
      <c r="E119" s="75">
        <f>D119/$D$117</f>
        <v/>
      </c>
      <c r="F119" s="65">
        <f>D119+'2026 Ιούλιος'!F119</f>
        <v/>
      </c>
      <c r="G119" s="75">
        <f>F119/$F$117</f>
        <v/>
      </c>
      <c r="H119" s="56">
        <f>ΠΡΟΥΠΟΛΟΓΙΣΜΟΣ_ΕΞΟΔΑ!K306</f>
        <v/>
      </c>
      <c r="I119" s="400">
        <f>H119/$H$117</f>
        <v/>
      </c>
      <c r="J119" s="65">
        <f>H119+'2026 Ιούλιος'!J119</f>
        <v/>
      </c>
      <c r="K119" s="404">
        <f>J119/$J$117</f>
        <v/>
      </c>
      <c r="L119" s="56">
        <f>'2024_60-69 ΕΞΟΔΑ+ΟΜ 2'!K67</f>
        <v/>
      </c>
      <c r="M119" s="75">
        <f>L119/$L$117</f>
        <v/>
      </c>
      <c r="N119" s="65">
        <f>L119+'2026 Ιούλιος'!N119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W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2'!K73</f>
        <v/>
      </c>
      <c r="E120" s="75">
        <f>D120/$D$117</f>
        <v/>
      </c>
      <c r="F120" s="65">
        <f>D120+'2026 Ιούλιος'!F120</f>
        <v/>
      </c>
      <c r="G120" s="75">
        <f>F120/$F$117</f>
        <v/>
      </c>
      <c r="H120" s="56">
        <f>ΠΡΟΥΠΟΛΟΓΙΣΜΟΣ_ΕΞΟΔΑ!K311</f>
        <v/>
      </c>
      <c r="I120" s="400">
        <f>H120/$H$117</f>
        <v/>
      </c>
      <c r="J120" s="65">
        <f>H120+'2026 Ιούλιος'!J120</f>
        <v/>
      </c>
      <c r="K120" s="404">
        <f>J120/$J$117</f>
        <v/>
      </c>
      <c r="L120" s="56">
        <f>'2024_60-69 ΕΞΟΔΑ+ΟΜ 2'!K68</f>
        <v/>
      </c>
      <c r="M120" s="75">
        <f>L120/$L$117</f>
        <v/>
      </c>
      <c r="N120" s="65">
        <f>L120+'2026 Ιούλιος'!N120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2'!K74</f>
        <v/>
      </c>
      <c r="E121" s="75">
        <f>D121/$D$117</f>
        <v/>
      </c>
      <c r="F121" s="65">
        <f>D121+'2026 Ιούλιος'!F121</f>
        <v/>
      </c>
      <c r="G121" s="75">
        <f>F121/$F$117</f>
        <v/>
      </c>
      <c r="H121" s="56">
        <f>ΠΡΟΥΠΟΛΟΓΙΣΜΟΣ_ΕΞΟΔΑ!K316</f>
        <v/>
      </c>
      <c r="I121" s="400">
        <f>H121/$H$117</f>
        <v/>
      </c>
      <c r="J121" s="65">
        <f>H121+'2026 Ιούλιος'!J121</f>
        <v/>
      </c>
      <c r="K121" s="404">
        <f>J121/$J$117</f>
        <v/>
      </c>
      <c r="L121" s="56">
        <f>'2024_60-69 ΕΞΟΔΑ+ΟΜ 2'!K69</f>
        <v/>
      </c>
      <c r="M121" s="75">
        <f>L121/$L$117</f>
        <v/>
      </c>
      <c r="N121" s="65">
        <f>L121+'2026 Ιούλιος'!N121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2'!K75</f>
        <v/>
      </c>
      <c r="E122" s="75">
        <f>D122/$D$117</f>
        <v/>
      </c>
      <c r="F122" s="65">
        <f>D122+'2026 Ιούλιος'!F122</f>
        <v/>
      </c>
      <c r="G122" s="75">
        <f>F122/$F$117</f>
        <v/>
      </c>
      <c r="H122" s="56">
        <f>ΠΡΟΥΠΟΛΟΓΙΣΜΟΣ_ΕΞΟΔΑ!K321</f>
        <v/>
      </c>
      <c r="I122" s="400">
        <f>H122/$H$117</f>
        <v/>
      </c>
      <c r="J122" s="65">
        <f>H122+'2026 Ιούλιος'!J122</f>
        <v/>
      </c>
      <c r="K122" s="404">
        <f>J122/$J$117</f>
        <v/>
      </c>
      <c r="L122" s="56">
        <f>'2024_60-69 ΕΞΟΔΑ+ΟΜ 2'!K70</f>
        <v/>
      </c>
      <c r="M122" s="75">
        <f>L122/$L$117</f>
        <v/>
      </c>
      <c r="N122" s="65">
        <f>L122+'2026 Ιούλιος'!N122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2'!K76</f>
        <v/>
      </c>
      <c r="E123" s="75">
        <f>D123/$D$117</f>
        <v/>
      </c>
      <c r="F123" s="65">
        <f>D123+'2026 Ιούλιος'!F123</f>
        <v/>
      </c>
      <c r="G123" s="75">
        <f>F123/$F$117</f>
        <v/>
      </c>
      <c r="H123" s="56">
        <f>ΠΡΟΥΠΟΛΟΓΙΣΜΟΣ_ΕΞΟΔΑ!K326</f>
        <v/>
      </c>
      <c r="I123" s="400">
        <f>H123/$H$117</f>
        <v/>
      </c>
      <c r="J123" s="65">
        <f>H123+'2026 Ιούλιος'!J123</f>
        <v/>
      </c>
      <c r="K123" s="404">
        <f>J123/$J$117</f>
        <v/>
      </c>
      <c r="L123" s="56">
        <f>'2024_60-69 ΕΞΟΔΑ+ΟΜ 2'!K71</f>
        <v/>
      </c>
      <c r="M123" s="75">
        <f>L123/$L$117</f>
        <v/>
      </c>
      <c r="N123" s="65">
        <f>L123+'2026 Ιούλιος'!N123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2'!K77</f>
        <v/>
      </c>
      <c r="E124" s="75">
        <f>D124/$D$117</f>
        <v/>
      </c>
      <c r="F124" s="65">
        <f>D124+'2026 Ιούλιος'!F124</f>
        <v/>
      </c>
      <c r="G124" s="75">
        <f>F124/$F$117</f>
        <v/>
      </c>
      <c r="H124" s="56">
        <f>ΠΡΟΥΠΟΛΟΓΙΣΜΟΣ_ΕΞΟΔΑ!K331</f>
        <v/>
      </c>
      <c r="I124" s="400">
        <f>H124/$H$117</f>
        <v/>
      </c>
      <c r="J124" s="65">
        <f>H124+'2026 Ιούλιος'!J124</f>
        <v/>
      </c>
      <c r="K124" s="404">
        <f>J124/$J$117</f>
        <v/>
      </c>
      <c r="L124" s="56">
        <f>'2024_60-69 ΕΞΟΔΑ+ΟΜ 2'!K72</f>
        <v/>
      </c>
      <c r="M124" s="75">
        <f>L124/$L$117</f>
        <v/>
      </c>
      <c r="N124" s="65">
        <f>L124+'2026 Ιούλιος'!N124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2'!K78</f>
        <v/>
      </c>
      <c r="E125" s="75">
        <f>D125/$D$117</f>
        <v/>
      </c>
      <c r="F125" s="65">
        <f>D125+'2026 Ιούλιος'!F125</f>
        <v/>
      </c>
      <c r="G125" s="75">
        <f>F125/$F$117</f>
        <v/>
      </c>
      <c r="H125" s="56">
        <f>ΠΡΟΥΠΟΛΟΓΙΣΜΟΣ_ΕΞΟΔΑ!K336</f>
        <v/>
      </c>
      <c r="I125" s="400">
        <f>H125/$H$117</f>
        <v/>
      </c>
      <c r="J125" s="65">
        <f>H125+'2026 Ιούλιος'!J125</f>
        <v/>
      </c>
      <c r="K125" s="404">
        <f>J125/$J$117</f>
        <v/>
      </c>
      <c r="L125" s="56">
        <f>'2024_60-69 ΕΞΟΔΑ+ΟΜ 2'!K73</f>
        <v/>
      </c>
      <c r="M125" s="75">
        <f>L125/$L$117</f>
        <v/>
      </c>
      <c r="N125" s="65">
        <f>L125+'2026 Ιούλιος'!N125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2'!K79</f>
        <v/>
      </c>
      <c r="E126" s="75">
        <f>D126/$D$117</f>
        <v/>
      </c>
      <c r="F126" s="65">
        <f>D126+'2026 Ιούλιος'!F126</f>
        <v/>
      </c>
      <c r="G126" s="75">
        <f>F126/$F$117</f>
        <v/>
      </c>
      <c r="H126" s="56">
        <f>ΠΡΟΥΠΟΛΟΓΙΣΜΟΣ_ΕΞΟΔΑ!K341</f>
        <v/>
      </c>
      <c r="I126" s="400">
        <f>H126/$H$117</f>
        <v/>
      </c>
      <c r="J126" s="65">
        <f>H126+'2026 Ιούλιος'!J126</f>
        <v/>
      </c>
      <c r="K126" s="404">
        <f>J126/$J$117</f>
        <v/>
      </c>
      <c r="L126" s="56">
        <f>'2024_60-69 ΕΞΟΔΑ+ΟΜ 2'!K74</f>
        <v/>
      </c>
      <c r="M126" s="75">
        <f>L126/$L$117</f>
        <v/>
      </c>
      <c r="N126" s="65">
        <f>L126+'2026 Ιούλιος'!N126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2'!K80</f>
        <v/>
      </c>
      <c r="E127" s="75">
        <f>D127/$D$117</f>
        <v/>
      </c>
      <c r="F127" s="65">
        <f>D127+'2026 Ιούλιος'!F127</f>
        <v/>
      </c>
      <c r="G127" s="75">
        <f>F127/$F$117</f>
        <v/>
      </c>
      <c r="H127" s="56">
        <f>ΠΡΟΥΠΟΛΟΓΙΣΜΟΣ_ΕΞΟΔΑ!K346</f>
        <v/>
      </c>
      <c r="I127" s="400">
        <f>H127/$H$117</f>
        <v/>
      </c>
      <c r="J127" s="65">
        <f>H127+'2026 Ιούλιος'!J127</f>
        <v/>
      </c>
      <c r="K127" s="404">
        <f>J127/$J$117</f>
        <v/>
      </c>
      <c r="L127" s="56">
        <f>'2024_60-69 ΕΞΟΔΑ+ΟΜ 2'!K75</f>
        <v/>
      </c>
      <c r="M127" s="75">
        <f>L127/$L$117</f>
        <v/>
      </c>
      <c r="N127" s="65">
        <f>L127+'2026 Ιούλιος'!N127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2'!K81</f>
        <v/>
      </c>
      <c r="E128" s="75">
        <f>D128/$D$117</f>
        <v/>
      </c>
      <c r="F128" s="65">
        <f>D128+'2026 Ιούλιος'!F128</f>
        <v/>
      </c>
      <c r="G128" s="75">
        <f>F128/$F$117</f>
        <v/>
      </c>
      <c r="H128" s="56">
        <f>ΠΡΟΥΠΟΛΟΓΙΣΜΟΣ_ΕΞΟΔΑ!K351</f>
        <v/>
      </c>
      <c r="I128" s="400">
        <f>H128/$H$117</f>
        <v/>
      </c>
      <c r="J128" s="65">
        <f>H128+'2026 Ιούλιος'!J128</f>
        <v/>
      </c>
      <c r="K128" s="404">
        <f>J128/$J$117</f>
        <v/>
      </c>
      <c r="L128" s="56">
        <f>'2024_60-69 ΕΞΟΔΑ+ΟΜ 2'!K76</f>
        <v/>
      </c>
      <c r="M128" s="75">
        <f>L128/$L$117</f>
        <v/>
      </c>
      <c r="N128" s="65">
        <f>L128+'2026 Ιούλιος'!N128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2'!K82</f>
        <v/>
      </c>
      <c r="E129" s="75">
        <f>D129/$D$117</f>
        <v/>
      </c>
      <c r="F129" s="65">
        <f>D129+'2026 Ιούλιος'!F129</f>
        <v/>
      </c>
      <c r="G129" s="75">
        <f>F129/$F$117</f>
        <v/>
      </c>
      <c r="H129" s="56">
        <f>ΠΡΟΥΠΟΛΟΓΙΣΜΟΣ_ΕΞΟΔΑ!K356</f>
        <v/>
      </c>
      <c r="I129" s="400">
        <f>H129/$H$117</f>
        <v/>
      </c>
      <c r="J129" s="65">
        <f>H129+'2026 Ιούλιος'!J129</f>
        <v/>
      </c>
      <c r="K129" s="404">
        <f>J129/$J$117</f>
        <v/>
      </c>
      <c r="L129" s="56">
        <f>'2024_60-69 ΕΞΟΔΑ+ΟΜ 2'!K77</f>
        <v/>
      </c>
      <c r="M129" s="75">
        <f>L129/$L$117</f>
        <v/>
      </c>
      <c r="N129" s="65">
        <f>L129+'2026 Ιούλιος'!N129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2'!K83</f>
        <v/>
      </c>
      <c r="E130" s="75">
        <f>D130/$D$117</f>
        <v/>
      </c>
      <c r="F130" s="65">
        <f>D130+'2026 Ιούλιος'!F130</f>
        <v/>
      </c>
      <c r="G130" s="75">
        <f>F130/$F$117</f>
        <v/>
      </c>
      <c r="H130" s="56">
        <f>ΠΡΟΥΠΟΛΟΓΙΣΜΟΣ_ΕΞΟΔΑ!K361</f>
        <v/>
      </c>
      <c r="I130" s="400">
        <f>H130/$H$117</f>
        <v/>
      </c>
      <c r="J130" s="65">
        <f>H130+'2026 Ιούλιος'!J130</f>
        <v/>
      </c>
      <c r="K130" s="404">
        <f>J130/$J$117</f>
        <v/>
      </c>
      <c r="L130" s="56">
        <f>'2024_60-69 ΕΞΟΔΑ+ΟΜ 2'!K78</f>
        <v/>
      </c>
      <c r="M130" s="75">
        <f>L130/$L$117</f>
        <v/>
      </c>
      <c r="N130" s="65">
        <f>L130+'2026 Ιούλιος'!N130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2'!K84</f>
        <v/>
      </c>
      <c r="E131" s="75">
        <f>D131/$D$117</f>
        <v/>
      </c>
      <c r="F131" s="65">
        <f>D131+'2026 Ιούλιος'!F131</f>
        <v/>
      </c>
      <c r="G131" s="75">
        <f>F131/$F$117</f>
        <v/>
      </c>
      <c r="H131" s="56">
        <f>ΠΡΟΥΠΟΛΟΓΙΣΜΟΣ_ΕΞΟΔΑ!K366</f>
        <v/>
      </c>
      <c r="I131" s="400">
        <f>H131/$H$117</f>
        <v/>
      </c>
      <c r="J131" s="65">
        <f>H131+'2026 Ιούλιος'!J131</f>
        <v/>
      </c>
      <c r="K131" s="404">
        <f>J131/$J$117</f>
        <v/>
      </c>
      <c r="L131" s="56">
        <f>'2024_60-69 ΕΞΟΔΑ+ΟΜ 2'!K79</f>
        <v/>
      </c>
      <c r="M131" s="75">
        <f>L131/$L$117</f>
        <v/>
      </c>
      <c r="N131" s="65">
        <f>L131+'2026 Ιούλιος'!N131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2'!K85</f>
        <v/>
      </c>
      <c r="E132" s="75">
        <f>D132/$D$117</f>
        <v/>
      </c>
      <c r="F132" s="65">
        <f>D132+'2026 Ιούλιος'!F132</f>
        <v/>
      </c>
      <c r="G132" s="75">
        <f>F132/$F$117</f>
        <v/>
      </c>
      <c r="H132" s="56">
        <f>ΠΡΟΥΠΟΛΟΓΙΣΜΟΣ_ΕΞΟΔΑ!K371</f>
        <v/>
      </c>
      <c r="I132" s="400">
        <f>H132/$H$117</f>
        <v/>
      </c>
      <c r="J132" s="65">
        <f>H132+'2026 Ιούλιος'!J132</f>
        <v/>
      </c>
      <c r="K132" s="404">
        <f>J132/$J$117</f>
        <v/>
      </c>
      <c r="L132" s="56">
        <f>'2024_60-69 ΕΞΟΔΑ+ΟΜ 2'!K80</f>
        <v/>
      </c>
      <c r="M132" s="75">
        <f>L132/$L$117</f>
        <v/>
      </c>
      <c r="N132" s="65">
        <f>L132+'2026 Ιούλιος'!N132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W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2'!K86</f>
        <v/>
      </c>
      <c r="E133" s="75">
        <f>D133/$D$117</f>
        <v/>
      </c>
      <c r="F133" s="65">
        <f>D133+'2026 Ιούλιος'!F133</f>
        <v/>
      </c>
      <c r="G133" s="75">
        <f>F133/$F$117</f>
        <v/>
      </c>
      <c r="H133" s="56">
        <f>ΠΡΟΥΠΟΛΟΓΙΣΜΟΣ_ΕΞΟΔΑ!K376</f>
        <v/>
      </c>
      <c r="I133" s="400">
        <f>H133/$H$117</f>
        <v/>
      </c>
      <c r="J133" s="65">
        <f>H133+'2026 Ιούλιος'!J133</f>
        <v/>
      </c>
      <c r="K133" s="404">
        <f>J133/$J$117</f>
        <v/>
      </c>
      <c r="L133" s="56">
        <f>'2024_60-69 ΕΞΟΔΑ+ΟΜ 2'!K81</f>
        <v/>
      </c>
      <c r="M133" s="75">
        <f>L133/$L$117</f>
        <v/>
      </c>
      <c r="N133" s="65">
        <f>L133+'2026 Ιούλιος'!N133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W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2'!K87</f>
        <v/>
      </c>
      <c r="E134" s="75">
        <f>D134/$D$117</f>
        <v/>
      </c>
      <c r="F134" s="65">
        <f>D134+'2026 Ιούλιος'!F134</f>
        <v/>
      </c>
      <c r="G134" s="75">
        <f>F134/$F$117</f>
        <v/>
      </c>
      <c r="H134" s="56">
        <f>ΠΡΟΥΠΟΛΟΓΙΣΜΟΣ_ΕΞΟΔΑ!K381</f>
        <v/>
      </c>
      <c r="I134" s="400">
        <f>H134/$H$117</f>
        <v/>
      </c>
      <c r="J134" s="65">
        <f>H134+'2026 Ιούλιος'!J134</f>
        <v/>
      </c>
      <c r="K134" s="404">
        <f>J134/$J$117</f>
        <v/>
      </c>
      <c r="L134" s="56">
        <f>'2024_60-69 ΕΞΟΔΑ+ΟΜ 2'!K82</f>
        <v/>
      </c>
      <c r="M134" s="75">
        <f>L134/$L$117</f>
        <v/>
      </c>
      <c r="N134" s="65">
        <f>L134+'2026 Ιούλιος'!N134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W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2'!K88</f>
        <v/>
      </c>
      <c r="E135" s="75">
        <f>D135/$D$117</f>
        <v/>
      </c>
      <c r="F135" s="65">
        <f>D135+'2026 Ιούλιος'!F135</f>
        <v/>
      </c>
      <c r="G135" s="75">
        <f>F135/$F$117</f>
        <v/>
      </c>
      <c r="H135" s="56">
        <f>ΠΡΟΥΠΟΛΟΓΙΣΜΟΣ_ΕΞΟΔΑ!K386</f>
        <v/>
      </c>
      <c r="I135" s="400">
        <f>H135/$H$117</f>
        <v/>
      </c>
      <c r="J135" s="65">
        <f>H135+'2026 Ιούλιος'!J135</f>
        <v/>
      </c>
      <c r="K135" s="404">
        <f>J135/$J$117</f>
        <v/>
      </c>
      <c r="L135" s="56">
        <f>'2024_60-69 ΕΞΟΔΑ+ΟΜ 2'!K83</f>
        <v/>
      </c>
      <c r="M135" s="75">
        <f>L135/$L$117</f>
        <v/>
      </c>
      <c r="N135" s="65">
        <f>L135+'2026 Ιούλιος'!N135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W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2'!K89</f>
        <v/>
      </c>
      <c r="E136" s="75">
        <f>D136/$D$117</f>
        <v/>
      </c>
      <c r="F136" s="65">
        <f>D136+'2026 Ιούλιος'!F136</f>
        <v/>
      </c>
      <c r="G136" s="75">
        <f>F136/$F$117</f>
        <v/>
      </c>
      <c r="H136" s="56">
        <f>ΠΡΟΥΠΟΛΟΓΙΣΜΟΣ_ΕΞΟΔΑ!K391</f>
        <v/>
      </c>
      <c r="I136" s="400">
        <f>H136/$H$117</f>
        <v/>
      </c>
      <c r="J136" s="65">
        <f>H136+'2026 Ιούλιος'!J136</f>
        <v/>
      </c>
      <c r="K136" s="404">
        <f>J136/$J$117</f>
        <v/>
      </c>
      <c r="L136" s="56">
        <f>'2024_60-69 ΕΞΟΔΑ+ΟΜ 2'!K84</f>
        <v/>
      </c>
      <c r="M136" s="75">
        <f>L136/$L$117</f>
        <v/>
      </c>
      <c r="N136" s="65">
        <f>L136+'2026 Ιούλιος'!N136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2'!K90</f>
        <v/>
      </c>
      <c r="E137" s="75">
        <f>D137/$D$117</f>
        <v/>
      </c>
      <c r="F137" s="65">
        <f>D137+'2026 Ιούλιος'!F137</f>
        <v/>
      </c>
      <c r="G137" s="75">
        <f>F137/$F$117</f>
        <v/>
      </c>
      <c r="H137" s="56">
        <f>ΠΡΟΥΠΟΛΟΓΙΣΜΟΣ_ΕΞΟΔΑ!K396</f>
        <v/>
      </c>
      <c r="I137" s="400">
        <f>H137/$H$117</f>
        <v/>
      </c>
      <c r="J137" s="65">
        <f>H137+'2026 Ιούλιος'!J137</f>
        <v/>
      </c>
      <c r="K137" s="404">
        <f>J137/$J$117</f>
        <v/>
      </c>
      <c r="L137" s="56">
        <f>'2024_60-69 ΕΞΟΔΑ+ΟΜ 2'!K85</f>
        <v/>
      </c>
      <c r="M137" s="75">
        <f>L137/$L$117</f>
        <v/>
      </c>
      <c r="N137" s="65">
        <f>L137+'2026 Ιούλιος'!N137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2'!K91</f>
        <v/>
      </c>
      <c r="E138" s="75">
        <f>D138/$D$117</f>
        <v/>
      </c>
      <c r="F138" s="65">
        <f>D138+'2026 Ιούλιος'!F138</f>
        <v/>
      </c>
      <c r="G138" s="75">
        <f>F138/$F$117</f>
        <v/>
      </c>
      <c r="H138" s="56">
        <f>ΠΡΟΥΠΟΛΟΓΙΣΜΟΣ_ΕΞΟΔΑ!K401</f>
        <v/>
      </c>
      <c r="I138" s="400">
        <f>H138/$H$117</f>
        <v/>
      </c>
      <c r="J138" s="65">
        <f>H138+'2026 Ιούλιος'!J138</f>
        <v/>
      </c>
      <c r="K138" s="404">
        <f>J138/$J$117</f>
        <v/>
      </c>
      <c r="L138" s="56">
        <f>'2024_60-69 ΕΞΟΔΑ+ΟΜ 2'!K86</f>
        <v/>
      </c>
      <c r="M138" s="75">
        <f>L138/$L$117</f>
        <v/>
      </c>
      <c r="N138" s="65">
        <f>L138+'2026 Ιούλιος'!N138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2'!K92</f>
        <v/>
      </c>
      <c r="E139" s="75">
        <f>D139/$D$117</f>
        <v/>
      </c>
      <c r="F139" s="65">
        <f>D139+'2026 Ιούλιος'!F139</f>
        <v/>
      </c>
      <c r="G139" s="75">
        <f>F139/$F$117</f>
        <v/>
      </c>
      <c r="H139" s="56">
        <f>ΠΡΟΥΠΟΛΟΓΙΣΜΟΣ_ΕΞΟΔΑ!K406</f>
        <v/>
      </c>
      <c r="I139" s="400">
        <f>H139/$H$117</f>
        <v/>
      </c>
      <c r="J139" s="65">
        <f>H139+'2026 Ιούλιος'!J139</f>
        <v/>
      </c>
      <c r="K139" s="404">
        <f>J139/$J$117</f>
        <v/>
      </c>
      <c r="L139" s="56">
        <f>'2024_60-69 ΕΞΟΔΑ+ΟΜ 2'!K87</f>
        <v/>
      </c>
      <c r="M139" s="75">
        <f>L139/$L$117</f>
        <v/>
      </c>
      <c r="N139" s="65">
        <f>L139+'2026 Ιούλιος'!N139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2'!K93</f>
        <v/>
      </c>
      <c r="E140" s="75">
        <f>D140/$D$117</f>
        <v/>
      </c>
      <c r="F140" s="65">
        <f>D140+'2026 Ιούλιος'!F140</f>
        <v/>
      </c>
      <c r="G140" s="75">
        <f>F140/$F$117</f>
        <v/>
      </c>
      <c r="H140" s="56">
        <f>ΠΡΟΥΠΟΛΟΓΙΣΜΟΣ_ΕΞΟΔΑ!K411</f>
        <v/>
      </c>
      <c r="I140" s="400">
        <f>H140/$H$117</f>
        <v/>
      </c>
      <c r="J140" s="65">
        <f>H140+'2026 Ιούλιος'!J140</f>
        <v/>
      </c>
      <c r="K140" s="404">
        <f>J140/$J$117</f>
        <v/>
      </c>
      <c r="L140" s="56">
        <f>'2024_60-69 ΕΞΟΔΑ+ΟΜ 2'!K88</f>
        <v/>
      </c>
      <c r="M140" s="75">
        <f>L140/$L$117</f>
        <v/>
      </c>
      <c r="N140" s="65">
        <f>L140+'2026 Ιούλιος'!N140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2'!K94</f>
        <v/>
      </c>
      <c r="E141" s="75">
        <f>D141/$D$117</f>
        <v/>
      </c>
      <c r="F141" s="65">
        <f>D141+'2026 Ιούλιος'!F141</f>
        <v/>
      </c>
      <c r="G141" s="75">
        <f>F141/$F$117</f>
        <v/>
      </c>
      <c r="H141" s="56">
        <f>ΠΡΟΥΠΟΛΟΓΙΣΜΟΣ_ΕΞΟΔΑ!K416</f>
        <v/>
      </c>
      <c r="I141" s="400">
        <f>H141/$H$117</f>
        <v/>
      </c>
      <c r="J141" s="65">
        <f>H141+'2026 Ιούλιος'!J141</f>
        <v/>
      </c>
      <c r="K141" s="404">
        <f>J141/$J$117</f>
        <v/>
      </c>
      <c r="L141" s="56">
        <f>'2024_60-69 ΕΞΟΔΑ+ΟΜ 2'!K89</f>
        <v/>
      </c>
      <c r="M141" s="75">
        <f>L141/$L$117</f>
        <v/>
      </c>
      <c r="N141" s="65">
        <f>L141+'2026 Ιούλιος'!N141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2'!K95</f>
        <v/>
      </c>
      <c r="E142" s="75">
        <f>D142/$D$117</f>
        <v/>
      </c>
      <c r="F142" s="65">
        <f>D142+'2026 Ιούλιος'!F142</f>
        <v/>
      </c>
      <c r="G142" s="75">
        <f>F142/$F$117</f>
        <v/>
      </c>
      <c r="H142" s="56">
        <f>ΠΡΟΥΠΟΛΟΓΙΣΜΟΣ_ΕΞΟΔΑ!K421</f>
        <v/>
      </c>
      <c r="I142" s="400">
        <f>H142/$H$117</f>
        <v/>
      </c>
      <c r="J142" s="65">
        <f>H142+'2026 Ιούλιος'!J142</f>
        <v/>
      </c>
      <c r="K142" s="404">
        <f>J142/$J$117</f>
        <v/>
      </c>
      <c r="L142" s="56">
        <f>'2024_60-69 ΕΞΟΔΑ+ΟΜ 2'!K90</f>
        <v/>
      </c>
      <c r="M142" s="75">
        <f>L142/$L$117</f>
        <v/>
      </c>
      <c r="N142" s="65">
        <f>L142+'2026 Ιούλιος'!N142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2'!K96</f>
        <v/>
      </c>
      <c r="E143" s="75">
        <f>D143/$D$117</f>
        <v/>
      </c>
      <c r="F143" s="65">
        <f>D143+'2026 Ιούλιος'!F143</f>
        <v/>
      </c>
      <c r="G143" s="75">
        <f>F143/$F$117</f>
        <v/>
      </c>
      <c r="H143" s="56">
        <f>ΠΡΟΥΠΟΛΟΓΙΣΜΟΣ_ΕΞΟΔΑ!K426</f>
        <v/>
      </c>
      <c r="I143" s="400">
        <f>H143/$H$117</f>
        <v/>
      </c>
      <c r="J143" s="65">
        <f>H143+'2026 Ιούλιος'!J143</f>
        <v/>
      </c>
      <c r="K143" s="404">
        <f>J143/$J$117</f>
        <v/>
      </c>
      <c r="L143" s="56">
        <f>'2024_60-69 ΕΞΟΔΑ+ΟΜ 2'!K91</f>
        <v/>
      </c>
      <c r="M143" s="75">
        <f>L143/$L$117</f>
        <v/>
      </c>
      <c r="N143" s="65">
        <f>L143+'2026 Ιούλιος'!N143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2'!K97</f>
        <v/>
      </c>
      <c r="E144" s="75">
        <f>D144/$D$117</f>
        <v/>
      </c>
      <c r="F144" s="65">
        <f>D144+'2026 Ιούλιος'!F144</f>
        <v/>
      </c>
      <c r="G144" s="75">
        <f>F144/$F$117</f>
        <v/>
      </c>
      <c r="H144" s="56">
        <f>ΠΡΟΥΠΟΛΟΓΙΣΜΟΣ_ΕΞΟΔΑ!K431</f>
        <v/>
      </c>
      <c r="I144" s="400">
        <f>H144/$H$117</f>
        <v/>
      </c>
      <c r="J144" s="65">
        <f>H144+'2026 Ιούλιος'!J144</f>
        <v/>
      </c>
      <c r="K144" s="404">
        <f>J144/$J$117</f>
        <v/>
      </c>
      <c r="L144" s="56">
        <f>'2024_60-69 ΕΞΟΔΑ+ΟΜ 2'!K92</f>
        <v/>
      </c>
      <c r="M144" s="75">
        <f>L144/$L$117</f>
        <v/>
      </c>
      <c r="N144" s="65">
        <f>L144+'2026 Ιούλιος'!N144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2'!K98</f>
        <v/>
      </c>
      <c r="E145" s="75">
        <f>D145/$D$117</f>
        <v/>
      </c>
      <c r="F145" s="65">
        <f>D145+'2026 Ιούλιος'!F145</f>
        <v/>
      </c>
      <c r="G145" s="75">
        <f>F145/$F$117</f>
        <v/>
      </c>
      <c r="H145" s="56">
        <f>ΠΡΟΥΠΟΛΟΓΙΣΜΟΣ_ΕΞΟΔΑ!K436</f>
        <v/>
      </c>
      <c r="I145" s="400">
        <f>H145/$H$117</f>
        <v/>
      </c>
      <c r="J145" s="65">
        <f>H145+'2026 Ιούλιος'!J145</f>
        <v/>
      </c>
      <c r="K145" s="404">
        <f>J145/$J$117</f>
        <v/>
      </c>
      <c r="L145" s="56">
        <f>'2024_60-69 ΕΞΟΔΑ+ΟΜ 2'!K93</f>
        <v/>
      </c>
      <c r="M145" s="75">
        <f>L145/$L$117</f>
        <v/>
      </c>
      <c r="N145" s="65">
        <f>L145+'2026 Ιούλιος'!N145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2'!K99</f>
        <v/>
      </c>
      <c r="E146" s="75">
        <f>D146/$D$117</f>
        <v/>
      </c>
      <c r="F146" s="65">
        <f>D146+'2026 Ιούλιος'!F146</f>
        <v/>
      </c>
      <c r="G146" s="75">
        <f>F146/$F$117</f>
        <v/>
      </c>
      <c r="H146" s="56">
        <f>ΠΡΟΥΠΟΛΟΓΙΣΜΟΣ_ΕΞΟΔΑ!K441</f>
        <v/>
      </c>
      <c r="I146" s="400">
        <f>H146/$H$117</f>
        <v/>
      </c>
      <c r="J146" s="65">
        <f>H146+'2026 Ιούλιος'!J146</f>
        <v/>
      </c>
      <c r="K146" s="404">
        <f>J146/$J$117</f>
        <v/>
      </c>
      <c r="L146" s="56">
        <f>'2024_60-69 ΕΞΟΔΑ+ΟΜ 2'!K94</f>
        <v/>
      </c>
      <c r="M146" s="75">
        <f>L146/$L$117</f>
        <v/>
      </c>
      <c r="N146" s="65">
        <f>L146+'2026 Ιούλιος'!N146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2'!K100</f>
        <v/>
      </c>
      <c r="E147" s="75">
        <f>D147/$D$117</f>
        <v/>
      </c>
      <c r="F147" s="65">
        <f>D147+'2026 Ιούλιος'!F147</f>
        <v/>
      </c>
      <c r="G147" s="75">
        <f>F147/$F$117</f>
        <v/>
      </c>
      <c r="H147" s="56">
        <f>ΠΡΟΥΠΟΛΟΓΙΣΜΟΣ_ΕΞΟΔΑ!K446</f>
        <v/>
      </c>
      <c r="I147" s="400">
        <f>H147/$H$117</f>
        <v/>
      </c>
      <c r="J147" s="65">
        <f>H147+'2026 Ιούλιος'!J147</f>
        <v/>
      </c>
      <c r="K147" s="404">
        <f>J147/$J$117</f>
        <v/>
      </c>
      <c r="L147" s="56">
        <f>'2024_60-69 ΕΞΟΔΑ+ΟΜ 2'!K95</f>
        <v/>
      </c>
      <c r="M147" s="75">
        <f>L147/$L$117</f>
        <v/>
      </c>
      <c r="N147" s="65">
        <f>L147+'2026 Ιούλιος'!N147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2'!K101</f>
        <v/>
      </c>
      <c r="E148" s="75">
        <f>D148/$D$117</f>
        <v/>
      </c>
      <c r="F148" s="65">
        <f>D148+'2026 Ιούλιος'!F148</f>
        <v/>
      </c>
      <c r="G148" s="75">
        <f>F148/$F$117</f>
        <v/>
      </c>
      <c r="H148" s="56">
        <f>ΠΡΟΥΠΟΛΟΓΙΣΜΟΣ_ΕΞΟΔΑ!K451</f>
        <v/>
      </c>
      <c r="I148" s="400">
        <f>H148/$H$117</f>
        <v/>
      </c>
      <c r="J148" s="65">
        <f>H148+'2026 Ιούλιος'!J148</f>
        <v/>
      </c>
      <c r="K148" s="404">
        <f>J148/$J$117</f>
        <v/>
      </c>
      <c r="L148" s="56">
        <f>'2024_60-69 ΕΞΟΔΑ+ΟΜ 2'!K96</f>
        <v/>
      </c>
      <c r="M148" s="75">
        <f>L148/$L$117</f>
        <v/>
      </c>
      <c r="N148" s="65">
        <f>L148+'2026 Ιούλιος'!N148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2'!K102</f>
        <v/>
      </c>
      <c r="E149" s="75">
        <f>D149/$D$117</f>
        <v/>
      </c>
      <c r="F149" s="65">
        <f>D149+'2026 Ιούλιος'!F149</f>
        <v/>
      </c>
      <c r="G149" s="75">
        <f>F149/$F$117</f>
        <v/>
      </c>
      <c r="H149" s="56">
        <f>ΠΡΟΥΠΟΛΟΓΙΣΜΟΣ_ΕΞΟΔΑ!K456</f>
        <v/>
      </c>
      <c r="I149" s="400">
        <f>H149/$H$117</f>
        <v/>
      </c>
      <c r="J149" s="65">
        <f>H149+'2026 Ιούλιος'!J149</f>
        <v/>
      </c>
      <c r="K149" s="404">
        <f>J149/$J$117</f>
        <v/>
      </c>
      <c r="L149" s="56">
        <f>'2024_60-69 ΕΞΟΔΑ+ΟΜ 2'!K97</f>
        <v/>
      </c>
      <c r="M149" s="75">
        <f>L149/$L$117</f>
        <v/>
      </c>
      <c r="N149" s="65">
        <f>L149+'2026 Ιούλιος'!N149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2'!K103</f>
        <v/>
      </c>
      <c r="E150" s="75">
        <f>D150/$D$117</f>
        <v/>
      </c>
      <c r="F150" s="65">
        <f>D150+'2026 Ιούλιος'!F150</f>
        <v/>
      </c>
      <c r="G150" s="75">
        <f>F150/$F$117</f>
        <v/>
      </c>
      <c r="H150" s="56">
        <f>ΠΡΟΥΠΟΛΟΓΙΣΜΟΣ_ΕΞΟΔΑ!K461</f>
        <v/>
      </c>
      <c r="I150" s="400">
        <f>H150/$H$117</f>
        <v/>
      </c>
      <c r="J150" s="65">
        <f>H150+'2026 Ιούλιος'!J150</f>
        <v/>
      </c>
      <c r="K150" s="404">
        <f>J150/$J$117</f>
        <v/>
      </c>
      <c r="L150" s="56">
        <f>'2024_60-69 ΕΞΟΔΑ+ΟΜ 2'!K98</f>
        <v/>
      </c>
      <c r="M150" s="75">
        <f>L150/$L$117</f>
        <v/>
      </c>
      <c r="N150" s="65">
        <f>L150+'2026 Ιούλιος'!N150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2'!K104</f>
        <v/>
      </c>
      <c r="E151" s="75">
        <f>D151/$D$117</f>
        <v/>
      </c>
      <c r="F151" s="65">
        <f>D151+'2026 Ιούλιος'!F151</f>
        <v/>
      </c>
      <c r="G151" s="75">
        <f>F151/$F$117</f>
        <v/>
      </c>
      <c r="H151" s="56">
        <f>ΠΡΟΥΠΟΛΟΓΙΣΜΟΣ_ΕΞΟΔΑ!K466</f>
        <v/>
      </c>
      <c r="I151" s="400">
        <f>H151/$H$117</f>
        <v/>
      </c>
      <c r="J151" s="65">
        <f>H151+'2026 Ιούλιος'!J151</f>
        <v/>
      </c>
      <c r="K151" s="404">
        <f>J151/$J$117</f>
        <v/>
      </c>
      <c r="L151" s="56">
        <f>'2024_60-69 ΕΞΟΔΑ+ΟΜ 2'!K99</f>
        <v/>
      </c>
      <c r="M151" s="75">
        <f>L151/$L$117</f>
        <v/>
      </c>
      <c r="N151" s="65">
        <f>L151+'2026 Ιούλιος'!N151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2'!K105</f>
        <v/>
      </c>
      <c r="E152" s="75">
        <f>D152/$D$117</f>
        <v/>
      </c>
      <c r="F152" s="65">
        <f>D152+'2026 Ιούλιος'!F152</f>
        <v/>
      </c>
      <c r="G152" s="75">
        <f>F152/$F$117</f>
        <v/>
      </c>
      <c r="H152" s="56">
        <f>ΠΡΟΥΠΟΛΟΓΙΣΜΟΣ_ΕΞΟΔΑ!K471</f>
        <v/>
      </c>
      <c r="I152" s="400">
        <f>H152/$H$117</f>
        <v/>
      </c>
      <c r="J152" s="65">
        <f>H152+'2026 Ιούλιος'!J152</f>
        <v/>
      </c>
      <c r="K152" s="404">
        <f>J152/$J$117</f>
        <v/>
      </c>
      <c r="L152" s="56">
        <f>'2024_60-69 ΕΞΟΔΑ+ΟΜ 2'!K100</f>
        <v/>
      </c>
      <c r="M152" s="75">
        <f>L152/$L$117</f>
        <v/>
      </c>
      <c r="N152" s="65">
        <f>L152+'2026 Ιούλιος'!N152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2'!K106</f>
        <v/>
      </c>
      <c r="E153" s="75">
        <f>D153/$D$117</f>
        <v/>
      </c>
      <c r="F153" s="65">
        <f>D153+'2026 Ιούλιος'!F153</f>
        <v/>
      </c>
      <c r="G153" s="75">
        <f>F153/$F$117</f>
        <v/>
      </c>
      <c r="H153" s="56">
        <f>ΠΡΟΥΠΟΛΟΓΙΣΜΟΣ_ΕΞΟΔΑ!K476</f>
        <v/>
      </c>
      <c r="I153" s="400">
        <f>H153/$H$117</f>
        <v/>
      </c>
      <c r="J153" s="65">
        <f>H153+'2026 Ιούλιος'!J153</f>
        <v/>
      </c>
      <c r="K153" s="404">
        <f>J153/$J$117</f>
        <v/>
      </c>
      <c r="L153" s="56">
        <f>'2024_60-69 ΕΞΟΔΑ+ΟΜ 2'!K101</f>
        <v/>
      </c>
      <c r="M153" s="75">
        <f>L153/$L$117</f>
        <v/>
      </c>
      <c r="N153" s="65">
        <f>L153+'2026 Ιούλιος'!N153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2'!K107</f>
        <v/>
      </c>
      <c r="E154" s="75">
        <f>D154/$D$117</f>
        <v/>
      </c>
      <c r="F154" s="65">
        <f>D154+'2026 Ιούλιος'!F154</f>
        <v/>
      </c>
      <c r="G154" s="75">
        <f>F154/$F$117</f>
        <v/>
      </c>
      <c r="H154" s="56">
        <f>ΠΡΟΥΠΟΛΟΓΙΣΜΟΣ_ΕΞΟΔΑ!K481</f>
        <v/>
      </c>
      <c r="I154" s="400">
        <f>H154/$H$117</f>
        <v/>
      </c>
      <c r="J154" s="65">
        <f>H154+'2026 Ιούλιος'!J154</f>
        <v/>
      </c>
      <c r="K154" s="404">
        <f>J154/$J$117</f>
        <v/>
      </c>
      <c r="L154" s="56">
        <f>'2024_60-69 ΕΞΟΔΑ+ΟΜ 2'!K102</f>
        <v/>
      </c>
      <c r="M154" s="75">
        <f>L154/$L$117</f>
        <v/>
      </c>
      <c r="N154" s="65">
        <f>L154+'2026 Ιούλιος'!N154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2'!K108</f>
        <v/>
      </c>
      <c r="E155" s="75">
        <f>D155/$D$117</f>
        <v/>
      </c>
      <c r="F155" s="65">
        <f>D155+'2026 Ιούλιος'!F155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2'!K70</f>
        <v/>
      </c>
      <c r="E158" s="81" t="n"/>
      <c r="F158" s="64">
        <f>'2026_60-69 ΕΞΟΔΑ+ΟΜ 2'!X70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ΑΝΤΙΣΤΟΙΧΙΣΗ!$F$114</f>
        <v/>
      </c>
      <c r="E3" s="551" t="n"/>
      <c r="F3" s="550" t="n"/>
      <c r="G3" s="107">
        <f>ΑΝΤΙΣΤΟΙΧΙΣΗ!$D$34</f>
        <v/>
      </c>
      <c r="H3" s="549">
        <f>ΑΝΤΙΣΤΟΙΧΙΣΗ!$F$114</f>
        <v/>
      </c>
      <c r="I3" s="551" t="n"/>
      <c r="J3" s="550" t="n"/>
      <c r="K3" s="107">
        <f>ΑΝΤΙΣΤΟΙΧΙΣΗ!$D$34</f>
        <v/>
      </c>
      <c r="L3" s="549">
        <f>ΑΝΤΙΣΤΟΙΧΙΣΗ!$F$128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'2026_ΕΣΟΔΑ'!K2</f>
        <v/>
      </c>
      <c r="E8" s="53">
        <f>D8/$D$7</f>
        <v/>
      </c>
      <c r="F8" s="54">
        <f>D8+'2026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H8+'2026 Aύγουστος'!J8</f>
        <v/>
      </c>
      <c r="K8" s="53">
        <f>J8/$J$7</f>
        <v/>
      </c>
      <c r="L8" s="89">
        <f>'2024_60-69 ΕΞΟΔΑ+ΟΜ 2'!K114</f>
        <v/>
      </c>
      <c r="M8" s="53">
        <f>L8/$L$7</f>
        <v/>
      </c>
      <c r="N8" s="54">
        <f>L8+'2026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'2026_ΕΣΟΔΑ'!K3</f>
        <v/>
      </c>
      <c r="E9" s="53">
        <f>D9/$D$7</f>
        <v/>
      </c>
      <c r="F9" s="54">
        <f>D9+'2026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H9+'2026 Aύγουστος'!J9</f>
        <v/>
      </c>
      <c r="K9" s="53">
        <f>J9/$J$7</f>
        <v/>
      </c>
      <c r="L9" s="89">
        <f>'2024_60-69 ΕΞΟΔΑ+ΟΜ 2'!K115</f>
        <v/>
      </c>
      <c r="M9" s="53">
        <f>L9/$L$7</f>
        <v/>
      </c>
      <c r="N9" s="54">
        <f>L9+'2026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'2026_ΕΣΟΔΑ'!K4</f>
        <v/>
      </c>
      <c r="E10" s="53">
        <f>D10/$D$7</f>
        <v/>
      </c>
      <c r="F10" s="54">
        <f>D10+'2026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H10+'2026 Aύγουστος'!J10</f>
        <v/>
      </c>
      <c r="K10" s="53">
        <f>J10/$J$7</f>
        <v/>
      </c>
      <c r="L10" s="89">
        <f>'2024_60-69 ΕΞΟΔΑ+ΟΜ 2'!K116</f>
        <v/>
      </c>
      <c r="M10" s="53">
        <f>L10/$L$7</f>
        <v/>
      </c>
      <c r="N10" s="54">
        <f>L10+'2026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'2026_ΕΣΟΔΑ'!K5</f>
        <v/>
      </c>
      <c r="E11" s="53">
        <f>D11/$D$7</f>
        <v/>
      </c>
      <c r="F11" s="54">
        <f>D11+'2026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H11+'2026 Aύγουστος'!J11</f>
        <v/>
      </c>
      <c r="K11" s="53">
        <f>J11/$J$7</f>
        <v/>
      </c>
      <c r="L11" s="89">
        <f>'2024_60-69 ΕΞΟΔΑ+ΟΜ 2'!K117</f>
        <v/>
      </c>
      <c r="M11" s="53">
        <f>L11/$L$7</f>
        <v/>
      </c>
      <c r="N11" s="54">
        <f>L11+'2026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'2026_ΕΣΟΔΑ'!K6</f>
        <v/>
      </c>
      <c r="E12" s="53">
        <f>D12/$D$7</f>
        <v/>
      </c>
      <c r="F12" s="54">
        <f>D12+'2026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H12+'2026 Aύγουστος'!J12</f>
        <v/>
      </c>
      <c r="K12" s="53">
        <f>J12/$J$7</f>
        <v/>
      </c>
      <c r="L12" s="89">
        <f>'2024_60-69 ΕΞΟΔΑ+ΟΜ 2'!K118</f>
        <v/>
      </c>
      <c r="M12" s="53">
        <f>L12/$L$7</f>
        <v/>
      </c>
      <c r="N12" s="54">
        <f>L12+'2026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'2026_ΕΣΟΔΑ'!K7</f>
        <v/>
      </c>
      <c r="E13" s="53">
        <f>D13/$D$7</f>
        <v/>
      </c>
      <c r="F13" s="54">
        <f>D13+'2026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H13+'2026 Aύγουστος'!J13</f>
        <v/>
      </c>
      <c r="K13" s="53">
        <f>J13/$J$7</f>
        <v/>
      </c>
      <c r="L13" s="89">
        <f>'2024_60-69 ΕΞΟΔΑ+ΟΜ 2'!K119</f>
        <v/>
      </c>
      <c r="M13" s="53">
        <f>L13/$L$7</f>
        <v/>
      </c>
      <c r="N13" s="54">
        <f>L13+'2026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'2026_ΕΣΟΔΑ'!K8</f>
        <v/>
      </c>
      <c r="E14" s="53">
        <f>D14/$D$7</f>
        <v/>
      </c>
      <c r="F14" s="54">
        <f>D14+'2026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H14+'2026 Aύγουστος'!J14</f>
        <v/>
      </c>
      <c r="K14" s="53">
        <f>J14/$J$7</f>
        <v/>
      </c>
      <c r="L14" s="89">
        <f>'2024_60-69 ΕΞΟΔΑ+ΟΜ 2'!K120</f>
        <v/>
      </c>
      <c r="M14" s="53">
        <f>L14/$L$7</f>
        <v/>
      </c>
      <c r="N14" s="54">
        <f>L14+'2026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'2026_ΕΣΟΔΑ'!K9</f>
        <v/>
      </c>
      <c r="E15" s="53">
        <f>D15/$D$7</f>
        <v/>
      </c>
      <c r="F15" s="54">
        <f>D15+'2026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H15+'2026 Aύγουστος'!J15</f>
        <v/>
      </c>
      <c r="K15" s="53">
        <f>J15/$J$7</f>
        <v/>
      </c>
      <c r="L15" s="89">
        <f>'2024_60-69 ΕΞΟΔΑ+ΟΜ 2'!K121</f>
        <v/>
      </c>
      <c r="M15" s="53">
        <f>L15/$L$7</f>
        <v/>
      </c>
      <c r="N15" s="54">
        <f>L15+'2026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'2026_ΕΣΟΔΑ'!K10</f>
        <v/>
      </c>
      <c r="E16" s="53">
        <f>D16/$D$7</f>
        <v/>
      </c>
      <c r="F16" s="54">
        <f>D16+'2026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H16+'2026 Aύγουστος'!J16</f>
        <v/>
      </c>
      <c r="K16" s="53">
        <f>J16/$J$7</f>
        <v/>
      </c>
      <c r="L16" s="89">
        <f>'2024_60-69 ΕΞΟΔΑ+ΟΜ 2'!K122</f>
        <v/>
      </c>
      <c r="M16" s="53">
        <f>L16/$L$7</f>
        <v/>
      </c>
      <c r="N16" s="54">
        <f>L16+'2026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'2026_ΕΣΟΔΑ'!K11</f>
        <v/>
      </c>
      <c r="E17" s="53">
        <f>D17/$D$7</f>
        <v/>
      </c>
      <c r="F17" s="54">
        <f>D17+'2026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H17+'2026 Aύγουστος'!J17</f>
        <v/>
      </c>
      <c r="K17" s="53">
        <f>J17/$J$7</f>
        <v/>
      </c>
      <c r="L17" s="89">
        <f>'2024_60-69 ΕΞΟΔΑ+ΟΜ 2'!K123</f>
        <v/>
      </c>
      <c r="M17" s="53">
        <f>L17/$L$7</f>
        <v/>
      </c>
      <c r="N17" s="54">
        <f>L17+'2026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'2026_ΕΣΟΔΑ'!K12</f>
        <v/>
      </c>
      <c r="E18" s="53">
        <f>D18/$D$7</f>
        <v/>
      </c>
      <c r="F18" s="54">
        <f>D18+'2026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H18+'2026 Aύγουστος'!J18</f>
        <v/>
      </c>
      <c r="K18" s="53">
        <f>J18/$J$7</f>
        <v/>
      </c>
      <c r="L18" s="89">
        <f>'2024_60-69 ΕΞΟΔΑ+ΟΜ 2'!K124</f>
        <v/>
      </c>
      <c r="M18" s="53">
        <f>L18/$L$7</f>
        <v/>
      </c>
      <c r="N18" s="54">
        <f>L18+'2026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'2026_ΕΣΟΔΑ'!K13</f>
        <v/>
      </c>
      <c r="E19" s="53">
        <f>D19/$D$7</f>
        <v/>
      </c>
      <c r="F19" s="54">
        <f>D19+'2026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H19+'2026 Aύγουστος'!J19</f>
        <v/>
      </c>
      <c r="K19" s="53">
        <f>J19/$J$7</f>
        <v/>
      </c>
      <c r="L19" s="89">
        <f>'2024_60-69 ΕΞΟΔΑ+ΟΜ 2'!K125</f>
        <v/>
      </c>
      <c r="M19" s="53">
        <f>L19/$L$7</f>
        <v/>
      </c>
      <c r="N19" s="54">
        <f>L19+'2026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'2026_ΕΣΟΔΑ'!K14</f>
        <v/>
      </c>
      <c r="E20" s="53">
        <f>D20/$D$7</f>
        <v/>
      </c>
      <c r="F20" s="54">
        <f>D20+'2026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H20+'2026 Aύγουστος'!J20</f>
        <v/>
      </c>
      <c r="K20" s="53">
        <f>J20/$J$7</f>
        <v/>
      </c>
      <c r="L20" s="89">
        <f>'2024_60-69 ΕΞΟΔΑ+ΟΜ 2'!K126</f>
        <v/>
      </c>
      <c r="M20" s="53">
        <f>L20/$L$7</f>
        <v/>
      </c>
      <c r="N20" s="54">
        <f>L20+'2026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'2026_ΕΣΟΔΑ'!K15</f>
        <v/>
      </c>
      <c r="E21" s="53">
        <f>D21/$D$7</f>
        <v/>
      </c>
      <c r="F21" s="54">
        <f>D21+'2026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H21+'2026 Aύγουστος'!J21</f>
        <v/>
      </c>
      <c r="K21" s="53">
        <f>J21/$J$7</f>
        <v/>
      </c>
      <c r="L21" s="89">
        <f>'2024_60-69 ΕΞΟΔΑ+ΟΜ 2'!K127</f>
        <v/>
      </c>
      <c r="M21" s="53">
        <f>L21/$L$7</f>
        <v/>
      </c>
      <c r="N21" s="54">
        <f>L21+'2026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'2026_ΕΣΟΔΑ'!K16</f>
        <v/>
      </c>
      <c r="E22" s="53">
        <f>D22/$D$7</f>
        <v/>
      </c>
      <c r="F22" s="54">
        <f>D22+'2026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H22+'2026 Aύγουστος'!J22</f>
        <v/>
      </c>
      <c r="K22" s="53">
        <f>J22/$J$7</f>
        <v/>
      </c>
      <c r="L22" s="89">
        <f>'2024_60-69 ΕΞΟΔΑ+ΟΜ 2'!K128</f>
        <v/>
      </c>
      <c r="M22" s="53">
        <f>L22/$L$7</f>
        <v/>
      </c>
      <c r="N22" s="54">
        <f>L22+'2026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'2026_ΕΣΟΔΑ'!K17</f>
        <v/>
      </c>
      <c r="E23" s="53">
        <f>D23/$D$7</f>
        <v/>
      </c>
      <c r="F23" s="54">
        <f>D23+'2026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H23+'2026 Aύγουστος'!J23</f>
        <v/>
      </c>
      <c r="K23" s="53">
        <f>J23/$J$7</f>
        <v/>
      </c>
      <c r="L23" s="89">
        <f>'2024_60-69 ΕΞΟΔΑ+ΟΜ 2'!K129</f>
        <v/>
      </c>
      <c r="M23" s="53">
        <f>L23/$L$7</f>
        <v/>
      </c>
      <c r="N23" s="54">
        <f>L23+'2026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'2026_ΕΣΟΔΑ'!K19</f>
        <v/>
      </c>
      <c r="E25" s="53">
        <f>D25/$D$7</f>
        <v/>
      </c>
      <c r="F25" s="54">
        <f>D25+'2026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H25+'2026 Aύγουστος'!J25</f>
        <v/>
      </c>
      <c r="K25" s="53">
        <f>J25/$J$7</f>
        <v/>
      </c>
      <c r="L25" s="89">
        <f>'2024_60-69 ΕΞΟΔΑ+ΟΜ 2'!K130</f>
        <v/>
      </c>
      <c r="M25" s="53">
        <f>L25/$L$7</f>
        <v/>
      </c>
      <c r="N25" s="54">
        <f>L25+'2026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'2026_ΕΣΟΔΑ'!K20</f>
        <v/>
      </c>
      <c r="E26" s="53">
        <f>D26/$D$7</f>
        <v/>
      </c>
      <c r="F26" s="54">
        <f>D26+'2026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H26+'2026 Aύγουστος'!J26</f>
        <v/>
      </c>
      <c r="K26" s="53">
        <f>J26/$J$7</f>
        <v/>
      </c>
      <c r="L26" s="89">
        <f>'2024_60-69 ΕΞΟΔΑ+ΟΜ 2'!K131</f>
        <v/>
      </c>
      <c r="M26" s="53">
        <f>L26/$L$7</f>
        <v/>
      </c>
      <c r="N26" s="54">
        <f>L26+'2026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'2026_ΕΣΟΔΑ'!K21</f>
        <v/>
      </c>
      <c r="E27" s="53">
        <f>D27/$D$7</f>
        <v/>
      </c>
      <c r="F27" s="54">
        <f>D27+'2026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H27+'2026 Aύγουστος'!J27</f>
        <v/>
      </c>
      <c r="K27" s="53">
        <f>J27/$J$7</f>
        <v/>
      </c>
      <c r="L27" s="89">
        <f>'2024_60-69 ΕΞΟΔΑ+ΟΜ 2'!K132</f>
        <v/>
      </c>
      <c r="M27" s="53">
        <f>L27/$L$7</f>
        <v/>
      </c>
      <c r="N27" s="54">
        <f>L27+'2026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'2026_ΕΣΟΔΑ'!K22</f>
        <v/>
      </c>
      <c r="E28" s="53">
        <f>D28/$D$7</f>
        <v/>
      </c>
      <c r="F28" s="54">
        <f>D28+'2026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H28+'2026 Aύγουστος'!J28</f>
        <v/>
      </c>
      <c r="K28" s="53">
        <f>J28/$J$7</f>
        <v/>
      </c>
      <c r="L28" s="89">
        <f>'2024_60-69 ΕΞΟΔΑ+ΟΜ 2'!K133</f>
        <v/>
      </c>
      <c r="M28" s="53">
        <f>L28/$L$7</f>
        <v/>
      </c>
      <c r="N28" s="54">
        <f>L28+'2026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'2026_ΕΣΟΔΑ'!K23</f>
        <v/>
      </c>
      <c r="E29" s="53">
        <f>D29/$D$7</f>
        <v/>
      </c>
      <c r="F29" s="54">
        <f>D29+'2026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H29+'2026 Aύγουστος'!J29</f>
        <v/>
      </c>
      <c r="K29" s="53">
        <f>J29/$J$7</f>
        <v/>
      </c>
      <c r="L29" s="89">
        <f>'2024_60-69 ΕΞΟΔΑ+ΟΜ 2'!K134</f>
        <v/>
      </c>
      <c r="M29" s="53">
        <f>L29/$L$7</f>
        <v/>
      </c>
      <c r="N29" s="54">
        <f>L29+'2026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'2026_ΕΣΟΔΑ'!K24</f>
        <v/>
      </c>
      <c r="E30" s="53">
        <f>D30/$D$7</f>
        <v/>
      </c>
      <c r="F30" s="54">
        <f>D30+'2026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H30+'2026 Aύγουστος'!J30</f>
        <v/>
      </c>
      <c r="K30" s="53">
        <f>J30/$J$7</f>
        <v/>
      </c>
      <c r="L30" s="89">
        <f>'2024_60-69 ΕΞΟΔΑ+ΟΜ 2'!K135</f>
        <v/>
      </c>
      <c r="M30" s="53">
        <f>L30/$L$7</f>
        <v/>
      </c>
      <c r="N30" s="54">
        <f>L30+'2026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'2026_ΕΣΟΔΑ'!K25</f>
        <v/>
      </c>
      <c r="E31" s="53">
        <f>D31/$D$7</f>
        <v/>
      </c>
      <c r="F31" s="54">
        <f>D31+'2026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H31+'2026 Aύγουστος'!J31</f>
        <v/>
      </c>
      <c r="K31" s="53">
        <f>J31/$J$7</f>
        <v/>
      </c>
      <c r="L31" s="89">
        <f>'2024_60-69 ΕΞΟΔΑ+ΟΜ 2'!K136</f>
        <v/>
      </c>
      <c r="M31" s="53">
        <f>L31/$L$7</f>
        <v/>
      </c>
      <c r="N31" s="54">
        <f>L31+'2026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'2026_ΕΣΟΔΑ'!K26</f>
        <v/>
      </c>
      <c r="E32" s="53">
        <f>D32/$D$7</f>
        <v/>
      </c>
      <c r="F32" s="54">
        <f>D32+'2026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H32+'2026 Aύγουστος'!J32</f>
        <v/>
      </c>
      <c r="K32" s="53">
        <f>J32/$J$7</f>
        <v/>
      </c>
      <c r="L32" s="89">
        <f>'2024_60-69 ΕΞΟΔΑ+ΟΜ 2'!K137</f>
        <v/>
      </c>
      <c r="M32" s="53">
        <f>L32/$L$7</f>
        <v/>
      </c>
      <c r="N32" s="54">
        <f>L32+'2026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'2026_ΕΣΟΔΑ'!K27</f>
        <v/>
      </c>
      <c r="E33" s="53">
        <f>D33/$D$7</f>
        <v/>
      </c>
      <c r="F33" s="54">
        <f>D33+'2026 Aύγουστος'!F33</f>
        <v/>
      </c>
      <c r="G33" s="53">
        <f>F33/$F$7</f>
        <v/>
      </c>
      <c r="H33" s="54" t="n"/>
      <c r="I33" s="53">
        <f>H33/$H$40</f>
        <v/>
      </c>
      <c r="J33" s="54">
        <f>H33+'2026 Aύγουστος'!J33</f>
        <v/>
      </c>
      <c r="K33" s="53">
        <f>J33/$J$7</f>
        <v/>
      </c>
      <c r="L33" s="89">
        <f>'2024_60-69 ΕΞΟΔΑ+ΟΜ 2'!K138</f>
        <v/>
      </c>
      <c r="M33" s="53">
        <f>L33/$L$7</f>
        <v/>
      </c>
      <c r="N33" s="54">
        <f>L33+'2026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'2026_ΕΣΟΔΑ'!K28</f>
        <v/>
      </c>
      <c r="E34" s="53">
        <f>D34/$D$7</f>
        <v/>
      </c>
      <c r="F34" s="54">
        <f>D34+'2026 Aύγουστος'!F34</f>
        <v/>
      </c>
      <c r="G34" s="53">
        <f>F34/$F$7</f>
        <v/>
      </c>
      <c r="H34" s="54" t="n"/>
      <c r="I34" s="53">
        <f>H34/$H$40</f>
        <v/>
      </c>
      <c r="J34" s="54">
        <f>H34+'2026 Aύγουστος'!J34</f>
        <v/>
      </c>
      <c r="K34" s="53">
        <f>J34/$J$7</f>
        <v/>
      </c>
      <c r="L34" s="89">
        <f>'2024_60-69 ΕΞΟΔΑ+ΟΜ 2'!K139</f>
        <v/>
      </c>
      <c r="M34" s="53">
        <f>L34/$L$7</f>
        <v/>
      </c>
      <c r="N34" s="54">
        <f>L34+'2026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'2026_ΕΣΟΔΑ'!K29</f>
        <v/>
      </c>
      <c r="E35" s="53">
        <f>D35/$D$7</f>
        <v/>
      </c>
      <c r="F35" s="54">
        <f>D35+'2026 Aύγουστος'!F35</f>
        <v/>
      </c>
      <c r="G35" s="53">
        <f>F35/$F$7</f>
        <v/>
      </c>
      <c r="H35" s="54" t="n"/>
      <c r="I35" s="53">
        <f>H35/$H$40</f>
        <v/>
      </c>
      <c r="J35" s="54">
        <f>H35+'2026 Aύγουστος'!J35</f>
        <v/>
      </c>
      <c r="K35" s="53">
        <f>J35/$J$7</f>
        <v/>
      </c>
      <c r="L35" s="89">
        <f>'2024_60-69 ΕΞΟΔΑ+ΟΜ 2'!K140</f>
        <v/>
      </c>
      <c r="M35" s="53">
        <f>L35/$L$7</f>
        <v/>
      </c>
      <c r="N35" s="54">
        <f>L35+'2026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'2026_ΕΣΟΔΑ'!K30</f>
        <v/>
      </c>
      <c r="E36" s="53">
        <f>D36/$D$7</f>
        <v/>
      </c>
      <c r="F36" s="54">
        <f>D36+'2026 Aύγουστος'!F36</f>
        <v/>
      </c>
      <c r="G36" s="53">
        <f>F36/$F$7</f>
        <v/>
      </c>
      <c r="H36" s="54" t="n"/>
      <c r="I36" s="53">
        <f>H36/$H$40</f>
        <v/>
      </c>
      <c r="J36" s="54">
        <f>H36+'2026 Aύγουστος'!J36</f>
        <v/>
      </c>
      <c r="K36" s="53">
        <f>J36/$J$7</f>
        <v/>
      </c>
      <c r="L36" s="89">
        <f>'2024_60-69 ΕΞΟΔΑ+ΟΜ 2'!K141</f>
        <v/>
      </c>
      <c r="M36" s="53">
        <f>L36/$L$7</f>
        <v/>
      </c>
      <c r="N36" s="54">
        <f>L36+'2026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'2026_ΕΣΟΔΑ'!K31</f>
        <v/>
      </c>
      <c r="E37" s="53">
        <f>D37/$D$7</f>
        <v/>
      </c>
      <c r="F37" s="54">
        <f>D37+'2026 Aύγουστος'!F37</f>
        <v/>
      </c>
      <c r="G37" s="53">
        <f>F37/$F$7</f>
        <v/>
      </c>
      <c r="H37" s="54" t="n"/>
      <c r="I37" s="53">
        <f>H37/$H$40</f>
        <v/>
      </c>
      <c r="J37" s="54">
        <f>H37+'2026 Aύγουστος'!J37</f>
        <v/>
      </c>
      <c r="K37" s="53">
        <f>J37/$J$7</f>
        <v/>
      </c>
      <c r="L37" s="89">
        <f>'2024_60-69 ΕΞΟΔΑ+ΟΜ 2'!K142</f>
        <v/>
      </c>
      <c r="M37" s="53">
        <f>L37/$L$7</f>
        <v/>
      </c>
      <c r="N37" s="54">
        <f>L37+'2026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'2026_ΕΣΟΔΑ'!K32</f>
        <v/>
      </c>
      <c r="E38" s="53">
        <f>D38/$D$7</f>
        <v/>
      </c>
      <c r="F38" s="54">
        <f>D38+'2026 Aύγουστος'!F38</f>
        <v/>
      </c>
      <c r="G38" s="53">
        <f>F38/$F$7</f>
        <v/>
      </c>
      <c r="H38" s="54" t="n"/>
      <c r="I38" s="53">
        <f>H38/$H$40</f>
        <v/>
      </c>
      <c r="J38" s="54">
        <f>H38+'2026 Aύγουστος'!J38</f>
        <v/>
      </c>
      <c r="K38" s="53">
        <f>J38/$J$7</f>
        <v/>
      </c>
      <c r="L38" s="89">
        <f>'2024_60-69 ΕΞΟΔΑ+ΟΜ 2'!K143</f>
        <v/>
      </c>
      <c r="M38" s="53">
        <f>L38/$L$7</f>
        <v/>
      </c>
      <c r="N38" s="54">
        <f>L38+'2026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'2026_ΕΣΟΔΑ'!K33</f>
        <v/>
      </c>
      <c r="E39" s="81" t="n"/>
      <c r="F39" s="64">
        <f>'2026_ΕΣΟΔΑ'!K35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ΑΝΤΙΣΤΟΙΧΙΣΗ!$F$114</f>
        <v/>
      </c>
      <c r="E42" s="551" t="n"/>
      <c r="F42" s="550" t="n"/>
      <c r="G42" s="107">
        <f>ΑΝΤΙΣΤΟΙΧΙΣΗ!$D$34</f>
        <v/>
      </c>
      <c r="H42" s="549">
        <f>ΑΝΤΙΣΤΟΙΧΙΣΗ!$F$114</f>
        <v/>
      </c>
      <c r="I42" s="551" t="n"/>
      <c r="J42" s="550" t="n"/>
      <c r="K42" s="107">
        <f>ΑΝΤΙΣΤΟΙΧΙΣΗ!$D$34</f>
        <v/>
      </c>
      <c r="L42" s="549">
        <f>ΑΝΤΙΣΤΟΙΧΙΣΗ!$F$128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2'!L4</f>
        <v/>
      </c>
      <c r="E45" s="75">
        <f>D45/$D$44</f>
        <v/>
      </c>
      <c r="F45" s="65">
        <f>D45+'2026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H45+'2026 Aύγουστος'!J45</f>
        <v/>
      </c>
      <c r="K45" s="404">
        <f>J45/$J$44</f>
        <v/>
      </c>
      <c r="L45" s="56">
        <f>'2024_60-69 ΕΞΟΔΑ+ΟΜ 2'!L4</f>
        <v/>
      </c>
      <c r="M45" s="75">
        <f>L45/$L$44</f>
        <v/>
      </c>
      <c r="N45" s="65">
        <f>L45+'2026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2'!L5</f>
        <v/>
      </c>
      <c r="E46" s="75">
        <f>D46/$D$44</f>
        <v/>
      </c>
      <c r="F46" s="65">
        <f>D46+'2026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H46+'2026 Aύγουστος'!J46</f>
        <v/>
      </c>
      <c r="K46" s="404">
        <f>J46/$J$44</f>
        <v/>
      </c>
      <c r="L46" s="56">
        <f>'2024_60-69 ΕΞΟΔΑ+ΟΜ 2'!L5</f>
        <v/>
      </c>
      <c r="M46" s="75">
        <f>L46/$L$44</f>
        <v/>
      </c>
      <c r="N46" s="65">
        <f>L46+'2026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2'!L6</f>
        <v/>
      </c>
      <c r="E47" s="75">
        <f>D47/$D$44</f>
        <v/>
      </c>
      <c r="F47" s="65">
        <f>D47+'2026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H47+'2026 Aύγουστος'!J47</f>
        <v/>
      </c>
      <c r="K47" s="404">
        <f>J47/$J$44</f>
        <v/>
      </c>
      <c r="L47" s="56">
        <f>'2024_60-69 ΕΞΟΔΑ+ΟΜ 2'!L6</f>
        <v/>
      </c>
      <c r="M47" s="75">
        <f>L47/$L$44</f>
        <v/>
      </c>
      <c r="N47" s="65">
        <f>L47+'2026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2'!L7</f>
        <v/>
      </c>
      <c r="E48" s="75">
        <f>D48/$D$85</f>
        <v/>
      </c>
      <c r="F48" s="114">
        <f>D48+'2026 Aύγουστος'!F48</f>
        <v/>
      </c>
      <c r="G48" s="75">
        <f>F48/$F$85</f>
        <v/>
      </c>
      <c r="H48" s="56">
        <f>ΠΡΟΥΠΟΛΟΓΙΣΜΟΣ_ΕΞΟΔΑ!L167</f>
        <v/>
      </c>
      <c r="I48" s="401">
        <f>H48/$H$85</f>
        <v/>
      </c>
      <c r="J48" s="406">
        <f>'2026 Aύγουστος'!J48</f>
        <v/>
      </c>
      <c r="K48" s="403">
        <f>J48/$J$85</f>
        <v/>
      </c>
      <c r="L48" s="114">
        <f>'2024_60-69 ΕΞΟΔΑ+ΟΜ 2'!L35</f>
        <v/>
      </c>
      <c r="M48" s="75">
        <f>L48/$L$85</f>
        <v/>
      </c>
      <c r="N48" s="65">
        <f>L48+'2026 Aύγουστος'!N48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2'!L8</f>
        <v/>
      </c>
      <c r="E49" s="75">
        <f>D49/$D$85</f>
        <v/>
      </c>
      <c r="F49" s="114">
        <f>D49+'2026 Aύγουστος'!F49</f>
        <v/>
      </c>
      <c r="G49" s="75">
        <f>F49/$F$85</f>
        <v/>
      </c>
      <c r="H49" s="56">
        <f>ΠΡΟΥΠΟΛΟΓΙΣΜΟΣ_ΕΞΟΔΑ!L172</f>
        <v/>
      </c>
      <c r="I49" s="401">
        <f>H49/$H$85</f>
        <v/>
      </c>
      <c r="J49" s="406">
        <f>'2026 Aύγουστος'!J49</f>
        <v/>
      </c>
      <c r="K49" s="403">
        <f>J49/$J$85</f>
        <v/>
      </c>
      <c r="L49" s="114">
        <f>'2024_60-69 ΕΞΟΔΑ+ΟΜ 2'!L36</f>
        <v/>
      </c>
      <c r="M49" s="75">
        <f>L49/$L$85</f>
        <v/>
      </c>
      <c r="N49" s="65">
        <f>L49+'2026 Aύγουστος'!N49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2'!L9</f>
        <v/>
      </c>
      <c r="E50" s="75">
        <f>D50/$D$44</f>
        <v/>
      </c>
      <c r="F50" s="65">
        <f>D50+'2026 Aύγουστος'!F50</f>
        <v/>
      </c>
      <c r="G50" s="75">
        <f>F50/$F$44</f>
        <v/>
      </c>
      <c r="H50" s="56">
        <f>ΠΡΟΥΠΟΛΟΓΙΣΜΟΣ_ΕΞΟΔΑ!L23</f>
        <v/>
      </c>
      <c r="I50" s="400">
        <f>H50/$H$44</f>
        <v/>
      </c>
      <c r="J50" s="65">
        <f>H50+'2026 Aύγουστος'!J50</f>
        <v/>
      </c>
      <c r="K50" s="404">
        <f>J50/$J$44</f>
        <v/>
      </c>
      <c r="L50" s="56">
        <f>'2024_60-69 ΕΞΟΔΑ+ΟΜ 2'!L7</f>
        <v/>
      </c>
      <c r="M50" s="75">
        <f>L50/$L$44</f>
        <v/>
      </c>
      <c r="N50" s="65">
        <f>L50+'2026 Aύγουστος'!N50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2'!L10</f>
        <v/>
      </c>
      <c r="E51" s="75">
        <f>D51/$D$44</f>
        <v/>
      </c>
      <c r="F51" s="65">
        <f>D51+'2026 Aύγουστος'!F51</f>
        <v/>
      </c>
      <c r="G51" s="75">
        <f>F51/$F$44</f>
        <v/>
      </c>
      <c r="H51" s="56">
        <f>ΠΡΟΥΠΟΛΟΓΙΣΜΟΣ_ΕΞΟΔΑ!L28</f>
        <v/>
      </c>
      <c r="I51" s="400">
        <f>H51/$H$44</f>
        <v/>
      </c>
      <c r="J51" s="65">
        <f>H51+'2026 Aύγουστος'!J51</f>
        <v/>
      </c>
      <c r="K51" s="404">
        <f>J51/$J$44</f>
        <v/>
      </c>
      <c r="L51" s="56">
        <f>'2024_60-69 ΕΞΟΔΑ+ΟΜ 2'!L8</f>
        <v/>
      </c>
      <c r="M51" s="75">
        <f>L51/$L$44</f>
        <v/>
      </c>
      <c r="N51" s="65">
        <f>L51+'2026 Aύγουστος'!N51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2'!L11</f>
        <v/>
      </c>
      <c r="E52" s="75">
        <f>D52/$D$44</f>
        <v/>
      </c>
      <c r="F52" s="65">
        <f>D52+'2026 Aύγουστος'!F52</f>
        <v/>
      </c>
      <c r="G52" s="75">
        <f>F52/$F$44</f>
        <v/>
      </c>
      <c r="H52" s="56">
        <f>ΠΡΟΥΠΟΛΟΓΙΣΜΟΣ_ΕΞΟΔΑ!L33</f>
        <v/>
      </c>
      <c r="I52" s="400">
        <f>H52/$H$44</f>
        <v/>
      </c>
      <c r="J52" s="65">
        <f>H52+'2026 Aύγουστος'!J52</f>
        <v/>
      </c>
      <c r="K52" s="404">
        <f>J52/$J$44</f>
        <v/>
      </c>
      <c r="L52" s="56">
        <f>'2024_60-69 ΕΞΟΔΑ+ΟΜ 2'!L9</f>
        <v/>
      </c>
      <c r="M52" s="75">
        <f>L52/$L$44</f>
        <v/>
      </c>
      <c r="N52" s="65">
        <f>L52+'2026 Aύγουστος'!N52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2'!L12</f>
        <v/>
      </c>
      <c r="E53" s="75">
        <f>D53/$D$85</f>
        <v/>
      </c>
      <c r="F53" s="114">
        <f>D53+'2026 Aύγουστος'!F53</f>
        <v/>
      </c>
      <c r="G53" s="75">
        <f>F53/$F$85</f>
        <v/>
      </c>
      <c r="H53" s="56">
        <f>ΠΡΟΥΠΟΛΟΓΙΣΜΟΣ_ΕΞΟΔΑ!L187</f>
        <v/>
      </c>
      <c r="I53" s="401">
        <f>H53/$H$85</f>
        <v/>
      </c>
      <c r="J53" s="406">
        <f>'2026 Aύγουστος'!J53</f>
        <v/>
      </c>
      <c r="K53" s="403">
        <f>J53/$J$85</f>
        <v/>
      </c>
      <c r="L53" s="114">
        <f>'2024_60-69 ΕΞΟΔΑ+ΟΜ 2'!L39</f>
        <v/>
      </c>
      <c r="M53" s="75">
        <f>L53/$L$85</f>
        <v/>
      </c>
      <c r="N53" s="65">
        <f>L53+'2026 Aύγουστος'!N53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8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2'!L13</f>
        <v/>
      </c>
      <c r="E54" s="75">
        <f>D54/$D$85</f>
        <v/>
      </c>
      <c r="F54" s="114">
        <f>D54+'2026 Aύγουστος'!F54</f>
        <v/>
      </c>
      <c r="G54" s="75">
        <f>F54/$F$85</f>
        <v/>
      </c>
      <c r="H54" s="56">
        <f>ΠΡΟΥΠΟΛΟΓΙΣΜΟΣ_ΕΞΟΔΑ!L192</f>
        <v/>
      </c>
      <c r="I54" s="401">
        <f>H54/$H$85</f>
        <v/>
      </c>
      <c r="J54" s="406">
        <f>'2026 Aύγουστος'!J54</f>
        <v/>
      </c>
      <c r="K54" s="403">
        <f>J54/$J$85</f>
        <v/>
      </c>
      <c r="L54" s="114">
        <f>'2024_60-69 ΕΞΟΔΑ+ΟΜ 2'!L40</f>
        <v/>
      </c>
      <c r="M54" s="75">
        <f>L54/$L$85</f>
        <v/>
      </c>
      <c r="N54" s="65">
        <f>L54+'2026 Aύγουστος'!N54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2'!L14</f>
        <v/>
      </c>
      <c r="E55" s="75">
        <f>D55/$D$44</f>
        <v/>
      </c>
      <c r="F55" s="65">
        <f>D55+'2026 Aύγουστος'!F55</f>
        <v/>
      </c>
      <c r="G55" s="75">
        <f>F55/$F$44</f>
        <v/>
      </c>
      <c r="H55" s="56">
        <f>ΠΡΟΥΠΟΛΟΓΙΣΜΟΣ_ΕΞΟΔΑ!L38</f>
        <v/>
      </c>
      <c r="I55" s="400">
        <f>H55/$H$44</f>
        <v/>
      </c>
      <c r="J55" s="65">
        <f>H55+'2026 Aύγουστος'!J55</f>
        <v/>
      </c>
      <c r="K55" s="404">
        <f>J55/$J$44</f>
        <v/>
      </c>
      <c r="L55" s="56">
        <f>'2024_60-69 ΕΞΟΔΑ+ΟΜ 2'!L10</f>
        <v/>
      </c>
      <c r="M55" s="75">
        <f>L55/$L$44</f>
        <v/>
      </c>
      <c r="N55" s="65">
        <f>L55+'2026 Aύγουστος'!N55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2'!L15</f>
        <v/>
      </c>
      <c r="E56" s="75">
        <f>D56/$D$44</f>
        <v/>
      </c>
      <c r="F56" s="65">
        <f>D56+'2026 Aύγουστος'!F56</f>
        <v/>
      </c>
      <c r="G56" s="75">
        <f>F56/$F$44</f>
        <v/>
      </c>
      <c r="H56" s="56">
        <f>ΠΡΟΥΠΟΛΟΓΙΣΜΟΣ_ΕΞΟΔΑ!L43</f>
        <v/>
      </c>
      <c r="I56" s="400">
        <f>H56/$H$44</f>
        <v/>
      </c>
      <c r="J56" s="65">
        <f>H56+'2026 Aύγουστος'!J56</f>
        <v/>
      </c>
      <c r="K56" s="404">
        <f>J56/$J$44</f>
        <v/>
      </c>
      <c r="L56" s="56">
        <f>'2024_60-69 ΕΞΟΔΑ+ΟΜ 2'!L11</f>
        <v/>
      </c>
      <c r="M56" s="75">
        <f>L56/$L$44</f>
        <v/>
      </c>
      <c r="N56" s="65">
        <f>L56+'2026 Aύγουστος'!N56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2'!L16</f>
        <v/>
      </c>
      <c r="E57" s="75">
        <f>D57/$D$44</f>
        <v/>
      </c>
      <c r="F57" s="65">
        <f>D57+'2026 Aύγουστος'!F57</f>
        <v/>
      </c>
      <c r="G57" s="75">
        <f>F57/$F$44</f>
        <v/>
      </c>
      <c r="H57" s="56">
        <f>ΠΡΟΥΠΟΛΟΓΙΣΜΟΣ_ΕΞΟΔΑ!L48</f>
        <v/>
      </c>
      <c r="I57" s="400">
        <f>H57/$H$44</f>
        <v/>
      </c>
      <c r="J57" s="65">
        <f>H57+'2026 Aύγουστος'!J57</f>
        <v/>
      </c>
      <c r="K57" s="404">
        <f>J57/$J$44</f>
        <v/>
      </c>
      <c r="L57" s="56">
        <f>'2024_60-69 ΕΞΟΔΑ+ΟΜ 2'!L12</f>
        <v/>
      </c>
      <c r="M57" s="75">
        <f>L57/$L$44</f>
        <v/>
      </c>
      <c r="N57" s="65">
        <f>L57+'2026 Aύγουστος'!N57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2'!L17</f>
        <v/>
      </c>
      <c r="E58" s="75">
        <f>D58/$D$44</f>
        <v/>
      </c>
      <c r="F58" s="65">
        <f>D58+'2026 Aύγουστος'!F58</f>
        <v/>
      </c>
      <c r="G58" s="75">
        <f>F58/$F$44</f>
        <v/>
      </c>
      <c r="H58" s="56">
        <f>ΠΡΟΥΠΟΛΟΓΙΣΜΟΣ_ΕΞΟΔΑ!L53</f>
        <v/>
      </c>
      <c r="I58" s="400">
        <f>H58/$H$44</f>
        <v/>
      </c>
      <c r="J58" s="65">
        <f>H58+'2026 Aύγουστος'!J58</f>
        <v/>
      </c>
      <c r="K58" s="404">
        <f>J58/$J$44</f>
        <v/>
      </c>
      <c r="L58" s="56">
        <f>'2024_60-69 ΕΞΟΔΑ+ΟΜ 2'!L13</f>
        <v/>
      </c>
      <c r="M58" s="75">
        <f>L58/$L$44</f>
        <v/>
      </c>
      <c r="N58" s="65">
        <f>L58+'2026 Aύγουστος'!N58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2'!L18</f>
        <v/>
      </c>
      <c r="E59" s="75">
        <f>D59/$D$44</f>
        <v/>
      </c>
      <c r="F59" s="65">
        <f>D59+'2026 Aύγουστος'!F59</f>
        <v/>
      </c>
      <c r="G59" s="75">
        <f>F59/$F$44</f>
        <v/>
      </c>
      <c r="H59" s="56">
        <f>ΠΡΟΥΠΟΛΟΓΙΣΜΟΣ_ΕΞΟΔΑ!L58</f>
        <v/>
      </c>
      <c r="I59" s="400">
        <f>H59/$H$44</f>
        <v/>
      </c>
      <c r="J59" s="65">
        <f>H59+'2026 Aύγουστος'!J59</f>
        <v/>
      </c>
      <c r="K59" s="404">
        <f>J59/$J$44</f>
        <v/>
      </c>
      <c r="L59" s="56">
        <f>'2024_60-69 ΕΞΟΔΑ+ΟΜ 2'!L14</f>
        <v/>
      </c>
      <c r="M59" s="75">
        <f>L59/$L$44</f>
        <v/>
      </c>
      <c r="N59" s="65">
        <f>L59+'2026 Aύγουστος'!N59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2'!L19</f>
        <v/>
      </c>
      <c r="E60" s="75">
        <f>D60/$D$44</f>
        <v/>
      </c>
      <c r="F60" s="65">
        <f>D60+'2026 Aύγουστος'!F60</f>
        <v/>
      </c>
      <c r="G60" s="75">
        <f>F60/$F$44</f>
        <v/>
      </c>
      <c r="H60" s="56">
        <f>ΠΡΟΥΠΟΛΟΓΙΣΜΟΣ_ΕΞΟΔΑ!L63</f>
        <v/>
      </c>
      <c r="I60" s="400">
        <f>H60/$H$44</f>
        <v/>
      </c>
      <c r="J60" s="65">
        <f>H60+'2026 Aύγουστος'!J60</f>
        <v/>
      </c>
      <c r="K60" s="404">
        <f>J60/$J$44</f>
        <v/>
      </c>
      <c r="L60" s="56">
        <f>'2024_60-69 ΕΞΟΔΑ+ΟΜ 2'!L15</f>
        <v/>
      </c>
      <c r="M60" s="75">
        <f>L60/$L$44</f>
        <v/>
      </c>
      <c r="N60" s="65">
        <f>L60+'2026 Aύγουστος'!N60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2'!L20</f>
        <v/>
      </c>
      <c r="E61" s="75">
        <f>D61/$D$44</f>
        <v/>
      </c>
      <c r="F61" s="65">
        <f>D61+'2026 Aύγουστος'!F61</f>
        <v/>
      </c>
      <c r="G61" s="75">
        <f>F61/$F$44</f>
        <v/>
      </c>
      <c r="H61" s="56">
        <f>ΠΡΟΥΠΟΛΟΓΙΣΜΟΣ_ΕΞΟΔΑ!L68</f>
        <v/>
      </c>
      <c r="I61" s="400">
        <f>H61/$H$44</f>
        <v/>
      </c>
      <c r="J61" s="65">
        <f>H61+'2026 Aύγουστος'!J61</f>
        <v/>
      </c>
      <c r="K61" s="404">
        <f>J61/$J$44</f>
        <v/>
      </c>
      <c r="L61" s="56">
        <f>'2024_60-69 ΕΞΟΔΑ+ΟΜ 2'!L16</f>
        <v/>
      </c>
      <c r="M61" s="75">
        <f>L61/$L$44</f>
        <v/>
      </c>
      <c r="N61" s="65">
        <f>L61+'2026 Aύγουστος'!N61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2'!L21</f>
        <v/>
      </c>
      <c r="E62" s="75">
        <f>D62/$D$44</f>
        <v/>
      </c>
      <c r="F62" s="65">
        <f>D62+'2026 Aύγουστος'!F62</f>
        <v/>
      </c>
      <c r="G62" s="75">
        <f>F62/$F$44</f>
        <v/>
      </c>
      <c r="H62" s="56">
        <f>ΠΡΟΥΠΟΛΟΓΙΣΜΟΣ_ΕΞΟΔΑ!L73</f>
        <v/>
      </c>
      <c r="I62" s="400">
        <f>H62/$H$44</f>
        <v/>
      </c>
      <c r="J62" s="65">
        <f>H62+'2026 Aύγουστος'!J62</f>
        <v/>
      </c>
      <c r="K62" s="404">
        <f>J62/$J$44</f>
        <v/>
      </c>
      <c r="L62" s="56">
        <f>'2024_60-69 ΕΞΟΔΑ+ΟΜ 2'!L17</f>
        <v/>
      </c>
      <c r="M62" s="75">
        <f>L62/$L$44</f>
        <v/>
      </c>
      <c r="N62" s="65">
        <f>L62+'2026 Aύγουστος'!N62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2'!L22</f>
        <v/>
      </c>
      <c r="E63" s="75">
        <f>D63/$D$44</f>
        <v/>
      </c>
      <c r="F63" s="65">
        <f>D63+'2026 Aύγουστος'!F63</f>
        <v/>
      </c>
      <c r="G63" s="75">
        <f>F63/$F$44</f>
        <v/>
      </c>
      <c r="H63" s="56">
        <f>ΠΡΟΥΠΟΛΟΓΙΣΜΟΣ_ΕΞΟΔΑ!L78</f>
        <v/>
      </c>
      <c r="I63" s="400">
        <f>H63/$H$44</f>
        <v/>
      </c>
      <c r="J63" s="65">
        <f>H63+'2026 Aύγουστος'!J63</f>
        <v/>
      </c>
      <c r="K63" s="404">
        <f>J63/$J$44</f>
        <v/>
      </c>
      <c r="L63" s="56">
        <f>'2024_60-69 ΕΞΟΔΑ+ΟΜ 2'!L18</f>
        <v/>
      </c>
      <c r="M63" s="75">
        <f>L63/$L$44</f>
        <v/>
      </c>
      <c r="N63" s="65">
        <f>L63+'2026 Aύγουστος'!N63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2'!L23</f>
        <v/>
      </c>
      <c r="E64" s="75">
        <f>D64/$D$44</f>
        <v/>
      </c>
      <c r="F64" s="65">
        <f>D64+'2026 Aύγουστος'!F64</f>
        <v/>
      </c>
      <c r="G64" s="75">
        <f>F64/$F$44</f>
        <v/>
      </c>
      <c r="H64" s="56">
        <f>ΠΡΟΥΠΟΛΟΓΙΣΜΟΣ_ΕΞΟΔΑ!L83</f>
        <v/>
      </c>
      <c r="I64" s="400">
        <f>H64/$H$44</f>
        <v/>
      </c>
      <c r="J64" s="65">
        <f>H64+'2026 Aύγουστος'!J64</f>
        <v/>
      </c>
      <c r="K64" s="404">
        <f>J64/$J$44</f>
        <v/>
      </c>
      <c r="L64" s="56">
        <f>'2024_60-69 ΕΞΟΔΑ+ΟΜ 2'!L19</f>
        <v/>
      </c>
      <c r="M64" s="75">
        <f>L64/$L$44</f>
        <v/>
      </c>
      <c r="N64" s="65">
        <f>L64+'2026 Aύγουστος'!N64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2'!L24</f>
        <v/>
      </c>
      <c r="E65" s="75">
        <f>D65/$D$44</f>
        <v/>
      </c>
      <c r="F65" s="65">
        <f>D65+'2026 Aύγουστος'!F65</f>
        <v/>
      </c>
      <c r="G65" s="75">
        <f>F65/$F$44</f>
        <v/>
      </c>
      <c r="H65" s="56">
        <f>ΠΡΟΥΠΟΛΟΓΙΣΜΟΣ_ΕΞΟΔΑ!L88</f>
        <v/>
      </c>
      <c r="I65" s="400">
        <f>H65/$H$44</f>
        <v/>
      </c>
      <c r="J65" s="65">
        <f>H65+'2026 Aύγουστος'!J65</f>
        <v/>
      </c>
      <c r="K65" s="404">
        <f>J65/$J$44</f>
        <v/>
      </c>
      <c r="L65" s="56">
        <f>'2024_60-69 ΕΞΟΔΑ+ΟΜ 2'!L20</f>
        <v/>
      </c>
      <c r="M65" s="75">
        <f>L65/$L$44</f>
        <v/>
      </c>
      <c r="N65" s="65">
        <f>L65+'2026 Aύγουστος'!N65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2'!L25</f>
        <v/>
      </c>
      <c r="E66" s="75">
        <f>D66/$D$44</f>
        <v/>
      </c>
      <c r="F66" s="65">
        <f>D66+'2026 Aύγουστος'!F66</f>
        <v/>
      </c>
      <c r="G66" s="75">
        <f>F66/$F$44</f>
        <v/>
      </c>
      <c r="H66" s="56">
        <f>ΠΡΟΥΠΟΛΟΓΙΣΜΟΣ_ΕΞΟΔΑ!L93</f>
        <v/>
      </c>
      <c r="I66" s="400">
        <f>H66/$H$44</f>
        <v/>
      </c>
      <c r="J66" s="65">
        <f>H66+'2026 Aύγουστος'!J66</f>
        <v/>
      </c>
      <c r="K66" s="404">
        <f>J66/$J$44</f>
        <v/>
      </c>
      <c r="L66" s="56">
        <f>'2024_60-69 ΕΞΟΔΑ+ΟΜ 2'!L21</f>
        <v/>
      </c>
      <c r="M66" s="75">
        <f>L66/$L$44</f>
        <v/>
      </c>
      <c r="N66" s="65">
        <f>L66+'2026 Aύγουστος'!N66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2'!L26</f>
        <v/>
      </c>
      <c r="E67" s="75">
        <f>D67/$D$44</f>
        <v/>
      </c>
      <c r="F67" s="65">
        <f>D67+'2026 Aύγουστος'!F67</f>
        <v/>
      </c>
      <c r="G67" s="75">
        <f>F67/$F$44</f>
        <v/>
      </c>
      <c r="H67" s="56">
        <f>ΠΡΟΥΠΟΛΟΓΙΣΜΟΣ_ΕΞΟΔΑ!L98</f>
        <v/>
      </c>
      <c r="I67" s="400">
        <f>H67/$H$44</f>
        <v/>
      </c>
      <c r="J67" s="65">
        <f>H67+'2026 Aύγουστος'!J67</f>
        <v/>
      </c>
      <c r="K67" s="404">
        <f>J67/$J$44</f>
        <v/>
      </c>
      <c r="L67" s="56">
        <f>'2024_60-69 ΕΞΟΔΑ+ΟΜ 2'!L22</f>
        <v/>
      </c>
      <c r="M67" s="75">
        <f>L67/$L$44</f>
        <v/>
      </c>
      <c r="N67" s="65">
        <f>L67+'2026 Aύγουστος'!N67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2'!L27</f>
        <v/>
      </c>
      <c r="E68" s="75">
        <f>D68/$D$44</f>
        <v/>
      </c>
      <c r="F68" s="65">
        <f>D68+'2026 Aύγουστος'!F68</f>
        <v/>
      </c>
      <c r="G68" s="75">
        <f>F68/$F$44</f>
        <v/>
      </c>
      <c r="H68" s="56">
        <f>ΠΡΟΥΠΟΛΟΓΙΣΜΟΣ_ΕΞΟΔΑ!L103</f>
        <v/>
      </c>
      <c r="I68" s="400">
        <f>H68/$H$44</f>
        <v/>
      </c>
      <c r="J68" s="65">
        <f>H68+'2026 Aύγουστος'!J68</f>
        <v/>
      </c>
      <c r="K68" s="404">
        <f>J68/$J$44</f>
        <v/>
      </c>
      <c r="L68" s="56">
        <f>'2024_60-69 ΕΞΟΔΑ+ΟΜ 2'!L23</f>
        <v/>
      </c>
      <c r="M68" s="75">
        <f>L68/$L$44</f>
        <v/>
      </c>
      <c r="N68" s="65">
        <f>L68+'2026 Aύγουστος'!N68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2'!L28</f>
        <v/>
      </c>
      <c r="E69" s="75">
        <f>D69/$D$44</f>
        <v/>
      </c>
      <c r="F69" s="65">
        <f>D69+'2026 Aύγουστος'!F69</f>
        <v/>
      </c>
      <c r="G69" s="75">
        <f>F69/$F$44</f>
        <v/>
      </c>
      <c r="H69" s="56">
        <f>ΠΡΟΥΠΟΛΟΓΙΣΜΟΣ_ΕΞΟΔΑ!L108</f>
        <v/>
      </c>
      <c r="I69" s="400">
        <f>H69/$H$44</f>
        <v/>
      </c>
      <c r="J69" s="65">
        <f>H69+'2026 Aύγουστος'!J69</f>
        <v/>
      </c>
      <c r="K69" s="404">
        <f>J69/$J$44</f>
        <v/>
      </c>
      <c r="L69" s="56">
        <f>'2024_60-69 ΕΞΟΔΑ+ΟΜ 2'!L24</f>
        <v/>
      </c>
      <c r="M69" s="75">
        <f>L69/$L$44</f>
        <v/>
      </c>
      <c r="N69" s="65">
        <f>L69+'2026 Aύγουστος'!N69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2'!L29</f>
        <v/>
      </c>
      <c r="E70" s="75">
        <f>D70/$D$44</f>
        <v/>
      </c>
      <c r="F70" s="65">
        <f>D70+'2026 Aύγουστος'!F70</f>
        <v/>
      </c>
      <c r="G70" s="75">
        <f>F70/$F$44</f>
        <v/>
      </c>
      <c r="H70" s="56">
        <f>ΠΡΟΥΠΟΛΟΓΙΣΜΟΣ_ΕΞΟΔΑ!L113</f>
        <v/>
      </c>
      <c r="I70" s="400">
        <f>H70/$H$44</f>
        <v/>
      </c>
      <c r="J70" s="65">
        <f>H70+'2026 Aύγουστος'!J70</f>
        <v/>
      </c>
      <c r="K70" s="404">
        <f>J70/$J$44</f>
        <v/>
      </c>
      <c r="L70" s="56">
        <f>'2024_60-69 ΕΞΟΔΑ+ΟΜ 2'!L25</f>
        <v/>
      </c>
      <c r="M70" s="75">
        <f>L70/$L$44</f>
        <v/>
      </c>
      <c r="N70" s="65">
        <f>L70+'2026 Aύγουστος'!N70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2'!L30</f>
        <v/>
      </c>
      <c r="E71" s="75">
        <f>D71/$D$44</f>
        <v/>
      </c>
      <c r="F71" s="65">
        <f>D71+'2026 Aύγουστος'!F71</f>
        <v/>
      </c>
      <c r="G71" s="75">
        <f>F71/$F$44</f>
        <v/>
      </c>
      <c r="H71" s="56">
        <f>ΠΡΟΥΠΟΛΟΓΙΣΜΟΣ_ΕΞΟΔΑ!L118</f>
        <v/>
      </c>
      <c r="I71" s="400">
        <f>H71/$H$44</f>
        <v/>
      </c>
      <c r="J71" s="65">
        <f>H71+'2026 Aύγουστος'!J71</f>
        <v/>
      </c>
      <c r="K71" s="404">
        <f>J71/$J$44</f>
        <v/>
      </c>
      <c r="L71" s="56">
        <f>'2024_60-69 ΕΞΟΔΑ+ΟΜ 2'!L26</f>
        <v/>
      </c>
      <c r="M71" s="75">
        <f>L71/$L$44</f>
        <v/>
      </c>
      <c r="N71" s="65">
        <f>L71+'2026 Aύγουστος'!N71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2'!L31</f>
        <v/>
      </c>
      <c r="E72" s="75">
        <f>D72/$D$44</f>
        <v/>
      </c>
      <c r="F72" s="65">
        <f>D72+'2026 Aύγουστος'!F72</f>
        <v/>
      </c>
      <c r="G72" s="75">
        <f>F72/$F$44</f>
        <v/>
      </c>
      <c r="H72" s="56">
        <f>ΠΡΟΥΠΟΛΟΓΙΣΜΟΣ_ΕΞΟΔΑ!L123</f>
        <v/>
      </c>
      <c r="I72" s="400">
        <f>H72/$H$44</f>
        <v/>
      </c>
      <c r="J72" s="65">
        <f>H72+'2026 Aύγουστος'!J72</f>
        <v/>
      </c>
      <c r="K72" s="404">
        <f>J72/$J$44</f>
        <v/>
      </c>
      <c r="L72" s="56">
        <f>'2024_60-69 ΕΞΟΔΑ+ΟΜ 2'!L27</f>
        <v/>
      </c>
      <c r="M72" s="75">
        <f>L72/$L$44</f>
        <v/>
      </c>
      <c r="N72" s="65">
        <f>L72+'2026 Aύγουστος'!N72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2'!L32</f>
        <v/>
      </c>
      <c r="E73" s="75">
        <f>D73/$D$44</f>
        <v/>
      </c>
      <c r="F73" s="65">
        <f>D73+'2026 Aύγουστος'!F73</f>
        <v/>
      </c>
      <c r="G73" s="75">
        <f>F73/$F$44</f>
        <v/>
      </c>
      <c r="H73" s="56">
        <f>ΠΡΟΥΠΟΛΟΓΙΣΜΟΣ_ΕΞΟΔΑ!L128</f>
        <v/>
      </c>
      <c r="I73" s="400">
        <f>H73/$H$44</f>
        <v/>
      </c>
      <c r="J73" s="65">
        <f>H73+'2026 Aύγουστος'!J73</f>
        <v/>
      </c>
      <c r="K73" s="404">
        <f>J73/$J$44</f>
        <v/>
      </c>
      <c r="L73" s="56">
        <f>'2024_60-69 ΕΞΟΔΑ+ΟΜ 2'!L28</f>
        <v/>
      </c>
      <c r="M73" s="75">
        <f>L73/$L$44</f>
        <v/>
      </c>
      <c r="N73" s="65">
        <f>L73+'2026 Aύγουστος'!N73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2'!L33</f>
        <v/>
      </c>
      <c r="E74" s="75">
        <f>D74/$D$44</f>
        <v/>
      </c>
      <c r="F74" s="65">
        <f>D74+'2026 Aύγουστος'!F74</f>
        <v/>
      </c>
      <c r="G74" s="75">
        <f>F74/$F$44</f>
        <v/>
      </c>
      <c r="H74" s="56">
        <f>ΠΡΟΥΠΟΛΟΓΙΣΜΟΣ_ΕΞΟΔΑ!L133</f>
        <v/>
      </c>
      <c r="I74" s="400">
        <f>H74/$H$44</f>
        <v/>
      </c>
      <c r="J74" s="65">
        <f>H74+'2026 Aύγουστος'!J74</f>
        <v/>
      </c>
      <c r="K74" s="404">
        <f>J74/$J$44</f>
        <v/>
      </c>
      <c r="L74" s="56">
        <f>'2024_60-69 ΕΞΟΔΑ+ΟΜ 2'!L29</f>
        <v/>
      </c>
      <c r="M74" s="75">
        <f>L74/$L$44</f>
        <v/>
      </c>
      <c r="N74" s="65">
        <f>L74+'2026 Aύγουστος'!N74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Aύγουστος'!F75</f>
        <v/>
      </c>
      <c r="G75" s="75">
        <f>F75/$F$44</f>
        <v/>
      </c>
      <c r="H75" s="56">
        <f>ΠΡΟΥΠΟΛΟΓΙΣΜΟΣ_ΕΞΟΔΑ!L138</f>
        <v/>
      </c>
      <c r="I75" s="400">
        <f>H75/$H$44</f>
        <v/>
      </c>
      <c r="J75" s="65">
        <f>H75+'2026 Aύγουστος'!J75</f>
        <v/>
      </c>
      <c r="K75" s="404">
        <f>J75/$J$44</f>
        <v/>
      </c>
      <c r="L75" s="56">
        <f>'2024_60-69 ΕΞΟΔΑ+ΟΜ 2'!L30</f>
        <v/>
      </c>
      <c r="M75" s="75">
        <f>L75/$L$44</f>
        <v/>
      </c>
      <c r="N75" s="65">
        <f>L75+'2026 Aύγουστος'!N75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3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2'!L35</f>
        <v/>
      </c>
      <c r="E76" s="75">
        <f>D76/$D$44</f>
        <v/>
      </c>
      <c r="F76" s="65">
        <f>D76+'2026 Aύγουστος'!F76</f>
        <v/>
      </c>
      <c r="G76" s="75">
        <f>F76/$F$44</f>
        <v/>
      </c>
      <c r="H76" s="56">
        <f>ΠΡΟΥΠΟΛΟΓΙΣΜΟΣ_ΕΞΟΔΑ!L143</f>
        <v/>
      </c>
      <c r="I76" s="400">
        <f>H76/$H$44</f>
        <v/>
      </c>
      <c r="J76" s="65">
        <f>H76+'2026 Aύγουστος'!J76</f>
        <v/>
      </c>
      <c r="K76" s="404">
        <f>J76/$J$44</f>
        <v/>
      </c>
      <c r="L76" s="56">
        <f>'2024_60-69 ΕΞΟΔΑ+ΟΜ 2'!L31</f>
        <v/>
      </c>
      <c r="M76" s="75">
        <f>L76/$L$44</f>
        <v/>
      </c>
      <c r="N76" s="65">
        <f>L76+'2026 Aύγουστος'!N76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3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2'!L36</f>
        <v/>
      </c>
      <c r="E77" s="75">
        <f>D77/$D$44</f>
        <v/>
      </c>
      <c r="F77" s="65">
        <f>D77+'2026 Aύγουστος'!F77</f>
        <v/>
      </c>
      <c r="G77" s="75">
        <f>F77/$F$44</f>
        <v/>
      </c>
      <c r="H77" s="56">
        <f>ΠΡΟΥΠΟΛΟΓΙΣΜΟΣ_ΕΞΟΔΑ!L148</f>
        <v/>
      </c>
      <c r="I77" s="400">
        <f>H77/$H$44</f>
        <v/>
      </c>
      <c r="J77" s="65">
        <f>H77+'2026 Aύγουστος'!J77</f>
        <v/>
      </c>
      <c r="K77" s="404">
        <f>J77/$J$44</f>
        <v/>
      </c>
      <c r="L77" s="56">
        <f>'2024_60-69 ΕΞΟΔΑ+ΟΜ 2'!L32</f>
        <v/>
      </c>
      <c r="M77" s="75">
        <f>L77/$L$44</f>
        <v/>
      </c>
      <c r="N77" s="65">
        <f>L77+'2026 Aύγουστος'!N77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3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2'!L37</f>
        <v/>
      </c>
      <c r="E78" s="75">
        <f>D78/$D$44</f>
        <v/>
      </c>
      <c r="F78" s="65">
        <f>D78+'2026 Aύγουστος'!F78</f>
        <v/>
      </c>
      <c r="G78" s="75">
        <f>F78/$F$44</f>
        <v/>
      </c>
      <c r="H78" s="56">
        <f>ΠΡΟΥΠΟΛΟΓΙΣΜΟΣ_ΕΞΟΔΑ!L153</f>
        <v/>
      </c>
      <c r="I78" s="400">
        <f>H78/$H$44</f>
        <v/>
      </c>
      <c r="J78" s="65">
        <f>H78+'2026 Aύγουστος'!J78</f>
        <v/>
      </c>
      <c r="K78" s="404">
        <f>J78/$J$44</f>
        <v/>
      </c>
      <c r="L78" s="56">
        <f>'2024_60-69 ΕΞΟΔΑ+ΟΜ 2'!L33</f>
        <v/>
      </c>
      <c r="M78" s="75">
        <f>L78/$L$44</f>
        <v/>
      </c>
      <c r="N78" s="65">
        <f>L78+'2026 Aύγουστος'!N78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3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2'!L3</f>
        <v/>
      </c>
      <c r="E79" s="297" t="n"/>
      <c r="F79" s="64">
        <f>'2026_60-69 ΕΞΟΔΑ+ΟΜ 2'!Y3</f>
        <v/>
      </c>
      <c r="G79" s="297" t="n"/>
      <c r="H79" s="64">
        <f>SUM(H45:H76)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3.7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ΑΝΤΙΣΤΟΙΧΙΣΗ!$F$114</f>
        <v/>
      </c>
      <c r="E83" s="551" t="n"/>
      <c r="F83" s="550" t="n"/>
      <c r="G83" s="107">
        <f>ΑΝΤΙΣΤΟΙΧΙΣΗ!$D$34</f>
        <v/>
      </c>
      <c r="H83" s="549">
        <f>ΑΝΤΙΣΤΟΙΧΙΣΗ!$F$114</f>
        <v/>
      </c>
      <c r="I83" s="551" t="n"/>
      <c r="J83" s="550" t="n"/>
      <c r="K83" s="107">
        <f>ΑΝΤΙΣΤΟΙΧΙΣΗ!$D$34</f>
        <v/>
      </c>
      <c r="L83" s="549">
        <f>ΑΝΤΙΣΤΟΙΧΙΣΗ!$F$128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3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2'!L41</f>
        <v/>
      </c>
      <c r="E86" s="75">
        <f>D86/$D$85</f>
        <v/>
      </c>
      <c r="F86" s="114">
        <f>D86+'2026 Aύγουστος'!F86</f>
        <v/>
      </c>
      <c r="G86" s="75">
        <f>F86/$F$85</f>
        <v/>
      </c>
      <c r="H86" s="56">
        <f>ΠΡΟΥΠΟΛΟΓΙΣΜΟΣ_ΕΞΟΔΑ!L177</f>
        <v/>
      </c>
      <c r="I86" s="401">
        <f>H86/$H$85</f>
        <v/>
      </c>
      <c r="J86" s="406">
        <f>'2026 Aύγουστος'!J86</f>
        <v/>
      </c>
      <c r="K86" s="403">
        <f>J86/$J$85</f>
        <v/>
      </c>
      <c r="L86" s="114">
        <f>'2024_60-69 ΕΞΟΔΑ+ΟΜ 2'!L37</f>
        <v/>
      </c>
      <c r="M86" s="75">
        <f>L86/$L$85</f>
        <v/>
      </c>
      <c r="N86" s="65">
        <f>L86+'2026 Aύγουστος'!N86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2'!L42</f>
        <v/>
      </c>
      <c r="E87" s="75">
        <f>D87/$D$85</f>
        <v/>
      </c>
      <c r="F87" s="114">
        <f>D87+'2026 Aύγουστος'!F87</f>
        <v/>
      </c>
      <c r="G87" s="75">
        <f>F87/$F$85</f>
        <v/>
      </c>
      <c r="H87" s="56">
        <f>ΠΡΟΥΠΟΛΟΓΙΣΜΟΣ_ΕΞΟΔΑ!L182</f>
        <v/>
      </c>
      <c r="I87" s="401">
        <f>H87/$H$85</f>
        <v/>
      </c>
      <c r="J87" s="406">
        <f>'2026 Aύγουστος'!J87</f>
        <v/>
      </c>
      <c r="K87" s="403">
        <f>J87/$J$85</f>
        <v/>
      </c>
      <c r="L87" s="114">
        <f>'2024_60-69 ΕΞΟΔΑ+ΟΜ 2'!L38</f>
        <v/>
      </c>
      <c r="M87" s="75">
        <f>L87/$L$85</f>
        <v/>
      </c>
      <c r="N87" s="65">
        <f>L87+'2026 Aύγουστος'!N87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7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2'!L43</f>
        <v/>
      </c>
      <c r="E88" s="75">
        <f>D88/$D$85</f>
        <v/>
      </c>
      <c r="F88" s="114">
        <f>D88+'2026 Aύγουστος'!F88</f>
        <v/>
      </c>
      <c r="G88" s="75">
        <f>F88/$F$85</f>
        <v/>
      </c>
      <c r="H88" s="56">
        <f>ΠΡΟΥΠΟΛΟΓΙΣΜΟΣ_ΕΞΟΔΑ!L197</f>
        <v/>
      </c>
      <c r="I88" s="401">
        <f>H88/$H$85</f>
        <v/>
      </c>
      <c r="J88" s="406">
        <f>'2026 Aύγουστος'!J88</f>
        <v/>
      </c>
      <c r="K88" s="403">
        <f>J88/$J$85</f>
        <v/>
      </c>
      <c r="L88" s="114">
        <f>'2024_60-69 ΕΞΟΔΑ+ΟΜ 2'!L41</f>
        <v/>
      </c>
      <c r="M88" s="75">
        <f>L88/$L$85</f>
        <v/>
      </c>
      <c r="N88" s="65">
        <f>L88+'2026 Aύγουστος'!N88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.7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2'!L44</f>
        <v/>
      </c>
      <c r="E89" s="75">
        <f>D89/$D$85</f>
        <v/>
      </c>
      <c r="F89" s="114">
        <f>D89+'2026 Aύγουστος'!F89</f>
        <v/>
      </c>
      <c r="G89" s="75">
        <f>F89/$F$85</f>
        <v/>
      </c>
      <c r="H89" s="56">
        <f>ΠΡΟΥΠΟΛΟΓΙΣΜΟΣ_ΕΞΟΔΑ!L202</f>
        <v/>
      </c>
      <c r="I89" s="401">
        <f>H89/$H$85</f>
        <v/>
      </c>
      <c r="J89" s="406">
        <f>'2026 Aύγουστος'!J89</f>
        <v/>
      </c>
      <c r="K89" s="403">
        <f>J89/$J$85</f>
        <v/>
      </c>
      <c r="L89" s="114">
        <f>'2024_60-69 ΕΞΟΔΑ+ΟΜ 2'!L42</f>
        <v/>
      </c>
      <c r="M89" s="75">
        <f>L89/$L$85</f>
        <v/>
      </c>
      <c r="N89" s="65">
        <f>L89+'2026 Aύγουστος'!N89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6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2'!L45</f>
        <v/>
      </c>
      <c r="E90" s="75">
        <f>D90/$D$85</f>
        <v/>
      </c>
      <c r="F90" s="114">
        <f>D90+'2026 Aύγουστος'!F90</f>
        <v/>
      </c>
      <c r="G90" s="75">
        <f>F90/$F$85</f>
        <v/>
      </c>
      <c r="H90" s="399">
        <f>ΠΡΟΥΠΟΛΟΓΙΣΜΟΣ_ΕΞΟΔΑ!L207</f>
        <v/>
      </c>
      <c r="I90" s="401">
        <f>H90/$H$85</f>
        <v/>
      </c>
      <c r="J90" s="406">
        <f>'2026 Aύγουστος'!J90</f>
        <v/>
      </c>
      <c r="K90" s="403">
        <f>J90/$J$85</f>
        <v/>
      </c>
      <c r="L90" s="114">
        <f>'2024_60-69 ΕΞΟΔΑ+ΟΜ 2'!L43</f>
        <v/>
      </c>
      <c r="M90" s="75">
        <f>L90/$L$85</f>
        <v/>
      </c>
      <c r="N90" s="65">
        <f>L90+'2026 Aύγουστος'!N90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2'!L46</f>
        <v/>
      </c>
      <c r="E91" s="75">
        <f>D91/$D$85</f>
        <v/>
      </c>
      <c r="F91" s="114">
        <f>D91+'2026 Aύγουστος'!F91</f>
        <v/>
      </c>
      <c r="G91" s="75">
        <f>F91/$F$85</f>
        <v/>
      </c>
      <c r="H91" s="399">
        <f>ΠΡΟΥΠΟΛΟΓΙΣΜΟΣ_ΕΞΟΔΑ!L212</f>
        <v/>
      </c>
      <c r="I91" s="401">
        <f>H91/$H$85</f>
        <v/>
      </c>
      <c r="J91" s="406">
        <f>'2026 Aύγουστος'!J91</f>
        <v/>
      </c>
      <c r="K91" s="403">
        <f>J91/$J$85</f>
        <v/>
      </c>
      <c r="L91" s="114">
        <f>'2024_60-69 ΕΞΟΔΑ+ΟΜ 2'!L44</f>
        <v/>
      </c>
      <c r="M91" s="75">
        <f>L91/$L$85</f>
        <v/>
      </c>
      <c r="N91" s="65">
        <f>L91+'2026 Aύγουστος'!N91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2'!L47</f>
        <v/>
      </c>
      <c r="E92" s="75">
        <f>D92/$D$85</f>
        <v/>
      </c>
      <c r="F92" s="114">
        <f>D92+'2026 Aύγουστος'!F92</f>
        <v/>
      </c>
      <c r="G92" s="75">
        <f>F92/$F$85</f>
        <v/>
      </c>
      <c r="H92" s="399">
        <f>ΠΡΟΥΠΟΛΟΓΙΣΜΟΣ_ΕΞΟΔΑ!L217</f>
        <v/>
      </c>
      <c r="I92" s="401">
        <f>H92/$H$85</f>
        <v/>
      </c>
      <c r="J92" s="406">
        <f>'2026 Aύγουστος'!J92</f>
        <v/>
      </c>
      <c r="K92" s="403">
        <f>J92/$J$85</f>
        <v/>
      </c>
      <c r="L92" s="114">
        <f>'2024_60-69 ΕΞΟΔΑ+ΟΜ 2'!L45</f>
        <v/>
      </c>
      <c r="M92" s="75">
        <f>L92/$L$85</f>
        <v/>
      </c>
      <c r="N92" s="65">
        <f>L92+'2026 Aύγουστος'!N92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2'!L48</f>
        <v/>
      </c>
      <c r="E93" s="75">
        <f>D93/$D$85</f>
        <v/>
      </c>
      <c r="F93" s="114">
        <f>D93+'2026 Aύγουστος'!F93</f>
        <v/>
      </c>
      <c r="G93" s="75">
        <f>F93/$F$85</f>
        <v/>
      </c>
      <c r="H93" s="56">
        <f>ΠΡΟΥΠΟΛΟΓΙΣΜΟΣ_ΕΞΟΔΑ!L222</f>
        <v/>
      </c>
      <c r="I93" s="401">
        <f>H93/$H$85</f>
        <v/>
      </c>
      <c r="J93" s="406">
        <f>'2026 Aύγουστος'!J93</f>
        <v/>
      </c>
      <c r="K93" s="403">
        <f>J93/$J$85</f>
        <v/>
      </c>
      <c r="L93" s="114">
        <f>'2024_60-69 ΕΞΟΔΑ+ΟΜ 2'!L46</f>
        <v/>
      </c>
      <c r="M93" s="75">
        <f>L93/$L$85</f>
        <v/>
      </c>
      <c r="N93" s="65">
        <f>L93+'2026 Aύγουστος'!N93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2'!L49</f>
        <v/>
      </c>
      <c r="E94" s="75">
        <f>D94/$D$85</f>
        <v/>
      </c>
      <c r="F94" s="114">
        <f>D94+'2026 Aύγουστος'!F94</f>
        <v/>
      </c>
      <c r="G94" s="75">
        <f>F94/$F$85</f>
        <v/>
      </c>
      <c r="H94" s="56">
        <f>ΠΡΟΥΠΟΛΟΓΙΣΜΟΣ_ΕΞΟΔΑ!L227</f>
        <v/>
      </c>
      <c r="I94" s="401">
        <f>H94/$H$85</f>
        <v/>
      </c>
      <c r="J94" s="406">
        <f>'2026 Aύγουστος'!J94</f>
        <v/>
      </c>
      <c r="K94" s="403">
        <f>J94/$J$85</f>
        <v/>
      </c>
      <c r="L94" s="114">
        <f>'2024_60-69 ΕΞΟΔΑ+ΟΜ 2'!L47</f>
        <v/>
      </c>
      <c r="M94" s="75">
        <f>L94/$L$85</f>
        <v/>
      </c>
      <c r="N94" s="65">
        <f>L94+'2026 Aύγουστος'!N94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6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2'!L50</f>
        <v/>
      </c>
      <c r="E95" s="75">
        <f>D95/$D$85</f>
        <v/>
      </c>
      <c r="F95" s="114">
        <f>D95+'2026 Aύγουστος'!F95</f>
        <v/>
      </c>
      <c r="G95" s="75">
        <f>F95/$F$85</f>
        <v/>
      </c>
      <c r="H95" s="118">
        <f>ΠΡΟΥΠΟΛΟΓΙΣΜΟΣ_ΕΞΟΔΑ!L232</f>
        <v/>
      </c>
      <c r="I95" s="401">
        <f>H95/$H$85</f>
        <v/>
      </c>
      <c r="J95" s="406">
        <f>'2026 Aύγουστος'!J95</f>
        <v/>
      </c>
      <c r="K95" s="403">
        <f>J95/$J$85</f>
        <v/>
      </c>
      <c r="L95" s="114">
        <f>'2024_60-69 ΕΞΟΔΑ+ΟΜ 2'!L48</f>
        <v/>
      </c>
      <c r="M95" s="75">
        <f>L95/$L$85</f>
        <v/>
      </c>
      <c r="N95" s="65">
        <f>L95+'2026 Aύγουστος'!N95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2'!L51</f>
        <v/>
      </c>
      <c r="E96" s="75">
        <f>D96/$D$85</f>
        <v/>
      </c>
      <c r="F96" s="114">
        <f>D96+'2026 Aύγουστος'!F96</f>
        <v/>
      </c>
      <c r="G96" s="75">
        <f>F96/$F$85</f>
        <v/>
      </c>
      <c r="H96" s="56">
        <f>ΠΡΟΥΠΟΛΟΓΙΣΜΟΣ_ΕΞΟΔΑ!L237</f>
        <v/>
      </c>
      <c r="I96" s="401">
        <f>H96/$H$85</f>
        <v/>
      </c>
      <c r="J96" s="406">
        <f>'2026 Aύγουστος'!J96</f>
        <v/>
      </c>
      <c r="K96" s="403">
        <f>J96/$J$85</f>
        <v/>
      </c>
      <c r="L96" s="114">
        <f>'2024_60-69 ΕΞΟΔΑ+ΟΜ 2'!L49</f>
        <v/>
      </c>
      <c r="M96" s="75">
        <f>L96/$L$85</f>
        <v/>
      </c>
      <c r="N96" s="65">
        <f>L96+'2026 Aύγουστος'!N96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2'!L52</f>
        <v/>
      </c>
      <c r="E97" s="75">
        <f>D97/$D$85</f>
        <v/>
      </c>
      <c r="F97" s="114">
        <f>D97+'2026 Aύγουστος'!F97</f>
        <v/>
      </c>
      <c r="G97" s="75">
        <f>F97/$F$85</f>
        <v/>
      </c>
      <c r="H97" s="56">
        <f>ΠΡΟΥΠΟΛΟΓΙΣΜΟΣ_ΕΞΟΔΑ!L242</f>
        <v/>
      </c>
      <c r="I97" s="401">
        <f>H97/$H$85</f>
        <v/>
      </c>
      <c r="J97" s="406">
        <f>'2026 Aύγουστος'!J97</f>
        <v/>
      </c>
      <c r="K97" s="403">
        <f>J97/$J$85</f>
        <v/>
      </c>
      <c r="L97" s="114">
        <f>'2024_60-69 ΕΞΟΔΑ+ΟΜ 2'!L50</f>
        <v/>
      </c>
      <c r="M97" s="75">
        <f>L97/$L$85</f>
        <v/>
      </c>
      <c r="N97" s="65">
        <f>L97+'2026 Aύγουστος'!N97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2'!L53</f>
        <v/>
      </c>
      <c r="E98" s="75">
        <f>D98/$D$85</f>
        <v/>
      </c>
      <c r="F98" s="114">
        <f>D98+'2026 Aύγουστος'!F98</f>
        <v/>
      </c>
      <c r="G98" s="75">
        <f>F98/$F$85</f>
        <v/>
      </c>
      <c r="H98" s="56">
        <f>ΠΡΟΥΠΟΛΟΓΙΣΜΟΣ_ΕΞΟΔΑ!L247</f>
        <v/>
      </c>
      <c r="I98" s="401">
        <f>H98/$H$85</f>
        <v/>
      </c>
      <c r="J98" s="406">
        <f>'2026 Aύγουστος'!J98</f>
        <v/>
      </c>
      <c r="K98" s="403">
        <f>J98/$J$85</f>
        <v/>
      </c>
      <c r="L98" s="114">
        <f>'2024_60-69 ΕΞΟΔΑ+ΟΜ 2'!L51</f>
        <v/>
      </c>
      <c r="M98" s="75">
        <f>L98/$L$85</f>
        <v/>
      </c>
      <c r="N98" s="65">
        <f>L98+'2026 Aύγουστος'!N98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2'!L54</f>
        <v/>
      </c>
      <c r="E99" s="75">
        <f>D99/$D$85</f>
        <v/>
      </c>
      <c r="F99" s="114">
        <f>D99+'2026 Aύγουστος'!F99</f>
        <v/>
      </c>
      <c r="G99" s="75">
        <f>F99/$F$85</f>
        <v/>
      </c>
      <c r="H99" s="56">
        <f>ΠΡΟΥΠΟΛΟΓΙΣΜΟΣ_ΕΞΟΔΑ!L252</f>
        <v/>
      </c>
      <c r="I99" s="401">
        <f>H99/$H$85</f>
        <v/>
      </c>
      <c r="J99" s="406">
        <f>'2026 Aύγουστος'!J99</f>
        <v/>
      </c>
      <c r="K99" s="403">
        <f>J99/$J$85</f>
        <v/>
      </c>
      <c r="L99" s="114">
        <f>'2024_60-69 ΕΞΟΔΑ+ΟΜ 2'!L52</f>
        <v/>
      </c>
      <c r="M99" s="75">
        <f>L99/$L$85</f>
        <v/>
      </c>
      <c r="N99" s="65">
        <f>L99+'2026 Aύγουστος'!N99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2'!L55</f>
        <v/>
      </c>
      <c r="E100" s="75">
        <f>D100/$D$85</f>
        <v/>
      </c>
      <c r="F100" s="114">
        <f>D100+'2026 Aύγουστος'!F100</f>
        <v/>
      </c>
      <c r="G100" s="75">
        <f>F100/$F$85</f>
        <v/>
      </c>
      <c r="H100" s="56">
        <f>ΠΡΟΥΠΟΛΟΓΙΣΜΟΣ_ΕΞΟΔΑ!L257</f>
        <v/>
      </c>
      <c r="I100" s="401">
        <f>H100/$H$85</f>
        <v/>
      </c>
      <c r="J100" s="406">
        <f>'2026 Aύγουστος'!J100</f>
        <v/>
      </c>
      <c r="K100" s="403">
        <f>J100/$J$85</f>
        <v/>
      </c>
      <c r="L100" s="114">
        <f>'2024_60-69 ΕΞΟΔΑ+ΟΜ 2'!L53</f>
        <v/>
      </c>
      <c r="M100" s="75">
        <f>L100/$L$85</f>
        <v/>
      </c>
      <c r="N100" s="65">
        <f>L100+'2026 Aύγουστος'!N100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2'!L56</f>
        <v/>
      </c>
      <c r="E101" s="75">
        <f>D101/$D$85</f>
        <v/>
      </c>
      <c r="F101" s="114">
        <f>D101+'2026 Aύγουστος'!F101</f>
        <v/>
      </c>
      <c r="G101" s="75">
        <f>F101/$F$85</f>
        <v/>
      </c>
      <c r="H101" s="56">
        <f>ΠΡΟΥΠΟΛΟΓΙΣΜΟΣ_ΕΞΟΔΑ!L262</f>
        <v/>
      </c>
      <c r="I101" s="401">
        <f>H101/$H$85</f>
        <v/>
      </c>
      <c r="J101" s="406">
        <f>'2026 Aύγουστος'!J101</f>
        <v/>
      </c>
      <c r="K101" s="403">
        <f>J101/$J$85</f>
        <v/>
      </c>
      <c r="L101" s="114">
        <f>'2024_60-69 ΕΞΟΔΑ+ΟΜ 2'!L54</f>
        <v/>
      </c>
      <c r="M101" s="75">
        <f>L101/$L$85</f>
        <v/>
      </c>
      <c r="N101" s="65">
        <f>L101+'2026 Aύγουστος'!N101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2'!L57</f>
        <v/>
      </c>
      <c r="E102" s="75">
        <f>D102/$D$85</f>
        <v/>
      </c>
      <c r="F102" s="114">
        <f>D102+'2026 Aύγουστος'!F102</f>
        <v/>
      </c>
      <c r="G102" s="75">
        <f>F102/$F$85</f>
        <v/>
      </c>
      <c r="H102" s="56">
        <f>ΠΡΟΥΠΟΛΟΓΙΣΜΟΣ_ΕΞΟΔΑ!L267</f>
        <v/>
      </c>
      <c r="I102" s="401">
        <f>H102/$H$85</f>
        <v/>
      </c>
      <c r="J102" s="406">
        <f>'2026 Aύγουστος'!J102</f>
        <v/>
      </c>
      <c r="K102" s="403">
        <f>J102/$J$85</f>
        <v/>
      </c>
      <c r="L102" s="114">
        <f>'2024_60-69 ΕΞΟΔΑ+ΟΜ 2'!L55</f>
        <v/>
      </c>
      <c r="M102" s="75">
        <f>L102/$L$85</f>
        <v/>
      </c>
      <c r="N102" s="65">
        <f>L102+'2026 Aύγουστος'!N102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2'!L58</f>
        <v/>
      </c>
      <c r="E103" s="75">
        <f>D103/$D$85</f>
        <v/>
      </c>
      <c r="F103" s="114">
        <f>D103+'2026 Aύγουστος'!F103</f>
        <v/>
      </c>
      <c r="G103" s="75">
        <f>F103/$F$85</f>
        <v/>
      </c>
      <c r="H103" s="56">
        <f>ΠΡΟΥΠΟΛΟΓΙΣΜΟΣ_ΕΞΟΔΑ!L272</f>
        <v/>
      </c>
      <c r="I103" s="401">
        <f>H103/$H$85</f>
        <v/>
      </c>
      <c r="J103" s="406">
        <f>'2026 Aύγουστος'!J103</f>
        <v/>
      </c>
      <c r="K103" s="403">
        <f>J103/$J$85</f>
        <v/>
      </c>
      <c r="L103" s="114">
        <f>'2024_60-69 ΕΞΟΔΑ+ΟΜ 2'!L56</f>
        <v/>
      </c>
      <c r="M103" s="75">
        <f>L103/$L$85</f>
        <v/>
      </c>
      <c r="N103" s="65">
        <f>L103+'2026 Aύγουστος'!N103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2'!L59</f>
        <v/>
      </c>
      <c r="E104" s="75">
        <f>D104/$D$85</f>
        <v/>
      </c>
      <c r="F104" s="114">
        <f>D104+'2026 Aύγουστος'!F104</f>
        <v/>
      </c>
      <c r="G104" s="75">
        <f>F104/$F$85</f>
        <v/>
      </c>
      <c r="H104" s="56">
        <f>ΠΡΟΥΠΟΛΟΓΙΣΜΟΣ_ΕΞΟΔΑ!L277</f>
        <v/>
      </c>
      <c r="I104" s="401">
        <f>H104/$H$85</f>
        <v/>
      </c>
      <c r="J104" s="406">
        <f>'2026 Aύγουστος'!J104</f>
        <v/>
      </c>
      <c r="K104" s="403">
        <f>J104/$J$85</f>
        <v/>
      </c>
      <c r="L104" s="114">
        <f>'2024_60-69 ΕΞΟΔΑ+ΟΜ 2'!L57</f>
        <v/>
      </c>
      <c r="M104" s="75">
        <f>L104/$L$85</f>
        <v/>
      </c>
      <c r="N104" s="65">
        <f>L104+'2026 Aύγουστος'!N104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2'!L60</f>
        <v/>
      </c>
      <c r="E105" s="75">
        <f>D105/$D$85</f>
        <v/>
      </c>
      <c r="F105" s="114">
        <f>D105+'2026 Aύγουστος'!F105</f>
        <v/>
      </c>
      <c r="G105" s="75">
        <f>F105/$F$85</f>
        <v/>
      </c>
      <c r="H105" s="56">
        <f>ΠΡΟΥΠΟΛΟΓΙΣΜΟΣ_ΕΞΟΔΑ!L282</f>
        <v/>
      </c>
      <c r="I105" s="401">
        <f>H105/$H$85</f>
        <v/>
      </c>
      <c r="J105" s="406">
        <f>'2026 Aύγουστος'!J105</f>
        <v/>
      </c>
      <c r="K105" s="403">
        <f>J105/$J$85</f>
        <v/>
      </c>
      <c r="L105" s="114">
        <f>'2024_60-69 ΕΞΟΔΑ+ΟΜ 2'!L58</f>
        <v/>
      </c>
      <c r="M105" s="75">
        <f>L105/$L$85</f>
        <v/>
      </c>
      <c r="N105" s="65">
        <f>L105+'2026 Aύγουστος'!N105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2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2'!L61</f>
        <v/>
      </c>
      <c r="E106" s="75">
        <f>D106/$D$85</f>
        <v/>
      </c>
      <c r="F106" s="114">
        <f>D106+'2026 Aύγουστος'!F106</f>
        <v/>
      </c>
      <c r="G106" s="75">
        <f>F106/$F$85</f>
        <v/>
      </c>
      <c r="H106" s="56">
        <f>ΠΡΟΥΠΟΛΟΓΙΣΜΟΣ_ΕΞΟΔΑ!L287</f>
        <v/>
      </c>
      <c r="I106" s="401">
        <f>H106/$H$85</f>
        <v/>
      </c>
      <c r="J106" s="406">
        <f>'2026 Aύγουστος'!J106</f>
        <v/>
      </c>
      <c r="K106" s="403">
        <f>J106/$J$85</f>
        <v/>
      </c>
      <c r="L106" s="114">
        <f>'2024_60-69 ΕΞΟΔΑ+ΟΜ 2'!L59</f>
        <v/>
      </c>
      <c r="M106" s="75">
        <f>L106/$L$85</f>
        <v/>
      </c>
      <c r="N106" s="65">
        <f>L106+'2026 Aύγουστος'!N106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2'!L40</f>
        <v/>
      </c>
      <c r="E112" s="81" t="n"/>
      <c r="F112" s="64" t="n"/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ΑΝΤΙΣΤΟΙΧΙΣΗ!$F$114</f>
        <v/>
      </c>
      <c r="E115" s="551" t="n"/>
      <c r="F115" s="550" t="n"/>
      <c r="G115" s="107">
        <f>ΑΝΤΙΣΤΟΙΧΙΣΗ!$D$34</f>
        <v/>
      </c>
      <c r="H115" s="549">
        <f>ΑΝΤΙΣΤΟΙΧΙΣΗ!$F$114</f>
        <v/>
      </c>
      <c r="I115" s="551" t="n"/>
      <c r="J115" s="550" t="n"/>
      <c r="K115" s="107">
        <f>ΑΝΤΙΣΤΟΙΧΙΣΗ!$D$34</f>
        <v/>
      </c>
      <c r="L115" s="549">
        <f>ΑΝΤΙΣΤΟΙΧΙΣΗ!$F$128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2'!L71</f>
        <v/>
      </c>
      <c r="E118" s="75">
        <f>D118/$D$117</f>
        <v/>
      </c>
      <c r="F118" s="65">
        <f>D118+'2026 Aύγουστος'!F118</f>
        <v/>
      </c>
      <c r="G118" s="75">
        <f>F118/$F$117</f>
        <v/>
      </c>
      <c r="H118" s="56">
        <f>ΠΡΟΥΠΟΛΟΓΙΣΜΟΣ_ΕΞΟΔΑ!L301</f>
        <v/>
      </c>
      <c r="I118" s="400">
        <f>H118/$H$117</f>
        <v/>
      </c>
      <c r="J118" s="65">
        <f>H118+'2026 Aύγουστος'!J118</f>
        <v/>
      </c>
      <c r="K118" s="404">
        <f>J118/$J$117</f>
        <v/>
      </c>
      <c r="L118" s="56">
        <f>'2024_60-69 ΕΞΟΔΑ+ΟΜ 2'!L66</f>
        <v/>
      </c>
      <c r="M118" s="75">
        <f>L118/$L$117</f>
        <v/>
      </c>
      <c r="N118" s="65">
        <f>L118+'2026 Aύγουστος'!N118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2'!L72</f>
        <v/>
      </c>
      <c r="E119" s="75">
        <f>D119/$D$117</f>
        <v/>
      </c>
      <c r="F119" s="65">
        <f>D119+'2026 Aύγουστος'!F119</f>
        <v/>
      </c>
      <c r="G119" s="75">
        <f>F119/$F$117</f>
        <v/>
      </c>
      <c r="H119" s="56">
        <f>ΠΡΟΥΠΟΛΟΓΙΣΜΟΣ_ΕΞΟΔΑ!L306</f>
        <v/>
      </c>
      <c r="I119" s="400">
        <f>H119/$H$117</f>
        <v/>
      </c>
      <c r="J119" s="65">
        <f>H119+'2026 Aύγουστος'!J119</f>
        <v/>
      </c>
      <c r="K119" s="404">
        <f>J119/$J$117</f>
        <v/>
      </c>
      <c r="L119" s="56">
        <f>'2024_60-69 ΕΞΟΔΑ+ΟΜ 2'!L67</f>
        <v/>
      </c>
      <c r="M119" s="75">
        <f>L119/$L$117</f>
        <v/>
      </c>
      <c r="N119" s="65">
        <f>L119+'2026 Aύγουστος'!N119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2'!L73</f>
        <v/>
      </c>
      <c r="E120" s="75">
        <f>D120/$D$117</f>
        <v/>
      </c>
      <c r="F120" s="65">
        <f>D120+'2026 Aύγουστος'!F120</f>
        <v/>
      </c>
      <c r="G120" s="75">
        <f>F120/$F$117</f>
        <v/>
      </c>
      <c r="H120" s="56">
        <f>ΠΡΟΥΠΟΛΟΓΙΣΜΟΣ_ΕΞΟΔΑ!L311</f>
        <v/>
      </c>
      <c r="I120" s="400">
        <f>H120/$H$117</f>
        <v/>
      </c>
      <c r="J120" s="65">
        <f>H120+'2026 Aύγουστος'!J120</f>
        <v/>
      </c>
      <c r="K120" s="404">
        <f>J120/$J$117</f>
        <v/>
      </c>
      <c r="L120" s="56">
        <f>'2024_60-69 ΕΞΟΔΑ+ΟΜ 2'!L68</f>
        <v/>
      </c>
      <c r="M120" s="75">
        <f>L120/$L$117</f>
        <v/>
      </c>
      <c r="N120" s="65">
        <f>L120+'2026 Aύγουστος'!N120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2'!L74</f>
        <v/>
      </c>
      <c r="E121" s="75">
        <f>D121/$D$117</f>
        <v/>
      </c>
      <c r="F121" s="65">
        <f>D121+'2026 Aύγουστος'!F121</f>
        <v/>
      </c>
      <c r="G121" s="75">
        <f>F121/$F$117</f>
        <v/>
      </c>
      <c r="H121" s="56">
        <f>ΠΡΟΥΠΟΛΟΓΙΣΜΟΣ_ΕΞΟΔΑ!L316</f>
        <v/>
      </c>
      <c r="I121" s="400">
        <f>H121/$H$117</f>
        <v/>
      </c>
      <c r="J121" s="65">
        <f>H121+'2026 Aύγουστος'!J121</f>
        <v/>
      </c>
      <c r="K121" s="404">
        <f>J121/$J$117</f>
        <v/>
      </c>
      <c r="L121" s="56">
        <f>'2024_60-69 ΕΞΟΔΑ+ΟΜ 2'!L69</f>
        <v/>
      </c>
      <c r="M121" s="75">
        <f>L121/$L$117</f>
        <v/>
      </c>
      <c r="N121" s="65">
        <f>L121+'2026 Aύγουστος'!N121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2'!L75</f>
        <v/>
      </c>
      <c r="E122" s="75">
        <f>D122/$D$117</f>
        <v/>
      </c>
      <c r="F122" s="65">
        <f>D122+'2026 Aύγουστος'!F122</f>
        <v/>
      </c>
      <c r="G122" s="75">
        <f>F122/$F$117</f>
        <v/>
      </c>
      <c r="H122" s="56">
        <f>ΠΡΟΥΠΟΛΟΓΙΣΜΟΣ_ΕΞΟΔΑ!L321</f>
        <v/>
      </c>
      <c r="I122" s="400">
        <f>H122/$H$117</f>
        <v/>
      </c>
      <c r="J122" s="65">
        <f>H122+'2026 Aύγουστος'!J122</f>
        <v/>
      </c>
      <c r="K122" s="404">
        <f>J122/$J$117</f>
        <v/>
      </c>
      <c r="L122" s="56">
        <f>'2024_60-69 ΕΞΟΔΑ+ΟΜ 2'!L70</f>
        <v/>
      </c>
      <c r="M122" s="75">
        <f>L122/$L$117</f>
        <v/>
      </c>
      <c r="N122" s="65">
        <f>L122+'2026 Aύγουστος'!N122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2'!L76</f>
        <v/>
      </c>
      <c r="E123" s="75">
        <f>D123/$D$117</f>
        <v/>
      </c>
      <c r="F123" s="65">
        <f>D123+'2026 Aύγουστος'!F123</f>
        <v/>
      </c>
      <c r="G123" s="75">
        <f>F123/$F$117</f>
        <v/>
      </c>
      <c r="H123" s="56">
        <f>ΠΡΟΥΠΟΛΟΓΙΣΜΟΣ_ΕΞΟΔΑ!L326</f>
        <v/>
      </c>
      <c r="I123" s="400">
        <f>H123/$H$117</f>
        <v/>
      </c>
      <c r="J123" s="65">
        <f>H123+'2026 Aύγουστος'!J123</f>
        <v/>
      </c>
      <c r="K123" s="404">
        <f>J123/$J$117</f>
        <v/>
      </c>
      <c r="L123" s="56">
        <f>'2024_60-69 ΕΞΟΔΑ+ΟΜ 2'!L71</f>
        <v/>
      </c>
      <c r="M123" s="75">
        <f>L123/$L$117</f>
        <v/>
      </c>
      <c r="N123" s="65">
        <f>L123+'2026 Aύγουστος'!N123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2'!L77</f>
        <v/>
      </c>
      <c r="E124" s="75">
        <f>D124/$D$117</f>
        <v/>
      </c>
      <c r="F124" s="65">
        <f>D124+'2026 Aύγουστος'!F124</f>
        <v/>
      </c>
      <c r="G124" s="75">
        <f>F124/$F$117</f>
        <v/>
      </c>
      <c r="H124" s="56">
        <f>ΠΡΟΥΠΟΛΟΓΙΣΜΟΣ_ΕΞΟΔΑ!L331</f>
        <v/>
      </c>
      <c r="I124" s="400">
        <f>H124/$H$117</f>
        <v/>
      </c>
      <c r="J124" s="65">
        <f>H124+'2026 Aύγουστος'!J124</f>
        <v/>
      </c>
      <c r="K124" s="404">
        <f>J124/$J$117</f>
        <v/>
      </c>
      <c r="L124" s="56">
        <f>'2024_60-69 ΕΞΟΔΑ+ΟΜ 2'!L72</f>
        <v/>
      </c>
      <c r="M124" s="75">
        <f>L124/$L$117</f>
        <v/>
      </c>
      <c r="N124" s="65">
        <f>L124+'2026 Aύγουστος'!N124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2'!L78</f>
        <v/>
      </c>
      <c r="E125" s="75">
        <f>D125/$D$117</f>
        <v/>
      </c>
      <c r="F125" s="65">
        <f>D125+'2026 Aύγουστος'!F125</f>
        <v/>
      </c>
      <c r="G125" s="75">
        <f>F125/$F$117</f>
        <v/>
      </c>
      <c r="H125" s="56">
        <f>ΠΡΟΥΠΟΛΟΓΙΣΜΟΣ_ΕΞΟΔΑ!L336</f>
        <v/>
      </c>
      <c r="I125" s="400">
        <f>H125/$H$117</f>
        <v/>
      </c>
      <c r="J125" s="65">
        <f>H125+'2026 Aύγουστος'!J125</f>
        <v/>
      </c>
      <c r="K125" s="404">
        <f>J125/$J$117</f>
        <v/>
      </c>
      <c r="L125" s="56">
        <f>'2024_60-69 ΕΞΟΔΑ+ΟΜ 2'!L73</f>
        <v/>
      </c>
      <c r="M125" s="75">
        <f>L125/$L$117</f>
        <v/>
      </c>
      <c r="N125" s="65">
        <f>L125+'2026 Aύγουστος'!N125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2'!L79</f>
        <v/>
      </c>
      <c r="E126" s="75">
        <f>D126/$D$117</f>
        <v/>
      </c>
      <c r="F126" s="65">
        <f>D126+'2026 Aύγουστος'!F126</f>
        <v/>
      </c>
      <c r="G126" s="75">
        <f>F126/$F$117</f>
        <v/>
      </c>
      <c r="H126" s="56">
        <f>ΠΡΟΥΠΟΛΟΓΙΣΜΟΣ_ΕΞΟΔΑ!L341</f>
        <v/>
      </c>
      <c r="I126" s="400">
        <f>H126/$H$117</f>
        <v/>
      </c>
      <c r="J126" s="65">
        <f>H126+'2026 Aύγουστος'!J126</f>
        <v/>
      </c>
      <c r="K126" s="404">
        <f>J126/$J$117</f>
        <v/>
      </c>
      <c r="L126" s="56">
        <f>'2024_60-69 ΕΞΟΔΑ+ΟΜ 2'!L74</f>
        <v/>
      </c>
      <c r="M126" s="75">
        <f>L126/$L$117</f>
        <v/>
      </c>
      <c r="N126" s="65">
        <f>L126+'2026 Aύγουστος'!N126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2'!L80</f>
        <v/>
      </c>
      <c r="E127" s="75">
        <f>D127/$D$117</f>
        <v/>
      </c>
      <c r="F127" s="65">
        <f>D127+'2026 Aύγουστος'!F127</f>
        <v/>
      </c>
      <c r="G127" s="75">
        <f>F127/$F$117</f>
        <v/>
      </c>
      <c r="H127" s="56">
        <f>ΠΡΟΥΠΟΛΟΓΙΣΜΟΣ_ΕΞΟΔΑ!L346</f>
        <v/>
      </c>
      <c r="I127" s="400">
        <f>H127/$H$117</f>
        <v/>
      </c>
      <c r="J127" s="65">
        <f>H127+'2026 Aύγουστος'!J127</f>
        <v/>
      </c>
      <c r="K127" s="404">
        <f>J127/$J$117</f>
        <v/>
      </c>
      <c r="L127" s="56">
        <f>'2024_60-69 ΕΞΟΔΑ+ΟΜ 2'!L75</f>
        <v/>
      </c>
      <c r="M127" s="75">
        <f>L127/$L$117</f>
        <v/>
      </c>
      <c r="N127" s="65">
        <f>L127+'2026 Aύγουστος'!N127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2'!L81</f>
        <v/>
      </c>
      <c r="E128" s="75">
        <f>D128/$D$117</f>
        <v/>
      </c>
      <c r="F128" s="65">
        <f>D128+'2026 Aύγουστος'!F128</f>
        <v/>
      </c>
      <c r="G128" s="75">
        <f>F128/$F$117</f>
        <v/>
      </c>
      <c r="H128" s="56">
        <f>ΠΡΟΥΠΟΛΟΓΙΣΜΟΣ_ΕΞΟΔΑ!L351</f>
        <v/>
      </c>
      <c r="I128" s="400">
        <f>H128/$H$117</f>
        <v/>
      </c>
      <c r="J128" s="65">
        <f>H128+'2026 Aύγουστος'!J128</f>
        <v/>
      </c>
      <c r="K128" s="404">
        <f>J128/$J$117</f>
        <v/>
      </c>
      <c r="L128" s="56">
        <f>'2024_60-69 ΕΞΟΔΑ+ΟΜ 2'!L76</f>
        <v/>
      </c>
      <c r="M128" s="75">
        <f>L128/$L$117</f>
        <v/>
      </c>
      <c r="N128" s="65">
        <f>L128+'2026 Aύγουστος'!N128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2'!L82</f>
        <v/>
      </c>
      <c r="E129" s="75">
        <f>D129/$D$117</f>
        <v/>
      </c>
      <c r="F129" s="65">
        <f>D129+'2026 Aύγουστος'!F129</f>
        <v/>
      </c>
      <c r="G129" s="75">
        <f>F129/$F$117</f>
        <v/>
      </c>
      <c r="H129" s="56">
        <f>ΠΡΟΥΠΟΛΟΓΙΣΜΟΣ_ΕΞΟΔΑ!L356</f>
        <v/>
      </c>
      <c r="I129" s="400">
        <f>H129/$H$117</f>
        <v/>
      </c>
      <c r="J129" s="65">
        <f>H129+'2026 Aύγουστος'!J129</f>
        <v/>
      </c>
      <c r="K129" s="404">
        <f>J129/$J$117</f>
        <v/>
      </c>
      <c r="L129" s="56">
        <f>'2024_60-69 ΕΞΟΔΑ+ΟΜ 2'!L77</f>
        <v/>
      </c>
      <c r="M129" s="75">
        <f>L129/$L$117</f>
        <v/>
      </c>
      <c r="N129" s="65">
        <f>L129+'2026 Aύγουστος'!N129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2'!L83</f>
        <v/>
      </c>
      <c r="E130" s="75">
        <f>D130/$D$117</f>
        <v/>
      </c>
      <c r="F130" s="65">
        <f>D130+'2026 Aύγουστος'!F130</f>
        <v/>
      </c>
      <c r="G130" s="75">
        <f>F130/$F$117</f>
        <v/>
      </c>
      <c r="H130" s="56">
        <f>ΠΡΟΥΠΟΛΟΓΙΣΜΟΣ_ΕΞΟΔΑ!L361</f>
        <v/>
      </c>
      <c r="I130" s="400">
        <f>H130/$H$117</f>
        <v/>
      </c>
      <c r="J130" s="65">
        <f>H130+'2026 Aύγουστος'!J130</f>
        <v/>
      </c>
      <c r="K130" s="404">
        <f>J130/$J$117</f>
        <v/>
      </c>
      <c r="L130" s="56">
        <f>'2024_60-69 ΕΞΟΔΑ+ΟΜ 2'!L78</f>
        <v/>
      </c>
      <c r="M130" s="75">
        <f>L130/$L$117</f>
        <v/>
      </c>
      <c r="N130" s="65">
        <f>L130+'2026 Aύγουστος'!N130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2'!L84</f>
        <v/>
      </c>
      <c r="E131" s="75">
        <f>D131/$D$117</f>
        <v/>
      </c>
      <c r="F131" s="65">
        <f>D131+'2026 Aύγουστος'!F131</f>
        <v/>
      </c>
      <c r="G131" s="75">
        <f>F131/$F$117</f>
        <v/>
      </c>
      <c r="H131" s="56">
        <f>ΠΡΟΥΠΟΛΟΓΙΣΜΟΣ_ΕΞΟΔΑ!L366</f>
        <v/>
      </c>
      <c r="I131" s="400">
        <f>H131/$H$117</f>
        <v/>
      </c>
      <c r="J131" s="65">
        <f>H131+'2026 Aύγουστος'!J131</f>
        <v/>
      </c>
      <c r="K131" s="404">
        <f>J131/$J$117</f>
        <v/>
      </c>
      <c r="L131" s="56">
        <f>'2024_60-69 ΕΞΟΔΑ+ΟΜ 2'!L79</f>
        <v/>
      </c>
      <c r="M131" s="75">
        <f>L131/$L$117</f>
        <v/>
      </c>
      <c r="N131" s="65">
        <f>L131+'2026 Aύγουστος'!N131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2'!L85</f>
        <v/>
      </c>
      <c r="E132" s="75">
        <f>D132/$D$117</f>
        <v/>
      </c>
      <c r="F132" s="65">
        <f>D132+'2026 Aύγουστος'!F132</f>
        <v/>
      </c>
      <c r="G132" s="75">
        <f>F132/$F$117</f>
        <v/>
      </c>
      <c r="H132" s="56">
        <f>ΠΡΟΥΠΟΛΟΓΙΣΜΟΣ_ΕΞΟΔΑ!L371</f>
        <v/>
      </c>
      <c r="I132" s="400">
        <f>H132/$H$117</f>
        <v/>
      </c>
      <c r="J132" s="65">
        <f>H132+'2026 Aύγουστος'!J132</f>
        <v/>
      </c>
      <c r="K132" s="404">
        <f>J132/$J$117</f>
        <v/>
      </c>
      <c r="L132" s="56">
        <f>'2024_60-69 ΕΞΟΔΑ+ΟΜ 2'!L80</f>
        <v/>
      </c>
      <c r="M132" s="75">
        <f>L132/$L$117</f>
        <v/>
      </c>
      <c r="N132" s="65">
        <f>L132+'2026 Aύγουστος'!N132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2'!L86</f>
        <v/>
      </c>
      <c r="E133" s="75">
        <f>D133/$D$117</f>
        <v/>
      </c>
      <c r="F133" s="65">
        <f>D133+'2026 Aύγουστος'!F133</f>
        <v/>
      </c>
      <c r="G133" s="75">
        <f>F133/$F$117</f>
        <v/>
      </c>
      <c r="H133" s="56">
        <f>ΠΡΟΥΠΟΛΟΓΙΣΜΟΣ_ΕΞΟΔΑ!L376</f>
        <v/>
      </c>
      <c r="I133" s="400">
        <f>H133/$H$117</f>
        <v/>
      </c>
      <c r="J133" s="65">
        <f>H133+'2026 Aύγουστος'!J133</f>
        <v/>
      </c>
      <c r="K133" s="404">
        <f>J133/$J$117</f>
        <v/>
      </c>
      <c r="L133" s="56">
        <f>'2024_60-69 ΕΞΟΔΑ+ΟΜ 2'!L81</f>
        <v/>
      </c>
      <c r="M133" s="75">
        <f>L133/$L$117</f>
        <v/>
      </c>
      <c r="N133" s="65">
        <f>L133+'2026 Aύγουστος'!N133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2'!L87</f>
        <v/>
      </c>
      <c r="E134" s="75">
        <f>D134/$D$117</f>
        <v/>
      </c>
      <c r="F134" s="65">
        <f>D134+'2026 Aύγουστος'!F134</f>
        <v/>
      </c>
      <c r="G134" s="75">
        <f>F134/$F$117</f>
        <v/>
      </c>
      <c r="H134" s="56">
        <f>ΠΡΟΥΠΟΛΟΓΙΣΜΟΣ_ΕΞΟΔΑ!L381</f>
        <v/>
      </c>
      <c r="I134" s="400">
        <f>H134/$H$117</f>
        <v/>
      </c>
      <c r="J134" s="65">
        <f>H134+'2026 Aύγουστος'!J134</f>
        <v/>
      </c>
      <c r="K134" s="404">
        <f>J134/$J$117</f>
        <v/>
      </c>
      <c r="L134" s="56">
        <f>'2024_60-69 ΕΞΟΔΑ+ΟΜ 2'!L82</f>
        <v/>
      </c>
      <c r="M134" s="75">
        <f>L134/$L$117</f>
        <v/>
      </c>
      <c r="N134" s="65">
        <f>L134+'2026 Aύγουστος'!N134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2'!L88</f>
        <v/>
      </c>
      <c r="E135" s="75">
        <f>D135/$D$117</f>
        <v/>
      </c>
      <c r="F135" s="65">
        <f>D135+'2026 Aύγουστος'!F135</f>
        <v/>
      </c>
      <c r="G135" s="75">
        <f>F135/$F$117</f>
        <v/>
      </c>
      <c r="H135" s="56">
        <f>ΠΡΟΥΠΟΛΟΓΙΣΜΟΣ_ΕΞΟΔΑ!L386</f>
        <v/>
      </c>
      <c r="I135" s="400">
        <f>H135/$H$117</f>
        <v/>
      </c>
      <c r="J135" s="65">
        <f>H135+'2026 Aύγουστος'!J135</f>
        <v/>
      </c>
      <c r="K135" s="404">
        <f>J135/$J$117</f>
        <v/>
      </c>
      <c r="L135" s="56">
        <f>'2024_60-69 ΕΞΟΔΑ+ΟΜ 2'!L83</f>
        <v/>
      </c>
      <c r="M135" s="75">
        <f>L135/$L$117</f>
        <v/>
      </c>
      <c r="N135" s="65">
        <f>L135+'2026 Aύγουστος'!N135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2'!L89</f>
        <v/>
      </c>
      <c r="E136" s="75">
        <f>D136/$D$117</f>
        <v/>
      </c>
      <c r="F136" s="65">
        <f>D136+'2026 Aύγουστος'!F136</f>
        <v/>
      </c>
      <c r="G136" s="75">
        <f>F136/$F$117</f>
        <v/>
      </c>
      <c r="H136" s="56">
        <f>ΠΡΟΥΠΟΛΟΓΙΣΜΟΣ_ΕΞΟΔΑ!L391</f>
        <v/>
      </c>
      <c r="I136" s="400">
        <f>H136/$H$117</f>
        <v/>
      </c>
      <c r="J136" s="65">
        <f>H136+'2026 Aύγουστος'!J136</f>
        <v/>
      </c>
      <c r="K136" s="404">
        <f>J136/$J$117</f>
        <v/>
      </c>
      <c r="L136" s="56">
        <f>'2024_60-69 ΕΞΟΔΑ+ΟΜ 2'!L84</f>
        <v/>
      </c>
      <c r="M136" s="75">
        <f>L136/$L$117</f>
        <v/>
      </c>
      <c r="N136" s="65">
        <f>L136+'2026 Aύγουστος'!N136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2'!L90</f>
        <v/>
      </c>
      <c r="E137" s="75">
        <f>D137/$D$117</f>
        <v/>
      </c>
      <c r="F137" s="65">
        <f>D137+'2026 Aύγουστος'!F137</f>
        <v/>
      </c>
      <c r="G137" s="75">
        <f>F137/$F$117</f>
        <v/>
      </c>
      <c r="H137" s="56">
        <f>ΠΡΟΥΠΟΛΟΓΙΣΜΟΣ_ΕΞΟΔΑ!L396</f>
        <v/>
      </c>
      <c r="I137" s="400">
        <f>H137/$H$117</f>
        <v/>
      </c>
      <c r="J137" s="65">
        <f>H137+'2026 Aύγουστος'!J137</f>
        <v/>
      </c>
      <c r="K137" s="404">
        <f>J137/$J$117</f>
        <v/>
      </c>
      <c r="L137" s="56">
        <f>'2024_60-69 ΕΞΟΔΑ+ΟΜ 2'!L85</f>
        <v/>
      </c>
      <c r="M137" s="75">
        <f>L137/$L$117</f>
        <v/>
      </c>
      <c r="N137" s="65">
        <f>L137+'2026 Aύγουστος'!N137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2'!L91</f>
        <v/>
      </c>
      <c r="E138" s="75">
        <f>D138/$D$117</f>
        <v/>
      </c>
      <c r="F138" s="65">
        <f>D138+'2026 Aύγουστος'!F138</f>
        <v/>
      </c>
      <c r="G138" s="75">
        <f>F138/$F$117</f>
        <v/>
      </c>
      <c r="H138" s="56">
        <f>ΠΡΟΥΠΟΛΟΓΙΣΜΟΣ_ΕΞΟΔΑ!L401</f>
        <v/>
      </c>
      <c r="I138" s="400">
        <f>H138/$H$117</f>
        <v/>
      </c>
      <c r="J138" s="65">
        <f>H138+'2026 Aύγουστος'!J138</f>
        <v/>
      </c>
      <c r="K138" s="404">
        <f>J138/$J$117</f>
        <v/>
      </c>
      <c r="L138" s="56">
        <f>'2024_60-69 ΕΞΟΔΑ+ΟΜ 2'!L86</f>
        <v/>
      </c>
      <c r="M138" s="75">
        <f>L138/$L$117</f>
        <v/>
      </c>
      <c r="N138" s="65">
        <f>L138+'2026 Aύγουστος'!N138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2'!L92</f>
        <v/>
      </c>
      <c r="E139" s="75">
        <f>D139/$D$117</f>
        <v/>
      </c>
      <c r="F139" s="65">
        <f>D139+'2026 Aύγουστος'!F139</f>
        <v/>
      </c>
      <c r="G139" s="75">
        <f>F139/$F$117</f>
        <v/>
      </c>
      <c r="H139" s="56">
        <f>ΠΡΟΥΠΟΛΟΓΙΣΜΟΣ_ΕΞΟΔΑ!L406</f>
        <v/>
      </c>
      <c r="I139" s="400">
        <f>H139/$H$117</f>
        <v/>
      </c>
      <c r="J139" s="65">
        <f>H139+'2026 Aύγουστος'!J139</f>
        <v/>
      </c>
      <c r="K139" s="404">
        <f>J139/$J$117</f>
        <v/>
      </c>
      <c r="L139" s="56">
        <f>'2024_60-69 ΕΞΟΔΑ+ΟΜ 2'!L87</f>
        <v/>
      </c>
      <c r="M139" s="75">
        <f>L139/$L$117</f>
        <v/>
      </c>
      <c r="N139" s="65">
        <f>L139+'2026 Aύγουστος'!N139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2'!L93</f>
        <v/>
      </c>
      <c r="E140" s="75">
        <f>D140/$D$117</f>
        <v/>
      </c>
      <c r="F140" s="65">
        <f>D140+'2026 Aύγουστος'!F140</f>
        <v/>
      </c>
      <c r="G140" s="75">
        <f>F140/$F$117</f>
        <v/>
      </c>
      <c r="H140" s="56">
        <f>ΠΡΟΥΠΟΛΟΓΙΣΜΟΣ_ΕΞΟΔΑ!L411</f>
        <v/>
      </c>
      <c r="I140" s="400">
        <f>H140/$H$117</f>
        <v/>
      </c>
      <c r="J140" s="65">
        <f>H140+'2026 Aύγουστος'!J140</f>
        <v/>
      </c>
      <c r="K140" s="404">
        <f>J140/$J$117</f>
        <v/>
      </c>
      <c r="L140" s="56">
        <f>'2024_60-69 ΕΞΟΔΑ+ΟΜ 2'!L88</f>
        <v/>
      </c>
      <c r="M140" s="75">
        <f>L140/$L$117</f>
        <v/>
      </c>
      <c r="N140" s="65">
        <f>L140+'2026 Aύγουστος'!N140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2'!L94</f>
        <v/>
      </c>
      <c r="E141" s="75">
        <f>D141/$D$117</f>
        <v/>
      </c>
      <c r="F141" s="65">
        <f>D141+'2026 Aύγουστος'!F141</f>
        <v/>
      </c>
      <c r="G141" s="75">
        <f>F141/$F$117</f>
        <v/>
      </c>
      <c r="H141" s="56">
        <f>ΠΡΟΥΠΟΛΟΓΙΣΜΟΣ_ΕΞΟΔΑ!L416</f>
        <v/>
      </c>
      <c r="I141" s="400">
        <f>H141/$H$117</f>
        <v/>
      </c>
      <c r="J141" s="65">
        <f>H141+'2026 Aύγουστος'!J141</f>
        <v/>
      </c>
      <c r="K141" s="404">
        <f>J141/$J$117</f>
        <v/>
      </c>
      <c r="L141" s="56">
        <f>'2024_60-69 ΕΞΟΔΑ+ΟΜ 2'!L89</f>
        <v/>
      </c>
      <c r="M141" s="75">
        <f>L141/$L$117</f>
        <v/>
      </c>
      <c r="N141" s="65">
        <f>L141+'2026 Aύγουστος'!N141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2'!L95</f>
        <v/>
      </c>
      <c r="E142" s="75">
        <f>D142/$D$117</f>
        <v/>
      </c>
      <c r="F142" s="65">
        <f>D142+'2026 Aύγουστος'!F142</f>
        <v/>
      </c>
      <c r="G142" s="75">
        <f>F142/$F$117</f>
        <v/>
      </c>
      <c r="H142" s="56">
        <f>ΠΡΟΥΠΟΛΟΓΙΣΜΟΣ_ΕΞΟΔΑ!L421</f>
        <v/>
      </c>
      <c r="I142" s="400">
        <f>H142/$H$117</f>
        <v/>
      </c>
      <c r="J142" s="65">
        <f>H142+'2026 Aύγουστος'!J142</f>
        <v/>
      </c>
      <c r="K142" s="404">
        <f>J142/$J$117</f>
        <v/>
      </c>
      <c r="L142" s="56">
        <f>'2024_60-69 ΕΞΟΔΑ+ΟΜ 2'!L90</f>
        <v/>
      </c>
      <c r="M142" s="75">
        <f>L142/$L$117</f>
        <v/>
      </c>
      <c r="N142" s="65">
        <f>L142+'2026 Aύγουστος'!N142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2'!L96</f>
        <v/>
      </c>
      <c r="E143" s="75">
        <f>D143/$D$117</f>
        <v/>
      </c>
      <c r="F143" s="65">
        <f>D143+'2026 Aύγουστος'!F143</f>
        <v/>
      </c>
      <c r="G143" s="75">
        <f>F143/$F$117</f>
        <v/>
      </c>
      <c r="H143" s="56">
        <f>ΠΡΟΥΠΟΛΟΓΙΣΜΟΣ_ΕΞΟΔΑ!L426</f>
        <v/>
      </c>
      <c r="I143" s="400">
        <f>H143/$H$117</f>
        <v/>
      </c>
      <c r="J143" s="65">
        <f>H143+'2026 Aύγουστος'!J143</f>
        <v/>
      </c>
      <c r="K143" s="404">
        <f>J143/$J$117</f>
        <v/>
      </c>
      <c r="L143" s="56">
        <f>'2024_60-69 ΕΞΟΔΑ+ΟΜ 2'!L91</f>
        <v/>
      </c>
      <c r="M143" s="75">
        <f>L143/$L$117</f>
        <v/>
      </c>
      <c r="N143" s="65">
        <f>L143+'2026 Aύγουστος'!N143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2'!L97</f>
        <v/>
      </c>
      <c r="E144" s="75">
        <f>D144/$D$117</f>
        <v/>
      </c>
      <c r="F144" s="65">
        <f>D144+'2026 Aύγουστος'!F144</f>
        <v/>
      </c>
      <c r="G144" s="75">
        <f>F144/$F$117</f>
        <v/>
      </c>
      <c r="H144" s="56">
        <f>ΠΡΟΥΠΟΛΟΓΙΣΜΟΣ_ΕΞΟΔΑ!L431</f>
        <v/>
      </c>
      <c r="I144" s="400">
        <f>H144/$H$117</f>
        <v/>
      </c>
      <c r="J144" s="65">
        <f>H144+'2026 Aύγουστος'!J144</f>
        <v/>
      </c>
      <c r="K144" s="404">
        <f>J144/$J$117</f>
        <v/>
      </c>
      <c r="L144" s="56">
        <f>'2024_60-69 ΕΞΟΔΑ+ΟΜ 2'!L92</f>
        <v/>
      </c>
      <c r="M144" s="75">
        <f>L144/$L$117</f>
        <v/>
      </c>
      <c r="N144" s="65">
        <f>L144+'2026 Aύγουστος'!N144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2'!L98</f>
        <v/>
      </c>
      <c r="E145" s="75">
        <f>D145/$D$117</f>
        <v/>
      </c>
      <c r="F145" s="65">
        <f>D145+'2026 Aύγουστος'!F145</f>
        <v/>
      </c>
      <c r="G145" s="75">
        <f>F145/$F$117</f>
        <v/>
      </c>
      <c r="H145" s="56">
        <f>ΠΡΟΥΠΟΛΟΓΙΣΜΟΣ_ΕΞΟΔΑ!L436</f>
        <v/>
      </c>
      <c r="I145" s="400">
        <f>H145/$H$117</f>
        <v/>
      </c>
      <c r="J145" s="65">
        <f>H145+'2026 Aύγουστος'!J145</f>
        <v/>
      </c>
      <c r="K145" s="404">
        <f>J145/$J$117</f>
        <v/>
      </c>
      <c r="L145" s="56">
        <f>'2024_60-69 ΕΞΟΔΑ+ΟΜ 2'!L93</f>
        <v/>
      </c>
      <c r="M145" s="75">
        <f>L145/$L$117</f>
        <v/>
      </c>
      <c r="N145" s="65">
        <f>L145+'2026 Aύγουστος'!N145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2'!L99</f>
        <v/>
      </c>
      <c r="E146" s="75">
        <f>D146/$D$117</f>
        <v/>
      </c>
      <c r="F146" s="65">
        <f>D146+'2026 Aύγουστος'!F146</f>
        <v/>
      </c>
      <c r="G146" s="75">
        <f>F146/$F$117</f>
        <v/>
      </c>
      <c r="H146" s="56">
        <f>ΠΡΟΥΠΟΛΟΓΙΣΜΟΣ_ΕΞΟΔΑ!L441</f>
        <v/>
      </c>
      <c r="I146" s="400">
        <f>H146/$H$117</f>
        <v/>
      </c>
      <c r="J146" s="65">
        <f>H146+'2026 Aύγουστος'!J146</f>
        <v/>
      </c>
      <c r="K146" s="404">
        <f>J146/$J$117</f>
        <v/>
      </c>
      <c r="L146" s="56">
        <f>'2024_60-69 ΕΞΟΔΑ+ΟΜ 2'!L94</f>
        <v/>
      </c>
      <c r="M146" s="75">
        <f>L146/$L$117</f>
        <v/>
      </c>
      <c r="N146" s="65">
        <f>L146+'2026 Aύγουστος'!N146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2'!L100</f>
        <v/>
      </c>
      <c r="E147" s="75">
        <f>D147/$D$117</f>
        <v/>
      </c>
      <c r="F147" s="65">
        <f>D147+'2026 Aύγουστος'!F147</f>
        <v/>
      </c>
      <c r="G147" s="75">
        <f>F147/$F$117</f>
        <v/>
      </c>
      <c r="H147" s="56">
        <f>ΠΡΟΥΠΟΛΟΓΙΣΜΟΣ_ΕΞΟΔΑ!L446</f>
        <v/>
      </c>
      <c r="I147" s="400">
        <f>H147/$H$117</f>
        <v/>
      </c>
      <c r="J147" s="65">
        <f>H147+'2026 Aύγουστος'!J147</f>
        <v/>
      </c>
      <c r="K147" s="404">
        <f>J147/$J$117</f>
        <v/>
      </c>
      <c r="L147" s="56">
        <f>'2024_60-69 ΕΞΟΔΑ+ΟΜ 2'!L95</f>
        <v/>
      </c>
      <c r="M147" s="75">
        <f>L147/$L$117</f>
        <v/>
      </c>
      <c r="N147" s="65">
        <f>L147+'2026 Aύγουστος'!N147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2'!L101</f>
        <v/>
      </c>
      <c r="E148" s="75">
        <f>D148/$D$117</f>
        <v/>
      </c>
      <c r="F148" s="65">
        <f>D148+'2026 Aύγουστος'!F148</f>
        <v/>
      </c>
      <c r="G148" s="75">
        <f>F148/$F$117</f>
        <v/>
      </c>
      <c r="H148" s="56">
        <f>ΠΡΟΥΠΟΛΟΓΙΣΜΟΣ_ΕΞΟΔΑ!L451</f>
        <v/>
      </c>
      <c r="I148" s="400">
        <f>H148/$H$117</f>
        <v/>
      </c>
      <c r="J148" s="65">
        <f>H148+'2026 Aύγουστος'!J148</f>
        <v/>
      </c>
      <c r="K148" s="404">
        <f>J148/$J$117</f>
        <v/>
      </c>
      <c r="L148" s="56">
        <f>'2024_60-69 ΕΞΟΔΑ+ΟΜ 2'!L96</f>
        <v/>
      </c>
      <c r="M148" s="75">
        <f>L148/$L$117</f>
        <v/>
      </c>
      <c r="N148" s="65">
        <f>L148+'2026 Aύγουστος'!N148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2'!L102</f>
        <v/>
      </c>
      <c r="E149" s="75">
        <f>D149/$D$117</f>
        <v/>
      </c>
      <c r="F149" s="65">
        <f>D149+'2026 Aύγουστος'!F149</f>
        <v/>
      </c>
      <c r="G149" s="75">
        <f>F149/$F$117</f>
        <v/>
      </c>
      <c r="H149" s="56">
        <f>ΠΡΟΥΠΟΛΟΓΙΣΜΟΣ_ΕΞΟΔΑ!L456</f>
        <v/>
      </c>
      <c r="I149" s="400">
        <f>H149/$H$117</f>
        <v/>
      </c>
      <c r="J149" s="65">
        <f>H149+'2026 Aύγουστος'!J149</f>
        <v/>
      </c>
      <c r="K149" s="404">
        <f>J149/$J$117</f>
        <v/>
      </c>
      <c r="L149" s="56">
        <f>'2024_60-69 ΕΞΟΔΑ+ΟΜ 2'!L97</f>
        <v/>
      </c>
      <c r="M149" s="75">
        <f>L149/$L$117</f>
        <v/>
      </c>
      <c r="N149" s="65">
        <f>L149+'2026 Aύγουστος'!N149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2'!L103</f>
        <v/>
      </c>
      <c r="E150" s="75">
        <f>D150/$D$117</f>
        <v/>
      </c>
      <c r="F150" s="65">
        <f>D150+'2026 Aύγουστος'!F150</f>
        <v/>
      </c>
      <c r="G150" s="75">
        <f>F150/$F$117</f>
        <v/>
      </c>
      <c r="H150" s="56">
        <f>ΠΡΟΥΠΟΛΟΓΙΣΜΟΣ_ΕΞΟΔΑ!L461</f>
        <v/>
      </c>
      <c r="I150" s="400">
        <f>H150/$H$117</f>
        <v/>
      </c>
      <c r="J150" s="65">
        <f>H150+'2026 Aύγουστος'!J150</f>
        <v/>
      </c>
      <c r="K150" s="404">
        <f>J150/$J$117</f>
        <v/>
      </c>
      <c r="L150" s="56">
        <f>'2024_60-69 ΕΞΟΔΑ+ΟΜ 2'!L98</f>
        <v/>
      </c>
      <c r="M150" s="75">
        <f>L150/$L$117</f>
        <v/>
      </c>
      <c r="N150" s="65">
        <f>L150+'2026 Aύγουστος'!N150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2'!L104</f>
        <v/>
      </c>
      <c r="E151" s="75">
        <f>D151/$D$117</f>
        <v/>
      </c>
      <c r="F151" s="65">
        <f>D151+'2026 Aύγουστος'!F151</f>
        <v/>
      </c>
      <c r="G151" s="75">
        <f>F151/$F$117</f>
        <v/>
      </c>
      <c r="H151" s="56">
        <f>ΠΡΟΥΠΟΛΟΓΙΣΜΟΣ_ΕΞΟΔΑ!L466</f>
        <v/>
      </c>
      <c r="I151" s="400">
        <f>H151/$H$117</f>
        <v/>
      </c>
      <c r="J151" s="65">
        <f>H151+'2026 Aύγουστος'!J151</f>
        <v/>
      </c>
      <c r="K151" s="404">
        <f>J151/$J$117</f>
        <v/>
      </c>
      <c r="L151" s="56">
        <f>'2024_60-69 ΕΞΟΔΑ+ΟΜ 2'!L99</f>
        <v/>
      </c>
      <c r="M151" s="75">
        <f>L151/$L$117</f>
        <v/>
      </c>
      <c r="N151" s="65">
        <f>L151+'2026 Aύγουστος'!N151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2'!L105</f>
        <v/>
      </c>
      <c r="E152" s="75">
        <f>D152/$D$117</f>
        <v/>
      </c>
      <c r="F152" s="65">
        <f>D152+'2026 Aύγουστος'!F152</f>
        <v/>
      </c>
      <c r="G152" s="75">
        <f>F152/$F$117</f>
        <v/>
      </c>
      <c r="H152" s="56">
        <f>ΠΡΟΥΠΟΛΟΓΙΣΜΟΣ_ΕΞΟΔΑ!L471</f>
        <v/>
      </c>
      <c r="I152" s="400">
        <f>H152/$H$117</f>
        <v/>
      </c>
      <c r="J152" s="65">
        <f>H152+'2026 Aύγουστος'!J152</f>
        <v/>
      </c>
      <c r="K152" s="404">
        <f>J152/$J$117</f>
        <v/>
      </c>
      <c r="L152" s="56">
        <f>'2024_60-69 ΕΞΟΔΑ+ΟΜ 2'!L100</f>
        <v/>
      </c>
      <c r="M152" s="75">
        <f>L152/$L$117</f>
        <v/>
      </c>
      <c r="N152" s="65">
        <f>L152+'2026 Aύγουστος'!N152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2'!L106</f>
        <v/>
      </c>
      <c r="E153" s="75">
        <f>D153/$D$117</f>
        <v/>
      </c>
      <c r="F153" s="65">
        <f>D153+'2026 Aύγουστος'!F153</f>
        <v/>
      </c>
      <c r="G153" s="75">
        <f>F153/$F$117</f>
        <v/>
      </c>
      <c r="H153" s="56">
        <f>ΠΡΟΥΠΟΛΟΓΙΣΜΟΣ_ΕΞΟΔΑ!L476</f>
        <v/>
      </c>
      <c r="I153" s="400">
        <f>H153/$H$117</f>
        <v/>
      </c>
      <c r="J153" s="65">
        <f>H153+'2026 Aύγουστος'!J153</f>
        <v/>
      </c>
      <c r="K153" s="404">
        <f>J153/$J$117</f>
        <v/>
      </c>
      <c r="L153" s="56">
        <f>'2024_60-69 ΕΞΟΔΑ+ΟΜ 2'!L101</f>
        <v/>
      </c>
      <c r="M153" s="75">
        <f>L153/$L$117</f>
        <v/>
      </c>
      <c r="N153" s="65">
        <f>L153+'2026 Aύγουστος'!N153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2'!L107</f>
        <v/>
      </c>
      <c r="E154" s="75">
        <f>D154/$D$117</f>
        <v/>
      </c>
      <c r="F154" s="65">
        <f>D154+'2026 Aύγουστος'!F154</f>
        <v/>
      </c>
      <c r="G154" s="75">
        <f>F154/$F$117</f>
        <v/>
      </c>
      <c r="H154" s="56">
        <f>ΠΡΟΥΠΟΛΟΓΙΣΜΟΣ_ΕΞΟΔΑ!L481</f>
        <v/>
      </c>
      <c r="I154" s="400">
        <f>H154/$H$117</f>
        <v/>
      </c>
      <c r="J154" s="65">
        <f>H154+'2026 Aύγουστος'!J154</f>
        <v/>
      </c>
      <c r="K154" s="404">
        <f>J154/$J$117</f>
        <v/>
      </c>
      <c r="L154" s="56">
        <f>'2024_60-69 ΕΞΟΔΑ+ΟΜ 2'!L102</f>
        <v/>
      </c>
      <c r="M154" s="75">
        <f>L154/$L$117</f>
        <v/>
      </c>
      <c r="N154" s="65">
        <f>L154+'2026 Aύγουστος'!N154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2'!L108</f>
        <v/>
      </c>
      <c r="E155" s="75">
        <f>D155/$D$117</f>
        <v/>
      </c>
      <c r="F155" s="65">
        <f>D155+'2026 Aύγουστος'!F155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2'!L70</f>
        <v/>
      </c>
      <c r="E158" s="81" t="n"/>
      <c r="F158" s="64">
        <f>'2026_60-69 ΕΞΟΔΑ+ΟΜ 2'!Y70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9">
        <f>ΑΝΤΙΣΤΟΙΧΙΣΗ!$F$115</f>
        <v/>
      </c>
      <c r="E3" s="551" t="n"/>
      <c r="F3" s="550" t="n"/>
      <c r="G3" s="107">
        <f>ΑΝΤΙΣΤΟΙΧΙΣΗ!$D$34</f>
        <v/>
      </c>
      <c r="H3" s="549">
        <f>ΑΝΤΙΣΤΟΙΧΙΣΗ!$F$115</f>
        <v/>
      </c>
      <c r="I3" s="551" t="n"/>
      <c r="J3" s="550" t="n"/>
      <c r="K3" s="107">
        <f>ΑΝΤΙΣΤΟΙΧΙΣΗ!$D$34</f>
        <v/>
      </c>
      <c r="L3" s="549">
        <f>ΑΝΤΙΣΤΟΙΧΙΣΗ!$F$129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'2026_ΕΣΟΔΑ'!L2</f>
        <v/>
      </c>
      <c r="E8" s="53">
        <f>D8/$D$7</f>
        <v/>
      </c>
      <c r="F8" s="54">
        <f>D8+'2026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H8+'2026 Σεπτέμβριος'!J8</f>
        <v/>
      </c>
      <c r="K8" s="53">
        <f>J8/$J$7</f>
        <v/>
      </c>
      <c r="L8" s="89">
        <f>'2024_60-69 ΕΞΟΔΑ+ΟΜ 2'!L114</f>
        <v/>
      </c>
      <c r="M8" s="53">
        <f>L8/$L$7</f>
        <v/>
      </c>
      <c r="N8" s="54">
        <f>L8+'2026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'2026_ΕΣΟΔΑ'!L3</f>
        <v/>
      </c>
      <c r="E9" s="53">
        <f>D9/$D$7</f>
        <v/>
      </c>
      <c r="F9" s="54">
        <f>D9+'2026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H9+'2026 Σεπτέμβριος'!J9</f>
        <v/>
      </c>
      <c r="K9" s="53">
        <f>J9/$J$7</f>
        <v/>
      </c>
      <c r="L9" s="89">
        <f>'2024_60-69 ΕΞΟΔΑ+ΟΜ 2'!L115</f>
        <v/>
      </c>
      <c r="M9" s="53">
        <f>L9/$L$7</f>
        <v/>
      </c>
      <c r="N9" s="54">
        <f>L9+'2026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'2026_ΕΣΟΔΑ'!L4</f>
        <v/>
      </c>
      <c r="E10" s="53">
        <f>D10/$D$7</f>
        <v/>
      </c>
      <c r="F10" s="54">
        <f>D10+'2026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H10+'2026 Σεπτέμβριος'!J10</f>
        <v/>
      </c>
      <c r="K10" s="53">
        <f>J10/$J$7</f>
        <v/>
      </c>
      <c r="L10" s="89">
        <f>'2024_60-69 ΕΞΟΔΑ+ΟΜ 2'!L116</f>
        <v/>
      </c>
      <c r="M10" s="53">
        <f>L10/$L$7</f>
        <v/>
      </c>
      <c r="N10" s="54">
        <f>L10+'2026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'2026_ΕΣΟΔΑ'!L5</f>
        <v/>
      </c>
      <c r="E11" s="53">
        <f>D11/$D$7</f>
        <v/>
      </c>
      <c r="F11" s="54">
        <f>D11+'2026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H11+'2026 Σεπτέμβριος'!J11</f>
        <v/>
      </c>
      <c r="K11" s="53">
        <f>J11/$J$7</f>
        <v/>
      </c>
      <c r="L11" s="89">
        <f>'2024_60-69 ΕΞΟΔΑ+ΟΜ 2'!L117</f>
        <v/>
      </c>
      <c r="M11" s="53">
        <f>L11/$L$7</f>
        <v/>
      </c>
      <c r="N11" s="54">
        <f>L11+'2026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'2026_ΕΣΟΔΑ'!L6</f>
        <v/>
      </c>
      <c r="E12" s="53">
        <f>D12/$D$7</f>
        <v/>
      </c>
      <c r="F12" s="54">
        <f>D12+'2026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H12+'2026 Σεπτέμβριος'!J12</f>
        <v/>
      </c>
      <c r="K12" s="53">
        <f>J12/$J$7</f>
        <v/>
      </c>
      <c r="L12" s="89">
        <f>'2024_60-69 ΕΞΟΔΑ+ΟΜ 2'!L118</f>
        <v/>
      </c>
      <c r="M12" s="53">
        <f>L12/$L$7</f>
        <v/>
      </c>
      <c r="N12" s="54">
        <f>L12+'2026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'2026_ΕΣΟΔΑ'!L7</f>
        <v/>
      </c>
      <c r="E13" s="53">
        <f>D13/$D$7</f>
        <v/>
      </c>
      <c r="F13" s="54">
        <f>D13+'2026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H13+'2026 Σεπτέμβριος'!J13</f>
        <v/>
      </c>
      <c r="K13" s="53">
        <f>J13/$J$7</f>
        <v/>
      </c>
      <c r="L13" s="89">
        <f>'2024_60-69 ΕΞΟΔΑ+ΟΜ 2'!L119</f>
        <v/>
      </c>
      <c r="M13" s="53">
        <f>L13/$L$7</f>
        <v/>
      </c>
      <c r="N13" s="54">
        <f>L13+'2026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'2026_ΕΣΟΔΑ'!L8</f>
        <v/>
      </c>
      <c r="E14" s="53">
        <f>D14/$D$7</f>
        <v/>
      </c>
      <c r="F14" s="54">
        <f>D14+'2026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H14+'2026 Σεπτέμβριος'!J14</f>
        <v/>
      </c>
      <c r="K14" s="53">
        <f>J14/$J$7</f>
        <v/>
      </c>
      <c r="L14" s="89">
        <f>'2024_60-69 ΕΞΟΔΑ+ΟΜ 2'!L120</f>
        <v/>
      </c>
      <c r="M14" s="53">
        <f>L14/$L$7</f>
        <v/>
      </c>
      <c r="N14" s="54">
        <f>L14+'2026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'2026_ΕΣΟΔΑ'!L9</f>
        <v/>
      </c>
      <c r="E15" s="53">
        <f>D15/$D$7</f>
        <v/>
      </c>
      <c r="F15" s="54">
        <f>D15+'2026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H15+'2026 Σεπτέμβριος'!J15</f>
        <v/>
      </c>
      <c r="K15" s="53">
        <f>J15/$J$7</f>
        <v/>
      </c>
      <c r="L15" s="89">
        <f>'2024_60-69 ΕΞΟΔΑ+ΟΜ 2'!L121</f>
        <v/>
      </c>
      <c r="M15" s="53">
        <f>L15/$L$7</f>
        <v/>
      </c>
      <c r="N15" s="54">
        <f>L15+'2026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'2026_ΕΣΟΔΑ'!L10</f>
        <v/>
      </c>
      <c r="E16" s="53">
        <f>D16/$D$7</f>
        <v/>
      </c>
      <c r="F16" s="54">
        <f>D16+'2026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H16+'2026 Σεπτέμβριος'!J16</f>
        <v/>
      </c>
      <c r="K16" s="53">
        <f>J16/$J$7</f>
        <v/>
      </c>
      <c r="L16" s="89">
        <f>'2024_60-69 ΕΞΟΔΑ+ΟΜ 2'!L122</f>
        <v/>
      </c>
      <c r="M16" s="53">
        <f>L16/$L$7</f>
        <v/>
      </c>
      <c r="N16" s="54">
        <f>L16+'2026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'2026_ΕΣΟΔΑ'!L11</f>
        <v/>
      </c>
      <c r="E17" s="53">
        <f>D17/$D$7</f>
        <v/>
      </c>
      <c r="F17" s="54">
        <f>D17+'2026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H17+'2026 Σεπτέμβριος'!J17</f>
        <v/>
      </c>
      <c r="K17" s="53">
        <f>J17/$J$7</f>
        <v/>
      </c>
      <c r="L17" s="89">
        <f>'2024_60-69 ΕΞΟΔΑ+ΟΜ 2'!L123</f>
        <v/>
      </c>
      <c r="M17" s="53">
        <f>L17/$L$7</f>
        <v/>
      </c>
      <c r="N17" s="54">
        <f>L17+'2026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'2026_ΕΣΟΔΑ'!L12</f>
        <v/>
      </c>
      <c r="E18" s="53">
        <f>D18/$D$7</f>
        <v/>
      </c>
      <c r="F18" s="54">
        <f>D18+'2026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H18+'2026 Σεπτέμβριος'!J18</f>
        <v/>
      </c>
      <c r="K18" s="53">
        <f>J18/$J$7</f>
        <v/>
      </c>
      <c r="L18" s="89">
        <f>'2024_60-69 ΕΞΟΔΑ+ΟΜ 2'!L124</f>
        <v/>
      </c>
      <c r="M18" s="53">
        <f>L18/$L$7</f>
        <v/>
      </c>
      <c r="N18" s="54">
        <f>L18+'2026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'2026_ΕΣΟΔΑ'!L13</f>
        <v/>
      </c>
      <c r="E19" s="53">
        <f>D19/$D$7</f>
        <v/>
      </c>
      <c r="F19" s="54">
        <f>D19+'2026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H19+'2026 Σεπτέμβριος'!J19</f>
        <v/>
      </c>
      <c r="K19" s="53">
        <f>J19/$J$7</f>
        <v/>
      </c>
      <c r="L19" s="89">
        <f>'2024_60-69 ΕΞΟΔΑ+ΟΜ 2'!L125</f>
        <v/>
      </c>
      <c r="M19" s="53">
        <f>L19/$L$7</f>
        <v/>
      </c>
      <c r="N19" s="54">
        <f>L19+'2026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'2026_ΕΣΟΔΑ'!L14</f>
        <v/>
      </c>
      <c r="E20" s="53">
        <f>D20/$D$7</f>
        <v/>
      </c>
      <c r="F20" s="54">
        <f>D20+'2026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H20+'2026 Σεπτέμβριος'!J20</f>
        <v/>
      </c>
      <c r="K20" s="53">
        <f>J20/$J$7</f>
        <v/>
      </c>
      <c r="L20" s="89">
        <f>'2024_60-69 ΕΞΟΔΑ+ΟΜ 2'!L126</f>
        <v/>
      </c>
      <c r="M20" s="53">
        <f>L20/$L$7</f>
        <v/>
      </c>
      <c r="N20" s="54">
        <f>L20+'2026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'2026_ΕΣΟΔΑ'!L15</f>
        <v/>
      </c>
      <c r="E21" s="53">
        <f>D21/$D$7</f>
        <v/>
      </c>
      <c r="F21" s="54">
        <f>D21+'2026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H21+'2026 Σεπτέμβριος'!J21</f>
        <v/>
      </c>
      <c r="K21" s="53">
        <f>J21/$J$7</f>
        <v/>
      </c>
      <c r="L21" s="89">
        <f>'2024_60-69 ΕΞΟΔΑ+ΟΜ 2'!L127</f>
        <v/>
      </c>
      <c r="M21" s="53">
        <f>L21/$L$7</f>
        <v/>
      </c>
      <c r="N21" s="54">
        <f>L21+'2026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'2026_ΕΣΟΔΑ'!L16</f>
        <v/>
      </c>
      <c r="E22" s="53">
        <f>D22/$D$7</f>
        <v/>
      </c>
      <c r="F22" s="54">
        <f>D22+'2026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H22+'2026 Σεπτέμβριος'!J22</f>
        <v/>
      </c>
      <c r="K22" s="53">
        <f>J22/$J$7</f>
        <v/>
      </c>
      <c r="L22" s="89">
        <f>'2024_60-69 ΕΞΟΔΑ+ΟΜ 2'!L128</f>
        <v/>
      </c>
      <c r="M22" s="53">
        <f>L22/$L$7</f>
        <v/>
      </c>
      <c r="N22" s="54">
        <f>L22+'2026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'2026_ΕΣΟΔΑ'!L17</f>
        <v/>
      </c>
      <c r="E23" s="53">
        <f>D23/$D$7</f>
        <v/>
      </c>
      <c r="F23" s="54">
        <f>D23+'2026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H23+'2026 Σεπτέμβριος'!J23</f>
        <v/>
      </c>
      <c r="K23" s="53">
        <f>J23/$J$7</f>
        <v/>
      </c>
      <c r="L23" s="89">
        <f>'2024_60-69 ΕΞΟΔΑ+ΟΜ 2'!L129</f>
        <v/>
      </c>
      <c r="M23" s="53">
        <f>L23/$L$7</f>
        <v/>
      </c>
      <c r="N23" s="54">
        <f>L23+'2026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'2026_ΕΣΟΔΑ'!L19</f>
        <v/>
      </c>
      <c r="E25" s="53">
        <f>D25/$D$7</f>
        <v/>
      </c>
      <c r="F25" s="54">
        <f>D25+'2026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H25+'2026 Σεπτέμβριος'!J25</f>
        <v/>
      </c>
      <c r="K25" s="53">
        <f>J25/$J$7</f>
        <v/>
      </c>
      <c r="L25" s="89">
        <f>'2024_60-69 ΕΞΟΔΑ+ΟΜ 2'!L130</f>
        <v/>
      </c>
      <c r="M25" s="53">
        <f>L25/$L$7</f>
        <v/>
      </c>
      <c r="N25" s="54">
        <f>L25+'2026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'2026_ΕΣΟΔΑ'!L20</f>
        <v/>
      </c>
      <c r="E26" s="53">
        <f>D26/$D$7</f>
        <v/>
      </c>
      <c r="F26" s="54">
        <f>D26+'2026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H26+'2026 Σεπτέμβριος'!J26</f>
        <v/>
      </c>
      <c r="K26" s="53">
        <f>J26/$J$7</f>
        <v/>
      </c>
      <c r="L26" s="89">
        <f>'2024_60-69 ΕΞΟΔΑ+ΟΜ 2'!L131</f>
        <v/>
      </c>
      <c r="M26" s="53">
        <f>L26/$L$7</f>
        <v/>
      </c>
      <c r="N26" s="54">
        <f>L26+'2026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'2026_ΕΣΟΔΑ'!L21</f>
        <v/>
      </c>
      <c r="E27" s="53">
        <f>D27/$D$7</f>
        <v/>
      </c>
      <c r="F27" s="54">
        <f>D27+'2026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H27+'2026 Σεπτέμβριος'!J27</f>
        <v/>
      </c>
      <c r="K27" s="53">
        <f>J27/$J$7</f>
        <v/>
      </c>
      <c r="L27" s="89">
        <f>'2024_60-69 ΕΞΟΔΑ+ΟΜ 2'!L132</f>
        <v/>
      </c>
      <c r="M27" s="53">
        <f>L27/$L$7</f>
        <v/>
      </c>
      <c r="N27" s="54">
        <f>L27+'2026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'2026_ΕΣΟΔΑ'!L22</f>
        <v/>
      </c>
      <c r="E28" s="53">
        <f>D28/$D$7</f>
        <v/>
      </c>
      <c r="F28" s="54">
        <f>D28+'2026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H28+'2026 Σεπτέμβριος'!J28</f>
        <v/>
      </c>
      <c r="K28" s="53">
        <f>J28/$J$7</f>
        <v/>
      </c>
      <c r="L28" s="89">
        <f>'2024_60-69 ΕΞΟΔΑ+ΟΜ 2'!L133</f>
        <v/>
      </c>
      <c r="M28" s="53">
        <f>L28/$L$7</f>
        <v/>
      </c>
      <c r="N28" s="54">
        <f>L28+'2026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'2026_ΕΣΟΔΑ'!L23</f>
        <v/>
      </c>
      <c r="E29" s="53">
        <f>D29/$D$7</f>
        <v/>
      </c>
      <c r="F29" s="54">
        <f>D29+'2026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H29+'2026 Σεπτέμβριος'!J29</f>
        <v/>
      </c>
      <c r="K29" s="53">
        <f>J29/$J$7</f>
        <v/>
      </c>
      <c r="L29" s="89">
        <f>'2024_60-69 ΕΞΟΔΑ+ΟΜ 2'!L134</f>
        <v/>
      </c>
      <c r="M29" s="53">
        <f>L29/$L$7</f>
        <v/>
      </c>
      <c r="N29" s="54">
        <f>L29+'2026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'2026_ΕΣΟΔΑ'!L24</f>
        <v/>
      </c>
      <c r="E30" s="53">
        <f>D30/$D$7</f>
        <v/>
      </c>
      <c r="F30" s="54">
        <f>D30+'2026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H30+'2026 Σεπτέμβριος'!J30</f>
        <v/>
      </c>
      <c r="K30" s="53">
        <f>J30/$J$7</f>
        <v/>
      </c>
      <c r="L30" s="89">
        <f>'2024_60-69 ΕΞΟΔΑ+ΟΜ 2'!L135</f>
        <v/>
      </c>
      <c r="M30" s="53">
        <f>L30/$L$7</f>
        <v/>
      </c>
      <c r="N30" s="54">
        <f>L30+'2026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'2026_ΕΣΟΔΑ'!L25</f>
        <v/>
      </c>
      <c r="E31" s="53">
        <f>D31/$D$7</f>
        <v/>
      </c>
      <c r="F31" s="54">
        <f>D31+'2026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H31+'2026 Σεπτέμβριος'!J31</f>
        <v/>
      </c>
      <c r="K31" s="53">
        <f>J31/$J$7</f>
        <v/>
      </c>
      <c r="L31" s="89">
        <f>'2024_60-69 ΕΞΟΔΑ+ΟΜ 2'!L136</f>
        <v/>
      </c>
      <c r="M31" s="53">
        <f>L31/$L$7</f>
        <v/>
      </c>
      <c r="N31" s="54">
        <f>L31+'2026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'2026_ΕΣΟΔΑ'!L26</f>
        <v/>
      </c>
      <c r="E32" s="53">
        <f>D32/$D$7</f>
        <v/>
      </c>
      <c r="F32" s="54">
        <f>D32+'2026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H32+'2026 Σεπτέμβριος'!J32</f>
        <v/>
      </c>
      <c r="K32" s="53">
        <f>J32/$J$7</f>
        <v/>
      </c>
      <c r="L32" s="89">
        <f>'2024_60-69 ΕΞΟΔΑ+ΟΜ 2'!L137</f>
        <v/>
      </c>
      <c r="M32" s="53">
        <f>L32/$L$7</f>
        <v/>
      </c>
      <c r="N32" s="54">
        <f>L32+'2026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'2026_ΕΣΟΔΑ'!L27</f>
        <v/>
      </c>
      <c r="E33" s="53">
        <f>D33/$D$7</f>
        <v/>
      </c>
      <c r="F33" s="54">
        <f>D33+'2026 Σεπτέμβριος'!F33</f>
        <v/>
      </c>
      <c r="G33" s="53">
        <f>F33/$F$7</f>
        <v/>
      </c>
      <c r="H33" s="54" t="n"/>
      <c r="I33" s="53">
        <f>H33/$H$7</f>
        <v/>
      </c>
      <c r="J33" s="54">
        <f>H33+'2026 Σεπτέμβριος'!J33</f>
        <v/>
      </c>
      <c r="K33" s="53">
        <f>J33/$J$7</f>
        <v/>
      </c>
      <c r="L33" s="89">
        <f>'2024_60-69 ΕΞΟΔΑ+ΟΜ 2'!L138</f>
        <v/>
      </c>
      <c r="M33" s="53">
        <f>L33/$L$7</f>
        <v/>
      </c>
      <c r="N33" s="54">
        <f>L33+'2026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'2026_ΕΣΟΔΑ'!L28</f>
        <v/>
      </c>
      <c r="E34" s="53">
        <f>D34/$D$7</f>
        <v/>
      </c>
      <c r="F34" s="54">
        <f>D34+'2026 Σεπτέμβριος'!F34</f>
        <v/>
      </c>
      <c r="G34" s="53">
        <f>F34/$F$7</f>
        <v/>
      </c>
      <c r="H34" s="54" t="n"/>
      <c r="I34" s="53">
        <f>H34/$H$7</f>
        <v/>
      </c>
      <c r="J34" s="54">
        <f>H34+'2026 Σεπτέμβριος'!J34</f>
        <v/>
      </c>
      <c r="K34" s="53">
        <f>J34/$J$7</f>
        <v/>
      </c>
      <c r="L34" s="89">
        <f>'2024_60-69 ΕΞΟΔΑ+ΟΜ 2'!L139</f>
        <v/>
      </c>
      <c r="M34" s="53">
        <f>L34/$L$7</f>
        <v/>
      </c>
      <c r="N34" s="54">
        <f>L34+'2026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'2026_ΕΣΟΔΑ'!L29</f>
        <v/>
      </c>
      <c r="E35" s="53">
        <f>D35/$D$7</f>
        <v/>
      </c>
      <c r="F35" s="54">
        <f>D35+'2026 Σεπτέμβριος'!F35</f>
        <v/>
      </c>
      <c r="G35" s="53">
        <f>F35/$F$7</f>
        <v/>
      </c>
      <c r="H35" s="54" t="n"/>
      <c r="I35" s="53">
        <f>H35/$H$7</f>
        <v/>
      </c>
      <c r="J35" s="54">
        <f>H35+'2026 Σεπτέμβριος'!J35</f>
        <v/>
      </c>
      <c r="K35" s="53">
        <f>J35/$J$7</f>
        <v/>
      </c>
      <c r="L35" s="89">
        <f>'2024_60-69 ΕΞΟΔΑ+ΟΜ 2'!L140</f>
        <v/>
      </c>
      <c r="M35" s="53">
        <f>L35/$L$7</f>
        <v/>
      </c>
      <c r="N35" s="54">
        <f>L35+'2026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'2026_ΕΣΟΔΑ'!L30</f>
        <v/>
      </c>
      <c r="E36" s="53">
        <f>D36/$D$7</f>
        <v/>
      </c>
      <c r="F36" s="54">
        <f>D36+'2026 Σεπτέμβριος'!F36</f>
        <v/>
      </c>
      <c r="G36" s="53">
        <f>F36/$F$7</f>
        <v/>
      </c>
      <c r="H36" s="54" t="n"/>
      <c r="I36" s="53">
        <f>H36/$H$7</f>
        <v/>
      </c>
      <c r="J36" s="54">
        <f>H36+'2026 Σεπτέμβριος'!J36</f>
        <v/>
      </c>
      <c r="K36" s="53">
        <f>J36/$J$7</f>
        <v/>
      </c>
      <c r="L36" s="89">
        <f>'2024_60-69 ΕΞΟΔΑ+ΟΜ 2'!L141</f>
        <v/>
      </c>
      <c r="M36" s="53">
        <f>L36/$L$7</f>
        <v/>
      </c>
      <c r="N36" s="54">
        <f>L36+'2026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'2026_ΕΣΟΔΑ'!L31</f>
        <v/>
      </c>
      <c r="E37" s="53">
        <f>D37/$D$7</f>
        <v/>
      </c>
      <c r="F37" s="54">
        <f>D37+'2026 Σεπτέμβριος'!F37</f>
        <v/>
      </c>
      <c r="G37" s="53">
        <f>F37/$F$7</f>
        <v/>
      </c>
      <c r="H37" s="54" t="n"/>
      <c r="I37" s="53">
        <f>H37/$H$7</f>
        <v/>
      </c>
      <c r="J37" s="54">
        <f>H37+'2026 Σεπτέμβριος'!J37</f>
        <v/>
      </c>
      <c r="K37" s="53">
        <f>J37/$J$7</f>
        <v/>
      </c>
      <c r="L37" s="89">
        <f>'2024_60-69 ΕΞΟΔΑ+ΟΜ 2'!L142</f>
        <v/>
      </c>
      <c r="M37" s="53">
        <f>L37/$L$7</f>
        <v/>
      </c>
      <c r="N37" s="54">
        <f>L37+'2026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'2026_ΕΣΟΔΑ'!L32</f>
        <v/>
      </c>
      <c r="E38" s="53">
        <f>D38/$D$7</f>
        <v/>
      </c>
      <c r="F38" s="54">
        <f>D38+'2026 Σεπτέμβριος'!F38</f>
        <v/>
      </c>
      <c r="G38" s="53">
        <f>F38/$F$7</f>
        <v/>
      </c>
      <c r="H38" s="54" t="n"/>
      <c r="I38" s="53">
        <f>H38/$H$7</f>
        <v/>
      </c>
      <c r="J38" s="54">
        <f>H38+'2026 Σεπτέμβριος'!J38</f>
        <v/>
      </c>
      <c r="K38" s="53">
        <f>J38/$J$7</f>
        <v/>
      </c>
      <c r="L38" s="89">
        <f>'2024_60-69 ΕΞΟΔΑ+ΟΜ 2'!L143</f>
        <v/>
      </c>
      <c r="M38" s="53">
        <f>L38/$L$7</f>
        <v/>
      </c>
      <c r="N38" s="54">
        <f>L38+'2026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'2026_ΕΣΟΔΑ'!L33</f>
        <v/>
      </c>
      <c r="E39" s="81" t="n"/>
      <c r="F39" s="64">
        <f>'2026_ΕΣΟΔΑ'!L35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ΑΝΤΙΣΤΟΙΧΙΣΗ!$F$115</f>
        <v/>
      </c>
      <c r="E42" s="551" t="n"/>
      <c r="F42" s="550" t="n"/>
      <c r="G42" s="107">
        <f>ΑΝΤΙΣΤΟΙΧΙΣΗ!$D$34</f>
        <v/>
      </c>
      <c r="H42" s="549">
        <f>ΑΝΤΙΣΤΟΙΧΙΣΗ!$F$115</f>
        <v/>
      </c>
      <c r="I42" s="551" t="n"/>
      <c r="J42" s="550" t="n"/>
      <c r="K42" s="107">
        <f>ΑΝΤΙΣΤΟΙΧΙΣΗ!$D$34</f>
        <v/>
      </c>
      <c r="L42" s="549">
        <f>ΑΝΤΙΣΤΟΙΧΙΣΗ!$F$129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2'!M4</f>
        <v/>
      </c>
      <c r="E45" s="75">
        <f>D45/$D$44</f>
        <v/>
      </c>
      <c r="F45" s="65">
        <f>D45+'2026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H45+'2026 Σεπτέμβριος'!J45</f>
        <v/>
      </c>
      <c r="K45" s="404">
        <f>J45/$J$44</f>
        <v/>
      </c>
      <c r="L45" s="56">
        <f>'2024_60-69 ΕΞΟΔΑ+ΟΜ 2'!M4</f>
        <v/>
      </c>
      <c r="M45" s="75">
        <f>L45/$L$44</f>
        <v/>
      </c>
      <c r="N45" s="65">
        <f>L45+'2026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2'!M5</f>
        <v/>
      </c>
      <c r="E46" s="75">
        <f>D46/$D$44</f>
        <v/>
      </c>
      <c r="F46" s="65">
        <f>D46+'2026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H46+'2026 Σεπτέμβριος'!J46</f>
        <v/>
      </c>
      <c r="K46" s="404">
        <f>J46/$J$44</f>
        <v/>
      </c>
      <c r="L46" s="56">
        <f>'2024_60-69 ΕΞΟΔΑ+ΟΜ 2'!M5</f>
        <v/>
      </c>
      <c r="M46" s="75">
        <f>L46/$L$44</f>
        <v/>
      </c>
      <c r="N46" s="65">
        <f>L46+'2026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2'!M6</f>
        <v/>
      </c>
      <c r="E47" s="75">
        <f>D47/$D$44</f>
        <v/>
      </c>
      <c r="F47" s="65">
        <f>D47+'2026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H47+'2026 Σεπτέμβριος'!J47</f>
        <v/>
      </c>
      <c r="K47" s="404">
        <f>J47/$J$44</f>
        <v/>
      </c>
      <c r="L47" s="56">
        <f>'2024_60-69 ΕΞΟΔΑ+ΟΜ 2'!M6</f>
        <v/>
      </c>
      <c r="M47" s="75">
        <f>L47/$L$44</f>
        <v/>
      </c>
      <c r="N47" s="65">
        <f>L47+'2026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2'!M7</f>
        <v/>
      </c>
      <c r="E48" s="75">
        <f>D48/$D$85</f>
        <v/>
      </c>
      <c r="F48" s="114">
        <f>D48+'2026 Σεπτέμβριος'!F48</f>
        <v/>
      </c>
      <c r="G48" s="75">
        <f>F48/$F$85</f>
        <v/>
      </c>
      <c r="H48" s="56">
        <f>ΠΡΟΥΠΟΛΟΓΙΣΜΟΣ_ΕΞΟΔΑ!M167</f>
        <v/>
      </c>
      <c r="I48" s="401">
        <f>H48/$H$85</f>
        <v/>
      </c>
      <c r="J48" s="402">
        <f>H48+'2026 Σεπτέμβριος'!J45</f>
        <v/>
      </c>
      <c r="K48" s="403">
        <f>J48/$J$85</f>
        <v/>
      </c>
      <c r="L48" s="114">
        <f>'2024_60-69 ΕΞΟΔΑ+ΟΜ 2'!M35</f>
        <v/>
      </c>
      <c r="M48" s="75">
        <f>L48/$L$85</f>
        <v/>
      </c>
      <c r="N48" s="65">
        <f>L48+'2026 Σεπτέμβριος'!N48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2'!M8</f>
        <v/>
      </c>
      <c r="E49" s="75">
        <f>D49/$D$85</f>
        <v/>
      </c>
      <c r="F49" s="114">
        <f>D49+'2026 Σεπτέμβριος'!F49</f>
        <v/>
      </c>
      <c r="G49" s="75">
        <f>F49/$F$85</f>
        <v/>
      </c>
      <c r="H49" s="56">
        <f>ΠΡΟΥΠΟΛΟΓΙΣΜΟΣ_ΕΞΟΔΑ!M172</f>
        <v/>
      </c>
      <c r="I49" s="401">
        <f>H49/$H$85</f>
        <v/>
      </c>
      <c r="J49" s="402">
        <f>H49+'2026 Σεπτέμβριος'!J46</f>
        <v/>
      </c>
      <c r="K49" s="403">
        <f>J49/$J$85</f>
        <v/>
      </c>
      <c r="L49" s="114">
        <f>'2024_60-69 ΕΞΟΔΑ+ΟΜ 2'!M36</f>
        <v/>
      </c>
      <c r="M49" s="75">
        <f>L49/$L$85</f>
        <v/>
      </c>
      <c r="N49" s="65">
        <f>L49+'2026 Σεπτέμβριος'!N49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2'!M9</f>
        <v/>
      </c>
      <c r="E50" s="75">
        <f>D50/$D$44</f>
        <v/>
      </c>
      <c r="F50" s="65">
        <f>D50+'2026 Σεπτέμβριος'!F50</f>
        <v/>
      </c>
      <c r="G50" s="75">
        <f>F50/$F$44</f>
        <v/>
      </c>
      <c r="H50" s="56">
        <f>ΠΡΟΥΠΟΛΟΓΙΣΜΟΣ_ΕΞΟΔΑ!M23</f>
        <v/>
      </c>
      <c r="I50" s="400">
        <f>H50/$H$44</f>
        <v/>
      </c>
      <c r="J50" s="65">
        <f>H50+'2026 Σεπτέμβριος'!J50</f>
        <v/>
      </c>
      <c r="K50" s="404">
        <f>J50/$J$44</f>
        <v/>
      </c>
      <c r="L50" s="56">
        <f>'2024_60-69 ΕΞΟΔΑ+ΟΜ 2'!M7</f>
        <v/>
      </c>
      <c r="M50" s="75">
        <f>L50/$L$44</f>
        <v/>
      </c>
      <c r="N50" s="65">
        <f>L50+'2026 Σεπτέμβριος'!N50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2'!M10</f>
        <v/>
      </c>
      <c r="E51" s="75">
        <f>D51/$D$44</f>
        <v/>
      </c>
      <c r="F51" s="65">
        <f>D51+'2026 Σεπτέμβριος'!F51</f>
        <v/>
      </c>
      <c r="G51" s="75">
        <f>F51/$F$44</f>
        <v/>
      </c>
      <c r="H51" s="56">
        <f>ΠΡΟΥΠΟΛΟΓΙΣΜΟΣ_ΕΞΟΔΑ!M28</f>
        <v/>
      </c>
      <c r="I51" s="400">
        <f>H51/$H$44</f>
        <v/>
      </c>
      <c r="J51" s="65">
        <f>H51+'2026 Σεπτέμβριος'!J51</f>
        <v/>
      </c>
      <c r="K51" s="404">
        <f>J51/$J$44</f>
        <v/>
      </c>
      <c r="L51" s="56">
        <f>'2024_60-69 ΕΞΟΔΑ+ΟΜ 2'!M8</f>
        <v/>
      </c>
      <c r="M51" s="75">
        <f>L51/$L$44</f>
        <v/>
      </c>
      <c r="N51" s="65">
        <f>L51+'2026 Σεπτέμβριος'!N51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2'!M11</f>
        <v/>
      </c>
      <c r="E52" s="75">
        <f>D52/$D$44</f>
        <v/>
      </c>
      <c r="F52" s="65">
        <f>D52+'2026 Σεπτέμβριος'!F52</f>
        <v/>
      </c>
      <c r="G52" s="75">
        <f>F52/$F$44</f>
        <v/>
      </c>
      <c r="H52" s="56">
        <f>ΠΡΟΥΠΟΛΟΓΙΣΜΟΣ_ΕΞΟΔΑ!M33</f>
        <v/>
      </c>
      <c r="I52" s="400">
        <f>H52/$H$44</f>
        <v/>
      </c>
      <c r="J52" s="65">
        <f>H52+'2026 Σεπτέμβριος'!J52</f>
        <v/>
      </c>
      <c r="K52" s="404">
        <f>J52/$J$44</f>
        <v/>
      </c>
      <c r="L52" s="56">
        <f>'2024_60-69 ΕΞΟΔΑ+ΟΜ 2'!M9</f>
        <v/>
      </c>
      <c r="M52" s="75">
        <f>L52/$L$44</f>
        <v/>
      </c>
      <c r="N52" s="65">
        <f>L52+'2026 Σεπτέμβριος'!N52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2'!M12</f>
        <v/>
      </c>
      <c r="E53" s="75">
        <f>D53/$D$85</f>
        <v/>
      </c>
      <c r="F53" s="114">
        <f>D53+'2026 Σεπτέμβριος'!F53</f>
        <v/>
      </c>
      <c r="G53" s="75">
        <f>F53/$F$85</f>
        <v/>
      </c>
      <c r="H53" s="56">
        <f>ΠΡΟΥΠΟΛΟΓΙΣΜΟΣ_ΕΞΟΔΑ!M187</f>
        <v/>
      </c>
      <c r="I53" s="401">
        <f>H53/$H$85</f>
        <v/>
      </c>
      <c r="J53" s="402">
        <f>H53+'2026 Σεπτέμβριος'!J51</f>
        <v/>
      </c>
      <c r="K53" s="403">
        <f>J53/$J$85</f>
        <v/>
      </c>
      <c r="L53" s="114">
        <f>'2024_60-69 ΕΞΟΔΑ+ΟΜ 2'!M39</f>
        <v/>
      </c>
      <c r="M53" s="75">
        <f>L53/$L$85</f>
        <v/>
      </c>
      <c r="N53" s="65">
        <f>L53+'2026 Σεπτέμβριος'!N53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2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2'!M13</f>
        <v/>
      </c>
      <c r="E54" s="75">
        <f>D54/$D$85</f>
        <v/>
      </c>
      <c r="F54" s="114">
        <f>D54+'2026 Σεπτέμβριος'!F54</f>
        <v/>
      </c>
      <c r="G54" s="75">
        <f>F54/$F$85</f>
        <v/>
      </c>
      <c r="H54" s="56">
        <f>ΠΡΟΥΠΟΛΟΓΙΣΜΟΣ_ΕΞΟΔΑ!M192</f>
        <v/>
      </c>
      <c r="I54" s="401">
        <f>H54/$H$85</f>
        <v/>
      </c>
      <c r="J54" s="402">
        <f>H54+'2026 Σεπτέμβριος'!J52</f>
        <v/>
      </c>
      <c r="K54" s="403">
        <f>J54/$J$85</f>
        <v/>
      </c>
      <c r="L54" s="114">
        <f>'2024_60-69 ΕΞΟΔΑ+ΟΜ 2'!M40</f>
        <v/>
      </c>
      <c r="M54" s="75">
        <f>L54/$L$85</f>
        <v/>
      </c>
      <c r="N54" s="65">
        <f>L54+'2026 Σεπτέμβριος'!N54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2'!M14</f>
        <v/>
      </c>
      <c r="E55" s="75">
        <f>D55/$D$44</f>
        <v/>
      </c>
      <c r="F55" s="65">
        <f>D55+'2026 Σεπτέμβριος'!F55</f>
        <v/>
      </c>
      <c r="G55" s="75">
        <f>F55/$F$44</f>
        <v/>
      </c>
      <c r="H55" s="56">
        <f>ΠΡΟΥΠΟΛΟΓΙΣΜΟΣ_ΕΞΟΔΑ!M38</f>
        <v/>
      </c>
      <c r="I55" s="400">
        <f>H55/$H$44</f>
        <v/>
      </c>
      <c r="J55" s="65">
        <f>H55+'2026 Σεπτέμβριος'!J55</f>
        <v/>
      </c>
      <c r="K55" s="404">
        <f>J55/$J$44</f>
        <v/>
      </c>
      <c r="L55" s="56">
        <f>'2024_60-69 ΕΞΟΔΑ+ΟΜ 2'!M10</f>
        <v/>
      </c>
      <c r="M55" s="75">
        <f>L55/$L$44</f>
        <v/>
      </c>
      <c r="N55" s="65">
        <f>L55+'2026 Σεπτέμβριος'!N55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2'!M15</f>
        <v/>
      </c>
      <c r="E56" s="75">
        <f>D56/$D$44</f>
        <v/>
      </c>
      <c r="F56" s="65">
        <f>D56+'2026 Σεπτέμβριος'!F56</f>
        <v/>
      </c>
      <c r="G56" s="75">
        <f>F56/$F$44</f>
        <v/>
      </c>
      <c r="H56" s="56">
        <f>ΠΡΟΥΠΟΛΟΓΙΣΜΟΣ_ΕΞΟΔΑ!M43</f>
        <v/>
      </c>
      <c r="I56" s="400">
        <f>H56/$H$44</f>
        <v/>
      </c>
      <c r="J56" s="65">
        <f>H56+'2026 Σεπτέμβριος'!J56</f>
        <v/>
      </c>
      <c r="K56" s="404">
        <f>J56/$J$44</f>
        <v/>
      </c>
      <c r="L56" s="56">
        <f>'2024_60-69 ΕΞΟΔΑ+ΟΜ 2'!M11</f>
        <v/>
      </c>
      <c r="M56" s="75">
        <f>L56/$L$44</f>
        <v/>
      </c>
      <c r="N56" s="65">
        <f>L56+'2026 Σεπτέμβριος'!N56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2'!M16</f>
        <v/>
      </c>
      <c r="E57" s="75">
        <f>D57/$D$44</f>
        <v/>
      </c>
      <c r="F57" s="65">
        <f>D57+'2026 Σεπτέμβριος'!F57</f>
        <v/>
      </c>
      <c r="G57" s="75">
        <f>F57/$F$44</f>
        <v/>
      </c>
      <c r="H57" s="56">
        <f>ΠΡΟΥΠΟΛΟΓΙΣΜΟΣ_ΕΞΟΔΑ!M48</f>
        <v/>
      </c>
      <c r="I57" s="400">
        <f>H57/$H$44</f>
        <v/>
      </c>
      <c r="J57" s="65">
        <f>H57+'2026 Σεπτέμβριος'!J57</f>
        <v/>
      </c>
      <c r="K57" s="404">
        <f>J57/$J$44</f>
        <v/>
      </c>
      <c r="L57" s="56">
        <f>'2024_60-69 ΕΞΟΔΑ+ΟΜ 2'!M12</f>
        <v/>
      </c>
      <c r="M57" s="75">
        <f>L57/$L$44</f>
        <v/>
      </c>
      <c r="N57" s="65">
        <f>L57+'2026 Σεπτέμβριος'!N57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2'!M17</f>
        <v/>
      </c>
      <c r="E58" s="75">
        <f>D58/$D$44</f>
        <v/>
      </c>
      <c r="F58" s="65">
        <f>D58+'2026 Σεπτέμβριος'!F58</f>
        <v/>
      </c>
      <c r="G58" s="75">
        <f>F58/$F$44</f>
        <v/>
      </c>
      <c r="H58" s="56">
        <f>ΠΡΟΥΠΟΛΟΓΙΣΜΟΣ_ΕΞΟΔΑ!M53</f>
        <v/>
      </c>
      <c r="I58" s="400">
        <f>H58/$H$44</f>
        <v/>
      </c>
      <c r="J58" s="65">
        <f>H58+'2026 Σεπτέμβριος'!J58</f>
        <v/>
      </c>
      <c r="K58" s="404">
        <f>J58/$J$44</f>
        <v/>
      </c>
      <c r="L58" s="56">
        <f>'2024_60-69 ΕΞΟΔΑ+ΟΜ 2'!M13</f>
        <v/>
      </c>
      <c r="M58" s="75">
        <f>L58/$L$44</f>
        <v/>
      </c>
      <c r="N58" s="65">
        <f>L58+'2026 Σεπτέμβριος'!N58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2'!M18</f>
        <v/>
      </c>
      <c r="E59" s="75">
        <f>D59/$D$44</f>
        <v/>
      </c>
      <c r="F59" s="65">
        <f>D59+'2026 Σεπτέμβριος'!F59</f>
        <v/>
      </c>
      <c r="G59" s="75">
        <f>F59/$F$44</f>
        <v/>
      </c>
      <c r="H59" s="56">
        <f>ΠΡΟΥΠΟΛΟΓΙΣΜΟΣ_ΕΞΟΔΑ!M58</f>
        <v/>
      </c>
      <c r="I59" s="400">
        <f>H59/$H$44</f>
        <v/>
      </c>
      <c r="J59" s="65">
        <f>H59+'2026 Σεπτέμβριος'!J59</f>
        <v/>
      </c>
      <c r="K59" s="404">
        <f>J59/$J$44</f>
        <v/>
      </c>
      <c r="L59" s="56">
        <f>'2024_60-69 ΕΞΟΔΑ+ΟΜ 2'!M14</f>
        <v/>
      </c>
      <c r="M59" s="75">
        <f>L59/$L$44</f>
        <v/>
      </c>
      <c r="N59" s="65">
        <f>L59+'2026 Σεπτέμβριος'!N59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2'!M19</f>
        <v/>
      </c>
      <c r="E60" s="75">
        <f>D60/$D$44</f>
        <v/>
      </c>
      <c r="F60" s="65">
        <f>D60+'2026 Σεπτέμβριος'!F60</f>
        <v/>
      </c>
      <c r="G60" s="75">
        <f>F60/$F$44</f>
        <v/>
      </c>
      <c r="H60" s="56">
        <f>ΠΡΟΥΠΟΛΟΓΙΣΜΟΣ_ΕΞΟΔΑ!M63</f>
        <v/>
      </c>
      <c r="I60" s="400">
        <f>H60/$H$44</f>
        <v/>
      </c>
      <c r="J60" s="65">
        <f>H60+'2026 Σεπτέμβριος'!J60</f>
        <v/>
      </c>
      <c r="K60" s="404">
        <f>J60/$J$44</f>
        <v/>
      </c>
      <c r="L60" s="56">
        <f>'2024_60-69 ΕΞΟΔΑ+ΟΜ 2'!M15</f>
        <v/>
      </c>
      <c r="M60" s="75">
        <f>L60/$L$44</f>
        <v/>
      </c>
      <c r="N60" s="65">
        <f>L60+'2026 Σεπτέμβριος'!N60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2'!M20</f>
        <v/>
      </c>
      <c r="E61" s="75">
        <f>D61/$D$44</f>
        <v/>
      </c>
      <c r="F61" s="65">
        <f>D61+'2026 Σεπτέμβριος'!F61</f>
        <v/>
      </c>
      <c r="G61" s="75">
        <f>F61/$F$44</f>
        <v/>
      </c>
      <c r="H61" s="56">
        <f>ΠΡΟΥΠΟΛΟΓΙΣΜΟΣ_ΕΞΟΔΑ!M68</f>
        <v/>
      </c>
      <c r="I61" s="400">
        <f>H61/$H$44</f>
        <v/>
      </c>
      <c r="J61" s="65">
        <f>H61+'2026 Σεπτέμβριος'!J61</f>
        <v/>
      </c>
      <c r="K61" s="404">
        <f>J61/$J$44</f>
        <v/>
      </c>
      <c r="L61" s="56">
        <f>'2024_60-69 ΕΞΟΔΑ+ΟΜ 2'!M16</f>
        <v/>
      </c>
      <c r="M61" s="75">
        <f>L61/$L$44</f>
        <v/>
      </c>
      <c r="N61" s="65">
        <f>L61+'2026 Σεπτέμβριος'!N61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2'!M21</f>
        <v/>
      </c>
      <c r="E62" s="75">
        <f>D62/$D$44</f>
        <v/>
      </c>
      <c r="F62" s="65">
        <f>D62+'2026 Σεπτέμβριος'!F62</f>
        <v/>
      </c>
      <c r="G62" s="75">
        <f>F62/$F$44</f>
        <v/>
      </c>
      <c r="H62" s="56">
        <f>ΠΡΟΥΠΟΛΟΓΙΣΜΟΣ_ΕΞΟΔΑ!M73</f>
        <v/>
      </c>
      <c r="I62" s="400">
        <f>H62/$H$44</f>
        <v/>
      </c>
      <c r="J62" s="65">
        <f>H62+'2026 Σεπτέμβριος'!J62</f>
        <v/>
      </c>
      <c r="K62" s="404">
        <f>J62/$J$44</f>
        <v/>
      </c>
      <c r="L62" s="56">
        <f>'2024_60-69 ΕΞΟΔΑ+ΟΜ 2'!M17</f>
        <v/>
      </c>
      <c r="M62" s="75">
        <f>L62/$L$44</f>
        <v/>
      </c>
      <c r="N62" s="65">
        <f>L62+'2026 Σεπτέμβριος'!N62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2'!M22</f>
        <v/>
      </c>
      <c r="E63" s="75">
        <f>D63/$D$44</f>
        <v/>
      </c>
      <c r="F63" s="65">
        <f>D63+'2026 Σεπτέμβριος'!F63</f>
        <v/>
      </c>
      <c r="G63" s="75">
        <f>F63/$F$44</f>
        <v/>
      </c>
      <c r="H63" s="56">
        <f>ΠΡΟΥΠΟΛΟΓΙΣΜΟΣ_ΕΞΟΔΑ!M78</f>
        <v/>
      </c>
      <c r="I63" s="400">
        <f>H63/$H$44</f>
        <v/>
      </c>
      <c r="J63" s="65">
        <f>H63+'2026 Σεπτέμβριος'!J63</f>
        <v/>
      </c>
      <c r="K63" s="404">
        <f>J63/$J$44</f>
        <v/>
      </c>
      <c r="L63" s="56">
        <f>'2024_60-69 ΕΞΟΔΑ+ΟΜ 2'!M18</f>
        <v/>
      </c>
      <c r="M63" s="75">
        <f>L63/$L$44</f>
        <v/>
      </c>
      <c r="N63" s="65">
        <f>L63+'2026 Σεπτέμβριος'!N63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2'!M23</f>
        <v/>
      </c>
      <c r="E64" s="75">
        <f>D64/$D$44</f>
        <v/>
      </c>
      <c r="F64" s="65">
        <f>D64+'2026 Σεπτέμβριος'!F64</f>
        <v/>
      </c>
      <c r="G64" s="75">
        <f>F64/$F$44</f>
        <v/>
      </c>
      <c r="H64" s="56">
        <f>ΠΡΟΥΠΟΛΟΓΙΣΜΟΣ_ΕΞΟΔΑ!M83</f>
        <v/>
      </c>
      <c r="I64" s="400">
        <f>H64/$H$44</f>
        <v/>
      </c>
      <c r="J64" s="65">
        <f>H64+'2026 Σεπτέμβριος'!J64</f>
        <v/>
      </c>
      <c r="K64" s="404">
        <f>J64/$J$44</f>
        <v/>
      </c>
      <c r="L64" s="56">
        <f>'2024_60-69 ΕΞΟΔΑ+ΟΜ 2'!M19</f>
        <v/>
      </c>
      <c r="M64" s="75">
        <f>L64/$L$44</f>
        <v/>
      </c>
      <c r="N64" s="65">
        <f>L64+'2026 Σεπτέμβριος'!N64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2'!M24</f>
        <v/>
      </c>
      <c r="E65" s="75">
        <f>D65/$D$44</f>
        <v/>
      </c>
      <c r="F65" s="65">
        <f>D65+'2026 Σεπτέμβριος'!F65</f>
        <v/>
      </c>
      <c r="G65" s="75">
        <f>F65/$F$44</f>
        <v/>
      </c>
      <c r="H65" s="56">
        <f>ΠΡΟΥΠΟΛΟΓΙΣΜΟΣ_ΕΞΟΔΑ!M88</f>
        <v/>
      </c>
      <c r="I65" s="400">
        <f>H65/$H$44</f>
        <v/>
      </c>
      <c r="J65" s="65">
        <f>H65+'2026 Σεπτέμβριος'!J65</f>
        <v/>
      </c>
      <c r="K65" s="404">
        <f>J65/$J$44</f>
        <v/>
      </c>
      <c r="L65" s="56">
        <f>'2024_60-69 ΕΞΟΔΑ+ΟΜ 2'!M20</f>
        <v/>
      </c>
      <c r="M65" s="75">
        <f>L65/$L$44</f>
        <v/>
      </c>
      <c r="N65" s="65">
        <f>L65+'2026 Σεπτέμβριος'!N65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2'!M25</f>
        <v/>
      </c>
      <c r="E66" s="75">
        <f>D66/$D$44</f>
        <v/>
      </c>
      <c r="F66" s="65">
        <f>D66+'2026 Σεπτέμβριος'!F66</f>
        <v/>
      </c>
      <c r="G66" s="75">
        <f>F66/$F$44</f>
        <v/>
      </c>
      <c r="H66" s="56">
        <f>ΠΡΟΥΠΟΛΟΓΙΣΜΟΣ_ΕΞΟΔΑ!M93</f>
        <v/>
      </c>
      <c r="I66" s="400">
        <f>H66/$H$44</f>
        <v/>
      </c>
      <c r="J66" s="65">
        <f>H66+'2026 Σεπτέμβριος'!J66</f>
        <v/>
      </c>
      <c r="K66" s="404">
        <f>J66/$J$44</f>
        <v/>
      </c>
      <c r="L66" s="56">
        <f>'2024_60-69 ΕΞΟΔΑ+ΟΜ 2'!M21</f>
        <v/>
      </c>
      <c r="M66" s="75">
        <f>L66/$L$44</f>
        <v/>
      </c>
      <c r="N66" s="65">
        <f>L66+'2026 Σεπτέμβριος'!N66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2'!M26</f>
        <v/>
      </c>
      <c r="E67" s="75">
        <f>D67/$D$44</f>
        <v/>
      </c>
      <c r="F67" s="65">
        <f>D67+'2026 Σεπτέμβριος'!F67</f>
        <v/>
      </c>
      <c r="G67" s="75">
        <f>F67/$F$44</f>
        <v/>
      </c>
      <c r="H67" s="56">
        <f>ΠΡΟΥΠΟΛΟΓΙΣΜΟΣ_ΕΞΟΔΑ!M98</f>
        <v/>
      </c>
      <c r="I67" s="400">
        <f>H67/$H$44</f>
        <v/>
      </c>
      <c r="J67" s="65">
        <f>H67+'2026 Σεπτέμβριος'!J67</f>
        <v/>
      </c>
      <c r="K67" s="404">
        <f>J67/$J$44</f>
        <v/>
      </c>
      <c r="L67" s="56">
        <f>'2024_60-69 ΕΞΟΔΑ+ΟΜ 2'!M22</f>
        <v/>
      </c>
      <c r="M67" s="75">
        <f>L67/$L$44</f>
        <v/>
      </c>
      <c r="N67" s="65">
        <f>L67+'2026 Σεπτέμβριος'!N67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2'!M27</f>
        <v/>
      </c>
      <c r="E68" s="75">
        <f>D68/$D$44</f>
        <v/>
      </c>
      <c r="F68" s="65">
        <f>D68+'2026 Σεπτέμβριος'!F68</f>
        <v/>
      </c>
      <c r="G68" s="75">
        <f>F68/$F$44</f>
        <v/>
      </c>
      <c r="H68" s="56">
        <f>ΠΡΟΥΠΟΛΟΓΙΣΜΟΣ_ΕΞΟΔΑ!M103</f>
        <v/>
      </c>
      <c r="I68" s="400">
        <f>H68/$H$44</f>
        <v/>
      </c>
      <c r="J68" s="65">
        <f>H68+'2026 Σεπτέμβριος'!J68</f>
        <v/>
      </c>
      <c r="K68" s="404">
        <f>J68/$J$44</f>
        <v/>
      </c>
      <c r="L68" s="56">
        <f>'2024_60-69 ΕΞΟΔΑ+ΟΜ 2'!M23</f>
        <v/>
      </c>
      <c r="M68" s="75">
        <f>L68/$L$44</f>
        <v/>
      </c>
      <c r="N68" s="65">
        <f>L68+'2026 Σεπτέμβριος'!N68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2'!M28</f>
        <v/>
      </c>
      <c r="E69" s="75">
        <f>D69/$D$44</f>
        <v/>
      </c>
      <c r="F69" s="65">
        <f>D69+'2026 Σεπτέμβριος'!F69</f>
        <v/>
      </c>
      <c r="G69" s="75">
        <f>F69/$F$44</f>
        <v/>
      </c>
      <c r="H69" s="56">
        <f>ΠΡΟΥΠΟΛΟΓΙΣΜΟΣ_ΕΞΟΔΑ!M108</f>
        <v/>
      </c>
      <c r="I69" s="400">
        <f>H69/$H$44</f>
        <v/>
      </c>
      <c r="J69" s="65">
        <f>H69+'2026 Σεπτέμβριος'!J69</f>
        <v/>
      </c>
      <c r="K69" s="404">
        <f>J69/$J$44</f>
        <v/>
      </c>
      <c r="L69" s="56">
        <f>'2024_60-69 ΕΞΟΔΑ+ΟΜ 2'!M24</f>
        <v/>
      </c>
      <c r="M69" s="75">
        <f>L69/$L$44</f>
        <v/>
      </c>
      <c r="N69" s="65">
        <f>L69+'2026 Σεπτέμβριος'!N69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2'!M29</f>
        <v/>
      </c>
      <c r="E70" s="75">
        <f>D70/$D$44</f>
        <v/>
      </c>
      <c r="F70" s="65">
        <f>D70+'2026 Σεπτέμβριος'!F70</f>
        <v/>
      </c>
      <c r="G70" s="75">
        <f>F70/$F$44</f>
        <v/>
      </c>
      <c r="H70" s="56">
        <f>ΠΡΟΥΠΟΛΟΓΙΣΜΟΣ_ΕΞΟΔΑ!M113</f>
        <v/>
      </c>
      <c r="I70" s="400">
        <f>H70/$H$44</f>
        <v/>
      </c>
      <c r="J70" s="65">
        <f>H70+'2026 Σεπτέμβριος'!J70</f>
        <v/>
      </c>
      <c r="K70" s="404">
        <f>J70/$J$44</f>
        <v/>
      </c>
      <c r="L70" s="56">
        <f>'2024_60-69 ΕΞΟΔΑ+ΟΜ 2'!M25</f>
        <v/>
      </c>
      <c r="M70" s="75">
        <f>L70/$L$44</f>
        <v/>
      </c>
      <c r="N70" s="65">
        <f>L70+'2026 Σεπτέμβριος'!N70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28.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2'!M30</f>
        <v/>
      </c>
      <c r="E71" s="75">
        <f>D71/$D$44</f>
        <v/>
      </c>
      <c r="F71" s="65">
        <f>D71+'2026 Σεπτέμβριος'!F71</f>
        <v/>
      </c>
      <c r="G71" s="75">
        <f>F71/$F$44</f>
        <v/>
      </c>
      <c r="H71" s="56">
        <f>ΠΡΟΥΠΟΛΟΓΙΣΜΟΣ_ΕΞΟΔΑ!M118</f>
        <v/>
      </c>
      <c r="I71" s="400">
        <f>H71/$H$44</f>
        <v/>
      </c>
      <c r="J71" s="65">
        <f>H71+'2026 Σεπτέμβριος'!J71</f>
        <v/>
      </c>
      <c r="K71" s="404">
        <f>J71/$J$44</f>
        <v/>
      </c>
      <c r="L71" s="56">
        <f>'2024_60-69 ΕΞΟΔΑ+ΟΜ 2'!M26</f>
        <v/>
      </c>
      <c r="M71" s="75">
        <f>L71/$L$44</f>
        <v/>
      </c>
      <c r="N71" s="65">
        <f>L71+'2026 Σεπτέμβριος'!N71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2'!M31</f>
        <v/>
      </c>
      <c r="E72" s="75">
        <f>D72/$D$44</f>
        <v/>
      </c>
      <c r="F72" s="65">
        <f>D72+'2026 Σεπτέμβριος'!F72</f>
        <v/>
      </c>
      <c r="G72" s="75">
        <f>F72/$F$44</f>
        <v/>
      </c>
      <c r="H72" s="56">
        <f>ΠΡΟΥΠΟΛΟΓΙΣΜΟΣ_ΕΞΟΔΑ!M123</f>
        <v/>
      </c>
      <c r="I72" s="400">
        <f>H72/$H$44</f>
        <v/>
      </c>
      <c r="J72" s="65">
        <f>H72+'2026 Σεπτέμβριος'!J72</f>
        <v/>
      </c>
      <c r="K72" s="404">
        <f>J72/$J$44</f>
        <v/>
      </c>
      <c r="L72" s="56">
        <f>'2024_60-69 ΕΞΟΔΑ+ΟΜ 2'!M27</f>
        <v/>
      </c>
      <c r="M72" s="75">
        <f>L72/$L$44</f>
        <v/>
      </c>
      <c r="N72" s="65">
        <f>L72+'2026 Σεπτέμβριος'!N72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2'!M32</f>
        <v/>
      </c>
      <c r="E73" s="75">
        <f>D73/$D$44</f>
        <v/>
      </c>
      <c r="F73" s="65">
        <f>D73+'2026 Σεπτέμβριος'!F73</f>
        <v/>
      </c>
      <c r="G73" s="75">
        <f>F73/$F$44</f>
        <v/>
      </c>
      <c r="H73" s="56">
        <f>ΠΡΟΥΠΟΛΟΓΙΣΜΟΣ_ΕΞΟΔΑ!M128</f>
        <v/>
      </c>
      <c r="I73" s="400">
        <f>H73/$H$44</f>
        <v/>
      </c>
      <c r="J73" s="65">
        <f>H73+'2026 Σεπτέμβριος'!J73</f>
        <v/>
      </c>
      <c r="K73" s="404">
        <f>J73/$J$44</f>
        <v/>
      </c>
      <c r="L73" s="56">
        <f>'2024_60-69 ΕΞΟΔΑ+ΟΜ 2'!M28</f>
        <v/>
      </c>
      <c r="M73" s="75">
        <f>L73/$L$44</f>
        <v/>
      </c>
      <c r="N73" s="65">
        <f>L73+'2026 Σεπτέμβριος'!N73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2'!M33</f>
        <v/>
      </c>
      <c r="E74" s="75">
        <f>D74/$D$44</f>
        <v/>
      </c>
      <c r="F74" s="65">
        <f>D74+'2026 Σεπτέμβριος'!F74</f>
        <v/>
      </c>
      <c r="G74" s="75">
        <f>F74/$F$44</f>
        <v/>
      </c>
      <c r="H74" s="56">
        <f>ΠΡΟΥΠΟΛΟΓΙΣΜΟΣ_ΕΞΟΔΑ!M133</f>
        <v/>
      </c>
      <c r="I74" s="400">
        <f>H74/$H$44</f>
        <v/>
      </c>
      <c r="J74" s="65">
        <f>H74+'2026 Σεπτέμβριος'!J74</f>
        <v/>
      </c>
      <c r="K74" s="404">
        <f>J74/$J$44</f>
        <v/>
      </c>
      <c r="L74" s="56">
        <f>'2024_60-69 ΕΞΟΔΑ+ΟΜ 2'!M29</f>
        <v/>
      </c>
      <c r="M74" s="75">
        <f>L74/$L$44</f>
        <v/>
      </c>
      <c r="N74" s="65">
        <f>L74+'2026 Σεπτέμβριος'!N74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Σεπτέμβριος'!F75</f>
        <v/>
      </c>
      <c r="G75" s="75">
        <f>F75/$F$44</f>
        <v/>
      </c>
      <c r="H75" s="56">
        <f>ΠΡΟΥΠΟΛΟΓΙΣΜΟΣ_ΕΞΟΔΑ!M138</f>
        <v/>
      </c>
      <c r="I75" s="400">
        <f>H75/$H$44</f>
        <v/>
      </c>
      <c r="J75" s="65">
        <f>H75+'2026 Σεπτέμβριος'!J75</f>
        <v/>
      </c>
      <c r="K75" s="404">
        <f>J75/$J$44</f>
        <v/>
      </c>
      <c r="L75" s="56">
        <f>'2024_60-69 ΕΞΟΔΑ+ΟΜ 2'!M30</f>
        <v/>
      </c>
      <c r="M75" s="75">
        <f>L75/$L$44</f>
        <v/>
      </c>
      <c r="N75" s="65">
        <f>L75+'2026 Σεπτέμβριος'!N75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4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2'!M35</f>
        <v/>
      </c>
      <c r="E76" s="75">
        <f>D76/$D$44</f>
        <v/>
      </c>
      <c r="F76" s="65">
        <f>D76+'2026 Σεπτέμβριος'!F76</f>
        <v/>
      </c>
      <c r="G76" s="75">
        <f>F76/$F$44</f>
        <v/>
      </c>
      <c r="H76" s="56">
        <f>ΠΡΟΥΠΟΛΟΓΙΣΜΟΣ_ΕΞΟΔΑ!M143</f>
        <v/>
      </c>
      <c r="I76" s="400">
        <f>H76/$H$44</f>
        <v/>
      </c>
      <c r="J76" s="65">
        <f>H76+'2026 Σεπτέμβριος'!J76</f>
        <v/>
      </c>
      <c r="K76" s="404">
        <f>J76/$J$44</f>
        <v/>
      </c>
      <c r="L76" s="56">
        <f>'2024_60-69 ΕΞΟΔΑ+ΟΜ 2'!M31</f>
        <v/>
      </c>
      <c r="M76" s="75">
        <f>L76/$L$44</f>
        <v/>
      </c>
      <c r="N76" s="65">
        <f>L76+'2026 Σεπτέμβριος'!N76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4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2'!M36</f>
        <v/>
      </c>
      <c r="E77" s="75">
        <f>D77/$D$44</f>
        <v/>
      </c>
      <c r="F77" s="65">
        <f>D77+'2026 Σεπτέμβριος'!F77</f>
        <v/>
      </c>
      <c r="G77" s="75">
        <f>F77/$F$44</f>
        <v/>
      </c>
      <c r="H77" s="56">
        <f>ΠΡΟΥΠΟΛΟΓΙΣΜΟΣ_ΕΞΟΔΑ!M148</f>
        <v/>
      </c>
      <c r="I77" s="400">
        <f>H77/$H$44</f>
        <v/>
      </c>
      <c r="J77" s="65">
        <f>H77+'2026 Σεπτέμβριος'!J77</f>
        <v/>
      </c>
      <c r="K77" s="404">
        <f>J77/$J$44</f>
        <v/>
      </c>
      <c r="L77" s="56">
        <f>'2024_60-69 ΕΞΟΔΑ+ΟΜ 2'!M32</f>
        <v/>
      </c>
      <c r="M77" s="75">
        <f>L77/$L$44</f>
        <v/>
      </c>
      <c r="N77" s="65">
        <f>L77+'2026 Σεπτέμβριος'!N77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4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2'!M37</f>
        <v/>
      </c>
      <c r="E78" s="75">
        <f>D78/$D$44</f>
        <v/>
      </c>
      <c r="F78" s="65">
        <f>D78+'2026 Σεπτέμβριος'!F78</f>
        <v/>
      </c>
      <c r="G78" s="75">
        <f>F78/$F$44</f>
        <v/>
      </c>
      <c r="H78" s="56">
        <f>ΠΡΟΥΠΟΛΟΓΙΣΜΟΣ_ΕΞΟΔΑ!M153</f>
        <v/>
      </c>
      <c r="I78" s="400">
        <f>H78/$H$44</f>
        <v/>
      </c>
      <c r="J78" s="65">
        <f>H78+'2026 Σεπτέμβριος'!J78</f>
        <v/>
      </c>
      <c r="K78" s="404">
        <f>J78/$J$44</f>
        <v/>
      </c>
      <c r="L78" s="56">
        <f>'2024_60-69 ΕΞΟΔΑ+ΟΜ 2'!M33</f>
        <v/>
      </c>
      <c r="M78" s="75">
        <f>L78/$L$44</f>
        <v/>
      </c>
      <c r="N78" s="65">
        <f>L78+'2026 Σεπτέμβριος'!N78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2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2'!M3</f>
        <v/>
      </c>
      <c r="E79" s="297" t="n"/>
      <c r="F79" s="64">
        <f>'2026_60-69 ΕΞΟΔΑ+ΟΜ 2'!Z3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ΑΝΤΙΣΤΟΙΧΙΣΗ!$F$115</f>
        <v/>
      </c>
      <c r="E83" s="551" t="n"/>
      <c r="F83" s="550" t="n"/>
      <c r="G83" s="107">
        <f>ΑΝΤΙΣΤΟΙΧΙΣΗ!$D$34</f>
        <v/>
      </c>
      <c r="H83" s="549">
        <f>ΑΝΤΙΣΤΟΙΧΙΣΗ!$F$115</f>
        <v/>
      </c>
      <c r="I83" s="551" t="n"/>
      <c r="J83" s="550" t="n"/>
      <c r="K83" s="107">
        <f>ΑΝΤΙΣΤΟΙΧΙΣΗ!$D$34</f>
        <v/>
      </c>
      <c r="L83" s="549">
        <f>ΑΝΤΙΣΤΟΙΧΙΣΗ!$F$129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0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2'!M41</f>
        <v/>
      </c>
      <c r="E86" s="75">
        <f>D86/$D$85</f>
        <v/>
      </c>
      <c r="F86" s="114">
        <f>D86+'2026 Σεπτέμβριος'!F86</f>
        <v/>
      </c>
      <c r="G86" s="75">
        <f>F86/$F$85</f>
        <v/>
      </c>
      <c r="H86" s="56">
        <f>ΠΡΟΥΠΟΛΟΓΙΣΜΟΣ_ΕΞΟΔΑ!M177</f>
        <v/>
      </c>
      <c r="I86" s="401">
        <f>H86/$H$85</f>
        <v/>
      </c>
      <c r="J86" s="402">
        <f>H86+'2026 Σεπτέμβριος'!J47</f>
        <v/>
      </c>
      <c r="K86" s="403">
        <f>J86/$J$85</f>
        <v/>
      </c>
      <c r="L86" s="114">
        <f>'2024_60-69 ΕΞΟΔΑ+ΟΜ 2'!M37</f>
        <v/>
      </c>
      <c r="M86" s="75">
        <f>L86/$L$85</f>
        <v/>
      </c>
      <c r="N86" s="65">
        <f>L86+'2026 Σεπτέμβριος'!N86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2'!M42</f>
        <v/>
      </c>
      <c r="E87" s="75">
        <f>D87/$D$85</f>
        <v/>
      </c>
      <c r="F87" s="114">
        <f>D87+'2026 Σεπτέμβριος'!F87</f>
        <v/>
      </c>
      <c r="G87" s="75">
        <f>F87/$F$85</f>
        <v/>
      </c>
      <c r="H87" s="56">
        <f>ΠΡΟΥΠΟΛΟΓΙΣΜΟΣ_ΕΞΟΔΑ!M182</f>
        <v/>
      </c>
      <c r="I87" s="401">
        <f>H87/$H$85</f>
        <v/>
      </c>
      <c r="J87" s="402">
        <f>H87+'2026 Σεπτέμβριος'!J50</f>
        <v/>
      </c>
      <c r="K87" s="403">
        <f>J87/$J$85</f>
        <v/>
      </c>
      <c r="L87" s="114">
        <f>'2024_60-69 ΕΞΟΔΑ+ΟΜ 2'!M38</f>
        <v/>
      </c>
      <c r="M87" s="75">
        <f>L87/$L$85</f>
        <v/>
      </c>
      <c r="N87" s="65">
        <f>L87+'2026 Σεπτέμβριος'!N87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9.2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2'!M43</f>
        <v/>
      </c>
      <c r="E88" s="75">
        <f>D88/$D$85</f>
        <v/>
      </c>
      <c r="F88" s="114">
        <f>D88+'2026 Σεπτέμβριος'!F88</f>
        <v/>
      </c>
      <c r="G88" s="75">
        <f>F88/$F$85</f>
        <v/>
      </c>
      <c r="H88" s="56">
        <f>ΠΡΟΥΠΟΛΟΓΙΣΜΟΣ_ΕΞΟΔΑ!M197</f>
        <v/>
      </c>
      <c r="I88" s="401">
        <f>H88/$H$85</f>
        <v/>
      </c>
      <c r="J88" s="402">
        <f>H88+'2026 Σεπτέμβριος'!J55</f>
        <v/>
      </c>
      <c r="K88" s="403">
        <f>J88/$J$85</f>
        <v/>
      </c>
      <c r="L88" s="114">
        <f>'2024_60-69 ΕΞΟΔΑ+ΟΜ 2'!M41</f>
        <v/>
      </c>
      <c r="M88" s="75">
        <f>L88/$L$85</f>
        <v/>
      </c>
      <c r="N88" s="65">
        <f>L88+'2026 Σεπτέμβριος'!N88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2'!M44</f>
        <v/>
      </c>
      <c r="E89" s="75">
        <f>D89/$D$85</f>
        <v/>
      </c>
      <c r="F89" s="114">
        <f>D89+'2026 Σεπτέμβριος'!F89</f>
        <v/>
      </c>
      <c r="G89" s="75">
        <f>F89/$F$85</f>
        <v/>
      </c>
      <c r="H89" s="56">
        <f>ΠΡΟΥΠΟΛΟΓΙΣΜΟΣ_ΕΞΟΔΑ!M202</f>
        <v/>
      </c>
      <c r="I89" s="401">
        <f>H89/$H$85</f>
        <v/>
      </c>
      <c r="J89" s="402">
        <f>H89+'2026 Σεπτέμβριος'!J56</f>
        <v/>
      </c>
      <c r="K89" s="403">
        <f>J89/$J$85</f>
        <v/>
      </c>
      <c r="L89" s="114">
        <f>'2024_60-69 ΕΞΟΔΑ+ΟΜ 2'!M42</f>
        <v/>
      </c>
      <c r="M89" s="75">
        <f>L89/$L$85</f>
        <v/>
      </c>
      <c r="N89" s="65">
        <f>L89+'2026 Σεπτέμβριος'!N89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1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2'!M45</f>
        <v/>
      </c>
      <c r="E90" s="75">
        <f>D90/$D$85</f>
        <v/>
      </c>
      <c r="F90" s="114">
        <f>D90+'2026 Σεπτέμβριος'!F90</f>
        <v/>
      </c>
      <c r="G90" s="75">
        <f>F90/$F$85</f>
        <v/>
      </c>
      <c r="H90" s="399">
        <f>ΠΡΟΥΠΟΛΟΓΙΣΜΟΣ_ΕΞΟΔΑ!M207</f>
        <v/>
      </c>
      <c r="I90" s="401">
        <f>H90/$H$85</f>
        <v/>
      </c>
      <c r="J90" s="402">
        <f>H90+'2026 Σεπτέμβριος'!J57</f>
        <v/>
      </c>
      <c r="K90" s="403">
        <f>J90/$J$85</f>
        <v/>
      </c>
      <c r="L90" s="114">
        <f>'2024_60-69 ΕΞΟΔΑ+ΟΜ 2'!M43</f>
        <v/>
      </c>
      <c r="M90" s="75">
        <f>L90/$L$85</f>
        <v/>
      </c>
      <c r="N90" s="65">
        <f>L90+'2026 Σεπτέμβριος'!N90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2'!M46</f>
        <v/>
      </c>
      <c r="E91" s="75">
        <f>D91/$D$85</f>
        <v/>
      </c>
      <c r="F91" s="114">
        <f>D91+'2026 Σεπτέμβριος'!F91</f>
        <v/>
      </c>
      <c r="G91" s="75">
        <f>F91/$F$85</f>
        <v/>
      </c>
      <c r="H91" s="399">
        <f>ΠΡΟΥΠΟΛΟΓΙΣΜΟΣ_ΕΞΟΔΑ!M212</f>
        <v/>
      </c>
      <c r="I91" s="401">
        <f>H91/$H$85</f>
        <v/>
      </c>
      <c r="J91" s="402">
        <f>H91+'2026 Σεπτέμβριος'!J58</f>
        <v/>
      </c>
      <c r="K91" s="403">
        <f>J91/$J$85</f>
        <v/>
      </c>
      <c r="L91" s="114">
        <f>'2024_60-69 ΕΞΟΔΑ+ΟΜ 2'!M44</f>
        <v/>
      </c>
      <c r="M91" s="75">
        <f>L91/$L$85</f>
        <v/>
      </c>
      <c r="N91" s="65">
        <f>L91+'2026 Σεπτέμβριος'!N91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2'!M47</f>
        <v/>
      </c>
      <c r="E92" s="75">
        <f>D92/$D$85</f>
        <v/>
      </c>
      <c r="F92" s="114">
        <f>D92+'2026 Σεπτέμβριος'!F92</f>
        <v/>
      </c>
      <c r="G92" s="75">
        <f>F92/$F$85</f>
        <v/>
      </c>
      <c r="H92" s="399">
        <f>ΠΡΟΥΠΟΛΟΓΙΣΜΟΣ_ΕΞΟΔΑ!M217</f>
        <v/>
      </c>
      <c r="I92" s="401">
        <f>H92/$H$85</f>
        <v/>
      </c>
      <c r="J92" s="402">
        <f>H92+'2026 Σεπτέμβριος'!J59</f>
        <v/>
      </c>
      <c r="K92" s="403">
        <f>J92/$J$85</f>
        <v/>
      </c>
      <c r="L92" s="114">
        <f>'2024_60-69 ΕΞΟΔΑ+ΟΜ 2'!M45</f>
        <v/>
      </c>
      <c r="M92" s="75">
        <f>L92/$L$85</f>
        <v/>
      </c>
      <c r="N92" s="65">
        <f>L92+'2026 Σεπτέμβριος'!N92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2'!M48</f>
        <v/>
      </c>
      <c r="E93" s="75">
        <f>D93/$D$85</f>
        <v/>
      </c>
      <c r="F93" s="114">
        <f>D93+'2026 Σεπτέμβριος'!F93</f>
        <v/>
      </c>
      <c r="G93" s="75">
        <f>F93/$F$85</f>
        <v/>
      </c>
      <c r="H93" s="56">
        <f>ΠΡΟΥΠΟΛΟΓΙΣΜΟΣ_ΕΞΟΔΑ!M222</f>
        <v/>
      </c>
      <c r="I93" s="401">
        <f>H93/$H$85</f>
        <v/>
      </c>
      <c r="J93" s="402">
        <f>H93+'2026 Σεπτέμβριος'!J60</f>
        <v/>
      </c>
      <c r="K93" s="403">
        <f>J93/$J$85</f>
        <v/>
      </c>
      <c r="L93" s="114">
        <f>'2024_60-69 ΕΞΟΔΑ+ΟΜ 2'!M46</f>
        <v/>
      </c>
      <c r="M93" s="75">
        <f>L93/$L$85</f>
        <v/>
      </c>
      <c r="N93" s="65">
        <f>L93+'2026 Σεπτέμβριος'!N93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2'!M49</f>
        <v/>
      </c>
      <c r="E94" s="75">
        <f>D94/$D$85</f>
        <v/>
      </c>
      <c r="F94" s="114">
        <f>D94+'2026 Σεπτέμβριος'!F94</f>
        <v/>
      </c>
      <c r="G94" s="75">
        <f>F94/$F$85</f>
        <v/>
      </c>
      <c r="H94" s="56">
        <f>ΠΡΟΥΠΟΛΟΓΙΣΜΟΣ_ΕΞΟΔΑ!M227</f>
        <v/>
      </c>
      <c r="I94" s="401">
        <f>H94/$H$85</f>
        <v/>
      </c>
      <c r="J94" s="402">
        <f>H94+'2026 Σεπτέμβριος'!J61</f>
        <v/>
      </c>
      <c r="K94" s="403">
        <f>J94/$J$85</f>
        <v/>
      </c>
      <c r="L94" s="114">
        <f>'2024_60-69 ΕΞΟΔΑ+ΟΜ 2'!M47</f>
        <v/>
      </c>
      <c r="M94" s="75">
        <f>L94/$L$85</f>
        <v/>
      </c>
      <c r="N94" s="65">
        <f>L94+'2026 Σεπτέμβριος'!N94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6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2'!M50</f>
        <v/>
      </c>
      <c r="E95" s="75">
        <f>D95/$D$85</f>
        <v/>
      </c>
      <c r="F95" s="114">
        <f>D95+'2026 Σεπτέμβριος'!F95</f>
        <v/>
      </c>
      <c r="G95" s="75">
        <f>F95/$F$85</f>
        <v/>
      </c>
      <c r="H95" s="118">
        <f>ΠΡΟΥΠΟΛΟΓΙΣΜΟΣ_ΕΞΟΔΑ!M232</f>
        <v/>
      </c>
      <c r="I95" s="401">
        <f>H95/$H$85</f>
        <v/>
      </c>
      <c r="J95" s="402">
        <f>H95+'2026 Σεπτέμβριος'!J62</f>
        <v/>
      </c>
      <c r="K95" s="403">
        <f>J95/$J$85</f>
        <v/>
      </c>
      <c r="L95" s="114">
        <f>'2024_60-69 ΕΞΟΔΑ+ΟΜ 2'!M48</f>
        <v/>
      </c>
      <c r="M95" s="75">
        <f>L95/$L$85</f>
        <v/>
      </c>
      <c r="N95" s="65">
        <f>L95+'2026 Σεπτέμβριος'!N95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2'!M51</f>
        <v/>
      </c>
      <c r="E96" s="75">
        <f>D96/$D$85</f>
        <v/>
      </c>
      <c r="F96" s="114">
        <f>D96+'2026 Σεπτέμβριος'!F96</f>
        <v/>
      </c>
      <c r="G96" s="75">
        <f>F96/$F$85</f>
        <v/>
      </c>
      <c r="H96" s="56">
        <f>ΠΡΟΥΠΟΛΟΓΙΣΜΟΣ_ΕΞΟΔΑ!M237</f>
        <v/>
      </c>
      <c r="I96" s="401">
        <f>H96/$H$85</f>
        <v/>
      </c>
      <c r="J96" s="402">
        <f>H96+'2026 Σεπτέμβριος'!J63</f>
        <v/>
      </c>
      <c r="K96" s="403">
        <f>J96/$J$85</f>
        <v/>
      </c>
      <c r="L96" s="114">
        <f>'2024_60-69 ΕΞΟΔΑ+ΟΜ 2'!M49</f>
        <v/>
      </c>
      <c r="M96" s="75">
        <f>L96/$L$85</f>
        <v/>
      </c>
      <c r="N96" s="65">
        <f>L96+'2026 Σεπτέμβριος'!N96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2'!M52</f>
        <v/>
      </c>
      <c r="E97" s="75">
        <f>D97/$D$85</f>
        <v/>
      </c>
      <c r="F97" s="114">
        <f>D97+'2026 Σεπτέμβριος'!F97</f>
        <v/>
      </c>
      <c r="G97" s="75">
        <f>F97/$F$85</f>
        <v/>
      </c>
      <c r="H97" s="56">
        <f>ΠΡΟΥΠΟΛΟΓΙΣΜΟΣ_ΕΞΟΔΑ!M242</f>
        <v/>
      </c>
      <c r="I97" s="401">
        <f>H97/$H$85</f>
        <v/>
      </c>
      <c r="J97" s="402">
        <f>H97+'2026 Σεπτέμβριος'!J64</f>
        <v/>
      </c>
      <c r="K97" s="403">
        <f>J97/$J$85</f>
        <v/>
      </c>
      <c r="L97" s="114">
        <f>'2024_60-69 ΕΞΟΔΑ+ΟΜ 2'!M50</f>
        <v/>
      </c>
      <c r="M97" s="75">
        <f>L97/$L$85</f>
        <v/>
      </c>
      <c r="N97" s="65">
        <f>L97+'2026 Σεπτέμβριος'!N97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2'!M53</f>
        <v/>
      </c>
      <c r="E98" s="75">
        <f>D98/$D$85</f>
        <v/>
      </c>
      <c r="F98" s="114">
        <f>D98+'2026 Σεπτέμβριος'!F98</f>
        <v/>
      </c>
      <c r="G98" s="75">
        <f>F98/$F$85</f>
        <v/>
      </c>
      <c r="H98" s="56">
        <f>ΠΡΟΥΠΟΛΟΓΙΣΜΟΣ_ΕΞΟΔΑ!M247</f>
        <v/>
      </c>
      <c r="I98" s="401">
        <f>H98/$H$85</f>
        <v/>
      </c>
      <c r="J98" s="402">
        <f>H98+'2026 Σεπτέμβριος'!J65</f>
        <v/>
      </c>
      <c r="K98" s="403">
        <f>J98/$J$85</f>
        <v/>
      </c>
      <c r="L98" s="114">
        <f>'2024_60-69 ΕΞΟΔΑ+ΟΜ 2'!M51</f>
        <v/>
      </c>
      <c r="M98" s="75">
        <f>L98/$L$85</f>
        <v/>
      </c>
      <c r="N98" s="65">
        <f>L98+'2026 Σεπτέμβριος'!N98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2'!M54</f>
        <v/>
      </c>
      <c r="E99" s="75">
        <f>D99/$D$85</f>
        <v/>
      </c>
      <c r="F99" s="114">
        <f>D99+'2026 Σεπτέμβριος'!F99</f>
        <v/>
      </c>
      <c r="G99" s="75">
        <f>F99/$F$85</f>
        <v/>
      </c>
      <c r="H99" s="56">
        <f>ΠΡΟΥΠΟΛΟΓΙΣΜΟΣ_ΕΞΟΔΑ!M252</f>
        <v/>
      </c>
      <c r="I99" s="401">
        <f>H99/$H$85</f>
        <v/>
      </c>
      <c r="J99" s="402">
        <f>H99+'2026 Σεπτέμβριος'!J66</f>
        <v/>
      </c>
      <c r="K99" s="403">
        <f>J99/$J$85</f>
        <v/>
      </c>
      <c r="L99" s="114">
        <f>'2024_60-69 ΕΞΟΔΑ+ΟΜ 2'!M52</f>
        <v/>
      </c>
      <c r="M99" s="75">
        <f>L99/$L$85</f>
        <v/>
      </c>
      <c r="N99" s="65">
        <f>L99+'2026 Σεπτέμβριος'!N99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2'!M55</f>
        <v/>
      </c>
      <c r="E100" s="75">
        <f>D100/$D$85</f>
        <v/>
      </c>
      <c r="F100" s="114">
        <f>D100+'2026 Σεπτέμβριος'!F100</f>
        <v/>
      </c>
      <c r="G100" s="75">
        <f>F100/$F$85</f>
        <v/>
      </c>
      <c r="H100" s="56">
        <f>ΠΡΟΥΠΟΛΟΓΙΣΜΟΣ_ΕΞΟΔΑ!M257</f>
        <v/>
      </c>
      <c r="I100" s="401">
        <f>H100/$H$85</f>
        <v/>
      </c>
      <c r="J100" s="402">
        <f>H100+'2026 Σεπτέμβριος'!J67</f>
        <v/>
      </c>
      <c r="K100" s="403">
        <f>J100/$J$85</f>
        <v/>
      </c>
      <c r="L100" s="114">
        <f>'2024_60-69 ΕΞΟΔΑ+ΟΜ 2'!M53</f>
        <v/>
      </c>
      <c r="M100" s="75">
        <f>L100/$L$85</f>
        <v/>
      </c>
      <c r="N100" s="65">
        <f>L100+'2026 Σεπτέμβριος'!N100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2'!M56</f>
        <v/>
      </c>
      <c r="E101" s="75">
        <f>D101/$D$85</f>
        <v/>
      </c>
      <c r="F101" s="114">
        <f>D101+'2026 Σεπτέμβριος'!F101</f>
        <v/>
      </c>
      <c r="G101" s="75">
        <f>F101/$F$85</f>
        <v/>
      </c>
      <c r="H101" s="56">
        <f>ΠΡΟΥΠΟΛΟΓΙΣΜΟΣ_ΕΞΟΔΑ!M262</f>
        <v/>
      </c>
      <c r="I101" s="401">
        <f>H101/$H$85</f>
        <v/>
      </c>
      <c r="J101" s="402">
        <f>H101+'2026 Σεπτέμβριος'!J68</f>
        <v/>
      </c>
      <c r="K101" s="403">
        <f>J101/$J$85</f>
        <v/>
      </c>
      <c r="L101" s="114">
        <f>'2024_60-69 ΕΞΟΔΑ+ΟΜ 2'!M54</f>
        <v/>
      </c>
      <c r="M101" s="75">
        <f>L101/$L$85</f>
        <v/>
      </c>
      <c r="N101" s="65">
        <f>L101+'2026 Σεπτέμβριος'!N101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2'!M57</f>
        <v/>
      </c>
      <c r="E102" s="75">
        <f>D102/$D$85</f>
        <v/>
      </c>
      <c r="F102" s="114">
        <f>D102+'2026 Σεπτέμβριος'!F102</f>
        <v/>
      </c>
      <c r="G102" s="75">
        <f>F102/$F$85</f>
        <v/>
      </c>
      <c r="H102" s="56">
        <f>ΠΡΟΥΠΟΛΟΓΙΣΜΟΣ_ΕΞΟΔΑ!M267</f>
        <v/>
      </c>
      <c r="I102" s="401">
        <f>H102/$H$85</f>
        <v/>
      </c>
      <c r="J102" s="402">
        <f>H102+'2026 Σεπτέμβριος'!J69</f>
        <v/>
      </c>
      <c r="K102" s="403">
        <f>J102/$J$85</f>
        <v/>
      </c>
      <c r="L102" s="114">
        <f>'2024_60-69 ΕΞΟΔΑ+ΟΜ 2'!M55</f>
        <v/>
      </c>
      <c r="M102" s="75">
        <f>L102/$L$85</f>
        <v/>
      </c>
      <c r="N102" s="65">
        <f>L102+'2026 Σεπτέμβριος'!N102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2'!M58</f>
        <v/>
      </c>
      <c r="E103" s="75">
        <f>D103/$D$85</f>
        <v/>
      </c>
      <c r="F103" s="114">
        <f>D103+'2026 Σεπτέμβριος'!F103</f>
        <v/>
      </c>
      <c r="G103" s="75">
        <f>F103/$F$85</f>
        <v/>
      </c>
      <c r="H103" s="56">
        <f>ΠΡΟΥΠΟΛΟΓΙΣΜΟΣ_ΕΞΟΔΑ!M272</f>
        <v/>
      </c>
      <c r="I103" s="401">
        <f>H103/$H$85</f>
        <v/>
      </c>
      <c r="J103" s="402">
        <f>H103+'2026 Σεπτέμβριος'!J70</f>
        <v/>
      </c>
      <c r="K103" s="403">
        <f>J103/$J$85</f>
        <v/>
      </c>
      <c r="L103" s="114">
        <f>'2024_60-69 ΕΞΟΔΑ+ΟΜ 2'!M56</f>
        <v/>
      </c>
      <c r="M103" s="75">
        <f>L103/$L$85</f>
        <v/>
      </c>
      <c r="N103" s="65">
        <f>L103+'2026 Σεπτέμβριος'!N103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2'!M59</f>
        <v/>
      </c>
      <c r="E104" s="75">
        <f>D104/$D$85</f>
        <v/>
      </c>
      <c r="F104" s="114">
        <f>D104+'2026 Σεπτέμβριος'!F104</f>
        <v/>
      </c>
      <c r="G104" s="75">
        <f>F104/$F$85</f>
        <v/>
      </c>
      <c r="H104" s="56">
        <f>ΠΡΟΥΠΟΛΟΓΙΣΜΟΣ_ΕΞΟΔΑ!M277</f>
        <v/>
      </c>
      <c r="I104" s="401">
        <f>H104/$H$85</f>
        <v/>
      </c>
      <c r="J104" s="402">
        <f>H104+'2026 Σεπτέμβριος'!J71</f>
        <v/>
      </c>
      <c r="K104" s="403">
        <f>J104/$J$85</f>
        <v/>
      </c>
      <c r="L104" s="114">
        <f>'2024_60-69 ΕΞΟΔΑ+ΟΜ 2'!M57</f>
        <v/>
      </c>
      <c r="M104" s="75">
        <f>L104/$L$85</f>
        <v/>
      </c>
      <c r="N104" s="65">
        <f>L104+'2026 Σεπτέμβριος'!N104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2'!M60</f>
        <v/>
      </c>
      <c r="E105" s="75">
        <f>D105/$D$85</f>
        <v/>
      </c>
      <c r="F105" s="114">
        <f>D105+'2026 Σεπτέμβριος'!F105</f>
        <v/>
      </c>
      <c r="G105" s="75">
        <f>F105/$F$85</f>
        <v/>
      </c>
      <c r="H105" s="56">
        <f>ΠΡΟΥΠΟΛΟΓΙΣΜΟΣ_ΕΞΟΔΑ!M282</f>
        <v/>
      </c>
      <c r="I105" s="401">
        <f>H105/$H$85</f>
        <v/>
      </c>
      <c r="J105" s="402">
        <f>H105+'2026 Σεπτέμβριος'!J72</f>
        <v/>
      </c>
      <c r="K105" s="403">
        <f>J105/$J$85</f>
        <v/>
      </c>
      <c r="L105" s="114">
        <f>'2024_60-69 ΕΞΟΔΑ+ΟΜ 2'!M58</f>
        <v/>
      </c>
      <c r="M105" s="75">
        <f>L105/$L$85</f>
        <v/>
      </c>
      <c r="N105" s="65">
        <f>L105+'2026 Σεπτέμβριος'!N105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3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2'!M61</f>
        <v/>
      </c>
      <c r="E106" s="75">
        <f>D106/$D$85</f>
        <v/>
      </c>
      <c r="F106" s="114">
        <f>D106+'2026 Σεπτέμβριος'!F106</f>
        <v/>
      </c>
      <c r="G106" s="75">
        <f>F106/$F$85</f>
        <v/>
      </c>
      <c r="H106" s="56">
        <f>ΠΡΟΥΠΟΛΟΓΙΣΜΟΣ_ΕΞΟΔΑ!M287</f>
        <v/>
      </c>
      <c r="I106" s="401">
        <f>H106/$H$85</f>
        <v/>
      </c>
      <c r="J106" s="402">
        <f>H106+'2026 Σεπτέμβριος'!J73</f>
        <v/>
      </c>
      <c r="K106" s="403">
        <f>J106/$J$85</f>
        <v/>
      </c>
      <c r="L106" s="114">
        <f>'2024_60-69 ΕΞΟΔΑ+ΟΜ 2'!M59</f>
        <v/>
      </c>
      <c r="M106" s="75">
        <f>L106/$L$85</f>
        <v/>
      </c>
      <c r="N106" s="65">
        <f>L106+'2026 Σεπτέμβριος'!N106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2'!M40</f>
        <v/>
      </c>
      <c r="E112" s="81" t="n"/>
      <c r="F112" s="64">
        <f>'2026_60-69 ΕΞΟΔΑ+ΟΜ 2'!Z40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ΑΝΤΙΣΤΟΙΧΙΣΗ!$F$115</f>
        <v/>
      </c>
      <c r="E115" s="551" t="n"/>
      <c r="F115" s="550" t="n"/>
      <c r="G115" s="107">
        <f>ΑΝΤΙΣΤΟΙΧΙΣΗ!$D$34</f>
        <v/>
      </c>
      <c r="H115" s="549">
        <f>ΑΝΤΙΣΤΟΙΧΙΣΗ!$F$115</f>
        <v/>
      </c>
      <c r="I115" s="551" t="n"/>
      <c r="J115" s="550" t="n"/>
      <c r="K115" s="107">
        <f>ΑΝΤΙΣΤΟΙΧΙΣΗ!$D$34</f>
        <v/>
      </c>
      <c r="L115" s="549">
        <f>ΑΝΤΙΣΤΟΙΧΙΣΗ!$F$129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2'!M71</f>
        <v/>
      </c>
      <c r="E118" s="75">
        <f>D118/$D$117</f>
        <v/>
      </c>
      <c r="F118" s="65">
        <f>D118+'2026 Σεπτέμβριος'!F118</f>
        <v/>
      </c>
      <c r="G118" s="75">
        <f>F118/$F$117</f>
        <v/>
      </c>
      <c r="H118" s="56">
        <f>ΠΡΟΥΠΟΛΟΓΙΣΜΟΣ_ΕΞΟΔΑ!M301</f>
        <v/>
      </c>
      <c r="I118" s="400">
        <f>H118/$H$117</f>
        <v/>
      </c>
      <c r="J118" s="65">
        <f>H118+'2026 Σεπτέμβριος'!J118</f>
        <v/>
      </c>
      <c r="K118" s="65">
        <f>J118/$J$117</f>
        <v/>
      </c>
      <c r="L118" s="56">
        <f>'2024_60-69 ΕΞΟΔΑ+ΟΜ 2'!M66</f>
        <v/>
      </c>
      <c r="M118" s="75">
        <f>L118/$L$117</f>
        <v/>
      </c>
      <c r="N118" s="65">
        <f>L118+'2026 Σεπτέμβριος'!N118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2'!M72</f>
        <v/>
      </c>
      <c r="E119" s="75">
        <f>D119/$D$117</f>
        <v/>
      </c>
      <c r="F119" s="65">
        <f>D119+'2026 Σεπτέμβριος'!F119</f>
        <v/>
      </c>
      <c r="G119" s="75">
        <f>F119/$F$117</f>
        <v/>
      </c>
      <c r="H119" s="56">
        <f>ΠΡΟΥΠΟΛΟΓΙΣΜΟΣ_ΕΞΟΔΑ!M306</f>
        <v/>
      </c>
      <c r="I119" s="400">
        <f>H119/$H$117</f>
        <v/>
      </c>
      <c r="J119" s="65">
        <f>H119+'2026 Σεπτέμβριος'!J119</f>
        <v/>
      </c>
      <c r="K119" s="65">
        <f>J119/$J$117</f>
        <v/>
      </c>
      <c r="L119" s="56">
        <f>'2024_60-69 ΕΞΟΔΑ+ΟΜ 2'!M67</f>
        <v/>
      </c>
      <c r="M119" s="75">
        <f>L119/$L$117</f>
        <v/>
      </c>
      <c r="N119" s="65">
        <f>L119+'2026 Σεπτέμβριος'!N119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2'!M73</f>
        <v/>
      </c>
      <c r="E120" s="75">
        <f>D120/$D$117</f>
        <v/>
      </c>
      <c r="F120" s="65">
        <f>D120+'2026 Σεπτέμβριος'!F120</f>
        <v/>
      </c>
      <c r="G120" s="75">
        <f>F120/$F$117</f>
        <v/>
      </c>
      <c r="H120" s="56">
        <f>ΠΡΟΥΠΟΛΟΓΙΣΜΟΣ_ΕΞΟΔΑ!M311</f>
        <v/>
      </c>
      <c r="I120" s="400">
        <f>H120/$H$117</f>
        <v/>
      </c>
      <c r="J120" s="65">
        <f>H120+'2026 Σεπτέμβριος'!J120</f>
        <v/>
      </c>
      <c r="K120" s="65">
        <f>J120/$J$117</f>
        <v/>
      </c>
      <c r="L120" s="56">
        <f>'2024_60-69 ΕΞΟΔΑ+ΟΜ 2'!M68</f>
        <v/>
      </c>
      <c r="M120" s="75">
        <f>L120/$L$117</f>
        <v/>
      </c>
      <c r="N120" s="65">
        <f>L120+'2026 Σεπτέμβριος'!N120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2'!M74</f>
        <v/>
      </c>
      <c r="E121" s="75">
        <f>D121/$D$117</f>
        <v/>
      </c>
      <c r="F121" s="65">
        <f>D121+'2026 Σεπτέμβριος'!F121</f>
        <v/>
      </c>
      <c r="G121" s="75">
        <f>F121/$F$117</f>
        <v/>
      </c>
      <c r="H121" s="56">
        <f>ΠΡΟΥΠΟΛΟΓΙΣΜΟΣ_ΕΞΟΔΑ!M316</f>
        <v/>
      </c>
      <c r="I121" s="400">
        <f>H121/$H$117</f>
        <v/>
      </c>
      <c r="J121" s="65">
        <f>H121+'2026 Σεπτέμβριος'!J121</f>
        <v/>
      </c>
      <c r="K121" s="65">
        <f>J121/$J$117</f>
        <v/>
      </c>
      <c r="L121" s="56">
        <f>'2024_60-69 ΕΞΟΔΑ+ΟΜ 2'!M69</f>
        <v/>
      </c>
      <c r="M121" s="75">
        <f>L121/$L$117</f>
        <v/>
      </c>
      <c r="N121" s="65">
        <f>L121+'2026 Σεπτέμβριος'!N121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2'!M75</f>
        <v/>
      </c>
      <c r="E122" s="75">
        <f>D122/$D$117</f>
        <v/>
      </c>
      <c r="F122" s="65">
        <f>D122+'2026 Σεπτέμβριος'!F122</f>
        <v/>
      </c>
      <c r="G122" s="75">
        <f>F122/$F$117</f>
        <v/>
      </c>
      <c r="H122" s="56">
        <f>ΠΡΟΥΠΟΛΟΓΙΣΜΟΣ_ΕΞΟΔΑ!M321</f>
        <v/>
      </c>
      <c r="I122" s="400">
        <f>H122/$H$117</f>
        <v/>
      </c>
      <c r="J122" s="65">
        <f>H122+'2026 Σεπτέμβριος'!J122</f>
        <v/>
      </c>
      <c r="K122" s="65">
        <f>J122/$J$117</f>
        <v/>
      </c>
      <c r="L122" s="56">
        <f>'2024_60-69 ΕΞΟΔΑ+ΟΜ 2'!M70</f>
        <v/>
      </c>
      <c r="M122" s="75">
        <f>L122/$L$117</f>
        <v/>
      </c>
      <c r="N122" s="65">
        <f>L122+'2026 Σεπτέμβριος'!N122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2'!M76</f>
        <v/>
      </c>
      <c r="E123" s="75">
        <f>D123/$D$117</f>
        <v/>
      </c>
      <c r="F123" s="65">
        <f>D123+'2026 Σεπτέμβριος'!F123</f>
        <v/>
      </c>
      <c r="G123" s="75">
        <f>F123/$F$117</f>
        <v/>
      </c>
      <c r="H123" s="56">
        <f>ΠΡΟΥΠΟΛΟΓΙΣΜΟΣ_ΕΞΟΔΑ!M326</f>
        <v/>
      </c>
      <c r="I123" s="400">
        <f>H123/$H$117</f>
        <v/>
      </c>
      <c r="J123" s="65">
        <f>H123+'2026 Σεπτέμβριος'!J123</f>
        <v/>
      </c>
      <c r="K123" s="65">
        <f>J123/$J$117</f>
        <v/>
      </c>
      <c r="L123" s="56">
        <f>'2024_60-69 ΕΞΟΔΑ+ΟΜ 2'!M71</f>
        <v/>
      </c>
      <c r="M123" s="75">
        <f>L123/$L$117</f>
        <v/>
      </c>
      <c r="N123" s="65">
        <f>L123+'2026 Σεπτέμβριος'!N123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2'!M77</f>
        <v/>
      </c>
      <c r="E124" s="75">
        <f>D124/$D$117</f>
        <v/>
      </c>
      <c r="F124" s="65">
        <f>D124+'2026 Σεπτέμβριος'!F124</f>
        <v/>
      </c>
      <c r="G124" s="75">
        <f>F124/$F$117</f>
        <v/>
      </c>
      <c r="H124" s="56">
        <f>ΠΡΟΥΠΟΛΟΓΙΣΜΟΣ_ΕΞΟΔΑ!M331</f>
        <v/>
      </c>
      <c r="I124" s="400">
        <f>H124/$H$117</f>
        <v/>
      </c>
      <c r="J124" s="65">
        <f>H124+'2026 Σεπτέμβριος'!J124</f>
        <v/>
      </c>
      <c r="K124" s="65">
        <f>J124/$J$117</f>
        <v/>
      </c>
      <c r="L124" s="56">
        <f>'2024_60-69 ΕΞΟΔΑ+ΟΜ 2'!M72</f>
        <v/>
      </c>
      <c r="M124" s="75">
        <f>L124/$L$117</f>
        <v/>
      </c>
      <c r="N124" s="65">
        <f>L124+'2026 Σεπτέμβριος'!N124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2'!M78</f>
        <v/>
      </c>
      <c r="E125" s="75">
        <f>D125/$D$117</f>
        <v/>
      </c>
      <c r="F125" s="65">
        <f>D125+'2026 Σεπτέμβριος'!F125</f>
        <v/>
      </c>
      <c r="G125" s="75">
        <f>F125/$F$117</f>
        <v/>
      </c>
      <c r="H125" s="56">
        <f>ΠΡΟΥΠΟΛΟΓΙΣΜΟΣ_ΕΞΟΔΑ!M336</f>
        <v/>
      </c>
      <c r="I125" s="400">
        <f>H125/$H$117</f>
        <v/>
      </c>
      <c r="J125" s="65">
        <f>H125+'2026 Σεπτέμβριος'!J125</f>
        <v/>
      </c>
      <c r="K125" s="65">
        <f>J125/$J$117</f>
        <v/>
      </c>
      <c r="L125" s="56">
        <f>'2024_60-69 ΕΞΟΔΑ+ΟΜ 2'!M73</f>
        <v/>
      </c>
      <c r="M125" s="75">
        <f>L125/$L$117</f>
        <v/>
      </c>
      <c r="N125" s="65">
        <f>L125+'2026 Σεπτέμβριος'!N125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2'!M79</f>
        <v/>
      </c>
      <c r="E126" s="75">
        <f>D126/$D$117</f>
        <v/>
      </c>
      <c r="F126" s="65">
        <f>D126+'2026 Σεπτέμβριος'!F126</f>
        <v/>
      </c>
      <c r="G126" s="75">
        <f>F126/$F$117</f>
        <v/>
      </c>
      <c r="H126" s="56">
        <f>ΠΡΟΥΠΟΛΟΓΙΣΜΟΣ_ΕΞΟΔΑ!M341</f>
        <v/>
      </c>
      <c r="I126" s="400">
        <f>H126/$H$117</f>
        <v/>
      </c>
      <c r="J126" s="65">
        <f>H126+'2026 Σεπτέμβριος'!J126</f>
        <v/>
      </c>
      <c r="K126" s="65">
        <f>J126/$J$117</f>
        <v/>
      </c>
      <c r="L126" s="56">
        <f>'2024_60-69 ΕΞΟΔΑ+ΟΜ 2'!M74</f>
        <v/>
      </c>
      <c r="M126" s="75">
        <f>L126/$L$117</f>
        <v/>
      </c>
      <c r="N126" s="65">
        <f>L126+'2026 Σεπτέμβριος'!N126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2'!M80</f>
        <v/>
      </c>
      <c r="E127" s="75">
        <f>D127/$D$117</f>
        <v/>
      </c>
      <c r="F127" s="65">
        <f>D127+'2026 Σεπτέμβριος'!F127</f>
        <v/>
      </c>
      <c r="G127" s="75">
        <f>F127/$F$117</f>
        <v/>
      </c>
      <c r="H127" s="56">
        <f>ΠΡΟΥΠΟΛΟΓΙΣΜΟΣ_ΕΞΟΔΑ!M346</f>
        <v/>
      </c>
      <c r="I127" s="400">
        <f>H127/$H$117</f>
        <v/>
      </c>
      <c r="J127" s="65">
        <f>H127+'2026 Σεπτέμβριος'!J127</f>
        <v/>
      </c>
      <c r="K127" s="65">
        <f>J127/$J$117</f>
        <v/>
      </c>
      <c r="L127" s="56">
        <f>'2024_60-69 ΕΞΟΔΑ+ΟΜ 2'!M75</f>
        <v/>
      </c>
      <c r="M127" s="75">
        <f>L127/$L$117</f>
        <v/>
      </c>
      <c r="N127" s="65">
        <f>L127+'2026 Σεπτέμβριος'!N127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2'!M81</f>
        <v/>
      </c>
      <c r="E128" s="75">
        <f>D128/$D$117</f>
        <v/>
      </c>
      <c r="F128" s="65">
        <f>D128+'2026 Σεπτέμβριος'!F128</f>
        <v/>
      </c>
      <c r="G128" s="75">
        <f>F128/$F$117</f>
        <v/>
      </c>
      <c r="H128" s="56">
        <f>ΠΡΟΥΠΟΛΟΓΙΣΜΟΣ_ΕΞΟΔΑ!M351</f>
        <v/>
      </c>
      <c r="I128" s="400">
        <f>H128/$H$117</f>
        <v/>
      </c>
      <c r="J128" s="65">
        <f>H128+'2026 Σεπτέμβριος'!J128</f>
        <v/>
      </c>
      <c r="K128" s="65">
        <f>J128/$J$117</f>
        <v/>
      </c>
      <c r="L128" s="56">
        <f>'2024_60-69 ΕΞΟΔΑ+ΟΜ 2'!M76</f>
        <v/>
      </c>
      <c r="M128" s="75">
        <f>L128/$L$117</f>
        <v/>
      </c>
      <c r="N128" s="65">
        <f>L128+'2026 Σεπτέμβριος'!N128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2'!M82</f>
        <v/>
      </c>
      <c r="E129" s="75">
        <f>D129/$D$117</f>
        <v/>
      </c>
      <c r="F129" s="65">
        <f>D129+'2026 Σεπτέμβριος'!F129</f>
        <v/>
      </c>
      <c r="G129" s="75">
        <f>F129/$F$117</f>
        <v/>
      </c>
      <c r="H129" s="56">
        <f>ΠΡΟΥΠΟΛΟΓΙΣΜΟΣ_ΕΞΟΔΑ!M356</f>
        <v/>
      </c>
      <c r="I129" s="400">
        <f>H129/$H$117</f>
        <v/>
      </c>
      <c r="J129" s="65">
        <f>H129+'2026 Σεπτέμβριος'!J129</f>
        <v/>
      </c>
      <c r="K129" s="65">
        <f>J129/$J$117</f>
        <v/>
      </c>
      <c r="L129" s="56">
        <f>'2024_60-69 ΕΞΟΔΑ+ΟΜ 2'!M77</f>
        <v/>
      </c>
      <c r="M129" s="75">
        <f>L129/$L$117</f>
        <v/>
      </c>
      <c r="N129" s="65">
        <f>L129+'2026 Σεπτέμβριος'!N129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2'!M83</f>
        <v/>
      </c>
      <c r="E130" s="75">
        <f>D130/$D$117</f>
        <v/>
      </c>
      <c r="F130" s="65">
        <f>D130+'2026 Σεπτέμβριος'!F130</f>
        <v/>
      </c>
      <c r="G130" s="75">
        <f>F130/$F$117</f>
        <v/>
      </c>
      <c r="H130" s="56">
        <f>ΠΡΟΥΠΟΛΟΓΙΣΜΟΣ_ΕΞΟΔΑ!M361</f>
        <v/>
      </c>
      <c r="I130" s="400">
        <f>H130/$H$117</f>
        <v/>
      </c>
      <c r="J130" s="65">
        <f>H130+'2026 Σεπτέμβριος'!J130</f>
        <v/>
      </c>
      <c r="K130" s="65">
        <f>J130/$J$117</f>
        <v/>
      </c>
      <c r="L130" s="56">
        <f>'2024_60-69 ΕΞΟΔΑ+ΟΜ 2'!M78</f>
        <v/>
      </c>
      <c r="M130" s="75">
        <f>L130/$L$117</f>
        <v/>
      </c>
      <c r="N130" s="65">
        <f>L130+'2026 Σεπτέμβριος'!N130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2'!M84</f>
        <v/>
      </c>
      <c r="E131" s="75">
        <f>D131/$D$117</f>
        <v/>
      </c>
      <c r="F131" s="65">
        <f>D131+'2026 Σεπτέμβριος'!F131</f>
        <v/>
      </c>
      <c r="G131" s="75">
        <f>F131/$F$117</f>
        <v/>
      </c>
      <c r="H131" s="56">
        <f>ΠΡΟΥΠΟΛΟΓΙΣΜΟΣ_ΕΞΟΔΑ!M366</f>
        <v/>
      </c>
      <c r="I131" s="400">
        <f>H131/$H$117</f>
        <v/>
      </c>
      <c r="J131" s="65">
        <f>H131+'2026 Σεπτέμβριος'!J131</f>
        <v/>
      </c>
      <c r="K131" s="65">
        <f>J131/$J$117</f>
        <v/>
      </c>
      <c r="L131" s="56">
        <f>'2024_60-69 ΕΞΟΔΑ+ΟΜ 2'!M79</f>
        <v/>
      </c>
      <c r="M131" s="75">
        <f>L131/$L$117</f>
        <v/>
      </c>
      <c r="N131" s="65">
        <f>L131+'2026 Σεπτέμβριος'!N131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2'!M85</f>
        <v/>
      </c>
      <c r="E132" s="75">
        <f>D132/$D$117</f>
        <v/>
      </c>
      <c r="F132" s="65">
        <f>D132+'2026 Σεπτέμβριος'!F132</f>
        <v/>
      </c>
      <c r="G132" s="75">
        <f>F132/$F$117</f>
        <v/>
      </c>
      <c r="H132" s="56">
        <f>ΠΡΟΥΠΟΛΟΓΙΣΜΟΣ_ΕΞΟΔΑ!M371</f>
        <v/>
      </c>
      <c r="I132" s="400">
        <f>H132/$H$117</f>
        <v/>
      </c>
      <c r="J132" s="65">
        <f>H132+'2026 Σεπτέμβριος'!J132</f>
        <v/>
      </c>
      <c r="K132" s="65">
        <f>J132/$J$117</f>
        <v/>
      </c>
      <c r="L132" s="56">
        <f>'2024_60-69 ΕΞΟΔΑ+ΟΜ 2'!M80</f>
        <v/>
      </c>
      <c r="M132" s="75">
        <f>L132/$L$117</f>
        <v/>
      </c>
      <c r="N132" s="65">
        <f>L132+'2026 Σεπτέμβριος'!N132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2'!M86</f>
        <v/>
      </c>
      <c r="E133" s="75">
        <f>D133/$D$117</f>
        <v/>
      </c>
      <c r="F133" s="65">
        <f>D133+'2026 Σεπτέμβριος'!F133</f>
        <v/>
      </c>
      <c r="G133" s="75">
        <f>F133/$F$117</f>
        <v/>
      </c>
      <c r="H133" s="56">
        <f>ΠΡΟΥΠΟΛΟΓΙΣΜΟΣ_ΕΞΟΔΑ!M376</f>
        <v/>
      </c>
      <c r="I133" s="400">
        <f>H133/$H$117</f>
        <v/>
      </c>
      <c r="J133" s="65">
        <f>H133+'2026 Σεπτέμβριος'!J133</f>
        <v/>
      </c>
      <c r="K133" s="65">
        <f>J133/$J$117</f>
        <v/>
      </c>
      <c r="L133" s="56">
        <f>'2024_60-69 ΕΞΟΔΑ+ΟΜ 2'!M81</f>
        <v/>
      </c>
      <c r="M133" s="75">
        <f>L133/$L$117</f>
        <v/>
      </c>
      <c r="N133" s="65">
        <f>L133+'2026 Σεπτέμβριος'!N133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2'!M87</f>
        <v/>
      </c>
      <c r="E134" s="75">
        <f>D134/$D$117</f>
        <v/>
      </c>
      <c r="F134" s="65">
        <f>D134+'2026 Σεπτέμβριος'!F134</f>
        <v/>
      </c>
      <c r="G134" s="75">
        <f>F134/$F$117</f>
        <v/>
      </c>
      <c r="H134" s="56">
        <f>ΠΡΟΥΠΟΛΟΓΙΣΜΟΣ_ΕΞΟΔΑ!M381</f>
        <v/>
      </c>
      <c r="I134" s="400">
        <f>H134/$H$117</f>
        <v/>
      </c>
      <c r="J134" s="65">
        <f>H134+'2026 Σεπτέμβριος'!J134</f>
        <v/>
      </c>
      <c r="K134" s="65">
        <f>J134/$J$117</f>
        <v/>
      </c>
      <c r="L134" s="56">
        <f>'2024_60-69 ΕΞΟΔΑ+ΟΜ 2'!M82</f>
        <v/>
      </c>
      <c r="M134" s="75">
        <f>L134/$L$117</f>
        <v/>
      </c>
      <c r="N134" s="65">
        <f>L134+'2026 Σεπτέμβριος'!N134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2'!M88</f>
        <v/>
      </c>
      <c r="E135" s="75">
        <f>D135/$D$117</f>
        <v/>
      </c>
      <c r="F135" s="65">
        <f>D135+'2026 Σεπτέμβριος'!F135</f>
        <v/>
      </c>
      <c r="G135" s="75">
        <f>F135/$F$117</f>
        <v/>
      </c>
      <c r="H135" s="56">
        <f>ΠΡΟΥΠΟΛΟΓΙΣΜΟΣ_ΕΞΟΔΑ!M386</f>
        <v/>
      </c>
      <c r="I135" s="400">
        <f>H135/$H$117</f>
        <v/>
      </c>
      <c r="J135" s="65">
        <f>H135+'2026 Σεπτέμβριος'!J135</f>
        <v/>
      </c>
      <c r="K135" s="65">
        <f>J135/$J$117</f>
        <v/>
      </c>
      <c r="L135" s="56">
        <f>'2024_60-69 ΕΞΟΔΑ+ΟΜ 2'!M83</f>
        <v/>
      </c>
      <c r="M135" s="75">
        <f>L135/$L$117</f>
        <v/>
      </c>
      <c r="N135" s="65">
        <f>L135+'2026 Σεπτέμβριος'!N135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2'!M89</f>
        <v/>
      </c>
      <c r="E136" s="75">
        <f>D136/$D$117</f>
        <v/>
      </c>
      <c r="F136" s="65">
        <f>D136+'2026 Σεπτέμβριος'!F136</f>
        <v/>
      </c>
      <c r="G136" s="75">
        <f>F136/$F$117</f>
        <v/>
      </c>
      <c r="H136" s="56">
        <f>ΠΡΟΥΠΟΛΟΓΙΣΜΟΣ_ΕΞΟΔΑ!M391</f>
        <v/>
      </c>
      <c r="I136" s="400">
        <f>H136/$H$117</f>
        <v/>
      </c>
      <c r="J136" s="65">
        <f>H136+'2026 Σεπτέμβριος'!J136</f>
        <v/>
      </c>
      <c r="K136" s="65">
        <f>J136/$J$117</f>
        <v/>
      </c>
      <c r="L136" s="56">
        <f>'2024_60-69 ΕΞΟΔΑ+ΟΜ 2'!M84</f>
        <v/>
      </c>
      <c r="M136" s="75">
        <f>L136/$L$117</f>
        <v/>
      </c>
      <c r="N136" s="65">
        <f>L136+'2026 Σεπτέμβριος'!N136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2'!M90</f>
        <v/>
      </c>
      <c r="E137" s="75">
        <f>D137/$D$117</f>
        <v/>
      </c>
      <c r="F137" s="65">
        <f>D137+'2026 Σεπτέμβριος'!F137</f>
        <v/>
      </c>
      <c r="G137" s="75">
        <f>F137/$F$117</f>
        <v/>
      </c>
      <c r="H137" s="56">
        <f>ΠΡΟΥΠΟΛΟΓΙΣΜΟΣ_ΕΞΟΔΑ!M396</f>
        <v/>
      </c>
      <c r="I137" s="400">
        <f>H137/$H$117</f>
        <v/>
      </c>
      <c r="J137" s="65">
        <f>H137+'2026 Σεπτέμβριος'!J137</f>
        <v/>
      </c>
      <c r="K137" s="65">
        <f>J137/$J$117</f>
        <v/>
      </c>
      <c r="L137" s="56">
        <f>'2024_60-69 ΕΞΟΔΑ+ΟΜ 2'!M85</f>
        <v/>
      </c>
      <c r="M137" s="75">
        <f>L137/$L$117</f>
        <v/>
      </c>
      <c r="N137" s="65">
        <f>L137+'2026 Σεπτέμβριος'!N137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2'!M91</f>
        <v/>
      </c>
      <c r="E138" s="75">
        <f>D138/$D$117</f>
        <v/>
      </c>
      <c r="F138" s="65">
        <f>D138+'2026 Σεπτέμβριος'!F138</f>
        <v/>
      </c>
      <c r="G138" s="75">
        <f>F138/$F$117</f>
        <v/>
      </c>
      <c r="H138" s="56">
        <f>ΠΡΟΥΠΟΛΟΓΙΣΜΟΣ_ΕΞΟΔΑ!M401</f>
        <v/>
      </c>
      <c r="I138" s="400">
        <f>H138/$H$117</f>
        <v/>
      </c>
      <c r="J138" s="65">
        <f>H138+'2026 Σεπτέμβριος'!J138</f>
        <v/>
      </c>
      <c r="K138" s="65">
        <f>J138/$J$117</f>
        <v/>
      </c>
      <c r="L138" s="56">
        <f>'2024_60-69 ΕΞΟΔΑ+ΟΜ 2'!M86</f>
        <v/>
      </c>
      <c r="M138" s="75">
        <f>L138/$L$117</f>
        <v/>
      </c>
      <c r="N138" s="65">
        <f>L138+'2026 Σεπτέμβριος'!N138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2'!M92</f>
        <v/>
      </c>
      <c r="E139" s="75">
        <f>D139/$D$117</f>
        <v/>
      </c>
      <c r="F139" s="65">
        <f>D139+'2026 Σεπτέμβριος'!F139</f>
        <v/>
      </c>
      <c r="G139" s="75">
        <f>F139/$F$117</f>
        <v/>
      </c>
      <c r="H139" s="56">
        <f>ΠΡΟΥΠΟΛΟΓΙΣΜΟΣ_ΕΞΟΔΑ!M406</f>
        <v/>
      </c>
      <c r="I139" s="400">
        <f>H139/$H$117</f>
        <v/>
      </c>
      <c r="J139" s="65">
        <f>H139+'2026 Σεπτέμβριος'!J139</f>
        <v/>
      </c>
      <c r="K139" s="65">
        <f>J139/$J$117</f>
        <v/>
      </c>
      <c r="L139" s="56">
        <f>'2024_60-69 ΕΞΟΔΑ+ΟΜ 2'!M87</f>
        <v/>
      </c>
      <c r="M139" s="75">
        <f>L139/$L$117</f>
        <v/>
      </c>
      <c r="N139" s="65">
        <f>L139+'2026 Σεπτέμβριος'!N139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2'!M93</f>
        <v/>
      </c>
      <c r="E140" s="75">
        <f>D140/$D$117</f>
        <v/>
      </c>
      <c r="F140" s="65">
        <f>D140+'2026 Σεπτέμβριος'!F140</f>
        <v/>
      </c>
      <c r="G140" s="75">
        <f>F140/$F$117</f>
        <v/>
      </c>
      <c r="H140" s="56">
        <f>ΠΡΟΥΠΟΛΟΓΙΣΜΟΣ_ΕΞΟΔΑ!M411</f>
        <v/>
      </c>
      <c r="I140" s="400">
        <f>H140/$H$117</f>
        <v/>
      </c>
      <c r="J140" s="65">
        <f>H140+'2026 Σεπτέμβριος'!J140</f>
        <v/>
      </c>
      <c r="K140" s="65">
        <f>J140/$J$117</f>
        <v/>
      </c>
      <c r="L140" s="56">
        <f>'2024_60-69 ΕΞΟΔΑ+ΟΜ 2'!M88</f>
        <v/>
      </c>
      <c r="M140" s="75">
        <f>L140/$L$117</f>
        <v/>
      </c>
      <c r="N140" s="65">
        <f>L140+'2026 Σεπτέμβριος'!N140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2'!M94</f>
        <v/>
      </c>
      <c r="E141" s="75">
        <f>D141/$D$117</f>
        <v/>
      </c>
      <c r="F141" s="65">
        <f>D141+'2026 Σεπτέμβριος'!F141</f>
        <v/>
      </c>
      <c r="G141" s="75">
        <f>F141/$F$117</f>
        <v/>
      </c>
      <c r="H141" s="56">
        <f>ΠΡΟΥΠΟΛΟΓΙΣΜΟΣ_ΕΞΟΔΑ!M416</f>
        <v/>
      </c>
      <c r="I141" s="400">
        <f>H141/$H$117</f>
        <v/>
      </c>
      <c r="J141" s="65">
        <f>H141+'2026 Σεπτέμβριος'!J141</f>
        <v/>
      </c>
      <c r="K141" s="65">
        <f>J141/$J$117</f>
        <v/>
      </c>
      <c r="L141" s="56">
        <f>'2024_60-69 ΕΞΟΔΑ+ΟΜ 2'!M89</f>
        <v/>
      </c>
      <c r="M141" s="75">
        <f>L141/$L$117</f>
        <v/>
      </c>
      <c r="N141" s="65">
        <f>L141+'2026 Σεπτέμβριος'!N141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2'!M95</f>
        <v/>
      </c>
      <c r="E142" s="75">
        <f>D142/$D$117</f>
        <v/>
      </c>
      <c r="F142" s="65">
        <f>D142+'2026 Σεπτέμβριος'!F142</f>
        <v/>
      </c>
      <c r="G142" s="75">
        <f>F142/$F$117</f>
        <v/>
      </c>
      <c r="H142" s="56">
        <f>ΠΡΟΥΠΟΛΟΓΙΣΜΟΣ_ΕΞΟΔΑ!M421</f>
        <v/>
      </c>
      <c r="I142" s="400">
        <f>H142/$H$117</f>
        <v/>
      </c>
      <c r="J142" s="65">
        <f>H142+'2026 Σεπτέμβριος'!J142</f>
        <v/>
      </c>
      <c r="K142" s="65">
        <f>J142/$J$117</f>
        <v/>
      </c>
      <c r="L142" s="56">
        <f>'2024_60-69 ΕΞΟΔΑ+ΟΜ 2'!M90</f>
        <v/>
      </c>
      <c r="M142" s="75">
        <f>L142/$L$117</f>
        <v/>
      </c>
      <c r="N142" s="65">
        <f>L142+'2026 Σεπτέμβριος'!N142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2'!M96</f>
        <v/>
      </c>
      <c r="E143" s="75">
        <f>D143/$D$117</f>
        <v/>
      </c>
      <c r="F143" s="65">
        <f>D143+'2026 Σεπτέμβριος'!F143</f>
        <v/>
      </c>
      <c r="G143" s="75">
        <f>F143/$F$117</f>
        <v/>
      </c>
      <c r="H143" s="56">
        <f>ΠΡΟΥΠΟΛΟΓΙΣΜΟΣ_ΕΞΟΔΑ!M426</f>
        <v/>
      </c>
      <c r="I143" s="400">
        <f>H143/$H$117</f>
        <v/>
      </c>
      <c r="J143" s="65">
        <f>H143+'2026 Σεπτέμβριος'!J143</f>
        <v/>
      </c>
      <c r="K143" s="65">
        <f>J143/$J$117</f>
        <v/>
      </c>
      <c r="L143" s="56">
        <f>'2024_60-69 ΕΞΟΔΑ+ΟΜ 2'!M91</f>
        <v/>
      </c>
      <c r="M143" s="75">
        <f>L143/$L$117</f>
        <v/>
      </c>
      <c r="N143" s="65">
        <f>L143+'2026 Σεπτέμβριος'!N143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2'!M97</f>
        <v/>
      </c>
      <c r="E144" s="75">
        <f>D144/$D$117</f>
        <v/>
      </c>
      <c r="F144" s="65">
        <f>D144+'2026 Σεπτέμβριος'!F144</f>
        <v/>
      </c>
      <c r="G144" s="75">
        <f>F144/$F$117</f>
        <v/>
      </c>
      <c r="H144" s="56">
        <f>ΠΡΟΥΠΟΛΟΓΙΣΜΟΣ_ΕΞΟΔΑ!M431</f>
        <v/>
      </c>
      <c r="I144" s="400">
        <f>H144/$H$117</f>
        <v/>
      </c>
      <c r="J144" s="65">
        <f>H144+'2026 Σεπτέμβριος'!J144</f>
        <v/>
      </c>
      <c r="K144" s="65">
        <f>J144/$J$117</f>
        <v/>
      </c>
      <c r="L144" s="56">
        <f>'2024_60-69 ΕΞΟΔΑ+ΟΜ 2'!M92</f>
        <v/>
      </c>
      <c r="M144" s="75">
        <f>L144/$L$117</f>
        <v/>
      </c>
      <c r="N144" s="65">
        <f>L144+'2026 Σεπτέμβριος'!N144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2'!M98</f>
        <v/>
      </c>
      <c r="E145" s="75">
        <f>D145/$D$117</f>
        <v/>
      </c>
      <c r="F145" s="65">
        <f>D145+'2026 Σεπτέμβριος'!F145</f>
        <v/>
      </c>
      <c r="G145" s="75">
        <f>F145/$F$117</f>
        <v/>
      </c>
      <c r="H145" s="56">
        <f>ΠΡΟΥΠΟΛΟΓΙΣΜΟΣ_ΕΞΟΔΑ!M436</f>
        <v/>
      </c>
      <c r="I145" s="400">
        <f>H145/$H$117</f>
        <v/>
      </c>
      <c r="J145" s="65">
        <f>H145+'2026 Σεπτέμβριος'!J145</f>
        <v/>
      </c>
      <c r="K145" s="65">
        <f>J145/$J$117</f>
        <v/>
      </c>
      <c r="L145" s="56">
        <f>'2024_60-69 ΕΞΟΔΑ+ΟΜ 2'!M93</f>
        <v/>
      </c>
      <c r="M145" s="75">
        <f>L145/$L$117</f>
        <v/>
      </c>
      <c r="N145" s="65">
        <f>L145+'2026 Σεπτέμβριος'!N145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2'!M99</f>
        <v/>
      </c>
      <c r="E146" s="75">
        <f>D146/$D$117</f>
        <v/>
      </c>
      <c r="F146" s="65">
        <f>D146+'2026 Σεπτέμβριος'!F146</f>
        <v/>
      </c>
      <c r="G146" s="75">
        <f>F146/$F$117</f>
        <v/>
      </c>
      <c r="H146" s="56">
        <f>ΠΡΟΥΠΟΛΟΓΙΣΜΟΣ_ΕΞΟΔΑ!M441</f>
        <v/>
      </c>
      <c r="I146" s="400">
        <f>H146/$H$117</f>
        <v/>
      </c>
      <c r="J146" s="65">
        <f>H146+'2026 Σεπτέμβριος'!J146</f>
        <v/>
      </c>
      <c r="K146" s="65">
        <f>J146/$J$117</f>
        <v/>
      </c>
      <c r="L146" s="56">
        <f>'2024_60-69 ΕΞΟΔΑ+ΟΜ 2'!M94</f>
        <v/>
      </c>
      <c r="M146" s="75">
        <f>L146/$L$117</f>
        <v/>
      </c>
      <c r="N146" s="65">
        <f>L146+'2026 Σεπτέμβριος'!N146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2'!M100</f>
        <v/>
      </c>
      <c r="E147" s="75">
        <f>D147/$D$117</f>
        <v/>
      </c>
      <c r="F147" s="65">
        <f>D147+'2026 Σεπτέμβριος'!F147</f>
        <v/>
      </c>
      <c r="G147" s="75">
        <f>F147/$F$117</f>
        <v/>
      </c>
      <c r="H147" s="56">
        <f>ΠΡΟΥΠΟΛΟΓΙΣΜΟΣ_ΕΞΟΔΑ!M446</f>
        <v/>
      </c>
      <c r="I147" s="400">
        <f>H147/$H$117</f>
        <v/>
      </c>
      <c r="J147" s="65">
        <f>H147+'2026 Σεπτέμβριος'!J147</f>
        <v/>
      </c>
      <c r="K147" s="65">
        <f>J147/$J$117</f>
        <v/>
      </c>
      <c r="L147" s="56">
        <f>'2024_60-69 ΕΞΟΔΑ+ΟΜ 2'!M95</f>
        <v/>
      </c>
      <c r="M147" s="75">
        <f>L147/$L$117</f>
        <v/>
      </c>
      <c r="N147" s="65">
        <f>L147+'2026 Σεπτέμβριος'!N147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2'!M101</f>
        <v/>
      </c>
      <c r="E148" s="75">
        <f>D148/$D$117</f>
        <v/>
      </c>
      <c r="F148" s="65">
        <f>D148+'2026 Σεπτέμβριος'!F148</f>
        <v/>
      </c>
      <c r="G148" s="75">
        <f>F148/$F$117</f>
        <v/>
      </c>
      <c r="H148" s="56">
        <f>ΠΡΟΥΠΟΛΟΓΙΣΜΟΣ_ΕΞΟΔΑ!M451</f>
        <v/>
      </c>
      <c r="I148" s="400">
        <f>H148/$H$117</f>
        <v/>
      </c>
      <c r="J148" s="65">
        <f>H148+'2026 Σεπτέμβριος'!J148</f>
        <v/>
      </c>
      <c r="K148" s="65">
        <f>J148/$J$117</f>
        <v/>
      </c>
      <c r="L148" s="56">
        <f>'2024_60-69 ΕΞΟΔΑ+ΟΜ 2'!M96</f>
        <v/>
      </c>
      <c r="M148" s="75">
        <f>L148/$L$117</f>
        <v/>
      </c>
      <c r="N148" s="65">
        <f>L148+'2026 Σεπτέμβριος'!N148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2'!M102</f>
        <v/>
      </c>
      <c r="E149" s="75">
        <f>D149/$D$117</f>
        <v/>
      </c>
      <c r="F149" s="65">
        <f>D149+'2026 Σεπτέμβριος'!F149</f>
        <v/>
      </c>
      <c r="G149" s="75">
        <f>F149/$F$117</f>
        <v/>
      </c>
      <c r="H149" s="56">
        <f>ΠΡΟΥΠΟΛΟΓΙΣΜΟΣ_ΕΞΟΔΑ!M456</f>
        <v/>
      </c>
      <c r="I149" s="400">
        <f>H149/$H$117</f>
        <v/>
      </c>
      <c r="J149" s="65">
        <f>H149+'2026 Σεπτέμβριος'!J149</f>
        <v/>
      </c>
      <c r="K149" s="65">
        <f>J149/$J$117</f>
        <v/>
      </c>
      <c r="L149" s="56">
        <f>'2024_60-69 ΕΞΟΔΑ+ΟΜ 2'!M97</f>
        <v/>
      </c>
      <c r="M149" s="75">
        <f>L149/$L$117</f>
        <v/>
      </c>
      <c r="N149" s="65">
        <f>L149+'2026 Σεπτέμβριος'!N149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2'!M103</f>
        <v/>
      </c>
      <c r="E150" s="75">
        <f>D150/$D$117</f>
        <v/>
      </c>
      <c r="F150" s="65">
        <f>D150+'2026 Σεπτέμβριος'!F150</f>
        <v/>
      </c>
      <c r="G150" s="75">
        <f>F150/$F$117</f>
        <v/>
      </c>
      <c r="H150" s="56">
        <f>ΠΡΟΥΠΟΛΟΓΙΣΜΟΣ_ΕΞΟΔΑ!M461</f>
        <v/>
      </c>
      <c r="I150" s="400">
        <f>H150/$H$117</f>
        <v/>
      </c>
      <c r="J150" s="65">
        <f>H150+'2026 Σεπτέμβριος'!J150</f>
        <v/>
      </c>
      <c r="K150" s="65">
        <f>J150/$J$117</f>
        <v/>
      </c>
      <c r="L150" s="56">
        <f>'2024_60-69 ΕΞΟΔΑ+ΟΜ 2'!M98</f>
        <v/>
      </c>
      <c r="M150" s="75">
        <f>L150/$L$117</f>
        <v/>
      </c>
      <c r="N150" s="65">
        <f>L150+'2026 Σεπτέμβριος'!N150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2'!M104</f>
        <v/>
      </c>
      <c r="E151" s="75">
        <f>D151/$D$117</f>
        <v/>
      </c>
      <c r="F151" s="65">
        <f>D151+'2026 Σεπτέμβριος'!F151</f>
        <v/>
      </c>
      <c r="G151" s="75">
        <f>F151/$F$117</f>
        <v/>
      </c>
      <c r="H151" s="56">
        <f>ΠΡΟΥΠΟΛΟΓΙΣΜΟΣ_ΕΞΟΔΑ!M466</f>
        <v/>
      </c>
      <c r="I151" s="400">
        <f>H151/$H$117</f>
        <v/>
      </c>
      <c r="J151" s="65">
        <f>H151+'2026 Σεπτέμβριος'!J151</f>
        <v/>
      </c>
      <c r="K151" s="65">
        <f>J151/$J$117</f>
        <v/>
      </c>
      <c r="L151" s="56">
        <f>'2024_60-69 ΕΞΟΔΑ+ΟΜ 2'!M99</f>
        <v/>
      </c>
      <c r="M151" s="75">
        <f>L151/$L$117</f>
        <v/>
      </c>
      <c r="N151" s="65">
        <f>L151+'2026 Σεπτέμβριος'!N151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2'!M105</f>
        <v/>
      </c>
      <c r="E152" s="75">
        <f>D152/$D$117</f>
        <v/>
      </c>
      <c r="F152" s="65">
        <f>D152+'2026 Σεπτέμβριος'!F152</f>
        <v/>
      </c>
      <c r="G152" s="75">
        <f>F152/$F$117</f>
        <v/>
      </c>
      <c r="H152" s="56">
        <f>ΠΡΟΥΠΟΛΟΓΙΣΜΟΣ_ΕΞΟΔΑ!M471</f>
        <v/>
      </c>
      <c r="I152" s="400">
        <f>H152/$H$117</f>
        <v/>
      </c>
      <c r="J152" s="65">
        <f>H152+'2026 Σεπτέμβριος'!J152</f>
        <v/>
      </c>
      <c r="K152" s="65">
        <f>J152/$J$117</f>
        <v/>
      </c>
      <c r="L152" s="56">
        <f>'2024_60-69 ΕΞΟΔΑ+ΟΜ 2'!M100</f>
        <v/>
      </c>
      <c r="M152" s="75">
        <f>L152/$L$117</f>
        <v/>
      </c>
      <c r="N152" s="65">
        <f>L152+'2026 Σεπτέμβριος'!N152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57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2'!M106</f>
        <v/>
      </c>
      <c r="E153" s="75">
        <f>D153/$D$117</f>
        <v/>
      </c>
      <c r="F153" s="65">
        <f>D153+'2026 Σεπτέμβριος'!F153</f>
        <v/>
      </c>
      <c r="G153" s="75">
        <f>F153/$F$117</f>
        <v/>
      </c>
      <c r="H153" s="56">
        <f>ΠΡΟΥΠΟΛΟΓΙΣΜΟΣ_ΕΞΟΔΑ!M476</f>
        <v/>
      </c>
      <c r="I153" s="400">
        <f>H153/$H$117</f>
        <v/>
      </c>
      <c r="J153" s="65">
        <f>H153+'2026 Σεπτέμβριος'!J153</f>
        <v/>
      </c>
      <c r="K153" s="65">
        <f>J153/$J$117</f>
        <v/>
      </c>
      <c r="L153" s="56">
        <f>'2024_60-69 ΕΞΟΔΑ+ΟΜ 2'!M101</f>
        <v/>
      </c>
      <c r="M153" s="75">
        <f>L153/$L$117</f>
        <v/>
      </c>
      <c r="N153" s="65">
        <f>L153+'2026 Σεπτέμβριος'!N153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2'!M107</f>
        <v/>
      </c>
      <c r="E154" s="75">
        <f>D154/$D$117</f>
        <v/>
      </c>
      <c r="F154" s="65">
        <f>D154+'2026 Σεπτέμβριος'!F154</f>
        <v/>
      </c>
      <c r="G154" s="75">
        <f>F154/$F$117</f>
        <v/>
      </c>
      <c r="H154" s="56">
        <f>ΠΡΟΥΠΟΛΟΓΙΣΜΟΣ_ΕΞΟΔΑ!M481</f>
        <v/>
      </c>
      <c r="I154" s="400">
        <f>H154/$H$117</f>
        <v/>
      </c>
      <c r="J154" s="65">
        <f>H154+'2026 Σεπτέμβριος'!J154</f>
        <v/>
      </c>
      <c r="K154" s="65">
        <f>J154/$J$117</f>
        <v/>
      </c>
      <c r="L154" s="56">
        <f>'2024_60-69 ΕΞΟΔΑ+ΟΜ 2'!M102</f>
        <v/>
      </c>
      <c r="M154" s="75">
        <f>L154/$L$117</f>
        <v/>
      </c>
      <c r="N154" s="65">
        <f>L154+'2026 Σεπτέμβριος'!N154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2'!M108</f>
        <v/>
      </c>
      <c r="E155" s="75">
        <f>D155/$D$117</f>
        <v/>
      </c>
      <c r="F155" s="65">
        <f>D155+'2026 Σεπτέμβριος'!F155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2'!M70</f>
        <v/>
      </c>
      <c r="E158" s="81" t="n"/>
      <c r="F158" s="64">
        <f>'2026_60-69 ΕΞΟΔΑ+ΟΜ 2'!Z70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ΑΝΤΙΣΤΟΙΧΙΣΗ!$F$116</f>
        <v/>
      </c>
      <c r="E3" s="551" t="n"/>
      <c r="F3" s="550" t="n"/>
      <c r="G3" s="107">
        <f>ΑΝΤΙΣΤΟΙΧΙΣΗ!$D$34</f>
        <v/>
      </c>
      <c r="H3" s="549">
        <f>ΑΝΤΙΣΤΟΙΧΙΣΗ!$F$116</f>
        <v/>
      </c>
      <c r="I3" s="551" t="n"/>
      <c r="J3" s="550" t="n"/>
      <c r="K3" s="107">
        <f>ΑΝΤΙΣΤΟΙΧΙΣΗ!$D$34</f>
        <v/>
      </c>
      <c r="L3" s="549">
        <f>ΑΝΤΙΣΤΟΙΧΙΣΗ!$F$130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'2026_ΕΣΟΔΑ'!M2</f>
        <v/>
      </c>
      <c r="E8" s="53">
        <f>D8/$D$7</f>
        <v/>
      </c>
      <c r="F8" s="54">
        <f>D8+'2026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H8+'2026 Οκτώβριος'!J8</f>
        <v/>
      </c>
      <c r="K8" s="53">
        <f>J8/$J$7</f>
        <v/>
      </c>
      <c r="L8" s="89">
        <f>'2024_60-69 ΕΞΟΔΑ+ΟΜ 2'!M114</f>
        <v/>
      </c>
      <c r="M8" s="53">
        <f>L8/$L$7</f>
        <v/>
      </c>
      <c r="N8" s="54">
        <f>L8+'2026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'2026_ΕΣΟΔΑ'!M3</f>
        <v/>
      </c>
      <c r="E9" s="53">
        <f>D9/$D$7</f>
        <v/>
      </c>
      <c r="F9" s="54">
        <f>D9+'2026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H9+'2026 Οκτώβριος'!J9</f>
        <v/>
      </c>
      <c r="K9" s="53">
        <f>J9/$J$7</f>
        <v/>
      </c>
      <c r="L9" s="89">
        <f>'2024_60-69 ΕΞΟΔΑ+ΟΜ 2'!M115</f>
        <v/>
      </c>
      <c r="M9" s="53">
        <f>L9/$L$7</f>
        <v/>
      </c>
      <c r="N9" s="54">
        <f>L9+'2026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'2026_ΕΣΟΔΑ'!M4</f>
        <v/>
      </c>
      <c r="E10" s="53">
        <f>D10/$D$7</f>
        <v/>
      </c>
      <c r="F10" s="54">
        <f>D10+'2026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H10+'2026 Οκτώβριος'!J10</f>
        <v/>
      </c>
      <c r="K10" s="53">
        <f>J10/$J$7</f>
        <v/>
      </c>
      <c r="L10" s="89">
        <f>'2024_60-69 ΕΞΟΔΑ+ΟΜ 2'!M116</f>
        <v/>
      </c>
      <c r="M10" s="53">
        <f>L10/$L$7</f>
        <v/>
      </c>
      <c r="N10" s="54">
        <f>L10+'2026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'2026_ΕΣΟΔΑ'!M5</f>
        <v/>
      </c>
      <c r="E11" s="53">
        <f>D11/$D$7</f>
        <v/>
      </c>
      <c r="F11" s="54">
        <f>D11+'2026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H11+'2026 Οκτώβριος'!J11</f>
        <v/>
      </c>
      <c r="K11" s="53">
        <f>J11/$J$7</f>
        <v/>
      </c>
      <c r="L11" s="89">
        <f>'2024_60-69 ΕΞΟΔΑ+ΟΜ 2'!M117</f>
        <v/>
      </c>
      <c r="M11" s="53">
        <f>L11/$L$7</f>
        <v/>
      </c>
      <c r="N11" s="54">
        <f>L11+'2026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'2026_ΕΣΟΔΑ'!M6</f>
        <v/>
      </c>
      <c r="E12" s="53">
        <f>D12/$D$7</f>
        <v/>
      </c>
      <c r="F12" s="54">
        <f>D12+'2026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H12+'2026 Οκτώβριος'!J12</f>
        <v/>
      </c>
      <c r="K12" s="53">
        <f>J12/$J$7</f>
        <v/>
      </c>
      <c r="L12" s="89">
        <f>'2024_60-69 ΕΞΟΔΑ+ΟΜ 2'!M118</f>
        <v/>
      </c>
      <c r="M12" s="53">
        <f>L12/$L$7</f>
        <v/>
      </c>
      <c r="N12" s="54">
        <f>L12+'2026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'2026_ΕΣΟΔΑ'!M7</f>
        <v/>
      </c>
      <c r="E13" s="53">
        <f>D13/$D$7</f>
        <v/>
      </c>
      <c r="F13" s="54">
        <f>D13+'2026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H13+'2026 Οκτώβριος'!J13</f>
        <v/>
      </c>
      <c r="K13" s="53">
        <f>J13/$J$7</f>
        <v/>
      </c>
      <c r="L13" s="89">
        <f>'2024_60-69 ΕΞΟΔΑ+ΟΜ 2'!M119</f>
        <v/>
      </c>
      <c r="M13" s="53">
        <f>L13/$L$7</f>
        <v/>
      </c>
      <c r="N13" s="54">
        <f>L13+'2026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'2026_ΕΣΟΔΑ'!M8</f>
        <v/>
      </c>
      <c r="E14" s="53">
        <f>D14/$D$7</f>
        <v/>
      </c>
      <c r="F14" s="54">
        <f>D14+'2026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H14+'2026 Οκτώβριος'!J14</f>
        <v/>
      </c>
      <c r="K14" s="53">
        <f>J14/$J$7</f>
        <v/>
      </c>
      <c r="L14" s="89">
        <f>'2024_60-69 ΕΞΟΔΑ+ΟΜ 2'!M120</f>
        <v/>
      </c>
      <c r="M14" s="53">
        <f>L14/$L$7</f>
        <v/>
      </c>
      <c r="N14" s="54">
        <f>L14+'2026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'2026_ΕΣΟΔΑ'!M9</f>
        <v/>
      </c>
      <c r="E15" s="53">
        <f>D15/$D$7</f>
        <v/>
      </c>
      <c r="F15" s="54">
        <f>D15+'2026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H15+'2026 Οκτώβριος'!J15</f>
        <v/>
      </c>
      <c r="K15" s="53">
        <f>J15/$J$7</f>
        <v/>
      </c>
      <c r="L15" s="89">
        <f>'2024_60-69 ΕΞΟΔΑ+ΟΜ 2'!M121</f>
        <v/>
      </c>
      <c r="M15" s="53">
        <f>L15/$L$7</f>
        <v/>
      </c>
      <c r="N15" s="54">
        <f>L15+'2026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'2026_ΕΣΟΔΑ'!M10</f>
        <v/>
      </c>
      <c r="E16" s="53">
        <f>D16/$D$7</f>
        <v/>
      </c>
      <c r="F16" s="54">
        <f>D16+'2026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H16+'2026 Οκτώβριος'!J16</f>
        <v/>
      </c>
      <c r="K16" s="53">
        <f>J16/$J$7</f>
        <v/>
      </c>
      <c r="L16" s="89">
        <f>'2024_60-69 ΕΞΟΔΑ+ΟΜ 2'!M122</f>
        <v/>
      </c>
      <c r="M16" s="53">
        <f>L16/$L$7</f>
        <v/>
      </c>
      <c r="N16" s="54">
        <f>L16+'2026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'2026_ΕΣΟΔΑ'!M11</f>
        <v/>
      </c>
      <c r="E17" s="53">
        <f>D17/$D$7</f>
        <v/>
      </c>
      <c r="F17" s="54">
        <f>D17+'2026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H17+'2026 Οκτώβριος'!J17</f>
        <v/>
      </c>
      <c r="K17" s="53">
        <f>J17/$J$7</f>
        <v/>
      </c>
      <c r="L17" s="89">
        <f>'2024_60-69 ΕΞΟΔΑ+ΟΜ 2'!M123</f>
        <v/>
      </c>
      <c r="M17" s="53">
        <f>L17/$L$7</f>
        <v/>
      </c>
      <c r="N17" s="54">
        <f>L17+'2026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'2026_ΕΣΟΔΑ'!M12</f>
        <v/>
      </c>
      <c r="E18" s="53">
        <f>D18/$D$7</f>
        <v/>
      </c>
      <c r="F18" s="54">
        <f>D18+'2026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H18+'2026 Οκτώβριος'!J18</f>
        <v/>
      </c>
      <c r="K18" s="53">
        <f>J18/$J$7</f>
        <v/>
      </c>
      <c r="L18" s="89">
        <f>'2024_60-69 ΕΞΟΔΑ+ΟΜ 2'!M124</f>
        <v/>
      </c>
      <c r="M18" s="53">
        <f>L18/$L$7</f>
        <v/>
      </c>
      <c r="N18" s="54">
        <f>L18+'2026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'2026_ΕΣΟΔΑ'!M13</f>
        <v/>
      </c>
      <c r="E19" s="53">
        <f>D19/$D$7</f>
        <v/>
      </c>
      <c r="F19" s="54">
        <f>D19+'2026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H19+'2026 Οκτώβριος'!J19</f>
        <v/>
      </c>
      <c r="K19" s="53">
        <f>J19/$J$7</f>
        <v/>
      </c>
      <c r="L19" s="89">
        <f>'2024_60-69 ΕΞΟΔΑ+ΟΜ 2'!M125</f>
        <v/>
      </c>
      <c r="M19" s="53">
        <f>L19/$L$7</f>
        <v/>
      </c>
      <c r="N19" s="54">
        <f>L19+'2026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'2026_ΕΣΟΔΑ'!M14</f>
        <v/>
      </c>
      <c r="E20" s="53">
        <f>D20/$D$7</f>
        <v/>
      </c>
      <c r="F20" s="54">
        <f>D20+'2026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H20+'2026 Οκτώβριος'!J20</f>
        <v/>
      </c>
      <c r="K20" s="53">
        <f>J20/$J$7</f>
        <v/>
      </c>
      <c r="L20" s="89">
        <f>'2024_60-69 ΕΞΟΔΑ+ΟΜ 2'!M126</f>
        <v/>
      </c>
      <c r="M20" s="53">
        <f>L20/$L$7</f>
        <v/>
      </c>
      <c r="N20" s="54">
        <f>L20+'2026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'2026_ΕΣΟΔΑ'!M15</f>
        <v/>
      </c>
      <c r="E21" s="53">
        <f>D21/$D$7</f>
        <v/>
      </c>
      <c r="F21" s="54">
        <f>D21+'2026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H21+'2026 Οκτώβριος'!J21</f>
        <v/>
      </c>
      <c r="K21" s="53">
        <f>J21/$J$7</f>
        <v/>
      </c>
      <c r="L21" s="89">
        <f>'2024_60-69 ΕΞΟΔΑ+ΟΜ 2'!M127</f>
        <v/>
      </c>
      <c r="M21" s="53">
        <f>L21/$L$7</f>
        <v/>
      </c>
      <c r="N21" s="54">
        <f>L21+'2026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'2026_ΕΣΟΔΑ'!M16</f>
        <v/>
      </c>
      <c r="E22" s="53">
        <f>D22/$D$7</f>
        <v/>
      </c>
      <c r="F22" s="54">
        <f>D22+'2026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H22+'2026 Οκτώβριος'!J22</f>
        <v/>
      </c>
      <c r="K22" s="53">
        <f>J22/$J$7</f>
        <v/>
      </c>
      <c r="L22" s="89">
        <f>'2024_60-69 ΕΞΟΔΑ+ΟΜ 2'!M128</f>
        <v/>
      </c>
      <c r="M22" s="53">
        <f>L22/$L$7</f>
        <v/>
      </c>
      <c r="N22" s="54">
        <f>L22+'2026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'2026_ΕΣΟΔΑ'!M17</f>
        <v/>
      </c>
      <c r="E23" s="53">
        <f>D23/$D$7</f>
        <v/>
      </c>
      <c r="F23" s="54">
        <f>D23+'2026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H23+'2026 Οκτώβριος'!J23</f>
        <v/>
      </c>
      <c r="K23" s="53">
        <f>J23/$J$7</f>
        <v/>
      </c>
      <c r="L23" s="89">
        <f>'2024_60-69 ΕΞΟΔΑ+ΟΜ 2'!M129</f>
        <v/>
      </c>
      <c r="M23" s="53">
        <f>L23/$L$7</f>
        <v/>
      </c>
      <c r="N23" s="54">
        <f>L23+'2026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'2026_ΕΣΟΔΑ'!M19</f>
        <v/>
      </c>
      <c r="E25" s="53">
        <f>D25/$D$7</f>
        <v/>
      </c>
      <c r="F25" s="54">
        <f>D25+'2026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H25+'2026 Οκτώβριος'!J25</f>
        <v/>
      </c>
      <c r="K25" s="53">
        <f>J25/$J$7</f>
        <v/>
      </c>
      <c r="L25" s="89">
        <f>'2024_60-69 ΕΞΟΔΑ+ΟΜ 2'!M130</f>
        <v/>
      </c>
      <c r="M25" s="53">
        <f>L25/$L$7</f>
        <v/>
      </c>
      <c r="N25" s="54">
        <f>L25+'2026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'2026_ΕΣΟΔΑ'!M20</f>
        <v/>
      </c>
      <c r="E26" s="53">
        <f>D26/$D$7</f>
        <v/>
      </c>
      <c r="F26" s="54">
        <f>D26+'2026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H26+'2026 Οκτώβριος'!J26</f>
        <v/>
      </c>
      <c r="K26" s="53">
        <f>J26/$J$7</f>
        <v/>
      </c>
      <c r="L26" s="89">
        <f>'2024_60-69 ΕΞΟΔΑ+ΟΜ 2'!M131</f>
        <v/>
      </c>
      <c r="M26" s="53">
        <f>L26/$L$7</f>
        <v/>
      </c>
      <c r="N26" s="54">
        <f>L26+'2026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'2026_ΕΣΟΔΑ'!M21</f>
        <v/>
      </c>
      <c r="E27" s="53">
        <f>D27/$D$7</f>
        <v/>
      </c>
      <c r="F27" s="54">
        <f>D27+'2026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H27+'2026 Οκτώβριος'!J27</f>
        <v/>
      </c>
      <c r="K27" s="53">
        <f>J27/$J$7</f>
        <v/>
      </c>
      <c r="L27" s="89">
        <f>'2024_60-69 ΕΞΟΔΑ+ΟΜ 2'!M132</f>
        <v/>
      </c>
      <c r="M27" s="53">
        <f>L27/$L$7</f>
        <v/>
      </c>
      <c r="N27" s="54">
        <f>L27+'2026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'2026_ΕΣΟΔΑ'!M22</f>
        <v/>
      </c>
      <c r="E28" s="53">
        <f>D28/$D$7</f>
        <v/>
      </c>
      <c r="F28" s="54">
        <f>D28+'2026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H28+'2026 Οκτώβριος'!J28</f>
        <v/>
      </c>
      <c r="K28" s="53">
        <f>J28/$J$7</f>
        <v/>
      </c>
      <c r="L28" s="89">
        <f>'2024_60-69 ΕΞΟΔΑ+ΟΜ 2'!M133</f>
        <v/>
      </c>
      <c r="M28" s="53">
        <f>L28/$L$7</f>
        <v/>
      </c>
      <c r="N28" s="54">
        <f>L28+'2026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'2026_ΕΣΟΔΑ'!M23</f>
        <v/>
      </c>
      <c r="E29" s="53">
        <f>D29/$D$7</f>
        <v/>
      </c>
      <c r="F29" s="54">
        <f>D29+'2026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H29+'2026 Οκτώβριος'!J29</f>
        <v/>
      </c>
      <c r="K29" s="53">
        <f>J29/$J$7</f>
        <v/>
      </c>
      <c r="L29" s="89">
        <f>'2024_60-69 ΕΞΟΔΑ+ΟΜ 2'!M134</f>
        <v/>
      </c>
      <c r="M29" s="53">
        <f>L29/$L$7</f>
        <v/>
      </c>
      <c r="N29" s="54">
        <f>L29+'2026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'2026_ΕΣΟΔΑ'!M24</f>
        <v/>
      </c>
      <c r="E30" s="53">
        <f>D30/$D$7</f>
        <v/>
      </c>
      <c r="F30" s="54">
        <f>D30+'2026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H30+'2026 Οκτώβριος'!J30</f>
        <v/>
      </c>
      <c r="K30" s="53">
        <f>J30/$J$7</f>
        <v/>
      </c>
      <c r="L30" s="89">
        <f>'2024_60-69 ΕΞΟΔΑ+ΟΜ 2'!M135</f>
        <v/>
      </c>
      <c r="M30" s="53">
        <f>L30/$L$7</f>
        <v/>
      </c>
      <c r="N30" s="54">
        <f>L30+'2026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'2026_ΕΣΟΔΑ'!M25</f>
        <v/>
      </c>
      <c r="E31" s="53">
        <f>D31/$D$7</f>
        <v/>
      </c>
      <c r="F31" s="54">
        <f>D31+'2026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H31+'2026 Οκτώβριος'!J31</f>
        <v/>
      </c>
      <c r="K31" s="53">
        <f>J31/$J$7</f>
        <v/>
      </c>
      <c r="L31" s="89">
        <f>'2024_60-69 ΕΞΟΔΑ+ΟΜ 2'!M136</f>
        <v/>
      </c>
      <c r="M31" s="53">
        <f>L31/$L$7</f>
        <v/>
      </c>
      <c r="N31" s="54">
        <f>L31+'2026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'2026_ΕΣΟΔΑ'!M26</f>
        <v/>
      </c>
      <c r="E32" s="53">
        <f>D32/$D$7</f>
        <v/>
      </c>
      <c r="F32" s="54">
        <f>D32+'2026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H32+'2026 Οκτώβριος'!J32</f>
        <v/>
      </c>
      <c r="K32" s="53">
        <f>J32/$J$7</f>
        <v/>
      </c>
      <c r="L32" s="89">
        <f>'2024_60-69 ΕΞΟΔΑ+ΟΜ 2'!M137</f>
        <v/>
      </c>
      <c r="M32" s="53">
        <f>L32/$L$7</f>
        <v/>
      </c>
      <c r="N32" s="54">
        <f>L32+'2026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'2026_ΕΣΟΔΑ'!M27</f>
        <v/>
      </c>
      <c r="E33" s="53">
        <f>D33/$D$7</f>
        <v/>
      </c>
      <c r="F33" s="54">
        <f>D33+'2026 Οκτώβριος'!F33</f>
        <v/>
      </c>
      <c r="G33" s="53">
        <f>F33/$F$7</f>
        <v/>
      </c>
      <c r="H33" s="54" t="n"/>
      <c r="I33" s="53">
        <f>H33/$H$7</f>
        <v/>
      </c>
      <c r="J33" s="54">
        <f>H33+'2026 Οκτώβριος'!J33</f>
        <v/>
      </c>
      <c r="K33" s="53">
        <f>J33/$J$7</f>
        <v/>
      </c>
      <c r="L33" s="89">
        <f>'2024_60-69 ΕΞΟΔΑ+ΟΜ 2'!M138</f>
        <v/>
      </c>
      <c r="M33" s="53">
        <f>L33/$L$7</f>
        <v/>
      </c>
      <c r="N33" s="54">
        <f>L33+'2026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'2026_ΕΣΟΔΑ'!M28</f>
        <v/>
      </c>
      <c r="E34" s="53">
        <f>D34/$D$7</f>
        <v/>
      </c>
      <c r="F34" s="54">
        <f>D34+'2026 Οκτώβριος'!F34</f>
        <v/>
      </c>
      <c r="G34" s="53">
        <f>F34/$F$7</f>
        <v/>
      </c>
      <c r="H34" s="54" t="n"/>
      <c r="I34" s="53">
        <f>H34/$H$7</f>
        <v/>
      </c>
      <c r="J34" s="54">
        <f>H34+'2026 Οκτώβριος'!J34</f>
        <v/>
      </c>
      <c r="K34" s="53">
        <f>J34/$J$7</f>
        <v/>
      </c>
      <c r="L34" s="89">
        <f>'2024_60-69 ΕΞΟΔΑ+ΟΜ 2'!M139</f>
        <v/>
      </c>
      <c r="M34" s="53">
        <f>L34/$L$7</f>
        <v/>
      </c>
      <c r="N34" s="54">
        <f>L34+'2026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'2026_ΕΣΟΔΑ'!M29</f>
        <v/>
      </c>
      <c r="E35" s="53">
        <f>D35/$D$7</f>
        <v/>
      </c>
      <c r="F35" s="54">
        <f>D35+'2026 Οκτώβριος'!F35</f>
        <v/>
      </c>
      <c r="G35" s="53">
        <f>F35/$F$7</f>
        <v/>
      </c>
      <c r="H35" s="54" t="n"/>
      <c r="I35" s="53">
        <f>H35/$H$7</f>
        <v/>
      </c>
      <c r="J35" s="54">
        <f>H35+'2026 Οκτώβριος'!J35</f>
        <v/>
      </c>
      <c r="K35" s="53">
        <f>J35/$J$7</f>
        <v/>
      </c>
      <c r="L35" s="89">
        <f>'2024_60-69 ΕΞΟΔΑ+ΟΜ 2'!M140</f>
        <v/>
      </c>
      <c r="M35" s="53">
        <f>L35/$L$7</f>
        <v/>
      </c>
      <c r="N35" s="54">
        <f>L35+'2026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'2026_ΕΣΟΔΑ'!M30</f>
        <v/>
      </c>
      <c r="E36" s="53">
        <f>D36/$D$7</f>
        <v/>
      </c>
      <c r="F36" s="54">
        <f>D36+'2026 Οκτώβριος'!F36</f>
        <v/>
      </c>
      <c r="G36" s="53">
        <f>F36/$F$7</f>
        <v/>
      </c>
      <c r="H36" s="54" t="n"/>
      <c r="I36" s="53">
        <f>H36/$H$7</f>
        <v/>
      </c>
      <c r="J36" s="54">
        <f>H36+'2026 Οκτώβριος'!J36</f>
        <v/>
      </c>
      <c r="K36" s="53">
        <f>J36/$J$7</f>
        <v/>
      </c>
      <c r="L36" s="89">
        <f>'2024_60-69 ΕΞΟΔΑ+ΟΜ 2'!M141</f>
        <v/>
      </c>
      <c r="M36" s="53">
        <f>L36/$L$7</f>
        <v/>
      </c>
      <c r="N36" s="54">
        <f>L36+'2026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'2026_ΕΣΟΔΑ'!M31</f>
        <v/>
      </c>
      <c r="E37" s="53">
        <f>D37/$D$7</f>
        <v/>
      </c>
      <c r="F37" s="54">
        <f>D37+'2026 Οκτώβριος'!F37</f>
        <v/>
      </c>
      <c r="G37" s="53">
        <f>F37/$F$7</f>
        <v/>
      </c>
      <c r="H37" s="54" t="n"/>
      <c r="I37" s="53">
        <f>H37/$H$7</f>
        <v/>
      </c>
      <c r="J37" s="54">
        <f>H37+'2026 Οκτώβριος'!J37</f>
        <v/>
      </c>
      <c r="K37" s="53">
        <f>J37/$J$7</f>
        <v/>
      </c>
      <c r="L37" s="89">
        <f>'2024_60-69 ΕΞΟΔΑ+ΟΜ 2'!M142</f>
        <v/>
      </c>
      <c r="M37" s="53">
        <f>L37/$L$7</f>
        <v/>
      </c>
      <c r="N37" s="54">
        <f>L37+'2026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'2026_ΕΣΟΔΑ'!M32</f>
        <v/>
      </c>
      <c r="E38" s="53">
        <f>D38/$D$7</f>
        <v/>
      </c>
      <c r="F38" s="54">
        <f>D38+'2026 Οκτώβριος'!F38</f>
        <v/>
      </c>
      <c r="G38" s="53">
        <f>F38/$F$7</f>
        <v/>
      </c>
      <c r="H38" s="54" t="n"/>
      <c r="I38" s="53">
        <f>H38/$H$7</f>
        <v/>
      </c>
      <c r="J38" s="54">
        <f>H38+'2026 Οκτώβριος'!J38</f>
        <v/>
      </c>
      <c r="K38" s="53">
        <f>J38/$J$7</f>
        <v/>
      </c>
      <c r="L38" s="89">
        <f>'2024_60-69 ΕΞΟΔΑ+ΟΜ 2'!M143</f>
        <v/>
      </c>
      <c r="M38" s="53">
        <f>L38/$L$7</f>
        <v/>
      </c>
      <c r="N38" s="54">
        <f>L38+'2026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'2026_ΕΣΟΔΑ'!M33</f>
        <v/>
      </c>
      <c r="E39" s="81" t="n"/>
      <c r="F39" s="64">
        <f>'2026_ΕΣΟΔΑ'!M35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9">
        <f>ΑΝΤΙΣΤΟΙΧΙΣΗ!$F$116</f>
        <v/>
      </c>
      <c r="E42" s="551" t="n"/>
      <c r="F42" s="550" t="n"/>
      <c r="G42" s="107">
        <f>ΑΝΤΙΣΤΟΙΧΙΣΗ!$D$34</f>
        <v/>
      </c>
      <c r="H42" s="549">
        <f>ΑΝΤΙΣΤΟΙΧΙΣΗ!$F$116</f>
        <v/>
      </c>
      <c r="I42" s="551" t="n"/>
      <c r="J42" s="550" t="n"/>
      <c r="K42" s="107">
        <f>ΑΝΤΙΣΤΟΙΧΙΣΗ!$D$34</f>
        <v/>
      </c>
      <c r="L42" s="549">
        <f>ΑΝΤΙΣΤΟΙΧΙΣΗ!$F$130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'2026_60-69 ΕΞΟΔΑ+ΟΜ 2'!N4</f>
        <v/>
      </c>
      <c r="E45" s="75">
        <f>D45/$D$44</f>
        <v/>
      </c>
      <c r="F45" s="65">
        <f>D45+'2026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H45+'2026 Οκτώβριος'!J45</f>
        <v/>
      </c>
      <c r="K45" s="404">
        <f>J45/$J$44</f>
        <v/>
      </c>
      <c r="L45" s="56">
        <f>'2024_60-69 ΕΞΟΔΑ+ΟΜ 2'!N4</f>
        <v/>
      </c>
      <c r="M45" s="75">
        <f>L45/$L$44</f>
        <v/>
      </c>
      <c r="N45" s="65">
        <f>L45+'2026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'2026_60-69 ΕΞΟΔΑ+ΟΜ 2'!N5</f>
        <v/>
      </c>
      <c r="E46" s="75">
        <f>D46/$D$44</f>
        <v/>
      </c>
      <c r="F46" s="65">
        <f>D46+'2026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H46+'2026 Οκτώβριος'!J46</f>
        <v/>
      </c>
      <c r="K46" s="404">
        <f>J46/$J$44</f>
        <v/>
      </c>
      <c r="L46" s="56">
        <f>'2024_60-69 ΕΞΟΔΑ+ΟΜ 2'!N5</f>
        <v/>
      </c>
      <c r="M46" s="75">
        <f>L46/$L$44</f>
        <v/>
      </c>
      <c r="N46" s="65">
        <f>L46+'2026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'2026_60-69 ΕΞΟΔΑ+ΟΜ 2'!N6</f>
        <v/>
      </c>
      <c r="E47" s="75">
        <f>D47/$D$44</f>
        <v/>
      </c>
      <c r="F47" s="65">
        <f>D47+'2026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H47+'2026 Οκτώβριος'!J47</f>
        <v/>
      </c>
      <c r="K47" s="404">
        <f>J47/$J$44</f>
        <v/>
      </c>
      <c r="L47" s="56">
        <f>'2024_60-69 ΕΞΟΔΑ+ΟΜ 2'!N6</f>
        <v/>
      </c>
      <c r="M47" s="75">
        <f>L47/$L$44</f>
        <v/>
      </c>
      <c r="N47" s="65">
        <f>L47+'2026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40</v>
      </c>
      <c r="B48" s="178" t="n">
        <v>4</v>
      </c>
      <c r="C48" s="113">
        <f>ΑΝΤΙΣΤΟΙΧΙΣΗ!L187</f>
        <v/>
      </c>
      <c r="D48" s="114">
        <f>'2026_60-69 ΕΞΟΔΑ+ΟΜ 2'!N7</f>
        <v/>
      </c>
      <c r="E48" s="75">
        <f>D48/$D$85</f>
        <v/>
      </c>
      <c r="F48" s="114">
        <f>D48+'2026 Οκτώβριος'!F48</f>
        <v/>
      </c>
      <c r="G48" s="75">
        <f>F48/$F$85</f>
        <v/>
      </c>
      <c r="H48" s="56">
        <f>ΠΡΟΥΠΟΛΟΓΙΣΜΟΣ_ΕΞΟΔΑ!N167</f>
        <v/>
      </c>
      <c r="I48" s="401">
        <f>H48/$H$85</f>
        <v/>
      </c>
      <c r="J48" s="402">
        <f>H48+'2026 Οκτώβριος'!J48</f>
        <v/>
      </c>
      <c r="K48" s="58">
        <f>J48/$J$85</f>
        <v/>
      </c>
      <c r="L48" s="114">
        <f>'2024_60-69 ΕΞΟΔΑ+ΟΜ 2'!N35</f>
        <v/>
      </c>
      <c r="M48" s="75">
        <f>L48/$L$85</f>
        <v/>
      </c>
      <c r="N48" s="65">
        <f>L48+'2026 Οκτώβριος'!N48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41</v>
      </c>
      <c r="B49" s="178" t="n">
        <v>5</v>
      </c>
      <c r="C49" s="109">
        <f>ΑΝΤΙΣΤΟΙΧΙΣΗ!L188</f>
        <v/>
      </c>
      <c r="D49" s="114">
        <f>'2026_60-69 ΕΞΟΔΑ+ΟΜ 2'!N8</f>
        <v/>
      </c>
      <c r="E49" s="75">
        <f>D49/$D$85</f>
        <v/>
      </c>
      <c r="F49" s="114">
        <f>D49+'2026 Οκτώβριος'!F49</f>
        <v/>
      </c>
      <c r="G49" s="75">
        <f>F49/$F$85</f>
        <v/>
      </c>
      <c r="H49" s="56">
        <f>ΠΡΟΥΠΟΛΟΓΙΣΜΟΣ_ΕΞΟΔΑ!N172</f>
        <v/>
      </c>
      <c r="I49" s="401">
        <f>H49/$H$85</f>
        <v/>
      </c>
      <c r="J49" s="402">
        <f>H49+'2026 Οκτώβριος'!J49</f>
        <v/>
      </c>
      <c r="K49" s="58">
        <f>J49/$J$85</f>
        <v/>
      </c>
      <c r="L49" s="114">
        <f>'2024_60-69 ΕΞΟΔΑ+ΟΜ 2'!N36</f>
        <v/>
      </c>
      <c r="M49" s="75">
        <f>L49/$L$85</f>
        <v/>
      </c>
      <c r="N49" s="65">
        <f>L49+'2026 Οκτώβριος'!N49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42</v>
      </c>
      <c r="B50" s="178" t="n">
        <v>6</v>
      </c>
      <c r="C50" s="115">
        <f>ΑΝΤΙΣΤΟΙΧΙΣΗ!I190</f>
        <v/>
      </c>
      <c r="D50" s="56">
        <f>'2026_60-69 ΕΞΟΔΑ+ΟΜ 2'!N9</f>
        <v/>
      </c>
      <c r="E50" s="75">
        <f>D50/$D$44</f>
        <v/>
      </c>
      <c r="F50" s="65">
        <f>D50+'2026 Οκτώβριος'!F50</f>
        <v/>
      </c>
      <c r="G50" s="75">
        <f>F50/$F$44</f>
        <v/>
      </c>
      <c r="H50" s="56">
        <f>ΠΡΟΥΠΟΛΟΓΙΣΜΟΣ_ΕΞΟΔΑ!N23</f>
        <v/>
      </c>
      <c r="I50" s="400">
        <f>H50/$H$44</f>
        <v/>
      </c>
      <c r="J50" s="65">
        <f>H50+'2026 Οκτώβριος'!J50</f>
        <v/>
      </c>
      <c r="K50" s="404">
        <f>J50/$J$44</f>
        <v/>
      </c>
      <c r="L50" s="56">
        <f>'2024_60-69 ΕΞΟΔΑ+ΟΜ 2'!N7</f>
        <v/>
      </c>
      <c r="M50" s="75">
        <f>L50/$L$44</f>
        <v/>
      </c>
      <c r="N50" s="65">
        <f>L50+'2026 Οκτώβριος'!N50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43</v>
      </c>
      <c r="B51" s="178" t="n">
        <v>7</v>
      </c>
      <c r="C51" s="115">
        <f>ΑΝΤΙΣΤΟΙΧΙΣΗ!I191</f>
        <v/>
      </c>
      <c r="D51" s="56">
        <f>'2026_60-69 ΕΞΟΔΑ+ΟΜ 2'!N10</f>
        <v/>
      </c>
      <c r="E51" s="75">
        <f>D51/$D$44</f>
        <v/>
      </c>
      <c r="F51" s="65">
        <f>D51+'2026 Οκτώβριος'!F51</f>
        <v/>
      </c>
      <c r="G51" s="75">
        <f>F51/$F$44</f>
        <v/>
      </c>
      <c r="H51" s="56">
        <f>ΠΡΟΥΠΟΛΟΓΙΣΜΟΣ_ΕΞΟΔΑ!N28</f>
        <v/>
      </c>
      <c r="I51" s="400">
        <f>H51/$H$44</f>
        <v/>
      </c>
      <c r="J51" s="65">
        <f>H51+'2026 Οκτώβριος'!J51</f>
        <v/>
      </c>
      <c r="K51" s="404">
        <f>J51/$J$44</f>
        <v/>
      </c>
      <c r="L51" s="56">
        <f>'2024_60-69 ΕΞΟΔΑ+ΟΜ 2'!N8</f>
        <v/>
      </c>
      <c r="M51" s="75">
        <f>L51/$L$44</f>
        <v/>
      </c>
      <c r="N51" s="65">
        <f>L51+'2026 Οκτώβριος'!N51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44</v>
      </c>
      <c r="B52" s="178" t="n">
        <v>8</v>
      </c>
      <c r="C52" s="115">
        <f>ΑΝΤΙΣΤΟΙΧΙΣΗ!I192</f>
        <v/>
      </c>
      <c r="D52" s="56">
        <f>'2026_60-69 ΕΞΟΔΑ+ΟΜ 2'!N11</f>
        <v/>
      </c>
      <c r="E52" s="75">
        <f>D52/$D$44</f>
        <v/>
      </c>
      <c r="F52" s="65">
        <f>D52+'2026 Οκτώβριος'!F52</f>
        <v/>
      </c>
      <c r="G52" s="75">
        <f>F52/$F$44</f>
        <v/>
      </c>
      <c r="H52" s="56">
        <f>ΠΡΟΥΠΟΛΟΓΙΣΜΟΣ_ΕΞΟΔΑ!N33</f>
        <v/>
      </c>
      <c r="I52" s="400">
        <f>H52/$H$44</f>
        <v/>
      </c>
      <c r="J52" s="65">
        <f>H52+'2026 Οκτώβριος'!J52</f>
        <v/>
      </c>
      <c r="K52" s="404">
        <f>J52/$J$44</f>
        <v/>
      </c>
      <c r="L52" s="56">
        <f>'2024_60-69 ΕΞΟΔΑ+ΟΜ 2'!N9</f>
        <v/>
      </c>
      <c r="M52" s="75">
        <f>L52/$L$44</f>
        <v/>
      </c>
      <c r="N52" s="65">
        <f>L52+'2026 Οκτώβριος'!N52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45</v>
      </c>
      <c r="B53" s="178" t="n">
        <v>9</v>
      </c>
      <c r="C53" s="109">
        <f>ΑΝΤΙΣΤΟΙΧΙΣΗ!L191</f>
        <v/>
      </c>
      <c r="D53" s="114">
        <f>'2026_60-69 ΕΞΟΔΑ+ΟΜ 2'!N12</f>
        <v/>
      </c>
      <c r="E53" s="75">
        <f>D53/$D$85</f>
        <v/>
      </c>
      <c r="F53" s="114">
        <f>D53+'2026 Οκτώβριος'!F53</f>
        <v/>
      </c>
      <c r="G53" s="75">
        <f>F53/$F$85</f>
        <v/>
      </c>
      <c r="H53" s="56">
        <f>ΠΡΟΥΠΟΛΟΓΙΣΜΟΣ_ΕΞΟΔΑ!N187</f>
        <v/>
      </c>
      <c r="I53" s="401">
        <f>H53/$H$85</f>
        <v/>
      </c>
      <c r="J53" s="402">
        <f>H53+'2026 Οκτώβριος'!J53</f>
        <v/>
      </c>
      <c r="K53" s="58">
        <f>J53/$J$85</f>
        <v/>
      </c>
      <c r="L53" s="114">
        <f>'2024_60-69 ΕΞΟΔΑ+ΟΜ 2'!N39</f>
        <v/>
      </c>
      <c r="M53" s="75">
        <f>L53/$L$85</f>
        <v/>
      </c>
      <c r="N53" s="65">
        <f>L53+'2026 Οκτώβριος'!N53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.75" customHeight="1">
      <c r="A54" s="178" t="n">
        <v>46</v>
      </c>
      <c r="B54" s="178" t="n">
        <v>10</v>
      </c>
      <c r="C54" s="115">
        <f>ΑΝΤΙΣΤΟΙΧΙΣΗ!L192</f>
        <v/>
      </c>
      <c r="D54" s="114">
        <f>'2026_60-69 ΕΞΟΔΑ+ΟΜ 2'!N13</f>
        <v/>
      </c>
      <c r="E54" s="75">
        <f>D54/$D$85</f>
        <v/>
      </c>
      <c r="F54" s="114">
        <f>D54+'2026 Οκτώβριος'!F54</f>
        <v/>
      </c>
      <c r="G54" s="75">
        <f>F54/$F$85</f>
        <v/>
      </c>
      <c r="H54" s="56">
        <f>ΠΡΟΥΠΟΛΟΓΙΣΜΟΣ_ΕΞΟΔΑ!N192</f>
        <v/>
      </c>
      <c r="I54" s="401">
        <f>H54/$H$85</f>
        <v/>
      </c>
      <c r="J54" s="402">
        <f>H54+'2026 Οκτώβριος'!J54</f>
        <v/>
      </c>
      <c r="K54" s="58">
        <f>J54/$J$85</f>
        <v/>
      </c>
      <c r="L54" s="114">
        <f>'2024_60-69 ΕΞΟΔΑ+ΟΜ 2'!N40</f>
        <v/>
      </c>
      <c r="M54" s="75">
        <f>L54/$L$85</f>
        <v/>
      </c>
      <c r="N54" s="65">
        <f>L54+'2026 Οκτώβριος'!N54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47</v>
      </c>
      <c r="B55" s="178" t="n">
        <v>11</v>
      </c>
      <c r="C55" s="113">
        <f>ΑΝΤΙΣΤΟΙΧΙΣΗ!I193</f>
        <v/>
      </c>
      <c r="D55" s="56">
        <f>'2026_60-69 ΕΞΟΔΑ+ΟΜ 2'!N14</f>
        <v/>
      </c>
      <c r="E55" s="75">
        <f>D55/$D$44</f>
        <v/>
      </c>
      <c r="F55" s="65">
        <f>D55+'2026 Οκτώβριος'!F55</f>
        <v/>
      </c>
      <c r="G55" s="75">
        <f>F55/$F$44</f>
        <v/>
      </c>
      <c r="H55" s="56">
        <f>ΠΡΟΥΠΟΛΟΓΙΣΜΟΣ_ΕΞΟΔΑ!N38</f>
        <v/>
      </c>
      <c r="I55" s="400">
        <f>H55/$H$44</f>
        <v/>
      </c>
      <c r="J55" s="65">
        <f>H55+'2026 Οκτώβριος'!J55</f>
        <v/>
      </c>
      <c r="K55" s="404">
        <f>J55/$J$44</f>
        <v/>
      </c>
      <c r="L55" s="56">
        <f>'2024_60-69 ΕΞΟΔΑ+ΟΜ 2'!N10</f>
        <v/>
      </c>
      <c r="M55" s="75">
        <f>L55/$L$44</f>
        <v/>
      </c>
      <c r="N55" s="65">
        <f>L55+'2026 Οκτώβριος'!N55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48</v>
      </c>
      <c r="B56" s="178" t="n">
        <v>12</v>
      </c>
      <c r="C56" s="113">
        <f>ΑΝΤΙΣΤΟΙΧΙΣΗ!I194</f>
        <v/>
      </c>
      <c r="D56" s="56">
        <f>'2026_60-69 ΕΞΟΔΑ+ΟΜ 2'!N15</f>
        <v/>
      </c>
      <c r="E56" s="75">
        <f>D56/$D$44</f>
        <v/>
      </c>
      <c r="F56" s="65">
        <f>D56+'2026 Οκτώβριος'!F56</f>
        <v/>
      </c>
      <c r="G56" s="75">
        <f>F56/$F$44</f>
        <v/>
      </c>
      <c r="H56" s="56">
        <f>ΠΡΟΥΠΟΛΟΓΙΣΜΟΣ_ΕΞΟΔΑ!N43</f>
        <v/>
      </c>
      <c r="I56" s="400">
        <f>H56/$H$44</f>
        <v/>
      </c>
      <c r="J56" s="65">
        <f>H56+'2026 Οκτώβριος'!J56</f>
        <v/>
      </c>
      <c r="K56" s="404">
        <f>J56/$J$44</f>
        <v/>
      </c>
      <c r="L56" s="56">
        <f>'2024_60-69 ΕΞΟΔΑ+ΟΜ 2'!N11</f>
        <v/>
      </c>
      <c r="M56" s="75">
        <f>L56/$L$44</f>
        <v/>
      </c>
      <c r="N56" s="65">
        <f>L56+'2026 Οκτώβριος'!N56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49</v>
      </c>
      <c r="B57" s="178" t="n">
        <v>13</v>
      </c>
      <c r="C57" s="113">
        <f>ΑΝΤΙΣΤΟΙΧΙΣΗ!I195</f>
        <v/>
      </c>
      <c r="D57" s="56">
        <f>'2026_60-69 ΕΞΟΔΑ+ΟΜ 2'!N16</f>
        <v/>
      </c>
      <c r="E57" s="75">
        <f>D57/$D$44</f>
        <v/>
      </c>
      <c r="F57" s="65">
        <f>D57+'2026 Οκτώβριος'!F57</f>
        <v/>
      </c>
      <c r="G57" s="75">
        <f>F57/$F$44</f>
        <v/>
      </c>
      <c r="H57" s="56">
        <f>ΠΡΟΥΠΟΛΟΓΙΣΜΟΣ_ΕΞΟΔΑ!N48</f>
        <v/>
      </c>
      <c r="I57" s="400">
        <f>H57/$H$44</f>
        <v/>
      </c>
      <c r="J57" s="65">
        <f>H57+'2026 Οκτώβριος'!J57</f>
        <v/>
      </c>
      <c r="K57" s="404">
        <f>J57/$J$44</f>
        <v/>
      </c>
      <c r="L57" s="56">
        <f>'2024_60-69 ΕΞΟΔΑ+ΟΜ 2'!N12</f>
        <v/>
      </c>
      <c r="M57" s="75">
        <f>L57/$L$44</f>
        <v/>
      </c>
      <c r="N57" s="65">
        <f>L57+'2026 Οκτώβριος'!N57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50</v>
      </c>
      <c r="B58" s="178" t="n">
        <v>14</v>
      </c>
      <c r="C58" s="113">
        <f>ΑΝΤΙΣΤΟΙΧΙΣΗ!I196</f>
        <v/>
      </c>
      <c r="D58" s="56">
        <f>'2026_60-69 ΕΞΟΔΑ+ΟΜ 2'!N17</f>
        <v/>
      </c>
      <c r="E58" s="75">
        <f>D58/$D$44</f>
        <v/>
      </c>
      <c r="F58" s="65">
        <f>D58+'2026 Οκτώβριος'!F58</f>
        <v/>
      </c>
      <c r="G58" s="75">
        <f>F58/$F$44</f>
        <v/>
      </c>
      <c r="H58" s="56">
        <f>ΠΡΟΥΠΟΛΟΓΙΣΜΟΣ_ΕΞΟΔΑ!N53</f>
        <v/>
      </c>
      <c r="I58" s="400">
        <f>H58/$H$44</f>
        <v/>
      </c>
      <c r="J58" s="65">
        <f>H58+'2026 Οκτώβριος'!J58</f>
        <v/>
      </c>
      <c r="K58" s="404">
        <f>J58/$J$44</f>
        <v/>
      </c>
      <c r="L58" s="56">
        <f>'2024_60-69 ΕΞΟΔΑ+ΟΜ 2'!N13</f>
        <v/>
      </c>
      <c r="M58" s="75">
        <f>L58/$L$44</f>
        <v/>
      </c>
      <c r="N58" s="65">
        <f>L58+'2026 Οκτώβριος'!N58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51</v>
      </c>
      <c r="B59" s="178" t="n">
        <v>15</v>
      </c>
      <c r="C59" s="113">
        <f>ΑΝΤΙΣΤΟΙΧΙΣΗ!I197</f>
        <v/>
      </c>
      <c r="D59" s="56">
        <f>'2026_60-69 ΕΞΟΔΑ+ΟΜ 2'!N18</f>
        <v/>
      </c>
      <c r="E59" s="75">
        <f>D59/$D$44</f>
        <v/>
      </c>
      <c r="F59" s="65">
        <f>D59+'2026 Οκτώβριος'!F59</f>
        <v/>
      </c>
      <c r="G59" s="75">
        <f>F59/$F$44</f>
        <v/>
      </c>
      <c r="H59" s="56">
        <f>ΠΡΟΥΠΟΛΟΓΙΣΜΟΣ_ΕΞΟΔΑ!N58</f>
        <v/>
      </c>
      <c r="I59" s="400">
        <f>H59/$H$44</f>
        <v/>
      </c>
      <c r="J59" s="65">
        <f>H59+'2026 Οκτώβριος'!J59</f>
        <v/>
      </c>
      <c r="K59" s="404">
        <f>J59/$J$44</f>
        <v/>
      </c>
      <c r="L59" s="56">
        <f>'2024_60-69 ΕΞΟΔΑ+ΟΜ 2'!N14</f>
        <v/>
      </c>
      <c r="M59" s="75">
        <f>L59/$L$44</f>
        <v/>
      </c>
      <c r="N59" s="65">
        <f>L59+'2026 Οκτώβριος'!N59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52</v>
      </c>
      <c r="B60" s="178" t="n">
        <v>16</v>
      </c>
      <c r="C60" s="113">
        <f>ΑΝΤΙΣΤΟΙΧΙΣΗ!I198</f>
        <v/>
      </c>
      <c r="D60" s="56">
        <f>'2026_60-69 ΕΞΟΔΑ+ΟΜ 2'!N19</f>
        <v/>
      </c>
      <c r="E60" s="75">
        <f>D60/$D$44</f>
        <v/>
      </c>
      <c r="F60" s="65">
        <f>D60+'2026 Οκτώβριος'!F60</f>
        <v/>
      </c>
      <c r="G60" s="75">
        <f>F60/$F$44</f>
        <v/>
      </c>
      <c r="H60" s="56">
        <f>ΠΡΟΥΠΟΛΟΓΙΣΜΟΣ_ΕΞΟΔΑ!N63</f>
        <v/>
      </c>
      <c r="I60" s="400">
        <f>H60/$H$44</f>
        <v/>
      </c>
      <c r="J60" s="65">
        <f>H60+'2026 Οκτώβριος'!J60</f>
        <v/>
      </c>
      <c r="K60" s="404">
        <f>J60/$J$44</f>
        <v/>
      </c>
      <c r="L60" s="56">
        <f>'2024_60-69 ΕΞΟΔΑ+ΟΜ 2'!N15</f>
        <v/>
      </c>
      <c r="M60" s="75">
        <f>L60/$L$44</f>
        <v/>
      </c>
      <c r="N60" s="65">
        <f>L60+'2026 Οκτώβριος'!N60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53</v>
      </c>
      <c r="B61" s="178" t="n">
        <v>17</v>
      </c>
      <c r="C61" s="113">
        <f>ΑΝΤΙΣΤΟΙΧΙΣΗ!I199</f>
        <v/>
      </c>
      <c r="D61" s="56">
        <f>'2026_60-69 ΕΞΟΔΑ+ΟΜ 2'!N20</f>
        <v/>
      </c>
      <c r="E61" s="75">
        <f>D61/$D$44</f>
        <v/>
      </c>
      <c r="F61" s="65">
        <f>D61+'2026 Οκτώβριος'!F61</f>
        <v/>
      </c>
      <c r="G61" s="75">
        <f>F61/$F$44</f>
        <v/>
      </c>
      <c r="H61" s="56">
        <f>ΠΡΟΥΠΟΛΟΓΙΣΜΟΣ_ΕΞΟΔΑ!N68</f>
        <v/>
      </c>
      <c r="I61" s="400">
        <f>H61/$H$44</f>
        <v/>
      </c>
      <c r="J61" s="65">
        <f>H61+'2026 Οκτώβριος'!J61</f>
        <v/>
      </c>
      <c r="K61" s="404">
        <f>J61/$J$44</f>
        <v/>
      </c>
      <c r="L61" s="56">
        <f>'2024_60-69 ΕΞΟΔΑ+ΟΜ 2'!N16</f>
        <v/>
      </c>
      <c r="M61" s="75">
        <f>L61/$L$44</f>
        <v/>
      </c>
      <c r="N61" s="65">
        <f>L61+'2026 Οκτώβριος'!N61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54</v>
      </c>
      <c r="B62" s="178" t="n">
        <v>18</v>
      </c>
      <c r="C62" s="113">
        <f>ΑΝΤΙΣΤΟΙΧΙΣΗ!I200</f>
        <v/>
      </c>
      <c r="D62" s="56">
        <f>'2026_60-69 ΕΞΟΔΑ+ΟΜ 2'!N21</f>
        <v/>
      </c>
      <c r="E62" s="75">
        <f>D62/$D$44</f>
        <v/>
      </c>
      <c r="F62" s="65">
        <f>D62+'2026 Οκτώβριος'!F62</f>
        <v/>
      </c>
      <c r="G62" s="75">
        <f>F62/$F$44</f>
        <v/>
      </c>
      <c r="H62" s="56">
        <f>ΠΡΟΥΠΟΛΟΓΙΣΜΟΣ_ΕΞΟΔΑ!N73</f>
        <v/>
      </c>
      <c r="I62" s="400">
        <f>H62/$H$44</f>
        <v/>
      </c>
      <c r="J62" s="65">
        <f>H62+'2026 Οκτώβριος'!J62</f>
        <v/>
      </c>
      <c r="K62" s="404">
        <f>J62/$J$44</f>
        <v/>
      </c>
      <c r="L62" s="56">
        <f>'2024_60-69 ΕΞΟΔΑ+ΟΜ 2'!N17</f>
        <v/>
      </c>
      <c r="M62" s="75">
        <f>L62/$L$44</f>
        <v/>
      </c>
      <c r="N62" s="65">
        <f>L62+'2026 Οκτώβριος'!N62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55</v>
      </c>
      <c r="B63" s="178" t="n">
        <v>19</v>
      </c>
      <c r="C63" s="113">
        <f>ΑΝΤΙΣΤΟΙΧΙΣΗ!I201</f>
        <v/>
      </c>
      <c r="D63" s="56">
        <f>'2026_60-69 ΕΞΟΔΑ+ΟΜ 2'!N22</f>
        <v/>
      </c>
      <c r="E63" s="75">
        <f>D63/$D$44</f>
        <v/>
      </c>
      <c r="F63" s="65">
        <f>D63+'2026 Οκτώβριος'!F63</f>
        <v/>
      </c>
      <c r="G63" s="75">
        <f>F63/$F$44</f>
        <v/>
      </c>
      <c r="H63" s="56">
        <f>ΠΡΟΥΠΟΛΟΓΙΣΜΟΣ_ΕΞΟΔΑ!N78</f>
        <v/>
      </c>
      <c r="I63" s="400">
        <f>H63/$H$44</f>
        <v/>
      </c>
      <c r="J63" s="65">
        <f>H63+'2026 Οκτώβριος'!J63</f>
        <v/>
      </c>
      <c r="K63" s="404">
        <f>J63/$J$44</f>
        <v/>
      </c>
      <c r="L63" s="56">
        <f>'2024_60-69 ΕΞΟΔΑ+ΟΜ 2'!N18</f>
        <v/>
      </c>
      <c r="M63" s="75">
        <f>L63/$L$44</f>
        <v/>
      </c>
      <c r="N63" s="65">
        <f>L63+'2026 Οκτώβριος'!N63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56</v>
      </c>
      <c r="B64" s="178" t="n">
        <v>20</v>
      </c>
      <c r="C64" s="113">
        <f>ΑΝΤΙΣΤΟΙΧΙΣΗ!I202</f>
        <v/>
      </c>
      <c r="D64" s="56">
        <f>'2026_60-69 ΕΞΟΔΑ+ΟΜ 2'!N23</f>
        <v/>
      </c>
      <c r="E64" s="75">
        <f>D64/$D$44</f>
        <v/>
      </c>
      <c r="F64" s="65">
        <f>D64+'2026 Οκτώβριος'!F64</f>
        <v/>
      </c>
      <c r="G64" s="75">
        <f>F64/$F$44</f>
        <v/>
      </c>
      <c r="H64" s="56">
        <f>ΠΡΟΥΠΟΛΟΓΙΣΜΟΣ_ΕΞΟΔΑ!N83</f>
        <v/>
      </c>
      <c r="I64" s="400">
        <f>H64/$H$44</f>
        <v/>
      </c>
      <c r="J64" s="65">
        <f>H64+'2026 Οκτώβριος'!J64</f>
        <v/>
      </c>
      <c r="K64" s="404">
        <f>J64/$J$44</f>
        <v/>
      </c>
      <c r="L64" s="56">
        <f>'2024_60-69 ΕΞΟΔΑ+ΟΜ 2'!N19</f>
        <v/>
      </c>
      <c r="M64" s="75">
        <f>L64/$L$44</f>
        <v/>
      </c>
      <c r="N64" s="65">
        <f>L64+'2026 Οκτώβριος'!N64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57</v>
      </c>
      <c r="B65" s="178" t="n">
        <v>21</v>
      </c>
      <c r="C65" s="113">
        <f>ΑΝΤΙΣΤΟΙΧΙΣΗ!I204</f>
        <v/>
      </c>
      <c r="D65" s="56">
        <f>'2026_60-69 ΕΞΟΔΑ+ΟΜ 2'!N24</f>
        <v/>
      </c>
      <c r="E65" s="75">
        <f>D65/$D$44</f>
        <v/>
      </c>
      <c r="F65" s="65">
        <f>D65+'2026 Οκτώβριος'!F65</f>
        <v/>
      </c>
      <c r="G65" s="75">
        <f>F65/$F$44</f>
        <v/>
      </c>
      <c r="H65" s="56">
        <f>ΠΡΟΥΠΟΛΟΓΙΣΜΟΣ_ΕΞΟΔΑ!N88</f>
        <v/>
      </c>
      <c r="I65" s="400">
        <f>H65/$H$44</f>
        <v/>
      </c>
      <c r="J65" s="65">
        <f>H65+'2026 Οκτώβριος'!J65</f>
        <v/>
      </c>
      <c r="K65" s="404">
        <f>J65/$J$44</f>
        <v/>
      </c>
      <c r="L65" s="56">
        <f>'2024_60-69 ΕΞΟΔΑ+ΟΜ 2'!N20</f>
        <v/>
      </c>
      <c r="M65" s="75">
        <f>L65/$L$44</f>
        <v/>
      </c>
      <c r="N65" s="65">
        <f>L65+'2026 Οκτώβριος'!N65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58</v>
      </c>
      <c r="B66" s="178" t="n">
        <v>22</v>
      </c>
      <c r="C66" s="113">
        <f>ΑΝΤΙΣΤΟΙΧΙΣΗ!I205</f>
        <v/>
      </c>
      <c r="D66" s="56">
        <f>'2026_60-69 ΕΞΟΔΑ+ΟΜ 2'!N25</f>
        <v/>
      </c>
      <c r="E66" s="75">
        <f>D66/$D$44</f>
        <v/>
      </c>
      <c r="F66" s="65">
        <f>D66+'2026 Οκτώβριος'!F66</f>
        <v/>
      </c>
      <c r="G66" s="75">
        <f>F66/$F$44</f>
        <v/>
      </c>
      <c r="H66" s="56">
        <f>ΠΡΟΥΠΟΛΟΓΙΣΜΟΣ_ΕΞΟΔΑ!N93</f>
        <v/>
      </c>
      <c r="I66" s="400">
        <f>H66/$H$44</f>
        <v/>
      </c>
      <c r="J66" s="65">
        <f>H66+'2026 Οκτώβριος'!J66</f>
        <v/>
      </c>
      <c r="K66" s="404">
        <f>J66/$J$44</f>
        <v/>
      </c>
      <c r="L66" s="56">
        <f>'2024_60-69 ΕΞΟΔΑ+ΟΜ 2'!N21</f>
        <v/>
      </c>
      <c r="M66" s="75">
        <f>L66/$L$44</f>
        <v/>
      </c>
      <c r="N66" s="65">
        <f>L66+'2026 Οκτώβριος'!N66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59</v>
      </c>
      <c r="B67" s="178" t="n">
        <v>23</v>
      </c>
      <c r="C67" s="116">
        <f>ΑΝΤΙΣΤΟΙΧΙΣΗ!I206</f>
        <v/>
      </c>
      <c r="D67" s="56">
        <f>'2026_60-69 ΕΞΟΔΑ+ΟΜ 2'!N26</f>
        <v/>
      </c>
      <c r="E67" s="75">
        <f>D67/$D$44</f>
        <v/>
      </c>
      <c r="F67" s="65">
        <f>D67+'2026 Οκτώβριος'!F67</f>
        <v/>
      </c>
      <c r="G67" s="75">
        <f>F67/$F$44</f>
        <v/>
      </c>
      <c r="H67" s="56">
        <f>ΠΡΟΥΠΟΛΟΓΙΣΜΟΣ_ΕΞΟΔΑ!N98</f>
        <v/>
      </c>
      <c r="I67" s="400">
        <f>H67/$H$44</f>
        <v/>
      </c>
      <c r="J67" s="65">
        <f>H67+'2026 Οκτώβριος'!J67</f>
        <v/>
      </c>
      <c r="K67" s="404">
        <f>J67/$J$44</f>
        <v/>
      </c>
      <c r="L67" s="56">
        <f>'2024_60-69 ΕΞΟΔΑ+ΟΜ 2'!N22</f>
        <v/>
      </c>
      <c r="M67" s="75">
        <f>L67/$L$44</f>
        <v/>
      </c>
      <c r="N67" s="65">
        <f>L67+'2026 Οκτώβριος'!N67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60</v>
      </c>
      <c r="B68" s="178" t="n">
        <v>24</v>
      </c>
      <c r="C68" s="183">
        <f>ΑΝΤΙΣΤΟΙΧΙΣΗ!I207</f>
        <v/>
      </c>
      <c r="D68" s="56">
        <f>'2026_60-69 ΕΞΟΔΑ+ΟΜ 2'!N27</f>
        <v/>
      </c>
      <c r="E68" s="75">
        <f>D68/$D$44</f>
        <v/>
      </c>
      <c r="F68" s="65">
        <f>D68+'2026 Οκτώβριος'!F68</f>
        <v/>
      </c>
      <c r="G68" s="75">
        <f>F68/$F$44</f>
        <v/>
      </c>
      <c r="H68" s="56">
        <f>ΠΡΟΥΠΟΛΟΓΙΣΜΟΣ_ΕΞΟΔΑ!N103</f>
        <v/>
      </c>
      <c r="I68" s="400">
        <f>H68/$H$44</f>
        <v/>
      </c>
      <c r="J68" s="65">
        <f>H68+'2026 Οκτώβριος'!J68</f>
        <v/>
      </c>
      <c r="K68" s="404">
        <f>J68/$J$44</f>
        <v/>
      </c>
      <c r="L68" s="56">
        <f>'2024_60-69 ΕΞΟΔΑ+ΟΜ 2'!N23</f>
        <v/>
      </c>
      <c r="M68" s="75">
        <f>L68/$L$44</f>
        <v/>
      </c>
      <c r="N68" s="65">
        <f>L68+'2026 Οκτώβριος'!N68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61</v>
      </c>
      <c r="B69" s="178" t="n">
        <v>25</v>
      </c>
      <c r="C69" s="184">
        <f>ΑΝΤΙΣΤΟΙΧΙΣΗ!I208</f>
        <v/>
      </c>
      <c r="D69" s="56">
        <f>'2026_60-69 ΕΞΟΔΑ+ΟΜ 2'!N28</f>
        <v/>
      </c>
      <c r="E69" s="75">
        <f>D69/$D$44</f>
        <v/>
      </c>
      <c r="F69" s="65">
        <f>D69+'2026 Οκτώβριος'!F69</f>
        <v/>
      </c>
      <c r="G69" s="75">
        <f>F69/$F$44</f>
        <v/>
      </c>
      <c r="H69" s="56">
        <f>ΠΡΟΥΠΟΛΟΓΙΣΜΟΣ_ΕΞΟΔΑ!N108</f>
        <v/>
      </c>
      <c r="I69" s="400">
        <f>H69/$H$44</f>
        <v/>
      </c>
      <c r="J69" s="65">
        <f>H69+'2026 Οκτώβριος'!J69</f>
        <v/>
      </c>
      <c r="K69" s="404">
        <f>J69/$J$44</f>
        <v/>
      </c>
      <c r="L69" s="56">
        <f>'2024_60-69 ΕΞΟΔΑ+ΟΜ 2'!N24</f>
        <v/>
      </c>
      <c r="M69" s="75">
        <f>L69/$L$44</f>
        <v/>
      </c>
      <c r="N69" s="65">
        <f>L69+'2026 Οκτώβριος'!N69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62</v>
      </c>
      <c r="B70" s="178" t="n">
        <v>26</v>
      </c>
      <c r="C70" s="184">
        <f>ΑΝΤΙΣΤΟΙΧΙΣΗ!I209</f>
        <v/>
      </c>
      <c r="D70" s="56">
        <f>'2026_60-69 ΕΞΟΔΑ+ΟΜ 2'!N29</f>
        <v/>
      </c>
      <c r="E70" s="75">
        <f>D70/$D$44</f>
        <v/>
      </c>
      <c r="F70" s="65">
        <f>D70+'2026 Οκτώβριος'!F70</f>
        <v/>
      </c>
      <c r="G70" s="75">
        <f>F70/$F$44</f>
        <v/>
      </c>
      <c r="H70" s="56">
        <f>ΠΡΟΥΠΟΛΟΓΙΣΜΟΣ_ΕΞΟΔΑ!N113</f>
        <v/>
      </c>
      <c r="I70" s="400">
        <f>H70/$H$44</f>
        <v/>
      </c>
      <c r="J70" s="65">
        <f>H70+'2026 Οκτώβριος'!J70</f>
        <v/>
      </c>
      <c r="K70" s="404">
        <f>J70/$J$44</f>
        <v/>
      </c>
      <c r="L70" s="56">
        <f>'2024_60-69 ΕΞΟΔΑ+ΟΜ 2'!N25</f>
        <v/>
      </c>
      <c r="M70" s="75">
        <f>L70/$L$44</f>
        <v/>
      </c>
      <c r="N70" s="65">
        <f>L70+'2026 Οκτώβριος'!N70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63</v>
      </c>
      <c r="B71" s="178" t="n">
        <v>27</v>
      </c>
      <c r="C71" s="116">
        <f>ΑΝΤΙΣΤΟΙΧΙΣΗ!I210</f>
        <v/>
      </c>
      <c r="D71" s="56">
        <f>'2026_60-69 ΕΞΟΔΑ+ΟΜ 2'!N30</f>
        <v/>
      </c>
      <c r="E71" s="75">
        <f>D71/$D$44</f>
        <v/>
      </c>
      <c r="F71" s="65">
        <f>D71+'2026 Οκτώβριος'!F71</f>
        <v/>
      </c>
      <c r="G71" s="75">
        <f>F71/$F$44</f>
        <v/>
      </c>
      <c r="H71" s="56">
        <f>ΠΡΟΥΠΟΛΟΓΙΣΜΟΣ_ΕΞΟΔΑ!N118</f>
        <v/>
      </c>
      <c r="I71" s="400">
        <f>H71/$H$44</f>
        <v/>
      </c>
      <c r="J71" s="65">
        <f>H71+'2026 Οκτώβριος'!J71</f>
        <v/>
      </c>
      <c r="K71" s="404">
        <f>J71/$J$44</f>
        <v/>
      </c>
      <c r="L71" s="56">
        <f>'2024_60-69 ΕΞΟΔΑ+ΟΜ 2'!N26</f>
        <v/>
      </c>
      <c r="M71" s="75">
        <f>L71/$L$44</f>
        <v/>
      </c>
      <c r="N71" s="65">
        <f>L71+'2026 Οκτώβριος'!N71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64</v>
      </c>
      <c r="B72" s="178" t="n">
        <v>28</v>
      </c>
      <c r="C72" s="184">
        <f>ΑΝΤΙΣΤΟΙΧΙΣΗ!I211</f>
        <v/>
      </c>
      <c r="D72" s="56">
        <f>'2026_60-69 ΕΞΟΔΑ+ΟΜ 2'!N31</f>
        <v/>
      </c>
      <c r="E72" s="75">
        <f>D72/$D$44</f>
        <v/>
      </c>
      <c r="F72" s="65">
        <f>D72+'2026 Οκτώβριος'!F72</f>
        <v/>
      </c>
      <c r="G72" s="75">
        <f>F72/$F$44</f>
        <v/>
      </c>
      <c r="H72" s="56">
        <f>ΠΡΟΥΠΟΛΟΓΙΣΜΟΣ_ΕΞΟΔΑ!N123</f>
        <v/>
      </c>
      <c r="I72" s="400">
        <f>H72/$H$44</f>
        <v/>
      </c>
      <c r="J72" s="65">
        <f>H72+'2026 Οκτώβριος'!J72</f>
        <v/>
      </c>
      <c r="K72" s="404">
        <f>J72/$J$44</f>
        <v/>
      </c>
      <c r="L72" s="56">
        <f>'2024_60-69 ΕΞΟΔΑ+ΟΜ 2'!N27</f>
        <v/>
      </c>
      <c r="M72" s="75">
        <f>L72/$L$44</f>
        <v/>
      </c>
      <c r="N72" s="65">
        <f>L72+'2026 Οκτώβριος'!N72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65</v>
      </c>
      <c r="B73" s="178" t="n">
        <v>29</v>
      </c>
      <c r="C73" s="184">
        <f>ΑΝΤΙΣΤΟΙΧΙΣΗ!I212</f>
        <v/>
      </c>
      <c r="D73" s="56">
        <f>'2026_60-69 ΕΞΟΔΑ+ΟΜ 2'!N32</f>
        <v/>
      </c>
      <c r="E73" s="75">
        <f>D73/$D$44</f>
        <v/>
      </c>
      <c r="F73" s="65">
        <f>D73+'2026 Οκτώβριος'!F73</f>
        <v/>
      </c>
      <c r="G73" s="75">
        <f>F73/$F$44</f>
        <v/>
      </c>
      <c r="H73" s="56">
        <f>ΠΡΟΥΠΟΛΟΓΙΣΜΟΣ_ΕΞΟΔΑ!N128</f>
        <v/>
      </c>
      <c r="I73" s="400">
        <f>H73/$H$44</f>
        <v/>
      </c>
      <c r="J73" s="65">
        <f>H73+'2026 Οκτώβριος'!J73</f>
        <v/>
      </c>
      <c r="K73" s="404">
        <f>J73/$J$44</f>
        <v/>
      </c>
      <c r="L73" s="56">
        <f>'2024_60-69 ΕΞΟΔΑ+ΟΜ 2'!N28</f>
        <v/>
      </c>
      <c r="M73" s="75">
        <f>L73/$L$44</f>
        <v/>
      </c>
      <c r="N73" s="65">
        <f>L73+'2026 Οκτώβριος'!N73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66</v>
      </c>
      <c r="B74" s="178" t="n">
        <v>30</v>
      </c>
      <c r="C74" s="113">
        <f>ΑΝΤΙΣΤΟΙΧΙΣΗ!I213</f>
        <v/>
      </c>
      <c r="D74" s="56">
        <f>'2026_60-69 ΕΞΟΔΑ+ΟΜ 2'!N33</f>
        <v/>
      </c>
      <c r="E74" s="75">
        <f>D74/$D$44</f>
        <v/>
      </c>
      <c r="F74" s="65">
        <f>D74+'2026 Οκτώβριος'!F74</f>
        <v/>
      </c>
      <c r="G74" s="75">
        <f>F74/$F$44</f>
        <v/>
      </c>
      <c r="H74" s="56">
        <f>ΠΡΟΥΠΟΛΟΓΙΣΜΟΣ_ΕΞΟΔΑ!N133</f>
        <v/>
      </c>
      <c r="I74" s="400">
        <f>H74/$H$44</f>
        <v/>
      </c>
      <c r="J74" s="65">
        <f>H74+'2026 Οκτώβριος'!J74</f>
        <v/>
      </c>
      <c r="K74" s="404">
        <f>J74/$J$44</f>
        <v/>
      </c>
      <c r="L74" s="56">
        <f>'2024_60-69 ΕΞΟΔΑ+ΟΜ 2'!N29</f>
        <v/>
      </c>
      <c r="M74" s="75">
        <f>L74/$L$44</f>
        <v/>
      </c>
      <c r="N74" s="65">
        <f>L74+'2026 Οκτώβριος'!N74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67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Οκτώβριος'!F75</f>
        <v/>
      </c>
      <c r="G75" s="75">
        <f>F75/$F$44</f>
        <v/>
      </c>
      <c r="H75" s="56">
        <f>ΠΡΟΥΠΟΛΟΓΙΣΜΟΣ_ΕΞΟΔΑ!N138</f>
        <v/>
      </c>
      <c r="I75" s="400">
        <f>H75/$H$44</f>
        <v/>
      </c>
      <c r="J75" s="65">
        <f>H75+'2026 Οκτώβριος'!J75</f>
        <v/>
      </c>
      <c r="K75" s="404">
        <f>J75/$J$44</f>
        <v/>
      </c>
      <c r="L75" s="56">
        <f>'2024_60-69 ΕΞΟΔΑ+ΟΜ 2'!N30</f>
        <v/>
      </c>
      <c r="M75" s="75">
        <f>L75/$L$44</f>
        <v/>
      </c>
      <c r="N75" s="65">
        <f>L75+'2026 Οκτώβριος'!N75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68</v>
      </c>
      <c r="B76" s="178" t="n">
        <v>32</v>
      </c>
      <c r="C76" s="184">
        <f>ΑΝΤΙΣΤΟΙΧΙΣΗ!I215</f>
        <v/>
      </c>
      <c r="D76" s="56">
        <f>'2026_60-69 ΕΞΟΔΑ+ΟΜ 2'!N35</f>
        <v/>
      </c>
      <c r="E76" s="75">
        <f>D76/$D$44</f>
        <v/>
      </c>
      <c r="F76" s="65">
        <f>D76+'2026 Οκτώβριος'!F76</f>
        <v/>
      </c>
      <c r="G76" s="75">
        <f>F76/$F$44</f>
        <v/>
      </c>
      <c r="H76" s="56">
        <f>ΠΡΟΥΠΟΛΟΓΙΣΜΟΣ_ΕΞΟΔΑ!N143</f>
        <v/>
      </c>
      <c r="I76" s="400">
        <f>H76/$H$44</f>
        <v/>
      </c>
      <c r="J76" s="65">
        <f>H76+'2026 Οκτώβριος'!J76</f>
        <v/>
      </c>
      <c r="K76" s="404">
        <f>J76/$J$44</f>
        <v/>
      </c>
      <c r="L76" s="56">
        <f>'2024_60-69 ΕΞΟΔΑ+ΟΜ 2'!N31</f>
        <v/>
      </c>
      <c r="M76" s="75">
        <f>L76/$L$44</f>
        <v/>
      </c>
      <c r="N76" s="65">
        <f>L76+'2026 Οκτώβριος'!N76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69</v>
      </c>
      <c r="B77" s="178" t="n">
        <v>33</v>
      </c>
      <c r="C77" s="184">
        <f>ΑΝΤΙΣΤΟΙΧΙΣΗ!I216</f>
        <v/>
      </c>
      <c r="D77" s="56">
        <f>'2026_60-69 ΕΞΟΔΑ+ΟΜ 2'!N36</f>
        <v/>
      </c>
      <c r="E77" s="75">
        <f>D77/$D$44</f>
        <v/>
      </c>
      <c r="F77" s="65">
        <f>D77+'2026 Οκτώβριος'!F77</f>
        <v/>
      </c>
      <c r="G77" s="75">
        <f>F77/$F$44</f>
        <v/>
      </c>
      <c r="H77" s="56">
        <f>ΠΡΟΥΠΟΛΟΓΙΣΜΟΣ_ΕΞΟΔΑ!N148</f>
        <v/>
      </c>
      <c r="I77" s="400">
        <f>H77/$H$44</f>
        <v/>
      </c>
      <c r="J77" s="65">
        <f>H77+'2026 Οκτώβριος'!J77</f>
        <v/>
      </c>
      <c r="K77" s="404">
        <f>J77/$J$44</f>
        <v/>
      </c>
      <c r="L77" s="56">
        <f>'2024_60-69 ΕΞΟΔΑ+ΟΜ 2'!N32</f>
        <v/>
      </c>
      <c r="M77" s="75">
        <f>L77/$L$44</f>
        <v/>
      </c>
      <c r="N77" s="65">
        <f>L77+'2026 Οκτώβριος'!N77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70</v>
      </c>
      <c r="B78" s="178" t="n">
        <v>34</v>
      </c>
      <c r="C78" s="184">
        <f>ΑΝΤΙΣΤΟΙΧΙΣΗ!I217</f>
        <v/>
      </c>
      <c r="D78" s="56">
        <f>'2026_60-69 ΕΞΟΔΑ+ΟΜ 2'!N37</f>
        <v/>
      </c>
      <c r="E78" s="75">
        <f>D78/$D$44</f>
        <v/>
      </c>
      <c r="F78" s="65">
        <f>D78+'2026 Οκτώβριος'!F78</f>
        <v/>
      </c>
      <c r="G78" s="75">
        <f>F78/$F$44</f>
        <v/>
      </c>
      <c r="H78" s="56">
        <f>ΠΡΟΥΠΟΛΟΓΙΣΜΟΣ_ΕΞΟΔΑ!N153</f>
        <v/>
      </c>
      <c r="I78" s="400">
        <f>H78/$H$44</f>
        <v/>
      </c>
      <c r="J78" s="65">
        <f>H78+'2026 Οκτώβριος'!J78</f>
        <v/>
      </c>
      <c r="K78" s="404">
        <f>J78/$J$44</f>
        <v/>
      </c>
      <c r="L78" s="56">
        <f>'2024_60-69 ΕΞΟΔΑ+ΟΜ 2'!N33</f>
        <v/>
      </c>
      <c r="M78" s="75">
        <f>L78/$L$44</f>
        <v/>
      </c>
      <c r="N78" s="65">
        <f>L78+'2026 Οκτώβριος'!N78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0" customHeight="1">
      <c r="A79" s="172" t="n">
        <v>71</v>
      </c>
      <c r="B79" s="172" t="n"/>
      <c r="C79" s="185" t="inlineStr">
        <is>
          <t>ΣΥΝΟΛΟ ΑΜΕΣΟΥ ΚΟΣΤΟΥΣ</t>
        </is>
      </c>
      <c r="D79" s="64">
        <f>'2026_60-69 ΕΞΟΔΑ+ΟΜ 2'!N3</f>
        <v/>
      </c>
      <c r="E79" s="297" t="n"/>
      <c r="F79" s="64">
        <f>'2026_60-69 ΕΞΟΔΑ+ΟΜ 2'!AA3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72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73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74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75</v>
      </c>
      <c r="B83" s="73" t="n"/>
      <c r="C83" s="52" t="inlineStr">
        <is>
          <t>ΕΙΔΟΣ ΕΣΟΔΩΝ</t>
        </is>
      </c>
      <c r="D83" s="549">
        <f>ΑΝΤΙΣΤΟΙΧΙΣΗ!$F$116</f>
        <v/>
      </c>
      <c r="E83" s="551" t="n"/>
      <c r="F83" s="550" t="n"/>
      <c r="G83" s="107">
        <f>ΑΝΤΙΣΤΟΙΧΙΣΗ!$D$34</f>
        <v/>
      </c>
      <c r="H83" s="549">
        <f>ΑΝΤΙΣΤΟΙΧΙΣΗ!$F$116</f>
        <v/>
      </c>
      <c r="I83" s="551" t="n"/>
      <c r="J83" s="550" t="n"/>
      <c r="K83" s="107">
        <f>ΑΝΤΙΣΤΟΙΧΙΣΗ!$D$34</f>
        <v/>
      </c>
      <c r="L83" s="549">
        <f>ΑΝΤΙΣΤΟΙΧΙΣΗ!$F$130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6.25" customHeight="1">
      <c r="A84" s="171" t="n">
        <v>76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77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78</v>
      </c>
      <c r="B86" s="178" t="n">
        <v>1</v>
      </c>
      <c r="C86" s="109">
        <f>ΑΝΤΙΣΤΟΙΧΙΣΗ!L189</f>
        <v/>
      </c>
      <c r="D86" s="114">
        <f>'2026_60-69 ΕΞΟΔΑ+ΟΜ 2'!N41</f>
        <v/>
      </c>
      <c r="E86" s="75">
        <f>D86/$D$85</f>
        <v/>
      </c>
      <c r="F86" s="114">
        <f>D86+'2026 Οκτώβριος'!F86</f>
        <v/>
      </c>
      <c r="G86" s="75">
        <f>F86/$F$85</f>
        <v/>
      </c>
      <c r="H86" s="56">
        <f>ΠΡΟΥΠΟΛΟΓΙΣΜΟΣ_ΕΞΟΔΑ!N177</f>
        <v/>
      </c>
      <c r="I86" s="401">
        <f>H86/$H$85</f>
        <v/>
      </c>
      <c r="J86" s="402">
        <f>H86+'2026 Οκτώβριος'!J86</f>
        <v/>
      </c>
      <c r="K86" s="58">
        <f>J86/$J$85</f>
        <v/>
      </c>
      <c r="L86" s="114">
        <f>'2024_60-69 ΕΞΟΔΑ+ΟΜ 2'!N37</f>
        <v/>
      </c>
      <c r="M86" s="75">
        <f>L86/$L$85</f>
        <v/>
      </c>
      <c r="N86" s="65">
        <f>L86+'2026 Οκτώβριος'!N86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79</v>
      </c>
      <c r="B87" s="178" t="n">
        <v>2</v>
      </c>
      <c r="C87" s="109">
        <f>ΑΝΤΙΣΤΟΙΧΙΣΗ!L190</f>
        <v/>
      </c>
      <c r="D87" s="114">
        <f>'2026_60-69 ΕΞΟΔΑ+ΟΜ 2'!N42</f>
        <v/>
      </c>
      <c r="E87" s="75">
        <f>D87/$D$85</f>
        <v/>
      </c>
      <c r="F87" s="114">
        <f>D87+'2026 Οκτώβριος'!F87</f>
        <v/>
      </c>
      <c r="G87" s="75">
        <f>F87/$F$85</f>
        <v/>
      </c>
      <c r="H87" s="56">
        <f>ΠΡΟΥΠΟΛΟΓΙΣΜΟΣ_ΕΞΟΔΑ!N182</f>
        <v/>
      </c>
      <c r="I87" s="401">
        <f>H87/$H$85</f>
        <v/>
      </c>
      <c r="J87" s="402">
        <f>H87+'2026 Οκτώβριος'!J87</f>
        <v/>
      </c>
      <c r="K87" s="58">
        <f>J87/$J$85</f>
        <v/>
      </c>
      <c r="L87" s="114">
        <f>'2024_60-69 ΕΞΟΔΑ+ΟΜ 2'!N38</f>
        <v/>
      </c>
      <c r="M87" s="75">
        <f>L87/$L$85</f>
        <v/>
      </c>
      <c r="N87" s="65">
        <f>L87+'2026 Οκτώβριος'!N87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.75" customHeight="1">
      <c r="A88" s="178" t="n">
        <v>80</v>
      </c>
      <c r="B88" s="178" t="n">
        <v>3</v>
      </c>
      <c r="C88" s="115">
        <f>ΑΝΤΙΣΤΟΙΧΙΣΗ!L193</f>
        <v/>
      </c>
      <c r="D88" s="114">
        <f>'2026_60-69 ΕΞΟΔΑ+ΟΜ 2'!N43</f>
        <v/>
      </c>
      <c r="E88" s="75">
        <f>D88/$D$85</f>
        <v/>
      </c>
      <c r="F88" s="114">
        <f>D88+'2026 Οκτώβριος'!F88</f>
        <v/>
      </c>
      <c r="G88" s="75">
        <f>F88/$F$85</f>
        <v/>
      </c>
      <c r="H88" s="56">
        <f>ΠΡΟΥΠΟΛΟΓΙΣΜΟΣ_ΕΞΟΔΑ!N197</f>
        <v/>
      </c>
      <c r="I88" s="401">
        <f>H88/$H$85</f>
        <v/>
      </c>
      <c r="J88" s="402">
        <f>H88+'2026 Οκτώβριος'!J88</f>
        <v/>
      </c>
      <c r="K88" s="58">
        <f>J88/$J$85</f>
        <v/>
      </c>
      <c r="L88" s="114">
        <f>'2024_60-69 ΕΞΟΔΑ+ΟΜ 2'!N41</f>
        <v/>
      </c>
      <c r="M88" s="75">
        <f>L88/$L$85</f>
        <v/>
      </c>
      <c r="N88" s="65">
        <f>L88+'2026 Οκτώβριος'!N88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3.75" customHeight="1">
      <c r="A89" s="178" t="n">
        <v>81</v>
      </c>
      <c r="B89" s="178" t="n">
        <v>4</v>
      </c>
      <c r="C89" s="115">
        <f>ΑΝΤΙΣΤΟΙΧΙΣΗ!L194</f>
        <v/>
      </c>
      <c r="D89" s="114">
        <f>'2026_60-69 ΕΞΟΔΑ+ΟΜ 2'!N44</f>
        <v/>
      </c>
      <c r="E89" s="75">
        <f>D89/$D$85</f>
        <v/>
      </c>
      <c r="F89" s="114">
        <f>D89+'2026 Οκτώβριος'!F89</f>
        <v/>
      </c>
      <c r="G89" s="75">
        <f>F89/$F$85</f>
        <v/>
      </c>
      <c r="H89" s="56">
        <f>ΠΡΟΥΠΟΛΟΓΙΣΜΟΣ_ΕΞΟΔΑ!N202</f>
        <v/>
      </c>
      <c r="I89" s="401">
        <f>H89/$H$85</f>
        <v/>
      </c>
      <c r="J89" s="402">
        <f>H89+'2026 Οκτώβριος'!J89</f>
        <v/>
      </c>
      <c r="K89" s="58">
        <f>J89/$J$85</f>
        <v/>
      </c>
      <c r="L89" s="114">
        <f>'2024_60-69 ΕΞΟΔΑ+ΟΜ 2'!N42</f>
        <v/>
      </c>
      <c r="M89" s="75">
        <f>L89/$L$85</f>
        <v/>
      </c>
      <c r="N89" s="65">
        <f>L89+'2026 Οκτώβριος'!N89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7.75" customHeight="1">
      <c r="A90" s="178" t="n">
        <v>82</v>
      </c>
      <c r="B90" s="178" t="n">
        <v>5</v>
      </c>
      <c r="C90" s="116">
        <f>ΑΝΤΙΣΤΟΙΧΙΣΗ!L195</f>
        <v/>
      </c>
      <c r="D90" s="114">
        <f>'2026_60-69 ΕΞΟΔΑ+ΟΜ 2'!N45</f>
        <v/>
      </c>
      <c r="E90" s="75">
        <f>D90/$D$85</f>
        <v/>
      </c>
      <c r="F90" s="114">
        <f>D90+'2026 Οκτώβριος'!F90</f>
        <v/>
      </c>
      <c r="G90" s="75">
        <f>F90/$F$85</f>
        <v/>
      </c>
      <c r="H90" s="399">
        <f>ΠΡΟΥΠΟΛΟΓΙΣΜΟΣ_ΕΞΟΔΑ!N207</f>
        <v/>
      </c>
      <c r="I90" s="401">
        <f>H90/$H$85</f>
        <v/>
      </c>
      <c r="J90" s="402">
        <f>H90+'2026 Οκτώβριος'!J90</f>
        <v/>
      </c>
      <c r="K90" s="58">
        <f>J90/$J$85</f>
        <v/>
      </c>
      <c r="L90" s="114">
        <f>'2024_60-69 ΕΞΟΔΑ+ΟΜ 2'!N43</f>
        <v/>
      </c>
      <c r="M90" s="75">
        <f>L90/$L$85</f>
        <v/>
      </c>
      <c r="N90" s="65">
        <f>L90+'2026 Οκτώβριος'!N90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83</v>
      </c>
      <c r="B91" s="178" t="n">
        <v>6</v>
      </c>
      <c r="C91" s="113">
        <f>ΑΝΤΙΣΤΟΙΧΙΣΗ!L196</f>
        <v/>
      </c>
      <c r="D91" s="114">
        <f>'2026_60-69 ΕΞΟΔΑ+ΟΜ 2'!N46</f>
        <v/>
      </c>
      <c r="E91" s="75">
        <f>D91/$D$85</f>
        <v/>
      </c>
      <c r="F91" s="114">
        <f>D91+'2026 Οκτώβριος'!F91</f>
        <v/>
      </c>
      <c r="G91" s="75">
        <f>F91/$F$85</f>
        <v/>
      </c>
      <c r="H91" s="399">
        <f>ΠΡΟΥΠΟΛΟΓΙΣΜΟΣ_ΕΞΟΔΑ!N212</f>
        <v/>
      </c>
      <c r="I91" s="401">
        <f>H91/$H$85</f>
        <v/>
      </c>
      <c r="J91" s="402">
        <f>H91+'2026 Οκτώβριος'!J91</f>
        <v/>
      </c>
      <c r="K91" s="58">
        <f>J91/$J$85</f>
        <v/>
      </c>
      <c r="L91" s="114">
        <f>'2024_60-69 ΕΞΟΔΑ+ΟΜ 2'!N44</f>
        <v/>
      </c>
      <c r="M91" s="75">
        <f>L91/$L$85</f>
        <v/>
      </c>
      <c r="N91" s="65">
        <f>L91+'2026 Οκτώβριος'!N91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84</v>
      </c>
      <c r="B92" s="178" t="n">
        <v>7</v>
      </c>
      <c r="C92" s="113">
        <f>ΑΝΤΙΣΤΟΙΧΙΣΗ!L197</f>
        <v/>
      </c>
      <c r="D92" s="114">
        <f>'2026_60-69 ΕΞΟΔΑ+ΟΜ 2'!N47</f>
        <v/>
      </c>
      <c r="E92" s="75">
        <f>D92/$D$85</f>
        <v/>
      </c>
      <c r="F92" s="114">
        <f>D92+'2026 Οκτώβριος'!F92</f>
        <v/>
      </c>
      <c r="G92" s="75">
        <f>F92/$F$85</f>
        <v/>
      </c>
      <c r="H92" s="399">
        <f>ΠΡΟΥΠΟΛΟΓΙΣΜΟΣ_ΕΞΟΔΑ!N217</f>
        <v/>
      </c>
      <c r="I92" s="401">
        <f>H92/$H$85</f>
        <v/>
      </c>
      <c r="J92" s="402">
        <f>H92+'2026 Οκτώβριος'!J92</f>
        <v/>
      </c>
      <c r="K92" s="58">
        <f>J92/$J$85</f>
        <v/>
      </c>
      <c r="L92" s="114">
        <f>'2024_60-69 ΕΞΟΔΑ+ΟΜ 2'!N45</f>
        <v/>
      </c>
      <c r="M92" s="75">
        <f>L92/$L$85</f>
        <v/>
      </c>
      <c r="N92" s="65">
        <f>L92+'2026 Οκτώβριος'!N92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85</v>
      </c>
      <c r="B93" s="178" t="n">
        <v>8</v>
      </c>
      <c r="C93" s="115">
        <f>ΑΝΤΙΣΤΟΙΧΙΣΗ!L198</f>
        <v/>
      </c>
      <c r="D93" s="114">
        <f>'2026_60-69 ΕΞΟΔΑ+ΟΜ 2'!N48</f>
        <v/>
      </c>
      <c r="E93" s="75">
        <f>D93/$D$85</f>
        <v/>
      </c>
      <c r="F93" s="114">
        <f>D93+'2026 Οκτώβριος'!F93</f>
        <v/>
      </c>
      <c r="G93" s="75">
        <f>F93/$F$85</f>
        <v/>
      </c>
      <c r="H93" s="56">
        <f>ΠΡΟΥΠΟΛΟΓΙΣΜΟΣ_ΕΞΟΔΑ!N222</f>
        <v/>
      </c>
      <c r="I93" s="401">
        <f>H93/$H$85</f>
        <v/>
      </c>
      <c r="J93" s="402">
        <f>H93+'2026 Οκτώβριος'!J93</f>
        <v/>
      </c>
      <c r="K93" s="58">
        <f>J93/$J$85</f>
        <v/>
      </c>
      <c r="L93" s="114">
        <f>'2024_60-69 ΕΞΟΔΑ+ΟΜ 2'!N46</f>
        <v/>
      </c>
      <c r="M93" s="75">
        <f>L93/$L$85</f>
        <v/>
      </c>
      <c r="N93" s="65">
        <f>L93+'2026 Οκτώβριος'!N93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86</v>
      </c>
      <c r="B94" s="178" t="n">
        <v>9</v>
      </c>
      <c r="C94" s="113">
        <f>ΑΝΤΙΣΤΟΙΧΙΣΗ!L199</f>
        <v/>
      </c>
      <c r="D94" s="114">
        <f>'2026_60-69 ΕΞΟΔΑ+ΟΜ 2'!N49</f>
        <v/>
      </c>
      <c r="E94" s="75">
        <f>D94/$D$85</f>
        <v/>
      </c>
      <c r="F94" s="114">
        <f>D94+'2026 Οκτώβριος'!F94</f>
        <v/>
      </c>
      <c r="G94" s="75">
        <f>F94/$F$85</f>
        <v/>
      </c>
      <c r="H94" s="56">
        <f>ΠΡΟΥΠΟΛΟΓΙΣΜΟΣ_ΕΞΟΔΑ!N227</f>
        <v/>
      </c>
      <c r="I94" s="401">
        <f>H94/$H$85</f>
        <v/>
      </c>
      <c r="J94" s="402">
        <f>H94+'2026 Οκτώβριος'!J94</f>
        <v/>
      </c>
      <c r="K94" s="58">
        <f>J94/$J$85</f>
        <v/>
      </c>
      <c r="L94" s="114">
        <f>'2024_60-69 ΕΞΟΔΑ+ΟΜ 2'!N47</f>
        <v/>
      </c>
      <c r="M94" s="75">
        <f>L94/$L$85</f>
        <v/>
      </c>
      <c r="N94" s="65">
        <f>L94+'2026 Οκτώβριος'!N94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2.25" customHeight="1">
      <c r="A95" s="178" t="n">
        <v>87</v>
      </c>
      <c r="B95" s="178" t="n">
        <v>10</v>
      </c>
      <c r="C95" s="113">
        <f>ΑΝΤΙΣΤΟΙΧΙΣΗ!L200</f>
        <v/>
      </c>
      <c r="D95" s="114">
        <f>'2026_60-69 ΕΞΟΔΑ+ΟΜ 2'!N50</f>
        <v/>
      </c>
      <c r="E95" s="75">
        <f>D95/$D$85</f>
        <v/>
      </c>
      <c r="F95" s="114">
        <f>D95+'2026 Οκτώβριος'!F95</f>
        <v/>
      </c>
      <c r="G95" s="75">
        <f>F95/$F$85</f>
        <v/>
      </c>
      <c r="H95" s="118">
        <f>ΠΡΟΥΠΟΛΟΓΙΣΜΟΣ_ΕΞΟΔΑ!N232</f>
        <v/>
      </c>
      <c r="I95" s="401">
        <f>H95/$H$85</f>
        <v/>
      </c>
      <c r="J95" s="402">
        <f>H95+'2026 Οκτώβριος'!J95</f>
        <v/>
      </c>
      <c r="K95" s="58">
        <f>J95/$J$85</f>
        <v/>
      </c>
      <c r="L95" s="114">
        <f>'2024_60-69 ΕΞΟΔΑ+ΟΜ 2'!N48</f>
        <v/>
      </c>
      <c r="M95" s="75">
        <f>L95/$L$85</f>
        <v/>
      </c>
      <c r="N95" s="65">
        <f>L95+'2026 Οκτώβριος'!N95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88</v>
      </c>
      <c r="B96" s="178" t="n">
        <v>11</v>
      </c>
      <c r="C96" s="113">
        <f>ΑΝΤΙΣΤΟΙΧΙΣΗ!L201</f>
        <v/>
      </c>
      <c r="D96" s="114">
        <f>'2026_60-69 ΕΞΟΔΑ+ΟΜ 2'!N51</f>
        <v/>
      </c>
      <c r="E96" s="75">
        <f>D96/$D$85</f>
        <v/>
      </c>
      <c r="F96" s="114">
        <f>D96+'2026 Οκτώβριος'!F96</f>
        <v/>
      </c>
      <c r="G96" s="75">
        <f>F96/$F$85</f>
        <v/>
      </c>
      <c r="H96" s="56">
        <f>ΠΡΟΥΠΟΛΟΓΙΣΜΟΣ_ΕΞΟΔΑ!N237</f>
        <v/>
      </c>
      <c r="I96" s="401">
        <f>H96/$H$85</f>
        <v/>
      </c>
      <c r="J96" s="402">
        <f>H96+'2026 Οκτώβριος'!J96</f>
        <v/>
      </c>
      <c r="K96" s="58">
        <f>J96/$J$85</f>
        <v/>
      </c>
      <c r="L96" s="114">
        <f>'2024_60-69 ΕΞΟΔΑ+ΟΜ 2'!N49</f>
        <v/>
      </c>
      <c r="M96" s="75">
        <f>L96/$L$85</f>
        <v/>
      </c>
      <c r="N96" s="65">
        <f>L96+'2026 Οκτώβριος'!N96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89</v>
      </c>
      <c r="B97" s="178" t="n">
        <v>12</v>
      </c>
      <c r="C97" s="113">
        <f>ΑΝΤΙΣΤΟΙΧΙΣΗ!L202</f>
        <v/>
      </c>
      <c r="D97" s="114">
        <f>'2026_60-69 ΕΞΟΔΑ+ΟΜ 2'!N52</f>
        <v/>
      </c>
      <c r="E97" s="75">
        <f>D97/$D$85</f>
        <v/>
      </c>
      <c r="F97" s="114">
        <f>D97+'2026 Οκτώβριος'!F97</f>
        <v/>
      </c>
      <c r="G97" s="75">
        <f>F97/$F$85</f>
        <v/>
      </c>
      <c r="H97" s="56">
        <f>ΠΡΟΥΠΟΛΟΓΙΣΜΟΣ_ΕΞΟΔΑ!N242</f>
        <v/>
      </c>
      <c r="I97" s="401">
        <f>H97/$H$85</f>
        <v/>
      </c>
      <c r="J97" s="402">
        <f>H97+'2026 Οκτώβριος'!J97</f>
        <v/>
      </c>
      <c r="K97" s="58">
        <f>J97/$J$85</f>
        <v/>
      </c>
      <c r="L97" s="114">
        <f>'2024_60-69 ΕΞΟΔΑ+ΟΜ 2'!N50</f>
        <v/>
      </c>
      <c r="M97" s="75">
        <f>L97/$L$85</f>
        <v/>
      </c>
      <c r="N97" s="65">
        <f>L97+'2026 Οκτώβριος'!N97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90</v>
      </c>
      <c r="B98" s="178" t="n">
        <v>13</v>
      </c>
      <c r="C98" s="113">
        <f>ΑΝΤΙΣΤΟΙΧΙΣΗ!L204</f>
        <v/>
      </c>
      <c r="D98" s="114">
        <f>'2026_60-69 ΕΞΟΔΑ+ΟΜ 2'!N53</f>
        <v/>
      </c>
      <c r="E98" s="75">
        <f>D98/$D$85</f>
        <v/>
      </c>
      <c r="F98" s="114">
        <f>D98+'2026 Οκτώβριος'!F98</f>
        <v/>
      </c>
      <c r="G98" s="75">
        <f>F98/$F$85</f>
        <v/>
      </c>
      <c r="H98" s="56">
        <f>ΠΡΟΥΠΟΛΟΓΙΣΜΟΣ_ΕΞΟΔΑ!N247</f>
        <v/>
      </c>
      <c r="I98" s="401">
        <f>H98/$H$85</f>
        <v/>
      </c>
      <c r="J98" s="402">
        <f>H98+'2026 Οκτώβριος'!J98</f>
        <v/>
      </c>
      <c r="K98" s="58">
        <f>J98/$J$85</f>
        <v/>
      </c>
      <c r="L98" s="114">
        <f>'2024_60-69 ΕΞΟΔΑ+ΟΜ 2'!N51</f>
        <v/>
      </c>
      <c r="M98" s="75">
        <f>L98/$L$85</f>
        <v/>
      </c>
      <c r="N98" s="65">
        <f>L98+'2026 Οκτώβριος'!N98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91</v>
      </c>
      <c r="B99" s="178" t="n">
        <v>14</v>
      </c>
      <c r="C99" s="116">
        <f>ΑΝΤΙΣΤΟΙΧΙΣΗ!L205</f>
        <v/>
      </c>
      <c r="D99" s="114">
        <f>'2026_60-69 ΕΞΟΔΑ+ΟΜ 2'!N54</f>
        <v/>
      </c>
      <c r="E99" s="75">
        <f>D99/$D$85</f>
        <v/>
      </c>
      <c r="F99" s="114">
        <f>D99+'2026 Οκτώβριος'!F99</f>
        <v/>
      </c>
      <c r="G99" s="75">
        <f>F99/$F$85</f>
        <v/>
      </c>
      <c r="H99" s="56">
        <f>ΠΡΟΥΠΟΛΟΓΙΣΜΟΣ_ΕΞΟΔΑ!N252</f>
        <v/>
      </c>
      <c r="I99" s="401">
        <f>H99/$H$85</f>
        <v/>
      </c>
      <c r="J99" s="402">
        <f>H99+'2026 Οκτώβριος'!J99</f>
        <v/>
      </c>
      <c r="K99" s="58">
        <f>J99/$J$85</f>
        <v/>
      </c>
      <c r="L99" s="114">
        <f>'2024_60-69 ΕΞΟΔΑ+ΟΜ 2'!N52</f>
        <v/>
      </c>
      <c r="M99" s="75">
        <f>L99/$L$85</f>
        <v/>
      </c>
      <c r="N99" s="65">
        <f>L99+'2026 Οκτώβριος'!N99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75" customHeight="1">
      <c r="A100" s="178" t="n">
        <v>92</v>
      </c>
      <c r="B100" s="178" t="n">
        <v>15</v>
      </c>
      <c r="C100" s="119">
        <f>ΑΝΤΙΣΤΟΙΧΙΣΗ!L206</f>
        <v/>
      </c>
      <c r="D100" s="114">
        <f>'2026_60-69 ΕΞΟΔΑ+ΟΜ 2'!N55</f>
        <v/>
      </c>
      <c r="E100" s="75">
        <f>D100/$D$85</f>
        <v/>
      </c>
      <c r="F100" s="114">
        <f>D100+'2026 Οκτώβριος'!F100</f>
        <v/>
      </c>
      <c r="G100" s="75">
        <f>F100/$F$85</f>
        <v/>
      </c>
      <c r="H100" s="56">
        <f>ΠΡΟΥΠΟΛΟΓΙΣΜΟΣ_ΕΞΟΔΑ!N257</f>
        <v/>
      </c>
      <c r="I100" s="401">
        <f>H100/$H$85</f>
        <v/>
      </c>
      <c r="J100" s="402">
        <f>H100+'2026 Οκτώβριος'!J100</f>
        <v/>
      </c>
      <c r="K100" s="58">
        <f>J100/$J$85</f>
        <v/>
      </c>
      <c r="L100" s="114">
        <f>'2024_60-69 ΕΞΟΔΑ+ΟΜ 2'!N53</f>
        <v/>
      </c>
      <c r="M100" s="75">
        <f>L100/$L$85</f>
        <v/>
      </c>
      <c r="N100" s="65">
        <f>L100+'2026 Οκτώβριος'!N100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93</v>
      </c>
      <c r="B101" s="178" t="n">
        <v>16</v>
      </c>
      <c r="C101" s="119">
        <f>ΑΝΤΙΣΤΟΙΧΙΣΗ!L207</f>
        <v/>
      </c>
      <c r="D101" s="114">
        <f>'2026_60-69 ΕΞΟΔΑ+ΟΜ 2'!N56</f>
        <v/>
      </c>
      <c r="E101" s="75">
        <f>D101/$D$85</f>
        <v/>
      </c>
      <c r="F101" s="114">
        <f>D101+'2026 Οκτώβριος'!F101</f>
        <v/>
      </c>
      <c r="G101" s="75">
        <f>F101/$F$85</f>
        <v/>
      </c>
      <c r="H101" s="56">
        <f>ΠΡΟΥΠΟΛΟΓΙΣΜΟΣ_ΕΞΟΔΑ!N262</f>
        <v/>
      </c>
      <c r="I101" s="401">
        <f>H101/$H$85</f>
        <v/>
      </c>
      <c r="J101" s="402">
        <f>H101+'2026 Οκτώβριος'!J101</f>
        <v/>
      </c>
      <c r="K101" s="58">
        <f>J101/$J$85</f>
        <v/>
      </c>
      <c r="L101" s="114">
        <f>'2024_60-69 ΕΞΟΔΑ+ΟΜ 2'!N54</f>
        <v/>
      </c>
      <c r="M101" s="75">
        <f>L101/$L$85</f>
        <v/>
      </c>
      <c r="N101" s="65">
        <f>L101+'2026 Οκτώβριος'!N101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94</v>
      </c>
      <c r="B102" s="178" t="n">
        <v>17</v>
      </c>
      <c r="C102" s="119">
        <f>ΑΝΤΙΣΤΟΙΧΙΣΗ!L208</f>
        <v/>
      </c>
      <c r="D102" s="114">
        <f>'2026_60-69 ΕΞΟΔΑ+ΟΜ 2'!N57</f>
        <v/>
      </c>
      <c r="E102" s="75">
        <f>D102/$D$85</f>
        <v/>
      </c>
      <c r="F102" s="114">
        <f>D102+'2026 Οκτώβριος'!F102</f>
        <v/>
      </c>
      <c r="G102" s="75">
        <f>F102/$F$85</f>
        <v/>
      </c>
      <c r="H102" s="56">
        <f>ΠΡΟΥΠΟΛΟΓΙΣΜΟΣ_ΕΞΟΔΑ!N267</f>
        <v/>
      </c>
      <c r="I102" s="401">
        <f>H102/$H$85</f>
        <v/>
      </c>
      <c r="J102" s="402">
        <f>H102+'2026 Οκτώβριος'!J102</f>
        <v/>
      </c>
      <c r="K102" s="58">
        <f>J102/$J$85</f>
        <v/>
      </c>
      <c r="L102" s="114">
        <f>'2024_60-69 ΕΞΟΔΑ+ΟΜ 2'!N55</f>
        <v/>
      </c>
      <c r="M102" s="75">
        <f>L102/$L$85</f>
        <v/>
      </c>
      <c r="N102" s="65">
        <f>L102+'2026 Οκτώβριος'!N102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95</v>
      </c>
      <c r="B103" s="178" t="n">
        <v>18</v>
      </c>
      <c r="C103" s="120">
        <f>ΑΝΤΙΣΤΟΙΧΙΣΗ!L209</f>
        <v/>
      </c>
      <c r="D103" s="114">
        <f>'2026_60-69 ΕΞΟΔΑ+ΟΜ 2'!N58</f>
        <v/>
      </c>
      <c r="E103" s="75">
        <f>D103/$D$85</f>
        <v/>
      </c>
      <c r="F103" s="114">
        <f>D103+'2026 Οκτώβριος'!F103</f>
        <v/>
      </c>
      <c r="G103" s="75">
        <f>F103/$F$85</f>
        <v/>
      </c>
      <c r="H103" s="56">
        <f>ΠΡΟΥΠΟΛΟΓΙΣΜΟΣ_ΕΞΟΔΑ!N272</f>
        <v/>
      </c>
      <c r="I103" s="401">
        <f>H103/$H$85</f>
        <v/>
      </c>
      <c r="J103" s="402">
        <f>H103+'2026 Οκτώβριος'!J103</f>
        <v/>
      </c>
      <c r="K103" s="58">
        <f>J103/$J$85</f>
        <v/>
      </c>
      <c r="L103" s="114">
        <f>'2024_60-69 ΕΞΟΔΑ+ΟΜ 2'!N56</f>
        <v/>
      </c>
      <c r="M103" s="75">
        <f>L103/$L$85</f>
        <v/>
      </c>
      <c r="N103" s="65">
        <f>L103+'2026 Οκτώβριος'!N103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96</v>
      </c>
      <c r="B104" s="178" t="n">
        <v>19</v>
      </c>
      <c r="C104" s="116">
        <f>ΑΝΤΙΣΤΟΙΧΙΣΗ!L210</f>
        <v/>
      </c>
      <c r="D104" s="114">
        <f>'2026_60-69 ΕΞΟΔΑ+ΟΜ 2'!N59</f>
        <v/>
      </c>
      <c r="E104" s="75">
        <f>D104/$D$85</f>
        <v/>
      </c>
      <c r="F104" s="114">
        <f>D104+'2026 Οκτώβριος'!F104</f>
        <v/>
      </c>
      <c r="G104" s="75">
        <f>F104/$F$85</f>
        <v/>
      </c>
      <c r="H104" s="56">
        <f>ΠΡΟΥΠΟΛΟΓΙΣΜΟΣ_ΕΞΟΔΑ!N277</f>
        <v/>
      </c>
      <c r="I104" s="401">
        <f>H104/$H$85</f>
        <v/>
      </c>
      <c r="J104" s="402">
        <f>H104+'2026 Οκτώβριος'!J104</f>
        <v/>
      </c>
      <c r="K104" s="58">
        <f>J104/$J$85</f>
        <v/>
      </c>
      <c r="L104" s="114">
        <f>'2024_60-69 ΕΞΟΔΑ+ΟΜ 2'!N57</f>
        <v/>
      </c>
      <c r="M104" s="75">
        <f>L104/$L$85</f>
        <v/>
      </c>
      <c r="N104" s="65">
        <f>L104+'2026 Οκτώβριος'!N104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97</v>
      </c>
      <c r="B105" s="178" t="n">
        <v>20</v>
      </c>
      <c r="C105" s="120">
        <f>ΑΝΤΙΣΤΟΙΧΙΣΗ!L211</f>
        <v/>
      </c>
      <c r="D105" s="114">
        <f>'2026_60-69 ΕΞΟΔΑ+ΟΜ 2'!N60</f>
        <v/>
      </c>
      <c r="E105" s="75">
        <f>D105/$D$85</f>
        <v/>
      </c>
      <c r="F105" s="114">
        <f>D105+'2026 Οκτώβριος'!F105</f>
        <v/>
      </c>
      <c r="G105" s="75">
        <f>F105/$F$85</f>
        <v/>
      </c>
      <c r="H105" s="56">
        <f>ΠΡΟΥΠΟΛΟΓΙΣΜΟΣ_ΕΞΟΔΑ!N282</f>
        <v/>
      </c>
      <c r="I105" s="401">
        <f>H105/$H$85</f>
        <v/>
      </c>
      <c r="J105" s="402">
        <f>H105+'2026 Οκτώβριος'!J105</f>
        <v/>
      </c>
      <c r="K105" s="58">
        <f>J105/$J$85</f>
        <v/>
      </c>
      <c r="L105" s="114">
        <f>'2024_60-69 ΕΞΟΔΑ+ΟΜ 2'!N58</f>
        <v/>
      </c>
      <c r="M105" s="75">
        <f>L105/$L$85</f>
        <v/>
      </c>
      <c r="N105" s="65">
        <f>L105+'2026 Οκτώβριος'!N105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98</v>
      </c>
      <c r="B106" s="178" t="n">
        <v>21</v>
      </c>
      <c r="C106" s="120">
        <f>ΑΝΤΙΣΤΟΙΧΙΣΗ!L212</f>
        <v/>
      </c>
      <c r="D106" s="114">
        <f>'2026_60-69 ΕΞΟΔΑ+ΟΜ 2'!N61</f>
        <v/>
      </c>
      <c r="E106" s="75">
        <f>D106/$D$85</f>
        <v/>
      </c>
      <c r="F106" s="114">
        <f>D106+'2026 Οκτώβριος'!F106</f>
        <v/>
      </c>
      <c r="G106" s="75">
        <f>F106/$F$85</f>
        <v/>
      </c>
      <c r="H106" s="56">
        <f>ΠΡΟΥΠΟΛΟΓΙΣΜΟΣ_ΕΞΟΔΑ!N287</f>
        <v/>
      </c>
      <c r="I106" s="401">
        <f>H106/$H$85</f>
        <v/>
      </c>
      <c r="J106" s="402">
        <f>H106+'2026 Οκτώβριος'!J106</f>
        <v/>
      </c>
      <c r="K106" s="58">
        <f>J106/$J$85</f>
        <v/>
      </c>
      <c r="L106" s="114">
        <f>'2024_60-69 ΕΞΟΔΑ+ΟΜ 2'!N59</f>
        <v/>
      </c>
      <c r="M106" s="75">
        <f>L106/$L$85</f>
        <v/>
      </c>
      <c r="N106" s="65">
        <f>L106+'2026 Οκτώβριος'!N106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99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100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101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102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103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2'!N40</f>
        <v/>
      </c>
      <c r="E112" s="81" t="n"/>
      <c r="F112" s="64">
        <f>'2026_60-69 ΕΞΟΔΑ+ΟΜ 2'!AA40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ΑΝΤΙΣΤΟΙΧΙΣΗ!$F$116</f>
        <v/>
      </c>
      <c r="E115" s="551" t="n"/>
      <c r="F115" s="550" t="n"/>
      <c r="G115" s="107">
        <f>ΑΝΤΙΣΤΟΙΧΙΣΗ!$D$34</f>
        <v/>
      </c>
      <c r="H115" s="549">
        <f>ΑΝΤΙΣΤΟΙΧΙΣΗ!$F$116</f>
        <v/>
      </c>
      <c r="I115" s="551" t="n"/>
      <c r="J115" s="550" t="n"/>
      <c r="K115" s="107">
        <f>ΑΝΤΙΣΤΟΙΧΙΣΗ!$D$34</f>
        <v/>
      </c>
      <c r="L115" s="549">
        <f>ΑΝΤΙΣΤΟΙΧΙΣΗ!$F$130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81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2'!N71</f>
        <v/>
      </c>
      <c r="E118" s="75">
        <f>D118/$D$117</f>
        <v/>
      </c>
      <c r="F118" s="65">
        <f>D118+'2026 Οκτώβριος'!F118</f>
        <v/>
      </c>
      <c r="G118" s="75">
        <f>F118/$F$117</f>
        <v/>
      </c>
      <c r="H118" s="56">
        <f>ΠΡΟΥΠΟΛΟΓΙΣΜΟΣ_ΕΞΟΔΑ!N301</f>
        <v/>
      </c>
      <c r="I118" s="400">
        <f>H118/$H$117</f>
        <v/>
      </c>
      <c r="J118" s="65">
        <f>'2026 Οκτώβριος'!J118</f>
        <v/>
      </c>
      <c r="K118" s="404">
        <f>J118/$J$117</f>
        <v/>
      </c>
      <c r="L118" s="56">
        <f>'2024_60-69 ΕΞΟΔΑ+ΟΜ 2'!N66</f>
        <v/>
      </c>
      <c r="M118" s="75">
        <f>L118/$L$117</f>
        <v/>
      </c>
      <c r="N118" s="65">
        <f>L118+'2026 Οκτώβριος'!N118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2'!N72</f>
        <v/>
      </c>
      <c r="E119" s="75">
        <f>D119/$D$117</f>
        <v/>
      </c>
      <c r="F119" s="65">
        <f>D119+'2026 Οκτώβριος'!F119</f>
        <v/>
      </c>
      <c r="G119" s="75">
        <f>F119/$F$117</f>
        <v/>
      </c>
      <c r="H119" s="56">
        <f>ΠΡΟΥΠΟΛΟΓΙΣΜΟΣ_ΕΞΟΔΑ!N306</f>
        <v/>
      </c>
      <c r="I119" s="400">
        <f>H119/$H$117</f>
        <v/>
      </c>
      <c r="J119" s="65">
        <f>'2026 Οκτώβριος'!J119</f>
        <v/>
      </c>
      <c r="K119" s="404">
        <f>J119/$J$117</f>
        <v/>
      </c>
      <c r="L119" s="56">
        <f>'2024_60-69 ΕΞΟΔΑ+ΟΜ 2'!N67</f>
        <v/>
      </c>
      <c r="M119" s="75">
        <f>L119/$L$117</f>
        <v/>
      </c>
      <c r="N119" s="65">
        <f>L119+'2026 Οκτώβριος'!N119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2'!N73</f>
        <v/>
      </c>
      <c r="E120" s="75">
        <f>D120/$D$117</f>
        <v/>
      </c>
      <c r="F120" s="65">
        <f>D120+'2026 Οκτώβριος'!F120</f>
        <v/>
      </c>
      <c r="G120" s="75">
        <f>F120/$F$117</f>
        <v/>
      </c>
      <c r="H120" s="56">
        <f>ΠΡΟΥΠΟΛΟΓΙΣΜΟΣ_ΕΞΟΔΑ!N311</f>
        <v/>
      </c>
      <c r="I120" s="400">
        <f>H120/$H$117</f>
        <v/>
      </c>
      <c r="J120" s="65">
        <f>'2026 Οκτώβριος'!J120</f>
        <v/>
      </c>
      <c r="K120" s="404">
        <f>J120/$J$117</f>
        <v/>
      </c>
      <c r="L120" s="56">
        <f>'2024_60-69 ΕΞΟΔΑ+ΟΜ 2'!N68</f>
        <v/>
      </c>
      <c r="M120" s="75">
        <f>L120/$L$117</f>
        <v/>
      </c>
      <c r="N120" s="65">
        <f>L120+'2026 Οκτώβριος'!N120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2'!N74</f>
        <v/>
      </c>
      <c r="E121" s="75">
        <f>D121/$D$117</f>
        <v/>
      </c>
      <c r="F121" s="65">
        <f>D121+'2026 Οκτώβριος'!F121</f>
        <v/>
      </c>
      <c r="G121" s="75">
        <f>F121/$F$117</f>
        <v/>
      </c>
      <c r="H121" s="56">
        <f>ΠΡΟΥΠΟΛΟΓΙΣΜΟΣ_ΕΞΟΔΑ!N316</f>
        <v/>
      </c>
      <c r="I121" s="400">
        <f>H121/$H$117</f>
        <v/>
      </c>
      <c r="J121" s="65">
        <f>'2026 Οκτώβριος'!J121</f>
        <v/>
      </c>
      <c r="K121" s="404">
        <f>J121/$J$117</f>
        <v/>
      </c>
      <c r="L121" s="56">
        <f>'2024_60-69 ΕΞΟΔΑ+ΟΜ 2'!N69</f>
        <v/>
      </c>
      <c r="M121" s="75">
        <f>L121/$L$117</f>
        <v/>
      </c>
      <c r="N121" s="65">
        <f>L121+'2026 Οκτώβριος'!N121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2'!N75</f>
        <v/>
      </c>
      <c r="E122" s="75">
        <f>D122/$D$117</f>
        <v/>
      </c>
      <c r="F122" s="65">
        <f>D122+'2026 Οκτώβριος'!F122</f>
        <v/>
      </c>
      <c r="G122" s="75">
        <f>F122/$F$117</f>
        <v/>
      </c>
      <c r="H122" s="56">
        <f>ΠΡΟΥΠΟΛΟΓΙΣΜΟΣ_ΕΞΟΔΑ!N321</f>
        <v/>
      </c>
      <c r="I122" s="400">
        <f>H122/$H$117</f>
        <v/>
      </c>
      <c r="J122" s="65">
        <f>'2026 Οκτώβριος'!J122</f>
        <v/>
      </c>
      <c r="K122" s="404">
        <f>J122/$J$117</f>
        <v/>
      </c>
      <c r="L122" s="56">
        <f>'2024_60-69 ΕΞΟΔΑ+ΟΜ 2'!N70</f>
        <v/>
      </c>
      <c r="M122" s="75">
        <f>L122/$L$117</f>
        <v/>
      </c>
      <c r="N122" s="65">
        <f>L122+'2026 Οκτώβριος'!N122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2'!N76</f>
        <v/>
      </c>
      <c r="E123" s="75">
        <f>D123/$D$117</f>
        <v/>
      </c>
      <c r="F123" s="65">
        <f>D123+'2026 Οκτώβριος'!F123</f>
        <v/>
      </c>
      <c r="G123" s="75">
        <f>F123/$F$117</f>
        <v/>
      </c>
      <c r="H123" s="56">
        <f>ΠΡΟΥΠΟΛΟΓΙΣΜΟΣ_ΕΞΟΔΑ!N326</f>
        <v/>
      </c>
      <c r="I123" s="400">
        <f>H123/$H$117</f>
        <v/>
      </c>
      <c r="J123" s="65">
        <f>'2026 Οκτώβριος'!J123</f>
        <v/>
      </c>
      <c r="K123" s="404">
        <f>J123/$J$117</f>
        <v/>
      </c>
      <c r="L123" s="56">
        <f>'2024_60-69 ΕΞΟΔΑ+ΟΜ 2'!N71</f>
        <v/>
      </c>
      <c r="M123" s="75">
        <f>L123/$L$117</f>
        <v/>
      </c>
      <c r="N123" s="65">
        <f>L123+'2026 Οκτώβριος'!N123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2'!N77</f>
        <v/>
      </c>
      <c r="E124" s="75">
        <f>D124/$D$117</f>
        <v/>
      </c>
      <c r="F124" s="65">
        <f>D124+'2026 Οκτώβριος'!F124</f>
        <v/>
      </c>
      <c r="G124" s="75">
        <f>F124/$F$117</f>
        <v/>
      </c>
      <c r="H124" s="56">
        <f>ΠΡΟΥΠΟΛΟΓΙΣΜΟΣ_ΕΞΟΔΑ!N331</f>
        <v/>
      </c>
      <c r="I124" s="400">
        <f>H124/$H$117</f>
        <v/>
      </c>
      <c r="J124" s="65">
        <f>'2026 Οκτώβριος'!J124</f>
        <v/>
      </c>
      <c r="K124" s="404">
        <f>J124/$J$117</f>
        <v/>
      </c>
      <c r="L124" s="56">
        <f>'2024_60-69 ΕΞΟΔΑ+ΟΜ 2'!N72</f>
        <v/>
      </c>
      <c r="M124" s="75">
        <f>L124/$L$117</f>
        <v/>
      </c>
      <c r="N124" s="65">
        <f>L124+'2026 Οκτώβριος'!N124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2'!N78</f>
        <v/>
      </c>
      <c r="E125" s="75">
        <f>D125/$D$117</f>
        <v/>
      </c>
      <c r="F125" s="65">
        <f>D125+'2026 Οκτώβριος'!F125</f>
        <v/>
      </c>
      <c r="G125" s="75">
        <f>F125/$F$117</f>
        <v/>
      </c>
      <c r="H125" s="56">
        <f>ΠΡΟΥΠΟΛΟΓΙΣΜΟΣ_ΕΞΟΔΑ!N336</f>
        <v/>
      </c>
      <c r="I125" s="400">
        <f>H125/$H$117</f>
        <v/>
      </c>
      <c r="J125" s="65">
        <f>'2026 Οκτώβριος'!J125</f>
        <v/>
      </c>
      <c r="K125" s="404">
        <f>J125/$J$117</f>
        <v/>
      </c>
      <c r="L125" s="56">
        <f>'2024_60-69 ΕΞΟΔΑ+ΟΜ 2'!N73</f>
        <v/>
      </c>
      <c r="M125" s="75">
        <f>L125/$L$117</f>
        <v/>
      </c>
      <c r="N125" s="65">
        <f>L125+'2026 Οκτώβριος'!N125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2'!N79</f>
        <v/>
      </c>
      <c r="E126" s="75">
        <f>D126/$D$117</f>
        <v/>
      </c>
      <c r="F126" s="65">
        <f>D126+'2026 Οκτώβριος'!F126</f>
        <v/>
      </c>
      <c r="G126" s="75">
        <f>F126/$F$117</f>
        <v/>
      </c>
      <c r="H126" s="56">
        <f>ΠΡΟΥΠΟΛΟΓΙΣΜΟΣ_ΕΞΟΔΑ!N341</f>
        <v/>
      </c>
      <c r="I126" s="400">
        <f>H126/$H$117</f>
        <v/>
      </c>
      <c r="J126" s="65">
        <f>'2026 Οκτώβριος'!J126</f>
        <v/>
      </c>
      <c r="K126" s="404">
        <f>J126/$J$117</f>
        <v/>
      </c>
      <c r="L126" s="56">
        <f>'2024_60-69 ΕΞΟΔΑ+ΟΜ 2'!N74</f>
        <v/>
      </c>
      <c r="M126" s="75">
        <f>L126/$L$117</f>
        <v/>
      </c>
      <c r="N126" s="65">
        <f>L126+'2026 Οκτώβριος'!N126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2'!N80</f>
        <v/>
      </c>
      <c r="E127" s="75">
        <f>D127/$D$117</f>
        <v/>
      </c>
      <c r="F127" s="65">
        <f>D127+'2026 Οκτώβριος'!F127</f>
        <v/>
      </c>
      <c r="G127" s="75">
        <f>F127/$F$117</f>
        <v/>
      </c>
      <c r="H127" s="56">
        <f>ΠΡΟΥΠΟΛΟΓΙΣΜΟΣ_ΕΞΟΔΑ!N346</f>
        <v/>
      </c>
      <c r="I127" s="400">
        <f>H127/$H$117</f>
        <v/>
      </c>
      <c r="J127" s="65">
        <f>'2026 Οκτώβριος'!J127</f>
        <v/>
      </c>
      <c r="K127" s="404">
        <f>J127/$J$117</f>
        <v/>
      </c>
      <c r="L127" s="56">
        <f>'2024_60-69 ΕΞΟΔΑ+ΟΜ 2'!N75</f>
        <v/>
      </c>
      <c r="M127" s="75">
        <f>L127/$L$117</f>
        <v/>
      </c>
      <c r="N127" s="65">
        <f>L127+'2026 Οκτώβριος'!N127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2'!N81</f>
        <v/>
      </c>
      <c r="E128" s="75">
        <f>D128/$D$117</f>
        <v/>
      </c>
      <c r="F128" s="65">
        <f>D128+'2026 Οκτώβριος'!F128</f>
        <v/>
      </c>
      <c r="G128" s="75">
        <f>F128/$F$117</f>
        <v/>
      </c>
      <c r="H128" s="56">
        <f>ΠΡΟΥΠΟΛΟΓΙΣΜΟΣ_ΕΞΟΔΑ!N351</f>
        <v/>
      </c>
      <c r="I128" s="400">
        <f>H128/$H$117</f>
        <v/>
      </c>
      <c r="J128" s="65">
        <f>'2026 Οκτώβριος'!J128</f>
        <v/>
      </c>
      <c r="K128" s="404">
        <f>J128/$J$117</f>
        <v/>
      </c>
      <c r="L128" s="56">
        <f>'2024_60-69 ΕΞΟΔΑ+ΟΜ 2'!N76</f>
        <v/>
      </c>
      <c r="M128" s="75">
        <f>L128/$L$117</f>
        <v/>
      </c>
      <c r="N128" s="65">
        <f>L128+'2026 Οκτώβριος'!N128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2'!N82</f>
        <v/>
      </c>
      <c r="E129" s="75">
        <f>D129/$D$117</f>
        <v/>
      </c>
      <c r="F129" s="65">
        <f>D129+'2026 Οκτώβριος'!F129</f>
        <v/>
      </c>
      <c r="G129" s="75">
        <f>F129/$F$117</f>
        <v/>
      </c>
      <c r="H129" s="56">
        <f>ΠΡΟΥΠΟΛΟΓΙΣΜΟΣ_ΕΞΟΔΑ!N356</f>
        <v/>
      </c>
      <c r="I129" s="400">
        <f>H129/$H$117</f>
        <v/>
      </c>
      <c r="J129" s="65">
        <f>'2026 Οκτώβριος'!J129</f>
        <v/>
      </c>
      <c r="K129" s="404">
        <f>J129/$J$117</f>
        <v/>
      </c>
      <c r="L129" s="56">
        <f>'2024_60-69 ΕΞΟΔΑ+ΟΜ 2'!N77</f>
        <v/>
      </c>
      <c r="M129" s="75">
        <f>L129/$L$117</f>
        <v/>
      </c>
      <c r="N129" s="65">
        <f>L129+'2026 Οκτώβριος'!N129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2'!N83</f>
        <v/>
      </c>
      <c r="E130" s="75">
        <f>D130/$D$117</f>
        <v/>
      </c>
      <c r="F130" s="65">
        <f>D130+'2026 Οκτώβριος'!F130</f>
        <v/>
      </c>
      <c r="G130" s="75">
        <f>F130/$F$117</f>
        <v/>
      </c>
      <c r="H130" s="56">
        <f>ΠΡΟΥΠΟΛΟΓΙΣΜΟΣ_ΕΞΟΔΑ!N361</f>
        <v/>
      </c>
      <c r="I130" s="400">
        <f>H130/$H$117</f>
        <v/>
      </c>
      <c r="J130" s="65">
        <f>'2026 Οκτώβριος'!J130</f>
        <v/>
      </c>
      <c r="K130" s="404">
        <f>J130/$J$117</f>
        <v/>
      </c>
      <c r="L130" s="56">
        <f>'2024_60-69 ΕΞΟΔΑ+ΟΜ 2'!N78</f>
        <v/>
      </c>
      <c r="M130" s="75">
        <f>L130/$L$117</f>
        <v/>
      </c>
      <c r="N130" s="65">
        <f>L130+'2026 Οκτώβριος'!N130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2'!N84</f>
        <v/>
      </c>
      <c r="E131" s="75">
        <f>D131/$D$117</f>
        <v/>
      </c>
      <c r="F131" s="65">
        <f>D131+'2026 Οκτώβριος'!F131</f>
        <v/>
      </c>
      <c r="G131" s="75">
        <f>F131/$F$117</f>
        <v/>
      </c>
      <c r="H131" s="56">
        <f>ΠΡΟΥΠΟΛΟΓΙΣΜΟΣ_ΕΞΟΔΑ!N366</f>
        <v/>
      </c>
      <c r="I131" s="400">
        <f>H131/$H$117</f>
        <v/>
      </c>
      <c r="J131" s="65">
        <f>'2026 Οκτώβριος'!J131</f>
        <v/>
      </c>
      <c r="K131" s="404">
        <f>J131/$J$117</f>
        <v/>
      </c>
      <c r="L131" s="56">
        <f>'2024_60-69 ΕΞΟΔΑ+ΟΜ 2'!N79</f>
        <v/>
      </c>
      <c r="M131" s="75">
        <f>L131/$L$117</f>
        <v/>
      </c>
      <c r="N131" s="65">
        <f>L131+'2026 Οκτώβριος'!N131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2'!N85</f>
        <v/>
      </c>
      <c r="E132" s="75">
        <f>D132/$D$117</f>
        <v/>
      </c>
      <c r="F132" s="65">
        <f>D132+'2026 Οκτώβριος'!F132</f>
        <v/>
      </c>
      <c r="G132" s="75">
        <f>F132/$F$117</f>
        <v/>
      </c>
      <c r="H132" s="56">
        <f>ΠΡΟΥΠΟΛΟΓΙΣΜΟΣ_ΕΞΟΔΑ!N371</f>
        <v/>
      </c>
      <c r="I132" s="400">
        <f>H132/$H$117</f>
        <v/>
      </c>
      <c r="J132" s="65">
        <f>'2026 Οκτώβριος'!J132</f>
        <v/>
      </c>
      <c r="K132" s="404">
        <f>J132/$J$117</f>
        <v/>
      </c>
      <c r="L132" s="56">
        <f>'2024_60-69 ΕΞΟΔΑ+ΟΜ 2'!N80</f>
        <v/>
      </c>
      <c r="M132" s="75">
        <f>L132/$L$117</f>
        <v/>
      </c>
      <c r="N132" s="65">
        <f>L132+'2026 Οκτώβριος'!N132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2'!N86</f>
        <v/>
      </c>
      <c r="E133" s="75">
        <f>D133/$D$117</f>
        <v/>
      </c>
      <c r="F133" s="65">
        <f>D133+'2026 Οκτώβριος'!F133</f>
        <v/>
      </c>
      <c r="G133" s="75">
        <f>F133/$F$117</f>
        <v/>
      </c>
      <c r="H133" s="56">
        <f>ΠΡΟΥΠΟΛΟΓΙΣΜΟΣ_ΕΞΟΔΑ!N376</f>
        <v/>
      </c>
      <c r="I133" s="400">
        <f>H133/$H$117</f>
        <v/>
      </c>
      <c r="J133" s="65">
        <f>'2026 Οκτώβριος'!J133</f>
        <v/>
      </c>
      <c r="K133" s="404">
        <f>J133/$J$117</f>
        <v/>
      </c>
      <c r="L133" s="56">
        <f>'2024_60-69 ΕΞΟΔΑ+ΟΜ 2'!N81</f>
        <v/>
      </c>
      <c r="M133" s="75">
        <f>L133/$L$117</f>
        <v/>
      </c>
      <c r="N133" s="65">
        <f>L133+'2026 Οκτώβριος'!N133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2'!N87</f>
        <v/>
      </c>
      <c r="E134" s="75">
        <f>D134/$D$117</f>
        <v/>
      </c>
      <c r="F134" s="65">
        <f>D134+'2026 Οκτώβριος'!F134</f>
        <v/>
      </c>
      <c r="G134" s="75">
        <f>F134/$F$117</f>
        <v/>
      </c>
      <c r="H134" s="56">
        <f>ΠΡΟΥΠΟΛΟΓΙΣΜΟΣ_ΕΞΟΔΑ!N381</f>
        <v/>
      </c>
      <c r="I134" s="400">
        <f>H134/$H$117</f>
        <v/>
      </c>
      <c r="J134" s="65">
        <f>'2026 Οκτώβριος'!J134</f>
        <v/>
      </c>
      <c r="K134" s="404">
        <f>J134/$J$117</f>
        <v/>
      </c>
      <c r="L134" s="56">
        <f>'2024_60-69 ΕΞΟΔΑ+ΟΜ 2'!N82</f>
        <v/>
      </c>
      <c r="M134" s="75">
        <f>L134/$L$117</f>
        <v/>
      </c>
      <c r="N134" s="65">
        <f>L134+'2026 Οκτώβριος'!N134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2'!N88</f>
        <v/>
      </c>
      <c r="E135" s="75">
        <f>D135/$D$117</f>
        <v/>
      </c>
      <c r="F135" s="65">
        <f>D135+'2026 Οκτώβριος'!F135</f>
        <v/>
      </c>
      <c r="G135" s="75">
        <f>F135/$F$117</f>
        <v/>
      </c>
      <c r="H135" s="56">
        <f>ΠΡΟΥΠΟΛΟΓΙΣΜΟΣ_ΕΞΟΔΑ!N386</f>
        <v/>
      </c>
      <c r="I135" s="400">
        <f>H135/$H$117</f>
        <v/>
      </c>
      <c r="J135" s="65">
        <f>'2026 Οκτώβριος'!J135</f>
        <v/>
      </c>
      <c r="K135" s="404">
        <f>J135/$J$117</f>
        <v/>
      </c>
      <c r="L135" s="56">
        <f>'2024_60-69 ΕΞΟΔΑ+ΟΜ 2'!N83</f>
        <v/>
      </c>
      <c r="M135" s="75">
        <f>L135/$L$117</f>
        <v/>
      </c>
      <c r="N135" s="65">
        <f>L135+'2026 Οκτώβριος'!N135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2'!N89</f>
        <v/>
      </c>
      <c r="E136" s="75">
        <f>D136/$D$117</f>
        <v/>
      </c>
      <c r="F136" s="65">
        <f>D136+'2026 Οκτώβριος'!F136</f>
        <v/>
      </c>
      <c r="G136" s="75">
        <f>F136/$F$117</f>
        <v/>
      </c>
      <c r="H136" s="56">
        <f>ΠΡΟΥΠΟΛΟΓΙΣΜΟΣ_ΕΞΟΔΑ!N391</f>
        <v/>
      </c>
      <c r="I136" s="400">
        <f>H136/$H$117</f>
        <v/>
      </c>
      <c r="J136" s="65">
        <f>'2026 Οκτώβριος'!J136</f>
        <v/>
      </c>
      <c r="K136" s="404">
        <f>J136/$J$117</f>
        <v/>
      </c>
      <c r="L136" s="56">
        <f>'2024_60-69 ΕΞΟΔΑ+ΟΜ 2'!N84</f>
        <v/>
      </c>
      <c r="M136" s="75">
        <f>L136/$L$117</f>
        <v/>
      </c>
      <c r="N136" s="65">
        <f>L136+'2026 Οκτώβριος'!N136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2'!N90</f>
        <v/>
      </c>
      <c r="E137" s="75">
        <f>D137/$D$117</f>
        <v/>
      </c>
      <c r="F137" s="65">
        <f>D137+'2026 Οκτώβριος'!F137</f>
        <v/>
      </c>
      <c r="G137" s="75">
        <f>F137/$F$117</f>
        <v/>
      </c>
      <c r="H137" s="56">
        <f>ΠΡΟΥΠΟΛΟΓΙΣΜΟΣ_ΕΞΟΔΑ!N396</f>
        <v/>
      </c>
      <c r="I137" s="400">
        <f>H137/$H$117</f>
        <v/>
      </c>
      <c r="J137" s="65">
        <f>'2026 Οκτώβριος'!J137</f>
        <v/>
      </c>
      <c r="K137" s="404">
        <f>J137/$J$117</f>
        <v/>
      </c>
      <c r="L137" s="56">
        <f>'2024_60-69 ΕΞΟΔΑ+ΟΜ 2'!N85</f>
        <v/>
      </c>
      <c r="M137" s="75">
        <f>L137/$L$117</f>
        <v/>
      </c>
      <c r="N137" s="65">
        <f>L137+'2026 Οκτώβριος'!N137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2'!N91</f>
        <v/>
      </c>
      <c r="E138" s="75">
        <f>D138/$D$117</f>
        <v/>
      </c>
      <c r="F138" s="65">
        <f>D138+'2026 Οκτώβριος'!F138</f>
        <v/>
      </c>
      <c r="G138" s="75">
        <f>F138/$F$117</f>
        <v/>
      </c>
      <c r="H138" s="56">
        <f>ΠΡΟΥΠΟΛΟΓΙΣΜΟΣ_ΕΞΟΔΑ!N401</f>
        <v/>
      </c>
      <c r="I138" s="400">
        <f>H138/$H$117</f>
        <v/>
      </c>
      <c r="J138" s="65">
        <f>'2026 Οκτώβριος'!J138</f>
        <v/>
      </c>
      <c r="K138" s="404">
        <f>J138/$J$117</f>
        <v/>
      </c>
      <c r="L138" s="56">
        <f>'2024_60-69 ΕΞΟΔΑ+ΟΜ 2'!N86</f>
        <v/>
      </c>
      <c r="M138" s="75">
        <f>L138/$L$117</f>
        <v/>
      </c>
      <c r="N138" s="65">
        <f>L138+'2026 Οκτώβριος'!N138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2'!N92</f>
        <v/>
      </c>
      <c r="E139" s="75">
        <f>D139/$D$117</f>
        <v/>
      </c>
      <c r="F139" s="65">
        <f>D139+'2026 Οκτώβριος'!F139</f>
        <v/>
      </c>
      <c r="G139" s="75">
        <f>F139/$F$117</f>
        <v/>
      </c>
      <c r="H139" s="56">
        <f>ΠΡΟΥΠΟΛΟΓΙΣΜΟΣ_ΕΞΟΔΑ!N406</f>
        <v/>
      </c>
      <c r="I139" s="400">
        <f>H139/$H$117</f>
        <v/>
      </c>
      <c r="J139" s="65">
        <f>'2026 Οκτώβριος'!J139</f>
        <v/>
      </c>
      <c r="K139" s="404">
        <f>J139/$J$117</f>
        <v/>
      </c>
      <c r="L139" s="56">
        <f>'2024_60-69 ΕΞΟΔΑ+ΟΜ 2'!N87</f>
        <v/>
      </c>
      <c r="M139" s="75">
        <f>L139/$L$117</f>
        <v/>
      </c>
      <c r="N139" s="65">
        <f>L139+'2026 Οκτώβριος'!N139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2'!N93</f>
        <v/>
      </c>
      <c r="E140" s="75">
        <f>D140/$D$117</f>
        <v/>
      </c>
      <c r="F140" s="65">
        <f>D140+'2026 Οκτώβριος'!F140</f>
        <v/>
      </c>
      <c r="G140" s="75">
        <f>F140/$F$117</f>
        <v/>
      </c>
      <c r="H140" s="56">
        <f>ΠΡΟΥΠΟΛΟΓΙΣΜΟΣ_ΕΞΟΔΑ!N411</f>
        <v/>
      </c>
      <c r="I140" s="400">
        <f>H140/$H$117</f>
        <v/>
      </c>
      <c r="J140" s="65">
        <f>'2026 Οκτώβριος'!J140</f>
        <v/>
      </c>
      <c r="K140" s="404">
        <f>J140/$J$117</f>
        <v/>
      </c>
      <c r="L140" s="56">
        <f>'2024_60-69 ΕΞΟΔΑ+ΟΜ 2'!N88</f>
        <v/>
      </c>
      <c r="M140" s="75">
        <f>L140/$L$117</f>
        <v/>
      </c>
      <c r="N140" s="65">
        <f>L140+'2026 Οκτώβριος'!N140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2'!N94</f>
        <v/>
      </c>
      <c r="E141" s="75">
        <f>D141/$D$117</f>
        <v/>
      </c>
      <c r="F141" s="65">
        <f>D141+'2026 Οκτώβριος'!F141</f>
        <v/>
      </c>
      <c r="G141" s="75">
        <f>F141/$F$117</f>
        <v/>
      </c>
      <c r="H141" s="56">
        <f>ΠΡΟΥΠΟΛΟΓΙΣΜΟΣ_ΕΞΟΔΑ!N416</f>
        <v/>
      </c>
      <c r="I141" s="400">
        <f>H141/$H$117</f>
        <v/>
      </c>
      <c r="J141" s="65">
        <f>'2026 Οκτώβριος'!J141</f>
        <v/>
      </c>
      <c r="K141" s="404">
        <f>J141/$J$117</f>
        <v/>
      </c>
      <c r="L141" s="56">
        <f>'2024_60-69 ΕΞΟΔΑ+ΟΜ 2'!N89</f>
        <v/>
      </c>
      <c r="M141" s="75">
        <f>L141/$L$117</f>
        <v/>
      </c>
      <c r="N141" s="65">
        <f>L141+'2026 Οκτώβριος'!N141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2'!N95</f>
        <v/>
      </c>
      <c r="E142" s="75">
        <f>D142/$D$117</f>
        <v/>
      </c>
      <c r="F142" s="65">
        <f>D142+'2026 Οκτώβριος'!F142</f>
        <v/>
      </c>
      <c r="G142" s="75">
        <f>F142/$F$117</f>
        <v/>
      </c>
      <c r="H142" s="56">
        <f>ΠΡΟΥΠΟΛΟΓΙΣΜΟΣ_ΕΞΟΔΑ!N421</f>
        <v/>
      </c>
      <c r="I142" s="400">
        <f>H142/$H$117</f>
        <v/>
      </c>
      <c r="J142" s="65">
        <f>'2026 Οκτώβριος'!J142</f>
        <v/>
      </c>
      <c r="K142" s="404">
        <f>J142/$J$117</f>
        <v/>
      </c>
      <c r="L142" s="56">
        <f>'2024_60-69 ΕΞΟΔΑ+ΟΜ 2'!N90</f>
        <v/>
      </c>
      <c r="M142" s="75">
        <f>L142/$L$117</f>
        <v/>
      </c>
      <c r="N142" s="65">
        <f>L142+'2026 Οκτώβριος'!N142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2'!N96</f>
        <v/>
      </c>
      <c r="E143" s="75">
        <f>D143/$D$117</f>
        <v/>
      </c>
      <c r="F143" s="65">
        <f>D143+'2026 Οκτώβριος'!F143</f>
        <v/>
      </c>
      <c r="G143" s="75">
        <f>F143/$F$117</f>
        <v/>
      </c>
      <c r="H143" s="56">
        <f>ΠΡΟΥΠΟΛΟΓΙΣΜΟΣ_ΕΞΟΔΑ!N426</f>
        <v/>
      </c>
      <c r="I143" s="400">
        <f>H143/$H$117</f>
        <v/>
      </c>
      <c r="J143" s="65">
        <f>'2026 Οκτώβριος'!J143</f>
        <v/>
      </c>
      <c r="K143" s="404">
        <f>J143/$J$117</f>
        <v/>
      </c>
      <c r="L143" s="56">
        <f>'2024_60-69 ΕΞΟΔΑ+ΟΜ 2'!N91</f>
        <v/>
      </c>
      <c r="M143" s="75">
        <f>L143/$L$117</f>
        <v/>
      </c>
      <c r="N143" s="65">
        <f>L143+'2026 Οκτώβριος'!N143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2'!N97</f>
        <v/>
      </c>
      <c r="E144" s="75">
        <f>D144/$D$117</f>
        <v/>
      </c>
      <c r="F144" s="65">
        <f>D144+'2026 Οκτώβριος'!F144</f>
        <v/>
      </c>
      <c r="G144" s="75">
        <f>F144/$F$117</f>
        <v/>
      </c>
      <c r="H144" s="56">
        <f>ΠΡΟΥΠΟΛΟΓΙΣΜΟΣ_ΕΞΟΔΑ!N431</f>
        <v/>
      </c>
      <c r="I144" s="400">
        <f>H144/$H$117</f>
        <v/>
      </c>
      <c r="J144" s="65">
        <f>'2026 Οκτώβριος'!J144</f>
        <v/>
      </c>
      <c r="K144" s="404">
        <f>J144/$J$117</f>
        <v/>
      </c>
      <c r="L144" s="56">
        <f>'2024_60-69 ΕΞΟΔΑ+ΟΜ 2'!N92</f>
        <v/>
      </c>
      <c r="M144" s="75">
        <f>L144/$L$117</f>
        <v/>
      </c>
      <c r="N144" s="65">
        <f>L144+'2026 Οκτώβριος'!N144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2'!N98</f>
        <v/>
      </c>
      <c r="E145" s="75">
        <f>D145/$D$117</f>
        <v/>
      </c>
      <c r="F145" s="65">
        <f>D145+'2026 Οκτώβριος'!F145</f>
        <v/>
      </c>
      <c r="G145" s="75">
        <f>F145/$F$117</f>
        <v/>
      </c>
      <c r="H145" s="56">
        <f>ΠΡΟΥΠΟΛΟΓΙΣΜΟΣ_ΕΞΟΔΑ!N436</f>
        <v/>
      </c>
      <c r="I145" s="400">
        <f>H145/$H$117</f>
        <v/>
      </c>
      <c r="J145" s="65">
        <f>'2026 Οκτώβριος'!J145</f>
        <v/>
      </c>
      <c r="K145" s="404">
        <f>J145/$J$117</f>
        <v/>
      </c>
      <c r="L145" s="56">
        <f>'2024_60-69 ΕΞΟΔΑ+ΟΜ 2'!N93</f>
        <v/>
      </c>
      <c r="M145" s="75">
        <f>L145/$L$117</f>
        <v/>
      </c>
      <c r="N145" s="65">
        <f>L145+'2026 Οκτώβριος'!N145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2'!N99</f>
        <v/>
      </c>
      <c r="E146" s="75">
        <f>D146/$D$117</f>
        <v/>
      </c>
      <c r="F146" s="65">
        <f>D146+'2026 Οκτώβριος'!F146</f>
        <v/>
      </c>
      <c r="G146" s="75">
        <f>F146/$F$117</f>
        <v/>
      </c>
      <c r="H146" s="56">
        <f>ΠΡΟΥΠΟΛΟΓΙΣΜΟΣ_ΕΞΟΔΑ!N441</f>
        <v/>
      </c>
      <c r="I146" s="400">
        <f>H146/$H$117</f>
        <v/>
      </c>
      <c r="J146" s="65">
        <f>'2026 Οκτώβριος'!J146</f>
        <v/>
      </c>
      <c r="K146" s="404">
        <f>J146/$J$117</f>
        <v/>
      </c>
      <c r="L146" s="56">
        <f>'2024_60-69 ΕΞΟΔΑ+ΟΜ 2'!N94</f>
        <v/>
      </c>
      <c r="M146" s="75">
        <f>L146/$L$117</f>
        <v/>
      </c>
      <c r="N146" s="65">
        <f>L146+'2026 Οκτώβριος'!N146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2'!N100</f>
        <v/>
      </c>
      <c r="E147" s="75">
        <f>D147/$D$117</f>
        <v/>
      </c>
      <c r="F147" s="65">
        <f>D147+'2026 Οκτώβριος'!F147</f>
        <v/>
      </c>
      <c r="G147" s="75">
        <f>F147/$F$117</f>
        <v/>
      </c>
      <c r="H147" s="56">
        <f>ΠΡΟΥΠΟΛΟΓΙΣΜΟΣ_ΕΞΟΔΑ!N446</f>
        <v/>
      </c>
      <c r="I147" s="400">
        <f>H147/$H$117</f>
        <v/>
      </c>
      <c r="J147" s="65">
        <f>'2026 Οκτώβριος'!J147</f>
        <v/>
      </c>
      <c r="K147" s="404">
        <f>J147/$J$117</f>
        <v/>
      </c>
      <c r="L147" s="56">
        <f>'2024_60-69 ΕΞΟΔΑ+ΟΜ 2'!N95</f>
        <v/>
      </c>
      <c r="M147" s="75">
        <f>L147/$L$117</f>
        <v/>
      </c>
      <c r="N147" s="65">
        <f>L147+'2026 Οκτώβριος'!N147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2'!N101</f>
        <v/>
      </c>
      <c r="E148" s="75">
        <f>D148/$D$117</f>
        <v/>
      </c>
      <c r="F148" s="65">
        <f>D148+'2026 Οκτώβριος'!F148</f>
        <v/>
      </c>
      <c r="G148" s="75">
        <f>F148/$F$117</f>
        <v/>
      </c>
      <c r="H148" s="56">
        <f>ΠΡΟΥΠΟΛΟΓΙΣΜΟΣ_ΕΞΟΔΑ!N451</f>
        <v/>
      </c>
      <c r="I148" s="400">
        <f>H148/$H$117</f>
        <v/>
      </c>
      <c r="J148" s="65">
        <f>'2026 Οκτώβριος'!J148</f>
        <v/>
      </c>
      <c r="K148" s="404">
        <f>J148/$J$117</f>
        <v/>
      </c>
      <c r="L148" s="56">
        <f>'2024_60-69 ΕΞΟΔΑ+ΟΜ 2'!N96</f>
        <v/>
      </c>
      <c r="M148" s="75">
        <f>L148/$L$117</f>
        <v/>
      </c>
      <c r="N148" s="65">
        <f>L148+'2026 Οκτώβριος'!N148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2'!N102</f>
        <v/>
      </c>
      <c r="E149" s="75">
        <f>D149/$D$117</f>
        <v/>
      </c>
      <c r="F149" s="65">
        <f>D149+'2026 Οκτώβριος'!F149</f>
        <v/>
      </c>
      <c r="G149" s="75">
        <f>F149/$F$117</f>
        <v/>
      </c>
      <c r="H149" s="56">
        <f>ΠΡΟΥΠΟΛΟΓΙΣΜΟΣ_ΕΞΟΔΑ!N456</f>
        <v/>
      </c>
      <c r="I149" s="400">
        <f>H149/$H$117</f>
        <v/>
      </c>
      <c r="J149" s="65">
        <f>'2026 Οκτώβριος'!J149</f>
        <v/>
      </c>
      <c r="K149" s="404">
        <f>J149/$J$117</f>
        <v/>
      </c>
      <c r="L149" s="56">
        <f>'2024_60-69 ΕΞΟΔΑ+ΟΜ 2'!N97</f>
        <v/>
      </c>
      <c r="M149" s="75">
        <f>L149/$L$117</f>
        <v/>
      </c>
      <c r="N149" s="65">
        <f>L149+'2026 Οκτώβριος'!N149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2'!N103</f>
        <v/>
      </c>
      <c r="E150" s="75">
        <f>D150/$D$117</f>
        <v/>
      </c>
      <c r="F150" s="65">
        <f>D150+'2026 Οκτώβριος'!F150</f>
        <v/>
      </c>
      <c r="G150" s="75">
        <f>F150/$F$117</f>
        <v/>
      </c>
      <c r="H150" s="56">
        <f>ΠΡΟΥΠΟΛΟΓΙΣΜΟΣ_ΕΞΟΔΑ!N461</f>
        <v/>
      </c>
      <c r="I150" s="400">
        <f>H150/$H$117</f>
        <v/>
      </c>
      <c r="J150" s="65">
        <f>'2026 Οκτώβριος'!J150</f>
        <v/>
      </c>
      <c r="K150" s="404">
        <f>J150/$J$117</f>
        <v/>
      </c>
      <c r="L150" s="56">
        <f>'2024_60-69 ΕΞΟΔΑ+ΟΜ 2'!N98</f>
        <v/>
      </c>
      <c r="M150" s="75">
        <f>L150/$L$117</f>
        <v/>
      </c>
      <c r="N150" s="65">
        <f>L150+'2026 Οκτώβριος'!N150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2'!N104</f>
        <v/>
      </c>
      <c r="E151" s="75">
        <f>D151/$D$117</f>
        <v/>
      </c>
      <c r="F151" s="65">
        <f>D151+'2026 Οκτώβριος'!F151</f>
        <v/>
      </c>
      <c r="G151" s="75">
        <f>F151/$F$117</f>
        <v/>
      </c>
      <c r="H151" s="56">
        <f>ΠΡΟΥΠΟΛΟΓΙΣΜΟΣ_ΕΞΟΔΑ!N466</f>
        <v/>
      </c>
      <c r="I151" s="400">
        <f>H151/$H$117</f>
        <v/>
      </c>
      <c r="J151" s="65">
        <f>'2026 Οκτώβριος'!J151</f>
        <v/>
      </c>
      <c r="K151" s="404">
        <f>J151/$J$117</f>
        <v/>
      </c>
      <c r="L151" s="56">
        <f>'2024_60-69 ΕΞΟΔΑ+ΟΜ 2'!N99</f>
        <v/>
      </c>
      <c r="M151" s="75">
        <f>L151/$L$117</f>
        <v/>
      </c>
      <c r="N151" s="65">
        <f>L151+'2026 Οκτώβριος'!N151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2'!N105</f>
        <v/>
      </c>
      <c r="E152" s="75">
        <f>D152/$D$117</f>
        <v/>
      </c>
      <c r="F152" s="65">
        <f>D152+'2026 Οκτώβριος'!F152</f>
        <v/>
      </c>
      <c r="G152" s="75">
        <f>F152/$F$117</f>
        <v/>
      </c>
      <c r="H152" s="56">
        <f>ΠΡΟΥΠΟΛΟΓΙΣΜΟΣ_ΕΞΟΔΑ!N471</f>
        <v/>
      </c>
      <c r="I152" s="400">
        <f>H152/$H$117</f>
        <v/>
      </c>
      <c r="J152" s="65">
        <f>'2026 Οκτώβριος'!J152</f>
        <v/>
      </c>
      <c r="K152" s="404">
        <f>J152/$J$117</f>
        <v/>
      </c>
      <c r="L152" s="56">
        <f>'2024_60-69 ΕΞΟΔΑ+ΟΜ 2'!N100</f>
        <v/>
      </c>
      <c r="M152" s="75">
        <f>L152/$L$117</f>
        <v/>
      </c>
      <c r="N152" s="65">
        <f>L152+'2026 Οκτώβριος'!N152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2'!N106</f>
        <v/>
      </c>
      <c r="E153" s="75">
        <f>D153/$D$117</f>
        <v/>
      </c>
      <c r="F153" s="65">
        <f>D153+'2026 Οκτώβριος'!F153</f>
        <v/>
      </c>
      <c r="G153" s="75">
        <f>F153/$F$117</f>
        <v/>
      </c>
      <c r="H153" s="56">
        <f>ΠΡΟΥΠΟΛΟΓΙΣΜΟΣ_ΕΞΟΔΑ!N476</f>
        <v/>
      </c>
      <c r="I153" s="400">
        <f>H153/$H$117</f>
        <v/>
      </c>
      <c r="J153" s="65">
        <f>'2026 Οκτώβριος'!J153</f>
        <v/>
      </c>
      <c r="K153" s="404">
        <f>J153/$J$117</f>
        <v/>
      </c>
      <c r="L153" s="56">
        <f>'2024_60-69 ΕΞΟΔΑ+ΟΜ 2'!N101</f>
        <v/>
      </c>
      <c r="M153" s="75">
        <f>L153/$L$117</f>
        <v/>
      </c>
      <c r="N153" s="65">
        <f>L153+'2026 Οκτώβριος'!N153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2'!N107</f>
        <v/>
      </c>
      <c r="E154" s="75">
        <f>D154/$D$117</f>
        <v/>
      </c>
      <c r="F154" s="65">
        <f>D154+'2026 Οκτώβριος'!F154</f>
        <v/>
      </c>
      <c r="G154" s="75">
        <f>F154/$F$117</f>
        <v/>
      </c>
      <c r="H154" s="56">
        <f>ΠΡΟΥΠΟΛΟΓΙΣΜΟΣ_ΕΞΟΔΑ!N481</f>
        <v/>
      </c>
      <c r="I154" s="400">
        <f>H154/$H$117</f>
        <v/>
      </c>
      <c r="J154" s="65">
        <f>'2026 Οκτώβριος'!J154</f>
        <v/>
      </c>
      <c r="K154" s="404">
        <f>J154/$J$117</f>
        <v/>
      </c>
      <c r="L154" s="56">
        <f>'2024_60-69 ΕΞΟΔΑ+ΟΜ 2'!N102</f>
        <v/>
      </c>
      <c r="M154" s="75">
        <f>L154/$L$117</f>
        <v/>
      </c>
      <c r="N154" s="65">
        <f>L154+'2026 Οκτώβριος'!N154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2'!N108</f>
        <v/>
      </c>
      <c r="E155" s="75">
        <f>D155/$D$117</f>
        <v/>
      </c>
      <c r="F155" s="65">
        <f>D155+'2026 Οκτώβριος'!F155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2'!N70</f>
        <v/>
      </c>
      <c r="E158" s="81" t="n"/>
      <c r="F158" s="64">
        <f>'2026_60-69 ΕΞΟΔΑ+ΟΜ 2'!AA70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5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ΑΝΤΙΣΤΟΙΧΙΣΗ!$F$117</f>
        <v/>
      </c>
      <c r="E3" s="551" t="n"/>
      <c r="F3" s="550" t="n"/>
      <c r="G3" s="107">
        <f>ΑΝΤΙΣΤΟΙΧΙΣΗ!$D$34</f>
        <v/>
      </c>
      <c r="H3" s="549">
        <f>ΑΝΤΙΣΤΟΙΧΙΣΗ!$F$117</f>
        <v/>
      </c>
      <c r="I3" s="551" t="n"/>
      <c r="J3" s="550" t="n"/>
      <c r="K3" s="107">
        <f>ΑΝΤΙΣΤΟΙΧΙΣΗ!$D$34</f>
        <v/>
      </c>
      <c r="L3" s="549">
        <f>ΑΝΤΙΣΤΟΙΧΙΣΗ!$F$131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'2026_ΕΣΟΔΑ'!N2</f>
        <v/>
      </c>
      <c r="E8" s="53">
        <f>D8/$D$7</f>
        <v/>
      </c>
      <c r="F8" s="54">
        <f>D8+'2026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H8+'2026 Νοέμβριος'!J8</f>
        <v/>
      </c>
      <c r="K8" s="53">
        <f>J8/$J$7</f>
        <v/>
      </c>
      <c r="L8" s="89">
        <f>'2024_60-69 ΕΞΟΔΑ+ΟΜ 2'!N114</f>
        <v/>
      </c>
      <c r="M8" s="53">
        <f>L8/$L$7</f>
        <v/>
      </c>
      <c r="N8" s="54">
        <f>L8+'2026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'2026_ΕΣΟΔΑ'!N3</f>
        <v/>
      </c>
      <c r="E9" s="53">
        <f>D9/$D$7</f>
        <v/>
      </c>
      <c r="F9" s="54">
        <f>D9+'2026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H9+'2026 Νοέμβριος'!J9</f>
        <v/>
      </c>
      <c r="K9" s="53">
        <f>J9/$J$7</f>
        <v/>
      </c>
      <c r="L9" s="89">
        <f>'2024_60-69 ΕΞΟΔΑ+ΟΜ 2'!N115</f>
        <v/>
      </c>
      <c r="M9" s="53">
        <f>L9/$L$7</f>
        <v/>
      </c>
      <c r="N9" s="54">
        <f>L9+'2026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'2026_ΕΣΟΔΑ'!N4</f>
        <v/>
      </c>
      <c r="E10" s="53">
        <f>D10/$D$7</f>
        <v/>
      </c>
      <c r="F10" s="54">
        <f>D10+'2026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H10+'2026 Νοέμβριος'!J10</f>
        <v/>
      </c>
      <c r="K10" s="53">
        <f>J10/$J$7</f>
        <v/>
      </c>
      <c r="L10" s="89">
        <f>'2024_60-69 ΕΞΟΔΑ+ΟΜ 2'!N116</f>
        <v/>
      </c>
      <c r="M10" s="53">
        <f>L10/$L$7</f>
        <v/>
      </c>
      <c r="N10" s="54">
        <f>L10+'2026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'2026_ΕΣΟΔΑ'!N5</f>
        <v/>
      </c>
      <c r="E11" s="53">
        <f>D11/$D$7</f>
        <v/>
      </c>
      <c r="F11" s="54">
        <f>D11+'2026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H11+'2026 Νοέμβριος'!J11</f>
        <v/>
      </c>
      <c r="K11" s="53">
        <f>J11/$J$7</f>
        <v/>
      </c>
      <c r="L11" s="89">
        <f>'2024_60-69 ΕΞΟΔΑ+ΟΜ 2'!N117</f>
        <v/>
      </c>
      <c r="M11" s="53">
        <f>L11/$L$7</f>
        <v/>
      </c>
      <c r="N11" s="54">
        <f>L11+'2026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'2026_ΕΣΟΔΑ'!N6</f>
        <v/>
      </c>
      <c r="E12" s="53">
        <f>D12/$D$7</f>
        <v/>
      </c>
      <c r="F12" s="54">
        <f>D12+'2026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H12+'2026 Νοέμβριος'!J12</f>
        <v/>
      </c>
      <c r="K12" s="53">
        <f>J12/$J$7</f>
        <v/>
      </c>
      <c r="L12" s="89">
        <f>'2024_60-69 ΕΞΟΔΑ+ΟΜ 2'!N118</f>
        <v/>
      </c>
      <c r="M12" s="53">
        <f>L12/$L$7</f>
        <v/>
      </c>
      <c r="N12" s="54">
        <f>L12+'2026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'2026_ΕΣΟΔΑ'!N7</f>
        <v/>
      </c>
      <c r="E13" s="53">
        <f>D13/$D$7</f>
        <v/>
      </c>
      <c r="F13" s="54">
        <f>D13+'2026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H13+'2026 Νοέμβριος'!J13</f>
        <v/>
      </c>
      <c r="K13" s="53">
        <f>J13/$J$7</f>
        <v/>
      </c>
      <c r="L13" s="89">
        <f>'2024_60-69 ΕΞΟΔΑ+ΟΜ 2'!N119</f>
        <v/>
      </c>
      <c r="M13" s="53">
        <f>L13/$L$7</f>
        <v/>
      </c>
      <c r="N13" s="54">
        <f>L13+'2026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'2026_ΕΣΟΔΑ'!N8</f>
        <v/>
      </c>
      <c r="E14" s="53">
        <f>D14/$D$7</f>
        <v/>
      </c>
      <c r="F14" s="54">
        <f>D14+'2026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H14+'2026 Νοέμβριος'!J14</f>
        <v/>
      </c>
      <c r="K14" s="53">
        <f>J14/$J$7</f>
        <v/>
      </c>
      <c r="L14" s="89">
        <f>'2024_60-69 ΕΞΟΔΑ+ΟΜ 2'!N120</f>
        <v/>
      </c>
      <c r="M14" s="53">
        <f>L14/$L$7</f>
        <v/>
      </c>
      <c r="N14" s="54">
        <f>L14+'2026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'2026_ΕΣΟΔΑ'!N9</f>
        <v/>
      </c>
      <c r="E15" s="53">
        <f>D15/$D$7</f>
        <v/>
      </c>
      <c r="F15" s="54">
        <f>D15+'2026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H15+'2026 Νοέμβριος'!J15</f>
        <v/>
      </c>
      <c r="K15" s="53">
        <f>J15/$J$7</f>
        <v/>
      </c>
      <c r="L15" s="89">
        <f>'2024_60-69 ΕΞΟΔΑ+ΟΜ 2'!N121</f>
        <v/>
      </c>
      <c r="M15" s="53">
        <f>L15/$L$7</f>
        <v/>
      </c>
      <c r="N15" s="54">
        <f>L15+'2026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'2026_ΕΣΟΔΑ'!N10</f>
        <v/>
      </c>
      <c r="E16" s="53">
        <f>D16/$D$7</f>
        <v/>
      </c>
      <c r="F16" s="54">
        <f>D16+'2026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H16+'2026 Νοέμβριος'!J16</f>
        <v/>
      </c>
      <c r="K16" s="53">
        <f>J16/$J$7</f>
        <v/>
      </c>
      <c r="L16" s="89">
        <f>'2024_60-69 ΕΞΟΔΑ+ΟΜ 2'!N122</f>
        <v/>
      </c>
      <c r="M16" s="53">
        <f>L16/$L$7</f>
        <v/>
      </c>
      <c r="N16" s="54">
        <f>L16+'2026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'2026_ΕΣΟΔΑ'!N11</f>
        <v/>
      </c>
      <c r="E17" s="53">
        <f>D17/$D$7</f>
        <v/>
      </c>
      <c r="F17" s="54">
        <f>D17+'2026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H17+'2026 Νοέμβριος'!J17</f>
        <v/>
      </c>
      <c r="K17" s="53">
        <f>J17/$J$7</f>
        <v/>
      </c>
      <c r="L17" s="89">
        <f>'2024_60-69 ΕΞΟΔΑ+ΟΜ 2'!N123</f>
        <v/>
      </c>
      <c r="M17" s="53">
        <f>L17/$L$7</f>
        <v/>
      </c>
      <c r="N17" s="54">
        <f>L17+'2026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'2026_ΕΣΟΔΑ'!N12</f>
        <v/>
      </c>
      <c r="E18" s="53">
        <f>D18/$D$7</f>
        <v/>
      </c>
      <c r="F18" s="54">
        <f>D18+'2026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H18+'2026 Νοέμβριος'!J18</f>
        <v/>
      </c>
      <c r="K18" s="53">
        <f>J18/$J$7</f>
        <v/>
      </c>
      <c r="L18" s="89">
        <f>'2024_60-69 ΕΞΟΔΑ+ΟΜ 2'!N124</f>
        <v/>
      </c>
      <c r="M18" s="53">
        <f>L18/$L$7</f>
        <v/>
      </c>
      <c r="N18" s="54">
        <f>L18+'2026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'2026_ΕΣΟΔΑ'!N13</f>
        <v/>
      </c>
      <c r="E19" s="53">
        <f>D19/$D$7</f>
        <v/>
      </c>
      <c r="F19" s="54">
        <f>D19+'2026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H19+'2026 Νοέμβριος'!J19</f>
        <v/>
      </c>
      <c r="K19" s="53">
        <f>J19/$J$7</f>
        <v/>
      </c>
      <c r="L19" s="89">
        <f>'2024_60-69 ΕΞΟΔΑ+ΟΜ 2'!N125</f>
        <v/>
      </c>
      <c r="M19" s="53">
        <f>L19/$L$7</f>
        <v/>
      </c>
      <c r="N19" s="54">
        <f>L19+'2026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'2026_ΕΣΟΔΑ'!N14</f>
        <v/>
      </c>
      <c r="E20" s="53">
        <f>D20/$D$7</f>
        <v/>
      </c>
      <c r="F20" s="54">
        <f>D20+'2026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H20+'2026 Νοέμβριος'!J20</f>
        <v/>
      </c>
      <c r="K20" s="53">
        <f>J20/$J$7</f>
        <v/>
      </c>
      <c r="L20" s="89">
        <f>'2024_60-69 ΕΞΟΔΑ+ΟΜ 2'!N126</f>
        <v/>
      </c>
      <c r="M20" s="53">
        <f>L20/$L$7</f>
        <v/>
      </c>
      <c r="N20" s="54">
        <f>L20+'2026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'2026_ΕΣΟΔΑ'!N15</f>
        <v/>
      </c>
      <c r="E21" s="53">
        <f>D21/$D$7</f>
        <v/>
      </c>
      <c r="F21" s="54">
        <f>D21+'2026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H21+'2026 Νοέμβριος'!J21</f>
        <v/>
      </c>
      <c r="K21" s="53">
        <f>J21/$J$7</f>
        <v/>
      </c>
      <c r="L21" s="89">
        <f>'2024_60-69 ΕΞΟΔΑ+ΟΜ 2'!N127</f>
        <v/>
      </c>
      <c r="M21" s="53">
        <f>L21/$L$7</f>
        <v/>
      </c>
      <c r="N21" s="54">
        <f>L21+'2026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'2026_ΕΣΟΔΑ'!N16</f>
        <v/>
      </c>
      <c r="E22" s="53">
        <f>D22/$D$7</f>
        <v/>
      </c>
      <c r="F22" s="54">
        <f>D22+'2026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H22+'2026 Νοέμβριος'!J22</f>
        <v/>
      </c>
      <c r="K22" s="53">
        <f>J22/$J$7</f>
        <v/>
      </c>
      <c r="L22" s="89">
        <f>'2024_60-69 ΕΞΟΔΑ+ΟΜ 2'!N128</f>
        <v/>
      </c>
      <c r="M22" s="53">
        <f>L22/$L$7</f>
        <v/>
      </c>
      <c r="N22" s="54">
        <f>L22+'2026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'2026_ΕΣΟΔΑ'!N17</f>
        <v/>
      </c>
      <c r="E23" s="53">
        <f>D23/$D$7</f>
        <v/>
      </c>
      <c r="F23" s="54">
        <f>D23+'2026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H23+'2026 Νοέμβριος'!J23</f>
        <v/>
      </c>
      <c r="K23" s="53">
        <f>J23/$J$7</f>
        <v/>
      </c>
      <c r="L23" s="89">
        <f>'2024_60-69 ΕΞΟΔΑ+ΟΜ 2'!N129</f>
        <v/>
      </c>
      <c r="M23" s="53">
        <f>L23/$L$7</f>
        <v/>
      </c>
      <c r="N23" s="54">
        <f>L23+'2026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'2024_60-69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'2026_ΕΣΟΔΑ'!N19</f>
        <v/>
      </c>
      <c r="E25" s="53">
        <f>D25/$D$7</f>
        <v/>
      </c>
      <c r="F25" s="54">
        <f>D25+'2026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H25+'2026 Νοέμβριος'!J25</f>
        <v/>
      </c>
      <c r="K25" s="53">
        <f>J25/$J$7</f>
        <v/>
      </c>
      <c r="L25" s="89">
        <f>'2024_60-69 ΕΞΟΔΑ+ΟΜ 2'!N130</f>
        <v/>
      </c>
      <c r="M25" s="53">
        <f>L25/$L$7</f>
        <v/>
      </c>
      <c r="N25" s="54">
        <f>L25+'2026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'2026_ΕΣΟΔΑ'!N20</f>
        <v/>
      </c>
      <c r="E26" s="53">
        <f>D26/$D$7</f>
        <v/>
      </c>
      <c r="F26" s="54">
        <f>D26+'2026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H26+'2026 Νοέμβριος'!J26</f>
        <v/>
      </c>
      <c r="K26" s="53">
        <f>J26/$J$7</f>
        <v/>
      </c>
      <c r="L26" s="89">
        <f>'2024_60-69 ΕΞΟΔΑ+ΟΜ 2'!N131</f>
        <v/>
      </c>
      <c r="M26" s="53">
        <f>L26/$L$7</f>
        <v/>
      </c>
      <c r="N26" s="54">
        <f>L26+'2026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'2026_ΕΣΟΔΑ'!N21</f>
        <v/>
      </c>
      <c r="E27" s="53">
        <f>D27/$D$7</f>
        <v/>
      </c>
      <c r="F27" s="54">
        <f>D27+'2026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H27+'2026 Νοέμβριος'!J27</f>
        <v/>
      </c>
      <c r="K27" s="53">
        <f>J27/$J$7</f>
        <v/>
      </c>
      <c r="L27" s="89">
        <f>'2024_60-69 ΕΞΟΔΑ+ΟΜ 2'!N132</f>
        <v/>
      </c>
      <c r="M27" s="53">
        <f>L27/$L$7</f>
        <v/>
      </c>
      <c r="N27" s="54">
        <f>L27+'2026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'2026_ΕΣΟΔΑ'!N22</f>
        <v/>
      </c>
      <c r="E28" s="53">
        <f>D28/$D$7</f>
        <v/>
      </c>
      <c r="F28" s="54">
        <f>D28+'2026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H28+'2026 Νοέμβριος'!J28</f>
        <v/>
      </c>
      <c r="K28" s="53">
        <f>J28/$J$7</f>
        <v/>
      </c>
      <c r="L28" s="89">
        <f>'2024_60-69 ΕΞΟΔΑ+ΟΜ 2'!N133</f>
        <v/>
      </c>
      <c r="M28" s="53">
        <f>L28/$L$7</f>
        <v/>
      </c>
      <c r="N28" s="54">
        <f>L28+'2026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'2026_ΕΣΟΔΑ'!N23</f>
        <v/>
      </c>
      <c r="E29" s="53">
        <f>D29/$D$7</f>
        <v/>
      </c>
      <c r="F29" s="54">
        <f>D29+'2026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H29+'2026 Νοέμβριος'!J29</f>
        <v/>
      </c>
      <c r="K29" s="53">
        <f>J29/$J$7</f>
        <v/>
      </c>
      <c r="L29" s="89">
        <f>'2024_60-69 ΕΞΟΔΑ+ΟΜ 2'!N134</f>
        <v/>
      </c>
      <c r="M29" s="53">
        <f>L29/$L$7</f>
        <v/>
      </c>
      <c r="N29" s="54">
        <f>L29+'2026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'2026_ΕΣΟΔΑ'!N24</f>
        <v/>
      </c>
      <c r="E30" s="53">
        <f>D30/$D$7</f>
        <v/>
      </c>
      <c r="F30" s="54">
        <f>D30+'2026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H30+'2026 Νοέμβριος'!J30</f>
        <v/>
      </c>
      <c r="K30" s="53">
        <f>J30/$J$7</f>
        <v/>
      </c>
      <c r="L30" s="89">
        <f>'2024_60-69 ΕΞΟΔΑ+ΟΜ 2'!N135</f>
        <v/>
      </c>
      <c r="M30" s="53">
        <f>L30/$L$7</f>
        <v/>
      </c>
      <c r="N30" s="54">
        <f>L30+'2026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'2026_ΕΣΟΔΑ'!N25</f>
        <v/>
      </c>
      <c r="E31" s="53">
        <f>D31/$D$7</f>
        <v/>
      </c>
      <c r="F31" s="54">
        <f>D31+'2026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H31+'2026 Νοέμβριος'!J31</f>
        <v/>
      </c>
      <c r="K31" s="53">
        <f>J31/$J$7</f>
        <v/>
      </c>
      <c r="L31" s="89">
        <f>'2024_60-69 ΕΞΟΔΑ+ΟΜ 2'!N136</f>
        <v/>
      </c>
      <c r="M31" s="53">
        <f>L31/$L$7</f>
        <v/>
      </c>
      <c r="N31" s="54">
        <f>L31+'2026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'2026_ΕΣΟΔΑ'!N26</f>
        <v/>
      </c>
      <c r="E32" s="53">
        <f>D32/$D$7</f>
        <v/>
      </c>
      <c r="F32" s="54">
        <f>D32+'2026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H32+'2026 Νοέμβριος'!J32</f>
        <v/>
      </c>
      <c r="K32" s="53">
        <f>J32/$J$7</f>
        <v/>
      </c>
      <c r="L32" s="89">
        <f>'2024_60-69 ΕΞΟΔΑ+ΟΜ 2'!N137</f>
        <v/>
      </c>
      <c r="M32" s="53">
        <f>L32/$L$7</f>
        <v/>
      </c>
      <c r="N32" s="54">
        <f>L32+'2026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'2026_ΕΣΟΔΑ'!N27</f>
        <v/>
      </c>
      <c r="E33" s="53">
        <f>D33/$D$7</f>
        <v/>
      </c>
      <c r="F33" s="54">
        <f>D33+'2026 Νοέμβριος'!F33</f>
        <v/>
      </c>
      <c r="G33" s="53">
        <f>F33/$F$7</f>
        <v/>
      </c>
      <c r="H33" s="54" t="n"/>
      <c r="I33" s="53">
        <f>H33/$H$7</f>
        <v/>
      </c>
      <c r="J33" s="54">
        <f>H33+'2026 Νοέμβριος'!J33</f>
        <v/>
      </c>
      <c r="K33" s="53">
        <f>J33/$J$7</f>
        <v/>
      </c>
      <c r="L33" s="89">
        <f>'2024_60-69 ΕΞΟΔΑ+ΟΜ 2'!N138</f>
        <v/>
      </c>
      <c r="M33" s="53">
        <f>L33/$L$7</f>
        <v/>
      </c>
      <c r="N33" s="54">
        <f>L33+'2026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'2026_ΕΣΟΔΑ'!N28</f>
        <v/>
      </c>
      <c r="E34" s="53">
        <f>D34/$D$7</f>
        <v/>
      </c>
      <c r="F34" s="54">
        <f>D34+'2026 Νοέμβριος'!F34</f>
        <v/>
      </c>
      <c r="G34" s="53">
        <f>F34/$F$7</f>
        <v/>
      </c>
      <c r="H34" s="54" t="n"/>
      <c r="I34" s="53">
        <f>H34/$H$7</f>
        <v/>
      </c>
      <c r="J34" s="54">
        <f>H34+'2026 Νοέμβριος'!J34</f>
        <v/>
      </c>
      <c r="K34" s="53">
        <f>J34/$J$7</f>
        <v/>
      </c>
      <c r="L34" s="89">
        <f>'2024_60-69 ΕΞΟΔΑ+ΟΜ 2'!N139</f>
        <v/>
      </c>
      <c r="M34" s="53">
        <f>L34/$L$7</f>
        <v/>
      </c>
      <c r="N34" s="54">
        <f>L34+'2026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'2026_ΕΣΟΔΑ'!N29</f>
        <v/>
      </c>
      <c r="E35" s="53">
        <f>D35/$D$7</f>
        <v/>
      </c>
      <c r="F35" s="54">
        <f>D35+'2026 Νοέμβριος'!F35</f>
        <v/>
      </c>
      <c r="G35" s="53">
        <f>F35/$F$7</f>
        <v/>
      </c>
      <c r="H35" s="54" t="n"/>
      <c r="I35" s="53">
        <f>H35/$H$7</f>
        <v/>
      </c>
      <c r="J35" s="54">
        <f>H35+'2026 Νοέμβριος'!J35</f>
        <v/>
      </c>
      <c r="K35" s="53">
        <f>J35/$J$7</f>
        <v/>
      </c>
      <c r="L35" s="89">
        <f>'2024_60-69 ΕΞΟΔΑ+ΟΜ 2'!N140</f>
        <v/>
      </c>
      <c r="M35" s="53">
        <f>L35/$L$7</f>
        <v/>
      </c>
      <c r="N35" s="54">
        <f>L35+'2026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'2026_ΕΣΟΔΑ'!N30</f>
        <v/>
      </c>
      <c r="E36" s="53">
        <f>D36/$D$7</f>
        <v/>
      </c>
      <c r="F36" s="54">
        <f>D36+'2026 Νοέμβριος'!F36</f>
        <v/>
      </c>
      <c r="G36" s="53">
        <f>F36/$F$7</f>
        <v/>
      </c>
      <c r="H36" s="54" t="n"/>
      <c r="I36" s="53">
        <f>H36/$H$7</f>
        <v/>
      </c>
      <c r="J36" s="54">
        <f>H36+'2026 Νοέμβριος'!J36</f>
        <v/>
      </c>
      <c r="K36" s="53">
        <f>J36/$J$7</f>
        <v/>
      </c>
      <c r="L36" s="89">
        <f>'2024_60-69 ΕΞΟΔΑ+ΟΜ 2'!N141</f>
        <v/>
      </c>
      <c r="M36" s="53">
        <f>L36/$L$7</f>
        <v/>
      </c>
      <c r="N36" s="54">
        <f>L36+'2026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'2026_ΕΣΟΔΑ'!N31</f>
        <v/>
      </c>
      <c r="E37" s="53">
        <f>D37/$D$7</f>
        <v/>
      </c>
      <c r="F37" s="54">
        <f>D37+'2026 Νοέμβριος'!F37</f>
        <v/>
      </c>
      <c r="G37" s="53">
        <f>F37/$F$7</f>
        <v/>
      </c>
      <c r="H37" s="54" t="n"/>
      <c r="I37" s="53">
        <f>H37/$H$7</f>
        <v/>
      </c>
      <c r="J37" s="54">
        <f>H37+'2026 Νοέμβριος'!J37</f>
        <v/>
      </c>
      <c r="K37" s="53">
        <f>J37/$J$7</f>
        <v/>
      </c>
      <c r="L37" s="89">
        <f>'2024_60-69 ΕΞΟΔΑ+ΟΜ 2'!N142</f>
        <v/>
      </c>
      <c r="M37" s="53">
        <f>L37/$L$7</f>
        <v/>
      </c>
      <c r="N37" s="54">
        <f>L37+'2026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'2026_ΕΣΟΔΑ'!N32</f>
        <v/>
      </c>
      <c r="E38" s="53">
        <f>D38/$D$7</f>
        <v/>
      </c>
      <c r="F38" s="54">
        <f>D38+'2026 Νοέμβριος'!F38</f>
        <v/>
      </c>
      <c r="G38" s="53">
        <f>F38/$F$7</f>
        <v/>
      </c>
      <c r="H38" s="54" t="n"/>
      <c r="I38" s="53">
        <f>H38/$H$7</f>
        <v/>
      </c>
      <c r="J38" s="54">
        <f>H38+'2026 Νοέμβριος'!J38</f>
        <v/>
      </c>
      <c r="K38" s="53">
        <f>J38/$J$7</f>
        <v/>
      </c>
      <c r="L38" s="89">
        <f>'2024_60-69 ΕΞΟΔΑ+ΟΜ 2'!N143</f>
        <v/>
      </c>
      <c r="M38" s="53">
        <f>L38/$L$7</f>
        <v/>
      </c>
      <c r="N38" s="54">
        <f>L38+'2026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'2026_ΕΣΟΔΑ'!N33</f>
        <v/>
      </c>
      <c r="E39" s="81" t="n"/>
      <c r="F39" s="64">
        <f>'2026_ΕΣΟΔΑ'!N35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9">
        <f>ΑΝΤΙΣΤΟΙΧΙΣΗ!$F$117</f>
        <v/>
      </c>
      <c r="E42" s="551" t="n"/>
      <c r="F42" s="550" t="n"/>
      <c r="G42" s="107">
        <f>ΑΝΤΙΣΤΟΙΧΙΣΗ!$D$34</f>
        <v/>
      </c>
      <c r="H42" s="549">
        <f>ΑΝΤΙΣΤΟΙΧΙΣΗ!$F$117</f>
        <v/>
      </c>
      <c r="I42" s="551" t="n"/>
      <c r="J42" s="550" t="n"/>
      <c r="K42" s="107">
        <f>ΑΝΤΙΣΤΟΙΧΙΣΗ!$D$34</f>
        <v/>
      </c>
      <c r="L42" s="549">
        <f>ΑΝΤΙΣΤΟΙΧΙΣΗ!$F$131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2'!O4</f>
        <v/>
      </c>
      <c r="E45" s="75">
        <f>D45/$D$44</f>
        <v/>
      </c>
      <c r="F45" s="65">
        <f>D45+'2026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'2026 Νοέμβριος'!J45</f>
        <v/>
      </c>
      <c r="K45" s="404">
        <f>J45/$J$44</f>
        <v/>
      </c>
      <c r="L45" s="56">
        <f>'2024_60-69 ΕΞΟΔΑ+ΟΜ 2'!O4</f>
        <v/>
      </c>
      <c r="M45" s="75">
        <f>L45/$L$44</f>
        <v/>
      </c>
      <c r="N45" s="65">
        <f>L45+'2026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2'!O5</f>
        <v/>
      </c>
      <c r="E46" s="75">
        <f>D46/$D$44</f>
        <v/>
      </c>
      <c r="F46" s="65">
        <f>D46+'2026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'2026 Νοέμβριος'!J46</f>
        <v/>
      </c>
      <c r="K46" s="404">
        <f>J46/$J$44</f>
        <v/>
      </c>
      <c r="L46" s="56">
        <f>'2024_60-69 ΕΞΟΔΑ+ΟΜ 2'!O5</f>
        <v/>
      </c>
      <c r="M46" s="75">
        <f>L46/$L$44</f>
        <v/>
      </c>
      <c r="N46" s="65">
        <f>L46+'2026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2'!O6</f>
        <v/>
      </c>
      <c r="E47" s="75">
        <f>D47/$D$44</f>
        <v/>
      </c>
      <c r="F47" s="65">
        <f>D47+'2026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'2026 Νοέμβριος'!J47</f>
        <v/>
      </c>
      <c r="K47" s="404">
        <f>J47/$J$44</f>
        <v/>
      </c>
      <c r="L47" s="56">
        <f>'2024_60-69 ΕΞΟΔΑ+ΟΜ 2'!O6</f>
        <v/>
      </c>
      <c r="M47" s="75">
        <f>L47/$L$44</f>
        <v/>
      </c>
      <c r="N47" s="65">
        <f>L47+'2026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t="28.5" customHeight="1">
      <c r="A48" s="178" t="n">
        <v>46</v>
      </c>
      <c r="B48" s="178" t="n">
        <v>4</v>
      </c>
      <c r="C48" s="113">
        <f>ΑΝΤΙΣΤΟΙΧΙΣΗ!L187</f>
        <v/>
      </c>
      <c r="D48" s="114">
        <f>'2026_60-69 ΕΞΟΔΑ+ΟΜ 2'!O7</f>
        <v/>
      </c>
      <c r="E48" s="75">
        <f>D48/$D$85</f>
        <v/>
      </c>
      <c r="F48" s="114">
        <f>D48+'2026 Νοέμβριος'!F48</f>
        <v/>
      </c>
      <c r="G48" s="75">
        <f>F48/$F$85</f>
        <v/>
      </c>
      <c r="H48" s="56">
        <f>ΠΡΟΥΠΟΛΟΓΙΣΜΟΣ_ΕΞΟΔΑ!O167</f>
        <v/>
      </c>
      <c r="I48" s="401">
        <f>H48/$H$85</f>
        <v/>
      </c>
      <c r="J48" s="402">
        <f>'2026 Νοέμβριος'!J48</f>
        <v/>
      </c>
      <c r="K48" s="403">
        <f>J48/$J$85</f>
        <v/>
      </c>
      <c r="L48" s="114">
        <f>'2024_60-69 ΕΞΟΔΑ+ΟΜ 2'!O35</f>
        <v/>
      </c>
      <c r="M48" s="75">
        <f>L48/$L$85</f>
        <v/>
      </c>
      <c r="N48" s="65">
        <f>L48+'2026 Νοέμβριος'!N48</f>
        <v/>
      </c>
      <c r="O48" s="75">
        <f>N48/$N$85</f>
        <v/>
      </c>
      <c r="P48" s="58">
        <f>F48-N48</f>
        <v/>
      </c>
      <c r="Q48" s="540">
        <f>N48/J48</f>
        <v/>
      </c>
    </row>
    <row r="49" ht="33.75" customHeight="1">
      <c r="A49" s="178" t="n">
        <v>47</v>
      </c>
      <c r="B49" s="178" t="n">
        <v>5</v>
      </c>
      <c r="C49" s="109">
        <f>ΑΝΤΙΣΤΟΙΧΙΣΗ!L188</f>
        <v/>
      </c>
      <c r="D49" s="114">
        <f>'2026_60-69 ΕΞΟΔΑ+ΟΜ 2'!O8</f>
        <v/>
      </c>
      <c r="E49" s="75">
        <f>D49/$D$85</f>
        <v/>
      </c>
      <c r="F49" s="114">
        <f>D49+'2026 Νοέμβριος'!F49</f>
        <v/>
      </c>
      <c r="G49" s="75">
        <f>F49/$F$85</f>
        <v/>
      </c>
      <c r="H49" s="56">
        <f>ΠΡΟΥΠΟΛΟΓΙΣΜΟΣ_ΕΞΟΔΑ!O172</f>
        <v/>
      </c>
      <c r="I49" s="401">
        <f>H49/$H$85</f>
        <v/>
      </c>
      <c r="J49" s="402">
        <f>'2026 Νοέμβριος'!J49</f>
        <v/>
      </c>
      <c r="K49" s="403">
        <f>J49/$J$85</f>
        <v/>
      </c>
      <c r="L49" s="114">
        <f>'2024_60-69 ΕΞΟΔΑ+ΟΜ 2'!O36</f>
        <v/>
      </c>
      <c r="M49" s="75">
        <f>L49/$L$85</f>
        <v/>
      </c>
      <c r="N49" s="65">
        <f>L49+'2026 Νοέμβριος'!N49</f>
        <v/>
      </c>
      <c r="O49" s="75">
        <f>N49/$N$85</f>
        <v/>
      </c>
      <c r="P49" s="58">
        <f>F49-N49</f>
        <v/>
      </c>
      <c r="Q49" s="540">
        <f>N49/J49</f>
        <v/>
      </c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2'!O9</f>
        <v/>
      </c>
      <c r="E50" s="75">
        <f>D50/$D$44</f>
        <v/>
      </c>
      <c r="F50" s="65">
        <f>D50+'2026 Νοέμβριος'!F50</f>
        <v/>
      </c>
      <c r="G50" s="75">
        <f>F50/$F$44</f>
        <v/>
      </c>
      <c r="H50" s="56">
        <f>ΠΡΟΥΠΟΛΟΓΙΣΜΟΣ_ΕΞΟΔΑ!O23</f>
        <v/>
      </c>
      <c r="I50" s="400">
        <f>H50/$H$44</f>
        <v/>
      </c>
      <c r="J50" s="65">
        <f>'2026 Νοέμβριος'!J50</f>
        <v/>
      </c>
      <c r="K50" s="404">
        <f>J50/$J$44</f>
        <v/>
      </c>
      <c r="L50" s="56">
        <f>'2024_60-69 ΕΞΟΔΑ+ΟΜ 2'!O7</f>
        <v/>
      </c>
      <c r="M50" s="75">
        <f>L50/$L$44</f>
        <v/>
      </c>
      <c r="N50" s="65">
        <f>L50+'2026 Νοέμβριος'!N50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2'!O10</f>
        <v/>
      </c>
      <c r="E51" s="75">
        <f>D51/$D$44</f>
        <v/>
      </c>
      <c r="F51" s="65">
        <f>D51+'2026 Νοέμβριος'!F51</f>
        <v/>
      </c>
      <c r="G51" s="75">
        <f>F51/$F$44</f>
        <v/>
      </c>
      <c r="H51" s="56">
        <f>ΠΡΟΥΠΟΛΟΓΙΣΜΟΣ_ΕΞΟΔΑ!O28</f>
        <v/>
      </c>
      <c r="I51" s="400">
        <f>H51/$H$44</f>
        <v/>
      </c>
      <c r="J51" s="65">
        <f>'2026 Νοέμβριος'!J51</f>
        <v/>
      </c>
      <c r="K51" s="404">
        <f>J51/$J$44</f>
        <v/>
      </c>
      <c r="L51" s="56">
        <f>'2024_60-69 ΕΞΟΔΑ+ΟΜ 2'!O8</f>
        <v/>
      </c>
      <c r="M51" s="75">
        <f>L51/$L$44</f>
        <v/>
      </c>
      <c r="N51" s="65">
        <f>L51+'2026 Νοέμβριος'!N51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2'!O11</f>
        <v/>
      </c>
      <c r="E52" s="75">
        <f>D52/$D$44</f>
        <v/>
      </c>
      <c r="F52" s="65">
        <f>D52+'2026 Νοέμβριος'!F52</f>
        <v/>
      </c>
      <c r="G52" s="75">
        <f>F52/$F$44</f>
        <v/>
      </c>
      <c r="H52" s="56">
        <f>ΠΡΟΥΠΟΛΟΓΙΣΜΟΣ_ΕΞΟΔΑ!O33</f>
        <v/>
      </c>
      <c r="I52" s="400">
        <f>H52/$H$44</f>
        <v/>
      </c>
      <c r="J52" s="65">
        <f>'2026 Νοέμβριος'!J52</f>
        <v/>
      </c>
      <c r="K52" s="404">
        <f>J52/$J$44</f>
        <v/>
      </c>
      <c r="L52" s="56">
        <f>'2024_60-69 ΕΞΟΔΑ+ΟΜ 2'!O9</f>
        <v/>
      </c>
      <c r="M52" s="75">
        <f>L52/$L$44</f>
        <v/>
      </c>
      <c r="N52" s="65">
        <f>L52+'2026 Νοέμβριος'!N52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2'!O12</f>
        <v/>
      </c>
      <c r="E53" s="75">
        <f>D53/$D$85</f>
        <v/>
      </c>
      <c r="F53" s="114">
        <f>D53+'2026 Νοέμβριος'!F53</f>
        <v/>
      </c>
      <c r="G53" s="75">
        <f>F53/$F$85</f>
        <v/>
      </c>
      <c r="H53" s="56">
        <f>ΠΡΟΥΠΟΛΟΓΙΣΜΟΣ_ΕΞΟΔΑ!O187</f>
        <v/>
      </c>
      <c r="I53" s="401">
        <f>H53/$H$85</f>
        <v/>
      </c>
      <c r="J53" s="402">
        <f>'2026 Νοέμβριος'!J53</f>
        <v/>
      </c>
      <c r="K53" s="403">
        <f>J53/$J$85</f>
        <v/>
      </c>
      <c r="L53" s="114">
        <f>'2024_60-69 ΕΞΟΔΑ+ΟΜ 2'!O39</f>
        <v/>
      </c>
      <c r="M53" s="75">
        <f>L53/$L$85</f>
        <v/>
      </c>
      <c r="N53" s="65">
        <f>L53+'2026 Νοέμβριος'!N53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9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2'!O13</f>
        <v/>
      </c>
      <c r="E54" s="75">
        <f>D54/$D$85</f>
        <v/>
      </c>
      <c r="F54" s="114">
        <f>D54+'2026 Νοέμβριος'!F54</f>
        <v/>
      </c>
      <c r="G54" s="75">
        <f>F54/$F$85</f>
        <v/>
      </c>
      <c r="H54" s="56">
        <f>ΠΡΟΥΠΟΛΟΓΙΣΜΟΣ_ΕΞΟΔΑ!O192</f>
        <v/>
      </c>
      <c r="I54" s="401">
        <f>H54/$H$85</f>
        <v/>
      </c>
      <c r="J54" s="402">
        <f>'2026 Νοέμβριος'!J54</f>
        <v/>
      </c>
      <c r="K54" s="403">
        <f>J54/$J$85</f>
        <v/>
      </c>
      <c r="L54" s="114">
        <f>'2024_60-69 ΕΞΟΔΑ+ΟΜ 2'!O40</f>
        <v/>
      </c>
      <c r="M54" s="75">
        <f>L54/$L$85</f>
        <v/>
      </c>
      <c r="N54" s="65">
        <f>L54+'2026 Νοέμβριος'!N54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2'!O14</f>
        <v/>
      </c>
      <c r="E55" s="75">
        <f>D55/$D$44</f>
        <v/>
      </c>
      <c r="F55" s="65">
        <f>D55+'2026 Νοέμβριος'!F55</f>
        <v/>
      </c>
      <c r="G55" s="75">
        <f>F55/$F$44</f>
        <v/>
      </c>
      <c r="H55" s="56">
        <f>ΠΡΟΥΠΟΛΟΓΙΣΜΟΣ_ΕΞΟΔΑ!O38</f>
        <v/>
      </c>
      <c r="I55" s="400">
        <f>H55/$H$44</f>
        <v/>
      </c>
      <c r="J55" s="65">
        <f>'2026 Νοέμβριος'!J55</f>
        <v/>
      </c>
      <c r="K55" s="404">
        <f>J55/$J$44</f>
        <v/>
      </c>
      <c r="L55" s="56">
        <f>'2024_60-69 ΕΞΟΔΑ+ΟΜ 2'!O10</f>
        <v/>
      </c>
      <c r="M55" s="75">
        <f>L55/$L$44</f>
        <v/>
      </c>
      <c r="N55" s="65">
        <f>L55+'2026 Νοέμβριος'!N55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2'!O15</f>
        <v/>
      </c>
      <c r="E56" s="75">
        <f>D56/$D$44</f>
        <v/>
      </c>
      <c r="F56" s="65">
        <f>D56+'2026 Νοέμβριος'!F56</f>
        <v/>
      </c>
      <c r="G56" s="75">
        <f>F56/$F$44</f>
        <v/>
      </c>
      <c r="H56" s="56">
        <f>ΠΡΟΥΠΟΛΟΓΙΣΜΟΣ_ΕΞΟΔΑ!O43</f>
        <v/>
      </c>
      <c r="I56" s="400">
        <f>H56/$H$44</f>
        <v/>
      </c>
      <c r="J56" s="65">
        <f>'2026 Νοέμβριος'!J56</f>
        <v/>
      </c>
      <c r="K56" s="404">
        <f>J56/$J$44</f>
        <v/>
      </c>
      <c r="L56" s="56">
        <f>'2024_60-69 ΕΞΟΔΑ+ΟΜ 2'!O11</f>
        <v/>
      </c>
      <c r="M56" s="75">
        <f>L56/$L$44</f>
        <v/>
      </c>
      <c r="N56" s="65">
        <f>L56+'2026 Νοέμβριος'!N56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2'!O16</f>
        <v/>
      </c>
      <c r="E57" s="75">
        <f>D57/$D$44</f>
        <v/>
      </c>
      <c r="F57" s="65">
        <f>D57+'2026 Νοέμβριος'!F57</f>
        <v/>
      </c>
      <c r="G57" s="75">
        <f>F57/$F$44</f>
        <v/>
      </c>
      <c r="H57" s="56">
        <f>ΠΡΟΥΠΟΛΟΓΙΣΜΟΣ_ΕΞΟΔΑ!O48</f>
        <v/>
      </c>
      <c r="I57" s="400">
        <f>H57/$H$44</f>
        <v/>
      </c>
      <c r="J57" s="65">
        <f>'2026 Νοέμβριος'!J57</f>
        <v/>
      </c>
      <c r="K57" s="404">
        <f>J57/$J$44</f>
        <v/>
      </c>
      <c r="L57" s="56">
        <f>'2024_60-69 ΕΞΟΔΑ+ΟΜ 2'!O12</f>
        <v/>
      </c>
      <c r="M57" s="75">
        <f>L57/$L$44</f>
        <v/>
      </c>
      <c r="N57" s="65">
        <f>L57+'2026 Νοέμβριος'!N57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2'!O17</f>
        <v/>
      </c>
      <c r="E58" s="75">
        <f>D58/$D$44</f>
        <v/>
      </c>
      <c r="F58" s="65">
        <f>D58+'2026 Νοέμβριος'!F58</f>
        <v/>
      </c>
      <c r="G58" s="75">
        <f>F58/$F$44</f>
        <v/>
      </c>
      <c r="H58" s="56">
        <f>ΠΡΟΥΠΟΛΟΓΙΣΜΟΣ_ΕΞΟΔΑ!O53</f>
        <v/>
      </c>
      <c r="I58" s="400">
        <f>H58/$H$44</f>
        <v/>
      </c>
      <c r="J58" s="65">
        <f>'2026 Νοέμβριος'!J58</f>
        <v/>
      </c>
      <c r="K58" s="404">
        <f>J58/$J$44</f>
        <v/>
      </c>
      <c r="L58" s="56">
        <f>'2024_60-69 ΕΞΟΔΑ+ΟΜ 2'!O13</f>
        <v/>
      </c>
      <c r="M58" s="75">
        <f>L58/$L$44</f>
        <v/>
      </c>
      <c r="N58" s="65">
        <f>L58+'2026 Νοέμβριος'!N58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2'!O18</f>
        <v/>
      </c>
      <c r="E59" s="75">
        <f>D59/$D$44</f>
        <v/>
      </c>
      <c r="F59" s="65">
        <f>D59+'2026 Νοέμβριος'!F59</f>
        <v/>
      </c>
      <c r="G59" s="75">
        <f>F59/$F$44</f>
        <v/>
      </c>
      <c r="H59" s="56">
        <f>ΠΡΟΥΠΟΛΟΓΙΣΜΟΣ_ΕΞΟΔΑ!O58</f>
        <v/>
      </c>
      <c r="I59" s="400">
        <f>H59/$H$44</f>
        <v/>
      </c>
      <c r="J59" s="65">
        <f>'2026 Νοέμβριος'!J59</f>
        <v/>
      </c>
      <c r="K59" s="404">
        <f>J59/$J$44</f>
        <v/>
      </c>
      <c r="L59" s="56">
        <f>'2024_60-69 ΕΞΟΔΑ+ΟΜ 2'!O14</f>
        <v/>
      </c>
      <c r="M59" s="75">
        <f>L59/$L$44</f>
        <v/>
      </c>
      <c r="N59" s="65">
        <f>L59+'2026 Νοέμβριος'!N59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2'!O19</f>
        <v/>
      </c>
      <c r="E60" s="75">
        <f>D60/$D$44</f>
        <v/>
      </c>
      <c r="F60" s="65">
        <f>D60+'2026 Νοέμβριος'!F60</f>
        <v/>
      </c>
      <c r="G60" s="75">
        <f>F60/$F$44</f>
        <v/>
      </c>
      <c r="H60" s="56">
        <f>ΠΡΟΥΠΟΛΟΓΙΣΜΟΣ_ΕΞΟΔΑ!O63</f>
        <v/>
      </c>
      <c r="I60" s="400">
        <f>H60/$H$44</f>
        <v/>
      </c>
      <c r="J60" s="65">
        <f>'2026 Νοέμβριος'!J60</f>
        <v/>
      </c>
      <c r="K60" s="404">
        <f>J60/$J$44</f>
        <v/>
      </c>
      <c r="L60" s="56">
        <f>'2024_60-69 ΕΞΟΔΑ+ΟΜ 2'!O15</f>
        <v/>
      </c>
      <c r="M60" s="75">
        <f>L60/$L$44</f>
        <v/>
      </c>
      <c r="N60" s="65">
        <f>L60+'2026 Νοέμβριος'!N60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2'!O20</f>
        <v/>
      </c>
      <c r="E61" s="75">
        <f>D61/$D$44</f>
        <v/>
      </c>
      <c r="F61" s="65">
        <f>D61+'2026 Νοέμβριος'!F61</f>
        <v/>
      </c>
      <c r="G61" s="75">
        <f>F61/$F$44</f>
        <v/>
      </c>
      <c r="H61" s="56">
        <f>ΠΡΟΥΠΟΛΟΓΙΣΜΟΣ_ΕΞΟΔΑ!O68</f>
        <v/>
      </c>
      <c r="I61" s="400">
        <f>H61/$H$44</f>
        <v/>
      </c>
      <c r="J61" s="65">
        <f>'2026 Νοέμβριος'!J61</f>
        <v/>
      </c>
      <c r="K61" s="404">
        <f>J61/$J$44</f>
        <v/>
      </c>
      <c r="L61" s="56">
        <f>'2024_60-69 ΕΞΟΔΑ+ΟΜ 2'!O16</f>
        <v/>
      </c>
      <c r="M61" s="75">
        <f>L61/$L$44</f>
        <v/>
      </c>
      <c r="N61" s="65">
        <f>L61+'2026 Νοέμβριος'!N61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2'!O21</f>
        <v/>
      </c>
      <c r="E62" s="75">
        <f>D62/$D$44</f>
        <v/>
      </c>
      <c r="F62" s="65">
        <f>D62+'2026 Νοέμβριος'!F62</f>
        <v/>
      </c>
      <c r="G62" s="75">
        <f>F62/$F$44</f>
        <v/>
      </c>
      <c r="H62" s="56">
        <f>ΠΡΟΥΠΟΛΟΓΙΣΜΟΣ_ΕΞΟΔΑ!O73</f>
        <v/>
      </c>
      <c r="I62" s="400">
        <f>H62/$H$44</f>
        <v/>
      </c>
      <c r="J62" s="65">
        <f>'2026 Νοέμβριος'!J62</f>
        <v/>
      </c>
      <c r="K62" s="404">
        <f>J62/$J$44</f>
        <v/>
      </c>
      <c r="L62" s="56">
        <f>'2024_60-69 ΕΞΟΔΑ+ΟΜ 2'!O17</f>
        <v/>
      </c>
      <c r="M62" s="75">
        <f>L62/$L$44</f>
        <v/>
      </c>
      <c r="N62" s="65">
        <f>L62+'2026 Νοέμβριος'!N62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2'!O22</f>
        <v/>
      </c>
      <c r="E63" s="75">
        <f>D63/$D$44</f>
        <v/>
      </c>
      <c r="F63" s="65">
        <f>D63+'2026 Νοέμβριος'!F63</f>
        <v/>
      </c>
      <c r="G63" s="75">
        <f>F63/$F$44</f>
        <v/>
      </c>
      <c r="H63" s="56">
        <f>ΠΡΟΥΠΟΛΟΓΙΣΜΟΣ_ΕΞΟΔΑ!O78</f>
        <v/>
      </c>
      <c r="I63" s="400">
        <f>H63/$H$44</f>
        <v/>
      </c>
      <c r="J63" s="65">
        <f>'2026 Νοέμβριος'!J63</f>
        <v/>
      </c>
      <c r="K63" s="404">
        <f>J63/$J$44</f>
        <v/>
      </c>
      <c r="L63" s="56">
        <f>'2024_60-69 ΕΞΟΔΑ+ΟΜ 2'!O18</f>
        <v/>
      </c>
      <c r="M63" s="75">
        <f>L63/$L$44</f>
        <v/>
      </c>
      <c r="N63" s="65">
        <f>L63+'2026 Νοέμβριος'!N63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2'!O23</f>
        <v/>
      </c>
      <c r="E64" s="75">
        <f>D64/$D$44</f>
        <v/>
      </c>
      <c r="F64" s="65">
        <f>D64+'2026 Νοέμβριος'!F64</f>
        <v/>
      </c>
      <c r="G64" s="75">
        <f>F64/$F$44</f>
        <v/>
      </c>
      <c r="H64" s="56">
        <f>ΠΡΟΥΠΟΛΟΓΙΣΜΟΣ_ΕΞΟΔΑ!O83</f>
        <v/>
      </c>
      <c r="I64" s="400">
        <f>H64/$H$44</f>
        <v/>
      </c>
      <c r="J64" s="65">
        <f>'2026 Νοέμβριος'!J64</f>
        <v/>
      </c>
      <c r="K64" s="404">
        <f>J64/$J$44</f>
        <v/>
      </c>
      <c r="L64" s="56">
        <f>'2024_60-69 ΕΞΟΔΑ+ΟΜ 2'!O19</f>
        <v/>
      </c>
      <c r="M64" s="75">
        <f>L64/$L$44</f>
        <v/>
      </c>
      <c r="N64" s="65">
        <f>L64+'2026 Νοέμβριος'!N64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2'!O24</f>
        <v/>
      </c>
      <c r="E65" s="75">
        <f>D65/$D$44</f>
        <v/>
      </c>
      <c r="F65" s="65">
        <f>D65+'2026 Νοέμβριος'!F65</f>
        <v/>
      </c>
      <c r="G65" s="75">
        <f>F65/$F$44</f>
        <v/>
      </c>
      <c r="H65" s="56">
        <f>ΠΡΟΥΠΟΛΟΓΙΣΜΟΣ_ΕΞΟΔΑ!O88</f>
        <v/>
      </c>
      <c r="I65" s="400">
        <f>H65/$H$44</f>
        <v/>
      </c>
      <c r="J65" s="65">
        <f>'2026 Νοέμβριος'!J65</f>
        <v/>
      </c>
      <c r="K65" s="404">
        <f>J65/$J$44</f>
        <v/>
      </c>
      <c r="L65" s="56">
        <f>'2024_60-69 ΕΞΟΔΑ+ΟΜ 2'!O20</f>
        <v/>
      </c>
      <c r="M65" s="75">
        <f>L65/$L$44</f>
        <v/>
      </c>
      <c r="N65" s="65">
        <f>L65+'2026 Νοέμβριος'!N65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2'!O25</f>
        <v/>
      </c>
      <c r="E66" s="75">
        <f>D66/$D$44</f>
        <v/>
      </c>
      <c r="F66" s="65">
        <f>D66+'2026 Νοέμβριος'!F66</f>
        <v/>
      </c>
      <c r="G66" s="75">
        <f>F66/$F$44</f>
        <v/>
      </c>
      <c r="H66" s="56">
        <f>ΠΡΟΥΠΟΛΟΓΙΣΜΟΣ_ΕΞΟΔΑ!O93</f>
        <v/>
      </c>
      <c r="I66" s="400">
        <f>H66/$H$44</f>
        <v/>
      </c>
      <c r="J66" s="65">
        <f>'2026 Νοέμβριος'!J66</f>
        <v/>
      </c>
      <c r="K66" s="404">
        <f>J66/$J$44</f>
        <v/>
      </c>
      <c r="L66" s="56">
        <f>'2024_60-69 ΕΞΟΔΑ+ΟΜ 2'!O21</f>
        <v/>
      </c>
      <c r="M66" s="75">
        <f>L66/$L$44</f>
        <v/>
      </c>
      <c r="N66" s="65">
        <f>L66+'2026 Νοέμβριος'!N66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2'!O26</f>
        <v/>
      </c>
      <c r="E67" s="75">
        <f>D67/$D$44</f>
        <v/>
      </c>
      <c r="F67" s="65">
        <f>D67+'2026 Νοέμβριος'!F67</f>
        <v/>
      </c>
      <c r="G67" s="75">
        <f>F67/$F$44</f>
        <v/>
      </c>
      <c r="H67" s="56">
        <f>ΠΡΟΥΠΟΛΟΓΙΣΜΟΣ_ΕΞΟΔΑ!O98</f>
        <v/>
      </c>
      <c r="I67" s="400">
        <f>H67/$H$44</f>
        <v/>
      </c>
      <c r="J67" s="65">
        <f>'2026 Νοέμβριος'!J67</f>
        <v/>
      </c>
      <c r="K67" s="404">
        <f>J67/$J$44</f>
        <v/>
      </c>
      <c r="L67" s="56">
        <f>'2024_60-69 ΕΞΟΔΑ+ΟΜ 2'!O22</f>
        <v/>
      </c>
      <c r="M67" s="75">
        <f>L67/$L$44</f>
        <v/>
      </c>
      <c r="N67" s="65">
        <f>L67+'2026 Νοέμβριος'!N67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2'!O27</f>
        <v/>
      </c>
      <c r="E68" s="75">
        <f>D68/$D$44</f>
        <v/>
      </c>
      <c r="F68" s="65">
        <f>D68+'2026 Νοέμβριος'!F68</f>
        <v/>
      </c>
      <c r="G68" s="75">
        <f>F68/$F$44</f>
        <v/>
      </c>
      <c r="H68" s="56">
        <f>ΠΡΟΥΠΟΛΟΓΙΣΜΟΣ_ΕΞΟΔΑ!O103</f>
        <v/>
      </c>
      <c r="I68" s="400">
        <f>H68/$H$44</f>
        <v/>
      </c>
      <c r="J68" s="65">
        <f>'2026 Νοέμβριος'!J68</f>
        <v/>
      </c>
      <c r="K68" s="404">
        <f>J68/$J$44</f>
        <v/>
      </c>
      <c r="L68" s="56">
        <f>'2024_60-69 ΕΞΟΔΑ+ΟΜ 2'!O23</f>
        <v/>
      </c>
      <c r="M68" s="75">
        <f>L68/$L$44</f>
        <v/>
      </c>
      <c r="N68" s="65">
        <f>L68+'2026 Νοέμβριος'!N68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2'!O28</f>
        <v/>
      </c>
      <c r="E69" s="75">
        <f>D69/$D$44</f>
        <v/>
      </c>
      <c r="F69" s="65">
        <f>D69+'2026 Νοέμβριος'!F69</f>
        <v/>
      </c>
      <c r="G69" s="75">
        <f>F69/$F$44</f>
        <v/>
      </c>
      <c r="H69" s="56">
        <f>ΠΡΟΥΠΟΛΟΓΙΣΜΟΣ_ΕΞΟΔΑ!O108</f>
        <v/>
      </c>
      <c r="I69" s="400">
        <f>H69/$H$44</f>
        <v/>
      </c>
      <c r="J69" s="65">
        <f>'2026 Νοέμβριος'!J69</f>
        <v/>
      </c>
      <c r="K69" s="404">
        <f>J69/$J$44</f>
        <v/>
      </c>
      <c r="L69" s="56">
        <f>'2024_60-69 ΕΞΟΔΑ+ΟΜ 2'!O24</f>
        <v/>
      </c>
      <c r="M69" s="75">
        <f>L69/$L$44</f>
        <v/>
      </c>
      <c r="N69" s="65">
        <f>L69+'2026 Νοέμβριος'!N69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2'!O29</f>
        <v/>
      </c>
      <c r="E70" s="75">
        <f>D70/$D$44</f>
        <v/>
      </c>
      <c r="F70" s="65">
        <f>D70+'2026 Νοέμβριος'!F70</f>
        <v/>
      </c>
      <c r="G70" s="75">
        <f>F70/$F$44</f>
        <v/>
      </c>
      <c r="H70" s="56">
        <f>ΠΡΟΥΠΟΛΟΓΙΣΜΟΣ_ΕΞΟΔΑ!O113</f>
        <v/>
      </c>
      <c r="I70" s="400">
        <f>H70/$H$44</f>
        <v/>
      </c>
      <c r="J70" s="65">
        <f>'2026 Νοέμβριος'!J70</f>
        <v/>
      </c>
      <c r="K70" s="404">
        <f>J70/$J$44</f>
        <v/>
      </c>
      <c r="L70" s="56">
        <f>'2024_60-69 ΕΞΟΔΑ+ΟΜ 2'!O25</f>
        <v/>
      </c>
      <c r="M70" s="75">
        <f>L70/$L$44</f>
        <v/>
      </c>
      <c r="N70" s="65">
        <f>L70+'2026 Νοέμβριος'!N70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2'!O30</f>
        <v/>
      </c>
      <c r="E71" s="75">
        <f>D71/$D$44</f>
        <v/>
      </c>
      <c r="F71" s="65">
        <f>D71+'2026 Νοέμβριος'!F71</f>
        <v/>
      </c>
      <c r="G71" s="75">
        <f>F71/$F$44</f>
        <v/>
      </c>
      <c r="H71" s="56">
        <f>ΠΡΟΥΠΟΛΟΓΙΣΜΟΣ_ΕΞΟΔΑ!O118</f>
        <v/>
      </c>
      <c r="I71" s="400">
        <f>H71/$H$44</f>
        <v/>
      </c>
      <c r="J71" s="65">
        <f>'2026 Νοέμβριος'!J71</f>
        <v/>
      </c>
      <c r="K71" s="404">
        <f>J71/$J$44</f>
        <v/>
      </c>
      <c r="L71" s="56">
        <f>'2024_60-69 ΕΞΟΔΑ+ΟΜ 2'!O26</f>
        <v/>
      </c>
      <c r="M71" s="75">
        <f>L71/$L$44</f>
        <v/>
      </c>
      <c r="N71" s="65">
        <f>L71+'2026 Νοέμβριος'!N71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2'!O31</f>
        <v/>
      </c>
      <c r="E72" s="75">
        <f>D72/$D$44</f>
        <v/>
      </c>
      <c r="F72" s="65">
        <f>D72+'2026 Νοέμβριος'!F72</f>
        <v/>
      </c>
      <c r="G72" s="75">
        <f>F72/$F$44</f>
        <v/>
      </c>
      <c r="H72" s="56">
        <f>ΠΡΟΥΠΟΛΟΓΙΣΜΟΣ_ΕΞΟΔΑ!O123</f>
        <v/>
      </c>
      <c r="I72" s="400">
        <f>H72/$H$44</f>
        <v/>
      </c>
      <c r="J72" s="65">
        <f>'2026 Νοέμβριος'!J72</f>
        <v/>
      </c>
      <c r="K72" s="404">
        <f>J72/$J$44</f>
        <v/>
      </c>
      <c r="L72" s="56">
        <f>'2024_60-69 ΕΞΟΔΑ+ΟΜ 2'!O27</f>
        <v/>
      </c>
      <c r="M72" s="75">
        <f>L72/$L$44</f>
        <v/>
      </c>
      <c r="N72" s="65">
        <f>L72+'2026 Νοέμβριος'!N72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2'!O32</f>
        <v/>
      </c>
      <c r="E73" s="75">
        <f>D73/$D$44</f>
        <v/>
      </c>
      <c r="F73" s="65">
        <f>D73+'2026 Νοέμβριος'!F73</f>
        <v/>
      </c>
      <c r="G73" s="75">
        <f>F73/$F$44</f>
        <v/>
      </c>
      <c r="H73" s="56">
        <f>ΠΡΟΥΠΟΛΟΓΙΣΜΟΣ_ΕΞΟΔΑ!O128</f>
        <v/>
      </c>
      <c r="I73" s="400">
        <f>H73/$H$44</f>
        <v/>
      </c>
      <c r="J73" s="65">
        <f>'2026 Νοέμβριος'!J73</f>
        <v/>
      </c>
      <c r="K73" s="404">
        <f>J73/$J$44</f>
        <v/>
      </c>
      <c r="L73" s="56">
        <f>'2024_60-69 ΕΞΟΔΑ+ΟΜ 2'!O28</f>
        <v/>
      </c>
      <c r="M73" s="75">
        <f>L73/$L$44</f>
        <v/>
      </c>
      <c r="N73" s="65">
        <f>L73+'2026 Νοέμβριος'!N73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3.2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2'!O33</f>
        <v/>
      </c>
      <c r="E74" s="75">
        <f>D74/$D$44</f>
        <v/>
      </c>
      <c r="F74" s="65">
        <f>D74+'2026 Νοέμβριος'!F74</f>
        <v/>
      </c>
      <c r="G74" s="75">
        <f>F74/$F$44</f>
        <v/>
      </c>
      <c r="H74" s="56">
        <f>ΠΡΟΥΠΟΛΟΓΙΣΜΟΣ_ΕΞΟΔΑ!O133</f>
        <v/>
      </c>
      <c r="I74" s="400">
        <f>H74/$H$44</f>
        <v/>
      </c>
      <c r="J74" s="65">
        <f>'2026 Νοέμβριος'!J74</f>
        <v/>
      </c>
      <c r="K74" s="404">
        <f>J74/$J$44</f>
        <v/>
      </c>
      <c r="L74" s="56">
        <f>'2024_60-69 ΕΞΟΔΑ+ΟΜ 2'!O29</f>
        <v/>
      </c>
      <c r="M74" s="75">
        <f>L74/$L$44</f>
        <v/>
      </c>
      <c r="N74" s="65">
        <f>L74+'2026 Νοέμβριος'!N74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2'!O34</f>
        <v/>
      </c>
      <c r="E75" s="75">
        <f>D75/$D$44</f>
        <v/>
      </c>
      <c r="F75" s="65">
        <f>D75+'2026 Νοέμβριος'!F75</f>
        <v/>
      </c>
      <c r="G75" s="75">
        <f>F75/$F$44</f>
        <v/>
      </c>
      <c r="H75" s="56">
        <f>ΠΡΟΥΠΟΛΟΓΙΣΜΟΣ_ΕΞΟΔΑ!O138</f>
        <v/>
      </c>
      <c r="I75" s="400">
        <f>H75/$H$44</f>
        <v/>
      </c>
      <c r="J75" s="65">
        <f>'2026 Νοέμβριος'!J75</f>
        <v/>
      </c>
      <c r="K75" s="404">
        <f>J75/$J$44</f>
        <v/>
      </c>
      <c r="L75" s="56">
        <f>'2024_60-69 ΕΞΟΔΑ+ΟΜ 2'!O30</f>
        <v/>
      </c>
      <c r="M75" s="75">
        <f>L75/$L$44</f>
        <v/>
      </c>
      <c r="N75" s="65">
        <f>L75+'2026 Νοέμβριος'!N75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2'!O35</f>
        <v/>
      </c>
      <c r="E76" s="75">
        <f>D76/$D$44</f>
        <v/>
      </c>
      <c r="F76" s="65">
        <f>D76+'2026 Νοέμβριος'!F76</f>
        <v/>
      </c>
      <c r="G76" s="75">
        <f>F76/$F$44</f>
        <v/>
      </c>
      <c r="H76" s="56">
        <f>ΠΡΟΥΠΟΛΟΓΙΣΜΟΣ_ΕΞΟΔΑ!O143</f>
        <v/>
      </c>
      <c r="I76" s="400">
        <f>H76/$H$44</f>
        <v/>
      </c>
      <c r="J76" s="65">
        <f>'2026 Νοέμβριος'!J76</f>
        <v/>
      </c>
      <c r="K76" s="404">
        <f>J76/$J$44</f>
        <v/>
      </c>
      <c r="L76" s="56">
        <f>'2024_60-69 ΕΞΟΔΑ+ΟΜ 2'!O31</f>
        <v/>
      </c>
      <c r="M76" s="75">
        <f>L76/$L$44</f>
        <v/>
      </c>
      <c r="N76" s="65">
        <f>L76+'2026 Νοέμβριος'!N76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2'!O36</f>
        <v/>
      </c>
      <c r="E77" s="75">
        <f>D77/$D$44</f>
        <v/>
      </c>
      <c r="F77" s="65">
        <f>D77+'2026 Νοέμβριος'!F77</f>
        <v/>
      </c>
      <c r="G77" s="75">
        <f>F77/$F$44</f>
        <v/>
      </c>
      <c r="H77" s="56">
        <f>ΠΡΟΥΠΟΛΟΓΙΣΜΟΣ_ΕΞΟΔΑ!O148</f>
        <v/>
      </c>
      <c r="I77" s="400">
        <f>H77/$H$44</f>
        <v/>
      </c>
      <c r="J77" s="65">
        <f>'2026 Νοέμβριος'!J77</f>
        <v/>
      </c>
      <c r="K77" s="404">
        <f>J77/$J$44</f>
        <v/>
      </c>
      <c r="L77" s="56">
        <f>'2024_60-69 ΕΞΟΔΑ+ΟΜ 2'!O32</f>
        <v/>
      </c>
      <c r="M77" s="75">
        <f>L77/$L$44</f>
        <v/>
      </c>
      <c r="N77" s="65">
        <f>L77+'2026 Νοέμβριος'!N77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2'!O37</f>
        <v/>
      </c>
      <c r="E78" s="75">
        <f>D78/$D$44</f>
        <v/>
      </c>
      <c r="F78" s="65">
        <f>D78+'2026 Νοέμβριος'!F78</f>
        <v/>
      </c>
      <c r="G78" s="75">
        <f>F78/$F$44</f>
        <v/>
      </c>
      <c r="H78" s="56">
        <f>ΠΡΟΥΠΟΛΟΓΙΣΜΟΣ_ΕΞΟΔΑ!O153</f>
        <v/>
      </c>
      <c r="I78" s="400">
        <f>H78/$H$44</f>
        <v/>
      </c>
      <c r="J78" s="65">
        <f>'2026 Νοέμβριος'!J78</f>
        <v/>
      </c>
      <c r="K78" s="404">
        <f>J78/$J$44</f>
        <v/>
      </c>
      <c r="L78" s="56">
        <f>'2024_60-69 ΕΞΟΔΑ+ΟΜ 2'!O33</f>
        <v/>
      </c>
      <c r="M78" s="75">
        <f>L78/$L$44</f>
        <v/>
      </c>
      <c r="N78" s="65">
        <f>L78+'2026 Νοέμβριος'!N78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2'!O3</f>
        <v/>
      </c>
      <c r="E79" s="297" t="n"/>
      <c r="F79" s="64">
        <f>'2026_60-69 ΕΞΟΔΑ+ΟΜ 2'!AB3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1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71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ΑΝΤΙΣΤΟΙΧΙΣΗ!$F$117</f>
        <v/>
      </c>
      <c r="E83" s="551" t="n"/>
      <c r="F83" s="550" t="n"/>
      <c r="G83" s="107">
        <f>ΑΝΤΙΣΤΟΙΧΙΣΗ!$D$34</f>
        <v/>
      </c>
      <c r="H83" s="549">
        <f>ΑΝΤΙΣΤΟΙΧΙΣΗ!$F$117</f>
        <v/>
      </c>
      <c r="I83" s="551" t="n"/>
      <c r="J83" s="550" t="n"/>
      <c r="K83" s="107">
        <f>ΑΝΤΙΣΤΟΙΧΙΣΗ!$D$34</f>
        <v/>
      </c>
      <c r="L83" s="549">
        <f>ΑΝΤΙΣΤΟΙΧΙΣΗ!$F$131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SUM(D48:D111)</f>
        <v/>
      </c>
      <c r="E85" s="81" t="n"/>
      <c r="F85" s="64">
        <f>SUM(F48:F111)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2'!O41</f>
        <v/>
      </c>
      <c r="E86" s="75">
        <f>D86/$D$85</f>
        <v/>
      </c>
      <c r="F86" s="114">
        <f>D86+'2026 Νοέμβριος'!F86</f>
        <v/>
      </c>
      <c r="G86" s="75">
        <f>F86/$F$85</f>
        <v/>
      </c>
      <c r="H86" s="56">
        <f>ΠΡΟΥΠΟΛΟΓΙΣΜΟΣ_ΕΞΟΔΑ!O177</f>
        <v/>
      </c>
      <c r="I86" s="401">
        <f>H86/$H$85</f>
        <v/>
      </c>
      <c r="J86" s="402">
        <f>'2026 Νοέμβριος'!J86</f>
        <v/>
      </c>
      <c r="K86" s="403">
        <f>J86/$J$85</f>
        <v/>
      </c>
      <c r="L86" s="114">
        <f>'2024_60-69 ΕΞΟΔΑ+ΟΜ 2'!O37</f>
        <v/>
      </c>
      <c r="M86" s="75">
        <f>L86/$L$85</f>
        <v/>
      </c>
      <c r="N86" s="65">
        <f>L86+'2026 Νοέμβριος'!N86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2'!O42</f>
        <v/>
      </c>
      <c r="E87" s="75">
        <f>D87/$D$85</f>
        <v/>
      </c>
      <c r="F87" s="114">
        <f>D87+'2026 Νοέμβριος'!F87</f>
        <v/>
      </c>
      <c r="G87" s="75">
        <f>F87/$F$85</f>
        <v/>
      </c>
      <c r="H87" s="56">
        <f>ΠΡΟΥΠΟΛΟΓΙΣΜΟΣ_ΕΞΟΔΑ!O182</f>
        <v/>
      </c>
      <c r="I87" s="401">
        <f>H87/$H$85</f>
        <v/>
      </c>
      <c r="J87" s="402">
        <f>'2026 Νοέμβριος'!J87</f>
        <v/>
      </c>
      <c r="K87" s="403">
        <f>J87/$J$85</f>
        <v/>
      </c>
      <c r="L87" s="114">
        <f>'2024_60-69 ΕΞΟΔΑ+ΟΜ 2'!O38</f>
        <v/>
      </c>
      <c r="M87" s="75">
        <f>L87/$L$85</f>
        <v/>
      </c>
      <c r="N87" s="65">
        <f>L87+'2026 Νοέμβριος'!N87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2'!O43</f>
        <v/>
      </c>
      <c r="E88" s="75">
        <f>D88/$D$85</f>
        <v/>
      </c>
      <c r="F88" s="114">
        <f>D88+'2026 Νοέμβριος'!F88</f>
        <v/>
      </c>
      <c r="G88" s="75">
        <f>F88/$F$85</f>
        <v/>
      </c>
      <c r="H88" s="56">
        <f>ΠΡΟΥΠΟΛΟΓΙΣΜΟΣ_ΕΞΟΔΑ!O197</f>
        <v/>
      </c>
      <c r="I88" s="401">
        <f>H88/$H$85</f>
        <v/>
      </c>
      <c r="J88" s="402">
        <f>'2026 Νοέμβριος'!J88</f>
        <v/>
      </c>
      <c r="K88" s="403">
        <f>J88/$J$85</f>
        <v/>
      </c>
      <c r="L88" s="114">
        <f>'2024_60-69 ΕΞΟΔΑ+ΟΜ 2'!O41</f>
        <v/>
      </c>
      <c r="M88" s="75">
        <f>L88/$L$85</f>
        <v/>
      </c>
      <c r="N88" s="65">
        <f>L88+'2026 Νοέμβριος'!N88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2'!O44</f>
        <v/>
      </c>
      <c r="E89" s="75">
        <f>D89/$D$85</f>
        <v/>
      </c>
      <c r="F89" s="114">
        <f>D89+'2026 Νοέμβριος'!F89</f>
        <v/>
      </c>
      <c r="G89" s="75">
        <f>F89/$F$85</f>
        <v/>
      </c>
      <c r="H89" s="56">
        <f>ΠΡΟΥΠΟΛΟΓΙΣΜΟΣ_ΕΞΟΔΑ!O202</f>
        <v/>
      </c>
      <c r="I89" s="401">
        <f>H89/$H$85</f>
        <v/>
      </c>
      <c r="J89" s="402">
        <f>'2026 Νοέμβριος'!J89</f>
        <v/>
      </c>
      <c r="K89" s="403">
        <f>J89/$J$85</f>
        <v/>
      </c>
      <c r="L89" s="114">
        <f>'2024_60-69 ΕΞΟΔΑ+ΟΜ 2'!O42</f>
        <v/>
      </c>
      <c r="M89" s="75">
        <f>L89/$L$85</f>
        <v/>
      </c>
      <c r="N89" s="65">
        <f>L89+'2026 Νοέμβριος'!N89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9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2'!O45</f>
        <v/>
      </c>
      <c r="E90" s="75">
        <f>D90/$D$85</f>
        <v/>
      </c>
      <c r="F90" s="114">
        <f>D90+'2026 Νοέμβριος'!F90</f>
        <v/>
      </c>
      <c r="G90" s="75">
        <f>F90/$F$85</f>
        <v/>
      </c>
      <c r="H90" s="399">
        <f>ΠΡΟΥΠΟΛΟΓΙΣΜΟΣ_ΕΞΟΔΑ!O207</f>
        <v/>
      </c>
      <c r="I90" s="401">
        <f>H90/$H$85</f>
        <v/>
      </c>
      <c r="J90" s="402">
        <f>'2026 Νοέμβριος'!J90</f>
        <v/>
      </c>
      <c r="K90" s="403">
        <f>J90/$J$85</f>
        <v/>
      </c>
      <c r="L90" s="114">
        <f>'2024_60-69 ΕΞΟΔΑ+ΟΜ 2'!O43</f>
        <v/>
      </c>
      <c r="M90" s="75">
        <f>L90/$L$85</f>
        <v/>
      </c>
      <c r="N90" s="65">
        <f>L90+'2026 Νοέμβριος'!N90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2'!O46</f>
        <v/>
      </c>
      <c r="E91" s="75">
        <f>D91/$D$85</f>
        <v/>
      </c>
      <c r="F91" s="114">
        <f>D91+'2026 Νοέμβριος'!F91</f>
        <v/>
      </c>
      <c r="G91" s="75">
        <f>F91/$F$85</f>
        <v/>
      </c>
      <c r="H91" s="399">
        <f>ΠΡΟΥΠΟΛΟΓΙΣΜΟΣ_ΕΞΟΔΑ!O212</f>
        <v/>
      </c>
      <c r="I91" s="401">
        <f>H91/$H$85</f>
        <v/>
      </c>
      <c r="J91" s="402">
        <f>'2026 Νοέμβριος'!J91</f>
        <v/>
      </c>
      <c r="K91" s="403">
        <f>J91/$J$85</f>
        <v/>
      </c>
      <c r="L91" s="114">
        <f>'2024_60-69 ΕΞΟΔΑ+ΟΜ 2'!O44</f>
        <v/>
      </c>
      <c r="M91" s="75">
        <f>L91/$L$85</f>
        <v/>
      </c>
      <c r="N91" s="65">
        <f>L91+'2026 Νοέμβριος'!N91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2'!O47</f>
        <v/>
      </c>
      <c r="E92" s="75">
        <f>D92/$D$85</f>
        <v/>
      </c>
      <c r="F92" s="114">
        <f>D92+'2026 Νοέμβριος'!F92</f>
        <v/>
      </c>
      <c r="G92" s="75">
        <f>F92/$F$85</f>
        <v/>
      </c>
      <c r="H92" s="399">
        <f>ΠΡΟΥΠΟΛΟΓΙΣΜΟΣ_ΕΞΟΔΑ!O217</f>
        <v/>
      </c>
      <c r="I92" s="401">
        <f>H92/$H$85</f>
        <v/>
      </c>
      <c r="J92" s="402">
        <f>'2026 Νοέμβριος'!J92</f>
        <v/>
      </c>
      <c r="K92" s="403">
        <f>J92/$J$85</f>
        <v/>
      </c>
      <c r="L92" s="114">
        <f>'2024_60-69 ΕΞΟΔΑ+ΟΜ 2'!O45</f>
        <v/>
      </c>
      <c r="M92" s="75">
        <f>L92/$L$85</f>
        <v/>
      </c>
      <c r="N92" s="65">
        <f>L92+'2026 Νοέμβριος'!N92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2'!O48</f>
        <v/>
      </c>
      <c r="E93" s="75">
        <f>D93/$D$85</f>
        <v/>
      </c>
      <c r="F93" s="114">
        <f>D93+'2026 Νοέμβριος'!F93</f>
        <v/>
      </c>
      <c r="G93" s="75">
        <f>F93/$F$85</f>
        <v/>
      </c>
      <c r="H93" s="56">
        <f>ΠΡΟΥΠΟΛΟΓΙΣΜΟΣ_ΕΞΟΔΑ!O222</f>
        <v/>
      </c>
      <c r="I93" s="401">
        <f>H93/$H$85</f>
        <v/>
      </c>
      <c r="J93" s="402">
        <f>'2026 Νοέμβριος'!J93</f>
        <v/>
      </c>
      <c r="K93" s="403">
        <f>J93/$J$85</f>
        <v/>
      </c>
      <c r="L93" s="114">
        <f>'2024_60-69 ΕΞΟΔΑ+ΟΜ 2'!O46</f>
        <v/>
      </c>
      <c r="M93" s="75">
        <f>L93/$L$85</f>
        <v/>
      </c>
      <c r="N93" s="65">
        <f>L93+'2026 Νοέμβριος'!N93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2'!O49</f>
        <v/>
      </c>
      <c r="E94" s="75">
        <f>D94/$D$85</f>
        <v/>
      </c>
      <c r="F94" s="114">
        <f>D94+'2026 Νοέμβριος'!F94</f>
        <v/>
      </c>
      <c r="G94" s="75">
        <f>F94/$F$85</f>
        <v/>
      </c>
      <c r="H94" s="56">
        <f>ΠΡΟΥΠΟΛΟΓΙΣΜΟΣ_ΕΞΟΔΑ!O227</f>
        <v/>
      </c>
      <c r="I94" s="401">
        <f>H94/$H$85</f>
        <v/>
      </c>
      <c r="J94" s="402">
        <f>'2026 Νοέμβριος'!J94</f>
        <v/>
      </c>
      <c r="K94" s="403">
        <f>J94/$J$85</f>
        <v/>
      </c>
      <c r="L94" s="114">
        <f>'2024_60-69 ΕΞΟΔΑ+ΟΜ 2'!O47</f>
        <v/>
      </c>
      <c r="M94" s="75">
        <f>L94/$L$85</f>
        <v/>
      </c>
      <c r="N94" s="65">
        <f>L94+'2026 Νοέμβριος'!N94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9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2'!O50</f>
        <v/>
      </c>
      <c r="E95" s="75">
        <f>D95/$D$85</f>
        <v/>
      </c>
      <c r="F95" s="114">
        <f>D95+'2026 Νοέμβριος'!F95</f>
        <v/>
      </c>
      <c r="G95" s="75">
        <f>F95/$F$85</f>
        <v/>
      </c>
      <c r="H95" s="118">
        <f>ΠΡΟΥΠΟΛΟΓΙΣΜΟΣ_ΕΞΟΔΑ!O232</f>
        <v/>
      </c>
      <c r="I95" s="401">
        <f>H95/$H$85</f>
        <v/>
      </c>
      <c r="J95" s="402">
        <f>'2026 Νοέμβριος'!J95</f>
        <v/>
      </c>
      <c r="K95" s="403">
        <f>J95/$J$85</f>
        <v/>
      </c>
      <c r="L95" s="114">
        <f>'2024_60-69 ΕΞΟΔΑ+ΟΜ 2'!O48</f>
        <v/>
      </c>
      <c r="M95" s="75">
        <f>L95/$L$85</f>
        <v/>
      </c>
      <c r="N95" s="65">
        <f>L95+'2026 Νοέμβριος'!N95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2'!O51</f>
        <v/>
      </c>
      <c r="E96" s="75">
        <f>D96/$D$85</f>
        <v/>
      </c>
      <c r="F96" s="114">
        <f>D96+'2026 Νοέμβριος'!F96</f>
        <v/>
      </c>
      <c r="G96" s="75">
        <f>F96/$F$85</f>
        <v/>
      </c>
      <c r="H96" s="56">
        <f>ΠΡΟΥΠΟΛΟΓΙΣΜΟΣ_ΕΞΟΔΑ!O237</f>
        <v/>
      </c>
      <c r="I96" s="401">
        <f>H96/$H$85</f>
        <v/>
      </c>
      <c r="J96" s="402">
        <f>'2026 Νοέμβριος'!J96</f>
        <v/>
      </c>
      <c r="K96" s="403">
        <f>J96/$J$85</f>
        <v/>
      </c>
      <c r="L96" s="114">
        <f>'2024_60-69 ΕΞΟΔΑ+ΟΜ 2'!O49</f>
        <v/>
      </c>
      <c r="M96" s="75">
        <f>L96/$L$85</f>
        <v/>
      </c>
      <c r="N96" s="65">
        <f>L96+'2026 Νοέμβριος'!N96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2'!O52</f>
        <v/>
      </c>
      <c r="E97" s="75">
        <f>D97/$D$85</f>
        <v/>
      </c>
      <c r="F97" s="114">
        <f>D97+'2026 Νοέμβριος'!F97</f>
        <v/>
      </c>
      <c r="G97" s="75">
        <f>F97/$F$85</f>
        <v/>
      </c>
      <c r="H97" s="56">
        <f>ΠΡΟΥΠΟΛΟΓΙΣΜΟΣ_ΕΞΟΔΑ!O242</f>
        <v/>
      </c>
      <c r="I97" s="401">
        <f>H97/$H$85</f>
        <v/>
      </c>
      <c r="J97" s="402">
        <f>'2026 Νοέμβριος'!J97</f>
        <v/>
      </c>
      <c r="K97" s="403">
        <f>J97/$J$85</f>
        <v/>
      </c>
      <c r="L97" s="114">
        <f>'2024_60-69 ΕΞΟΔΑ+ΟΜ 2'!O50</f>
        <v/>
      </c>
      <c r="M97" s="75">
        <f>L97/$L$85</f>
        <v/>
      </c>
      <c r="N97" s="65">
        <f>L97+'2026 Νοέμβριος'!N97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2'!O53</f>
        <v/>
      </c>
      <c r="E98" s="75">
        <f>D98/$D$85</f>
        <v/>
      </c>
      <c r="F98" s="114">
        <f>D98+'2026 Νοέμβριος'!F98</f>
        <v/>
      </c>
      <c r="G98" s="75">
        <f>F98/$F$85</f>
        <v/>
      </c>
      <c r="H98" s="56">
        <f>ΠΡΟΥΠΟΛΟΓΙΣΜΟΣ_ΕΞΟΔΑ!O247</f>
        <v/>
      </c>
      <c r="I98" s="401">
        <f>H98/$H$85</f>
        <v/>
      </c>
      <c r="J98" s="402">
        <f>'2026 Νοέμβριος'!J98</f>
        <v/>
      </c>
      <c r="K98" s="403">
        <f>J98/$J$85</f>
        <v/>
      </c>
      <c r="L98" s="114">
        <f>'2024_60-69 ΕΞΟΔΑ+ΟΜ 2'!O51</f>
        <v/>
      </c>
      <c r="M98" s="75">
        <f>L98/$L$85</f>
        <v/>
      </c>
      <c r="N98" s="65">
        <f>L98+'2026 Νοέμβριος'!N98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2'!O54</f>
        <v/>
      </c>
      <c r="E99" s="75">
        <f>D99/$D$85</f>
        <v/>
      </c>
      <c r="F99" s="114">
        <f>D99+'2026 Νοέμβριος'!F99</f>
        <v/>
      </c>
      <c r="G99" s="75">
        <f>F99/$F$85</f>
        <v/>
      </c>
      <c r="H99" s="56">
        <f>ΠΡΟΥΠΟΛΟΓΙΣΜΟΣ_ΕΞΟΔΑ!O252</f>
        <v/>
      </c>
      <c r="I99" s="401">
        <f>H99/$H$85</f>
        <v/>
      </c>
      <c r="J99" s="402">
        <f>'2026 Νοέμβριος'!J99</f>
        <v/>
      </c>
      <c r="K99" s="403">
        <f>J99/$J$85</f>
        <v/>
      </c>
      <c r="L99" s="114">
        <f>'2024_60-69 ΕΞΟΔΑ+ΟΜ 2'!O52</f>
        <v/>
      </c>
      <c r="M99" s="75">
        <f>L99/$L$85</f>
        <v/>
      </c>
      <c r="N99" s="65">
        <f>L99+'2026 Νοέμβριος'!N99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2'!O55</f>
        <v/>
      </c>
      <c r="E100" s="75">
        <f>D100/$D$85</f>
        <v/>
      </c>
      <c r="F100" s="114">
        <f>D100+'2026 Νοέμβριος'!F100</f>
        <v/>
      </c>
      <c r="G100" s="75">
        <f>F100/$F$85</f>
        <v/>
      </c>
      <c r="H100" s="56">
        <f>ΠΡΟΥΠΟΛΟΓΙΣΜΟΣ_ΕΞΟΔΑ!O257</f>
        <v/>
      </c>
      <c r="I100" s="401">
        <f>H100/$H$85</f>
        <v/>
      </c>
      <c r="J100" s="402">
        <f>'2026 Νοέμβριος'!J100</f>
        <v/>
      </c>
      <c r="K100" s="403">
        <f>J100/$J$85</f>
        <v/>
      </c>
      <c r="L100" s="114">
        <f>'2024_60-69 ΕΞΟΔΑ+ΟΜ 2'!O53</f>
        <v/>
      </c>
      <c r="M100" s="75">
        <f>L100/$L$85</f>
        <v/>
      </c>
      <c r="N100" s="65">
        <f>L100+'2026 Νοέμβριος'!N100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2'!O56</f>
        <v/>
      </c>
      <c r="E101" s="75">
        <f>D101/$D$85</f>
        <v/>
      </c>
      <c r="F101" s="114">
        <f>D101+'2026 Νοέμβριος'!F101</f>
        <v/>
      </c>
      <c r="G101" s="75">
        <f>F101/$F$85</f>
        <v/>
      </c>
      <c r="H101" s="56">
        <f>ΠΡΟΥΠΟΛΟΓΙΣΜΟΣ_ΕΞΟΔΑ!O262</f>
        <v/>
      </c>
      <c r="I101" s="401">
        <f>H101/$H$85</f>
        <v/>
      </c>
      <c r="J101" s="402">
        <f>'2026 Νοέμβριος'!J101</f>
        <v/>
      </c>
      <c r="K101" s="403">
        <f>J101/$J$85</f>
        <v/>
      </c>
      <c r="L101" s="114">
        <f>'2024_60-69 ΕΞΟΔΑ+ΟΜ 2'!O54</f>
        <v/>
      </c>
      <c r="M101" s="75">
        <f>L101/$L$85</f>
        <v/>
      </c>
      <c r="N101" s="65">
        <f>L101+'2026 Νοέμβριος'!N101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2'!O57</f>
        <v/>
      </c>
      <c r="E102" s="75">
        <f>D102/$D$85</f>
        <v/>
      </c>
      <c r="F102" s="114">
        <f>D102+'2026 Νοέμβριος'!F102</f>
        <v/>
      </c>
      <c r="G102" s="75">
        <f>F102/$F$85</f>
        <v/>
      </c>
      <c r="H102" s="56">
        <f>ΠΡΟΥΠΟΛΟΓΙΣΜΟΣ_ΕΞΟΔΑ!O267</f>
        <v/>
      </c>
      <c r="I102" s="401">
        <f>H102/$H$85</f>
        <v/>
      </c>
      <c r="J102" s="402">
        <f>'2026 Νοέμβριος'!J102</f>
        <v/>
      </c>
      <c r="K102" s="403">
        <f>J102/$J$85</f>
        <v/>
      </c>
      <c r="L102" s="114">
        <f>'2024_60-69 ΕΞΟΔΑ+ΟΜ 2'!O55</f>
        <v/>
      </c>
      <c r="M102" s="75">
        <f>L102/$L$85</f>
        <v/>
      </c>
      <c r="N102" s="65">
        <f>L102+'2026 Νοέμβριος'!N102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2'!O58</f>
        <v/>
      </c>
      <c r="E103" s="75">
        <f>D103/$D$85</f>
        <v/>
      </c>
      <c r="F103" s="114">
        <f>D103+'2026 Νοέμβριος'!F103</f>
        <v/>
      </c>
      <c r="G103" s="75">
        <f>F103/$F$85</f>
        <v/>
      </c>
      <c r="H103" s="56">
        <f>ΠΡΟΥΠΟΛΟΓΙΣΜΟΣ_ΕΞΟΔΑ!O272</f>
        <v/>
      </c>
      <c r="I103" s="401">
        <f>H103/$H$85</f>
        <v/>
      </c>
      <c r="J103" s="402">
        <f>'2026 Νοέμβριος'!J103</f>
        <v/>
      </c>
      <c r="K103" s="403">
        <f>J103/$J$85</f>
        <v/>
      </c>
      <c r="L103" s="114">
        <f>'2024_60-69 ΕΞΟΔΑ+ΟΜ 2'!O56</f>
        <v/>
      </c>
      <c r="M103" s="75">
        <f>L103/$L$85</f>
        <v/>
      </c>
      <c r="N103" s="65">
        <f>L103+'2026 Νοέμβριος'!N103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2'!O59</f>
        <v/>
      </c>
      <c r="E104" s="75">
        <f>D104/$D$85</f>
        <v/>
      </c>
      <c r="F104" s="114">
        <f>D104+'2026 Νοέμβριος'!F104</f>
        <v/>
      </c>
      <c r="G104" s="75">
        <f>F104/$F$85</f>
        <v/>
      </c>
      <c r="H104" s="56">
        <f>ΠΡΟΥΠΟΛΟΓΙΣΜΟΣ_ΕΞΟΔΑ!O277</f>
        <v/>
      </c>
      <c r="I104" s="401">
        <f>H104/$H$85</f>
        <v/>
      </c>
      <c r="J104" s="402">
        <f>'2026 Νοέμβριος'!J104</f>
        <v/>
      </c>
      <c r="K104" s="403">
        <f>J104/$J$85</f>
        <v/>
      </c>
      <c r="L104" s="114">
        <f>'2024_60-69 ΕΞΟΔΑ+ΟΜ 2'!O57</f>
        <v/>
      </c>
      <c r="M104" s="75">
        <f>L104/$L$85</f>
        <v/>
      </c>
      <c r="N104" s="65">
        <f>L104+'2026 Νοέμβριος'!N104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2'!O60</f>
        <v/>
      </c>
      <c r="E105" s="75">
        <f>D105/$D$85</f>
        <v/>
      </c>
      <c r="F105" s="114">
        <f>D105+'2026 Νοέμβριος'!F105</f>
        <v/>
      </c>
      <c r="G105" s="75">
        <f>F105/$F$85</f>
        <v/>
      </c>
      <c r="H105" s="56">
        <f>ΠΡΟΥΠΟΛΟΓΙΣΜΟΣ_ΕΞΟΔΑ!O282</f>
        <v/>
      </c>
      <c r="I105" s="401">
        <f>H105/$H$85</f>
        <v/>
      </c>
      <c r="J105" s="402">
        <f>'2026 Νοέμβριος'!J105</f>
        <v/>
      </c>
      <c r="K105" s="403">
        <f>J105/$J$85</f>
        <v/>
      </c>
      <c r="L105" s="114">
        <f>'2024_60-69 ΕΞΟΔΑ+ΟΜ 2'!O58</f>
        <v/>
      </c>
      <c r="M105" s="75">
        <f>L105/$L$85</f>
        <v/>
      </c>
      <c r="N105" s="65">
        <f>L105+'2026 Νοέμβριος'!N105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7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2'!O61</f>
        <v/>
      </c>
      <c r="E106" s="75">
        <f>D106/$D$85</f>
        <v/>
      </c>
      <c r="F106" s="114">
        <f>D106+'2026 Νοέμβριος'!F106</f>
        <v/>
      </c>
      <c r="G106" s="75">
        <f>F106/$F$85</f>
        <v/>
      </c>
      <c r="H106" s="56">
        <f>ΠΡΟΥΠΟΛΟΓΙΣΜΟΣ_ΕΞΟΔΑ!O287</f>
        <v/>
      </c>
      <c r="I106" s="401">
        <f>H106/$H$85</f>
        <v/>
      </c>
      <c r="J106" s="402">
        <f>'2026 Νοέμβριος'!J106</f>
        <v/>
      </c>
      <c r="K106" s="403">
        <f>J106/$J$85</f>
        <v/>
      </c>
      <c r="L106" s="114">
        <f>'2024_60-69 ΕΞΟΔΑ+ΟΜ 2'!O59</f>
        <v/>
      </c>
      <c r="M106" s="75">
        <f>L106/$L$85</f>
        <v/>
      </c>
      <c r="N106" s="65">
        <f>L106+'2026 Νοέμβριος'!N106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20">
        <f>ΑΝΤΙΣΤΟΙΧΙΣΗ!L213</f>
        <v/>
      </c>
      <c r="D107" s="114" t="n"/>
      <c r="E107" s="75" t="n"/>
      <c r="F107" s="114" t="n"/>
      <c r="G107" s="75" t="n"/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20">
        <f>ΑΝΤΙΣΤΟΙΧΙΣΗ!L214</f>
        <v/>
      </c>
      <c r="D108" s="114" t="n"/>
      <c r="E108" s="75" t="n"/>
      <c r="F108" s="114" t="n"/>
      <c r="G108" s="75" t="n"/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2'!O40</f>
        <v/>
      </c>
      <c r="E112" s="81" t="n"/>
      <c r="F112" s="64">
        <f>'2026_60-69 ΕΞΟΔΑ+ΟΜ 2'!AB40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ΑΝΤΙΣΤΟΙΧΙΣΗ!$F$117</f>
        <v/>
      </c>
      <c r="E115" s="551" t="n"/>
      <c r="F115" s="550" t="n"/>
      <c r="G115" s="107">
        <f>ΑΝΤΙΣΤΟΙΧΙΣΗ!$D$34</f>
        <v/>
      </c>
      <c r="H115" s="549">
        <f>ΑΝΤΙΣΤΟΙΧΙΣΗ!$F$117</f>
        <v/>
      </c>
      <c r="I115" s="551" t="n"/>
      <c r="J115" s="550" t="n"/>
      <c r="K115" s="107">
        <f>ΑΝΤΙΣΤΟΙΧΙΣΗ!$D$34</f>
        <v/>
      </c>
      <c r="L115" s="549">
        <f>ΑΝΤΙΣΤΟΙΧΙΣΗ!$F$131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1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2'!O71</f>
        <v/>
      </c>
      <c r="E118" s="75">
        <f>D118/$D$117</f>
        <v/>
      </c>
      <c r="F118" s="65">
        <f>D118+'2026 Νοέμβριος'!F118</f>
        <v/>
      </c>
      <c r="G118" s="75">
        <f>F118/$F$117</f>
        <v/>
      </c>
      <c r="H118" s="56">
        <f>ΠΡΟΥΠΟΛΟΓΙΣΜΟΣ_ΕΞΟΔΑ!O301</f>
        <v/>
      </c>
      <c r="I118" s="400">
        <f>H118/$H$117</f>
        <v/>
      </c>
      <c r="J118" s="65">
        <f>H118+'2026 Νοέμβριος'!J118</f>
        <v/>
      </c>
      <c r="K118" s="65">
        <f>J118/$J$117</f>
        <v/>
      </c>
      <c r="L118" s="56">
        <f>'2024_60-69 ΕΞΟΔΑ+ΟΜ 2'!O66</f>
        <v/>
      </c>
      <c r="M118" s="75">
        <f>L118/$L$117</f>
        <v/>
      </c>
      <c r="N118" s="65">
        <f>L118+'2026 Νοέμβριος'!N118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2'!O72</f>
        <v/>
      </c>
      <c r="E119" s="75">
        <f>D119/$D$117</f>
        <v/>
      </c>
      <c r="F119" s="65">
        <f>D119+'2026 Νοέμβριος'!F119</f>
        <v/>
      </c>
      <c r="G119" s="75">
        <f>F119/$F$117</f>
        <v/>
      </c>
      <c r="H119" s="56">
        <f>ΠΡΟΥΠΟΛΟΓΙΣΜΟΣ_ΕΞΟΔΑ!O306</f>
        <v/>
      </c>
      <c r="I119" s="400">
        <f>H119/$H$117</f>
        <v/>
      </c>
      <c r="J119" s="65">
        <f>H119+'2026 Νοέμβριος'!J119</f>
        <v/>
      </c>
      <c r="K119" s="65">
        <f>J119/$J$117</f>
        <v/>
      </c>
      <c r="L119" s="56">
        <f>'2024_60-69 ΕΞΟΔΑ+ΟΜ 2'!O67</f>
        <v/>
      </c>
      <c r="M119" s="75">
        <f>L119/$L$117</f>
        <v/>
      </c>
      <c r="N119" s="65">
        <f>L119+'2026 Νοέμβριος'!N119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2'!O73</f>
        <v/>
      </c>
      <c r="E120" s="75">
        <f>D120/$D$117</f>
        <v/>
      </c>
      <c r="F120" s="65">
        <f>D120+'2026 Νοέμβριος'!F120</f>
        <v/>
      </c>
      <c r="G120" s="75">
        <f>F120/$F$117</f>
        <v/>
      </c>
      <c r="H120" s="56">
        <f>ΠΡΟΥΠΟΛΟΓΙΣΜΟΣ_ΕΞΟΔΑ!O311</f>
        <v/>
      </c>
      <c r="I120" s="400">
        <f>H120/$H$117</f>
        <v/>
      </c>
      <c r="J120" s="65">
        <f>H120+'2026 Νοέμβριος'!J120</f>
        <v/>
      </c>
      <c r="K120" s="65">
        <f>J120/$J$117</f>
        <v/>
      </c>
      <c r="L120" s="56">
        <f>'2024_60-69 ΕΞΟΔΑ+ΟΜ 2'!O68</f>
        <v/>
      </c>
      <c r="M120" s="75">
        <f>L120/$L$117</f>
        <v/>
      </c>
      <c r="N120" s="65">
        <f>L120+'2026 Νοέμβριος'!N120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2'!O74</f>
        <v/>
      </c>
      <c r="E121" s="75">
        <f>D121/$D$117</f>
        <v/>
      </c>
      <c r="F121" s="65">
        <f>D121+'2026 Νοέμβριος'!F121</f>
        <v/>
      </c>
      <c r="G121" s="75">
        <f>F121/$F$117</f>
        <v/>
      </c>
      <c r="H121" s="56">
        <f>ΠΡΟΥΠΟΛΟΓΙΣΜΟΣ_ΕΞΟΔΑ!O316</f>
        <v/>
      </c>
      <c r="I121" s="400">
        <f>H121/$H$117</f>
        <v/>
      </c>
      <c r="J121" s="65">
        <f>H121+'2026 Νοέμβριος'!J121</f>
        <v/>
      </c>
      <c r="K121" s="65">
        <f>J121/$J$117</f>
        <v/>
      </c>
      <c r="L121" s="56">
        <f>'2024_60-69 ΕΞΟΔΑ+ΟΜ 2'!O69</f>
        <v/>
      </c>
      <c r="M121" s="75">
        <f>L121/$L$117</f>
        <v/>
      </c>
      <c r="N121" s="65">
        <f>L121+'2026 Νοέμβριος'!N121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2'!O75</f>
        <v/>
      </c>
      <c r="E122" s="75">
        <f>D122/$D$117</f>
        <v/>
      </c>
      <c r="F122" s="65">
        <f>D122+'2026 Νοέμβριος'!F122</f>
        <v/>
      </c>
      <c r="G122" s="75">
        <f>F122/$F$117</f>
        <v/>
      </c>
      <c r="H122" s="56">
        <f>ΠΡΟΥΠΟΛΟΓΙΣΜΟΣ_ΕΞΟΔΑ!O321</f>
        <v/>
      </c>
      <c r="I122" s="400">
        <f>H122/$H$117</f>
        <v/>
      </c>
      <c r="J122" s="65">
        <f>H122+'2026 Νοέμβριος'!J122</f>
        <v/>
      </c>
      <c r="K122" s="65">
        <f>J122/$J$117</f>
        <v/>
      </c>
      <c r="L122" s="56">
        <f>'2024_60-69 ΕΞΟΔΑ+ΟΜ 2'!O70</f>
        <v/>
      </c>
      <c r="M122" s="75">
        <f>L122/$L$117</f>
        <v/>
      </c>
      <c r="N122" s="65">
        <f>L122+'2026 Νοέμβριος'!N122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2'!O76</f>
        <v/>
      </c>
      <c r="E123" s="75">
        <f>D123/$D$117</f>
        <v/>
      </c>
      <c r="F123" s="65">
        <f>D123+'2026 Νοέμβριος'!F123</f>
        <v/>
      </c>
      <c r="G123" s="75">
        <f>F123/$F$117</f>
        <v/>
      </c>
      <c r="H123" s="56">
        <f>ΠΡΟΥΠΟΛΟΓΙΣΜΟΣ_ΕΞΟΔΑ!O326</f>
        <v/>
      </c>
      <c r="I123" s="400">
        <f>H123/$H$117</f>
        <v/>
      </c>
      <c r="J123" s="65">
        <f>H123+'2026 Νοέμβριος'!J123</f>
        <v/>
      </c>
      <c r="K123" s="65">
        <f>J123/$J$117</f>
        <v/>
      </c>
      <c r="L123" s="56">
        <f>'2024_60-69 ΕΞΟΔΑ+ΟΜ 2'!O71</f>
        <v/>
      </c>
      <c r="M123" s="75">
        <f>L123/$L$117</f>
        <v/>
      </c>
      <c r="N123" s="65">
        <f>L123+'2026 Νοέμβριος'!N123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2'!O77</f>
        <v/>
      </c>
      <c r="E124" s="75">
        <f>D124/$D$117</f>
        <v/>
      </c>
      <c r="F124" s="65">
        <f>D124+'2026 Νοέμβριος'!F124</f>
        <v/>
      </c>
      <c r="G124" s="75">
        <f>F124/$F$117</f>
        <v/>
      </c>
      <c r="H124" s="56">
        <f>ΠΡΟΥΠΟΛΟΓΙΣΜΟΣ_ΕΞΟΔΑ!O331</f>
        <v/>
      </c>
      <c r="I124" s="400">
        <f>H124/$H$117</f>
        <v/>
      </c>
      <c r="J124" s="65">
        <f>H124+'2026 Νοέμβριος'!J124</f>
        <v/>
      </c>
      <c r="K124" s="65">
        <f>J124/$J$117</f>
        <v/>
      </c>
      <c r="L124" s="56">
        <f>'2024_60-69 ΕΞΟΔΑ+ΟΜ 2'!O72</f>
        <v/>
      </c>
      <c r="M124" s="75">
        <f>L124/$L$117</f>
        <v/>
      </c>
      <c r="N124" s="65">
        <f>L124+'2026 Νοέμβριος'!N124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2'!O78</f>
        <v/>
      </c>
      <c r="E125" s="75">
        <f>D125/$D$117</f>
        <v/>
      </c>
      <c r="F125" s="65">
        <f>D125+'2026 Νοέμβριος'!F125</f>
        <v/>
      </c>
      <c r="G125" s="75">
        <f>F125/$F$117</f>
        <v/>
      </c>
      <c r="H125" s="56">
        <f>ΠΡΟΥΠΟΛΟΓΙΣΜΟΣ_ΕΞΟΔΑ!O336</f>
        <v/>
      </c>
      <c r="I125" s="400">
        <f>H125/$H$117</f>
        <v/>
      </c>
      <c r="J125" s="65">
        <f>H125+'2026 Νοέμβριος'!J125</f>
        <v/>
      </c>
      <c r="K125" s="65">
        <f>J125/$J$117</f>
        <v/>
      </c>
      <c r="L125" s="56">
        <f>'2024_60-69 ΕΞΟΔΑ+ΟΜ 2'!O73</f>
        <v/>
      </c>
      <c r="M125" s="75">
        <f>L125/$L$117</f>
        <v/>
      </c>
      <c r="N125" s="65">
        <f>L125+'2026 Νοέμβριος'!N125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2'!O79</f>
        <v/>
      </c>
      <c r="E126" s="75">
        <f>D126/$D$117</f>
        <v/>
      </c>
      <c r="F126" s="65">
        <f>D126+'2026 Νοέμβριος'!F126</f>
        <v/>
      </c>
      <c r="G126" s="75">
        <f>F126/$F$117</f>
        <v/>
      </c>
      <c r="H126" s="56">
        <f>ΠΡΟΥΠΟΛΟΓΙΣΜΟΣ_ΕΞΟΔΑ!O341</f>
        <v/>
      </c>
      <c r="I126" s="400">
        <f>H126/$H$117</f>
        <v/>
      </c>
      <c r="J126" s="65">
        <f>H126+'2026 Νοέμβριος'!J126</f>
        <v/>
      </c>
      <c r="K126" s="65">
        <f>J126/$J$117</f>
        <v/>
      </c>
      <c r="L126" s="56">
        <f>'2024_60-69 ΕΞΟΔΑ+ΟΜ 2'!O74</f>
        <v/>
      </c>
      <c r="M126" s="75">
        <f>L126/$L$117</f>
        <v/>
      </c>
      <c r="N126" s="65">
        <f>L126+'2026 Νοέμβριος'!N126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2'!O80</f>
        <v/>
      </c>
      <c r="E127" s="75">
        <f>D127/$D$117</f>
        <v/>
      </c>
      <c r="F127" s="65">
        <f>D127+'2026 Νοέμβριος'!F127</f>
        <v/>
      </c>
      <c r="G127" s="75">
        <f>F127/$F$117</f>
        <v/>
      </c>
      <c r="H127" s="56">
        <f>ΠΡΟΥΠΟΛΟΓΙΣΜΟΣ_ΕΞΟΔΑ!O346</f>
        <v/>
      </c>
      <c r="I127" s="400">
        <f>H127/$H$117</f>
        <v/>
      </c>
      <c r="J127" s="65">
        <f>H127+'2026 Νοέμβριος'!J127</f>
        <v/>
      </c>
      <c r="K127" s="65">
        <f>J127/$J$117</f>
        <v/>
      </c>
      <c r="L127" s="56">
        <f>'2024_60-69 ΕΞΟΔΑ+ΟΜ 2'!O75</f>
        <v/>
      </c>
      <c r="M127" s="75">
        <f>L127/$L$117</f>
        <v/>
      </c>
      <c r="N127" s="65">
        <f>L127+'2026 Νοέμβριος'!N127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2'!O81</f>
        <v/>
      </c>
      <c r="E128" s="75">
        <f>D128/$D$117</f>
        <v/>
      </c>
      <c r="F128" s="65">
        <f>D128+'2026 Νοέμβριος'!F128</f>
        <v/>
      </c>
      <c r="G128" s="75">
        <f>F128/$F$117</f>
        <v/>
      </c>
      <c r="H128" s="56">
        <f>ΠΡΟΥΠΟΛΟΓΙΣΜΟΣ_ΕΞΟΔΑ!O351</f>
        <v/>
      </c>
      <c r="I128" s="400">
        <f>H128/$H$117</f>
        <v/>
      </c>
      <c r="J128" s="65">
        <f>H128+'2026 Νοέμβριος'!J128</f>
        <v/>
      </c>
      <c r="K128" s="65">
        <f>J128/$J$117</f>
        <v/>
      </c>
      <c r="L128" s="56">
        <f>'2024_60-69 ΕΞΟΔΑ+ΟΜ 2'!O76</f>
        <v/>
      </c>
      <c r="M128" s="75">
        <f>L128/$L$117</f>
        <v/>
      </c>
      <c r="N128" s="65">
        <f>L128+'2026 Νοέμβριος'!N128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2'!O82</f>
        <v/>
      </c>
      <c r="E129" s="75">
        <f>D129/$D$117</f>
        <v/>
      </c>
      <c r="F129" s="65">
        <f>D129+'2026 Νοέμβριος'!F129</f>
        <v/>
      </c>
      <c r="G129" s="75">
        <f>F129/$F$117</f>
        <v/>
      </c>
      <c r="H129" s="56">
        <f>ΠΡΟΥΠΟΛΟΓΙΣΜΟΣ_ΕΞΟΔΑ!O356</f>
        <v/>
      </c>
      <c r="I129" s="400">
        <f>H129/$H$117</f>
        <v/>
      </c>
      <c r="J129" s="65">
        <f>H129+'2026 Νοέμβριος'!J129</f>
        <v/>
      </c>
      <c r="K129" s="65">
        <f>J129/$J$117</f>
        <v/>
      </c>
      <c r="L129" s="56">
        <f>'2024_60-69 ΕΞΟΔΑ+ΟΜ 2'!O77</f>
        <v/>
      </c>
      <c r="M129" s="75">
        <f>L129/$L$117</f>
        <v/>
      </c>
      <c r="N129" s="65">
        <f>L129+'2026 Νοέμβριος'!N129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2'!O83</f>
        <v/>
      </c>
      <c r="E130" s="75">
        <f>D130/$D$117</f>
        <v/>
      </c>
      <c r="F130" s="65">
        <f>D130+'2026 Νοέμβριος'!F130</f>
        <v/>
      </c>
      <c r="G130" s="75">
        <f>F130/$F$117</f>
        <v/>
      </c>
      <c r="H130" s="56">
        <f>ΠΡΟΥΠΟΛΟΓΙΣΜΟΣ_ΕΞΟΔΑ!O361</f>
        <v/>
      </c>
      <c r="I130" s="400">
        <f>H130/$H$117</f>
        <v/>
      </c>
      <c r="J130" s="65">
        <f>H130+'2026 Νοέμβριος'!J130</f>
        <v/>
      </c>
      <c r="K130" s="65">
        <f>J130/$J$117</f>
        <v/>
      </c>
      <c r="L130" s="56">
        <f>'2024_60-69 ΕΞΟΔΑ+ΟΜ 2'!O78</f>
        <v/>
      </c>
      <c r="M130" s="75">
        <f>L130/$L$117</f>
        <v/>
      </c>
      <c r="N130" s="65">
        <f>L130+'2026 Νοέμβριος'!N130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2'!O84</f>
        <v/>
      </c>
      <c r="E131" s="75">
        <f>D131/$D$117</f>
        <v/>
      </c>
      <c r="F131" s="65">
        <f>D131+'2026 Νοέμβριος'!F131</f>
        <v/>
      </c>
      <c r="G131" s="75">
        <f>F131/$F$117</f>
        <v/>
      </c>
      <c r="H131" s="56">
        <f>ΠΡΟΥΠΟΛΟΓΙΣΜΟΣ_ΕΞΟΔΑ!O366</f>
        <v/>
      </c>
      <c r="I131" s="400">
        <f>H131/$H$117</f>
        <v/>
      </c>
      <c r="J131" s="65">
        <f>H131+'2026 Νοέμβριος'!J131</f>
        <v/>
      </c>
      <c r="K131" s="65">
        <f>J131/$J$117</f>
        <v/>
      </c>
      <c r="L131" s="56">
        <f>'2024_60-69 ΕΞΟΔΑ+ΟΜ 2'!O79</f>
        <v/>
      </c>
      <c r="M131" s="75">
        <f>L131/$L$117</f>
        <v/>
      </c>
      <c r="N131" s="65">
        <f>L131+'2026 Νοέμβριος'!N131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2'!O85</f>
        <v/>
      </c>
      <c r="E132" s="75">
        <f>D132/$D$117</f>
        <v/>
      </c>
      <c r="F132" s="65">
        <f>D132+'2026 Νοέμβριος'!F132</f>
        <v/>
      </c>
      <c r="G132" s="75">
        <f>F132/$F$117</f>
        <v/>
      </c>
      <c r="H132" s="56">
        <f>ΠΡΟΥΠΟΛΟΓΙΣΜΟΣ_ΕΞΟΔΑ!O371</f>
        <v/>
      </c>
      <c r="I132" s="400">
        <f>H132/$H$117</f>
        <v/>
      </c>
      <c r="J132" s="65">
        <f>H132+'2026 Νοέμβριος'!J132</f>
        <v/>
      </c>
      <c r="K132" s="65">
        <f>J132/$J$117</f>
        <v/>
      </c>
      <c r="L132" s="56">
        <f>'2024_60-69 ΕΞΟΔΑ+ΟΜ 2'!O80</f>
        <v/>
      </c>
      <c r="M132" s="75">
        <f>L132/$L$117</f>
        <v/>
      </c>
      <c r="N132" s="65">
        <f>L132+'2026 Νοέμβριος'!N132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2'!O86</f>
        <v/>
      </c>
      <c r="E133" s="75">
        <f>D133/$D$117</f>
        <v/>
      </c>
      <c r="F133" s="65">
        <f>D133+'2026 Νοέμβριος'!F133</f>
        <v/>
      </c>
      <c r="G133" s="75">
        <f>F133/$F$117</f>
        <v/>
      </c>
      <c r="H133" s="56">
        <f>ΠΡΟΥΠΟΛΟΓΙΣΜΟΣ_ΕΞΟΔΑ!O376</f>
        <v/>
      </c>
      <c r="I133" s="400">
        <f>H133/$H$117</f>
        <v/>
      </c>
      <c r="J133" s="65">
        <f>H133+'2026 Νοέμβριος'!J133</f>
        <v/>
      </c>
      <c r="K133" s="65">
        <f>J133/$J$117</f>
        <v/>
      </c>
      <c r="L133" s="56">
        <f>'2024_60-69 ΕΞΟΔΑ+ΟΜ 2'!O81</f>
        <v/>
      </c>
      <c r="M133" s="75">
        <f>L133/$L$117</f>
        <v/>
      </c>
      <c r="N133" s="65">
        <f>L133+'2026 Νοέμβριος'!N133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2'!O87</f>
        <v/>
      </c>
      <c r="E134" s="75">
        <f>D134/$D$117</f>
        <v/>
      </c>
      <c r="F134" s="65">
        <f>D134+'2026 Νοέμβριος'!F134</f>
        <v/>
      </c>
      <c r="G134" s="75">
        <f>F134/$F$117</f>
        <v/>
      </c>
      <c r="H134" s="56">
        <f>ΠΡΟΥΠΟΛΟΓΙΣΜΟΣ_ΕΞΟΔΑ!O381</f>
        <v/>
      </c>
      <c r="I134" s="400">
        <f>H134/$H$117</f>
        <v/>
      </c>
      <c r="J134" s="65">
        <f>H134+'2026 Νοέμβριος'!J134</f>
        <v/>
      </c>
      <c r="K134" s="65">
        <f>J134/$J$117</f>
        <v/>
      </c>
      <c r="L134" s="56">
        <f>'2024_60-69 ΕΞΟΔΑ+ΟΜ 2'!O82</f>
        <v/>
      </c>
      <c r="M134" s="75">
        <f>L134/$L$117</f>
        <v/>
      </c>
      <c r="N134" s="65">
        <f>L134+'2026 Νοέμβριος'!N134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2'!O88</f>
        <v/>
      </c>
      <c r="E135" s="75">
        <f>D135/$D$117</f>
        <v/>
      </c>
      <c r="F135" s="65">
        <f>D135+'2026 Νοέμβριος'!F135</f>
        <v/>
      </c>
      <c r="G135" s="75">
        <f>F135/$F$117</f>
        <v/>
      </c>
      <c r="H135" s="56">
        <f>ΠΡΟΥΠΟΛΟΓΙΣΜΟΣ_ΕΞΟΔΑ!O386</f>
        <v/>
      </c>
      <c r="I135" s="400">
        <f>H135/$H$117</f>
        <v/>
      </c>
      <c r="J135" s="65">
        <f>H135+'2026 Νοέμβριος'!J135</f>
        <v/>
      </c>
      <c r="K135" s="65">
        <f>J135/$J$117</f>
        <v/>
      </c>
      <c r="L135" s="56">
        <f>'2024_60-69 ΕΞΟΔΑ+ΟΜ 2'!O83</f>
        <v/>
      </c>
      <c r="M135" s="75">
        <f>L135/$L$117</f>
        <v/>
      </c>
      <c r="N135" s="65">
        <f>L135+'2026 Νοέμβριος'!N135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2'!O89</f>
        <v/>
      </c>
      <c r="E136" s="75">
        <f>D136/$D$117</f>
        <v/>
      </c>
      <c r="F136" s="65">
        <f>D136+'2026 Νοέμβριος'!F136</f>
        <v/>
      </c>
      <c r="G136" s="75">
        <f>F136/$F$117</f>
        <v/>
      </c>
      <c r="H136" s="56">
        <f>ΠΡΟΥΠΟΛΟΓΙΣΜΟΣ_ΕΞΟΔΑ!O391</f>
        <v/>
      </c>
      <c r="I136" s="400">
        <f>H136/$H$117</f>
        <v/>
      </c>
      <c r="J136" s="65">
        <f>H136+'2026 Νοέμβριος'!J136</f>
        <v/>
      </c>
      <c r="K136" s="65">
        <f>J136/$J$117</f>
        <v/>
      </c>
      <c r="L136" s="56">
        <f>'2024_60-69 ΕΞΟΔΑ+ΟΜ 2'!O84</f>
        <v/>
      </c>
      <c r="M136" s="75">
        <f>L136/$L$117</f>
        <v/>
      </c>
      <c r="N136" s="65">
        <f>L136+'2026 Νοέμβριος'!N136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2'!O90</f>
        <v/>
      </c>
      <c r="E137" s="75">
        <f>D137/$D$117</f>
        <v/>
      </c>
      <c r="F137" s="65">
        <f>D137+'2026 Νοέμβριος'!F137</f>
        <v/>
      </c>
      <c r="G137" s="75">
        <f>F137/$F$117</f>
        <v/>
      </c>
      <c r="H137" s="56">
        <f>ΠΡΟΥΠΟΛΟΓΙΣΜΟΣ_ΕΞΟΔΑ!O396</f>
        <v/>
      </c>
      <c r="I137" s="400">
        <f>H137/$H$117</f>
        <v/>
      </c>
      <c r="J137" s="65">
        <f>H137+'2026 Νοέμβριος'!J137</f>
        <v/>
      </c>
      <c r="K137" s="65">
        <f>J137/$J$117</f>
        <v/>
      </c>
      <c r="L137" s="56">
        <f>'2024_60-69 ΕΞΟΔΑ+ΟΜ 2'!O85</f>
        <v/>
      </c>
      <c r="M137" s="75">
        <f>L137/$L$117</f>
        <v/>
      </c>
      <c r="N137" s="65">
        <f>L137+'2026 Νοέμβριος'!N137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2'!O91</f>
        <v/>
      </c>
      <c r="E138" s="75">
        <f>D138/$D$117</f>
        <v/>
      </c>
      <c r="F138" s="65">
        <f>D138+'2026 Νοέμβριος'!F138</f>
        <v/>
      </c>
      <c r="G138" s="75">
        <f>F138/$F$117</f>
        <v/>
      </c>
      <c r="H138" s="56">
        <f>ΠΡΟΥΠΟΛΟΓΙΣΜΟΣ_ΕΞΟΔΑ!O401</f>
        <v/>
      </c>
      <c r="I138" s="400">
        <f>H138/$H$117</f>
        <v/>
      </c>
      <c r="J138" s="65">
        <f>H138+'2026 Νοέμβριος'!J138</f>
        <v/>
      </c>
      <c r="K138" s="65">
        <f>J138/$J$117</f>
        <v/>
      </c>
      <c r="L138" s="56">
        <f>'2024_60-69 ΕΞΟΔΑ+ΟΜ 2'!O86</f>
        <v/>
      </c>
      <c r="M138" s="75">
        <f>L138/$L$117</f>
        <v/>
      </c>
      <c r="N138" s="65">
        <f>L138+'2026 Νοέμβριος'!N138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2'!O92</f>
        <v/>
      </c>
      <c r="E139" s="75">
        <f>D139/$D$117</f>
        <v/>
      </c>
      <c r="F139" s="65">
        <f>D139+'2026 Νοέμβριος'!F139</f>
        <v/>
      </c>
      <c r="G139" s="75">
        <f>F139/$F$117</f>
        <v/>
      </c>
      <c r="H139" s="56">
        <f>ΠΡΟΥΠΟΛΟΓΙΣΜΟΣ_ΕΞΟΔΑ!O406</f>
        <v/>
      </c>
      <c r="I139" s="400">
        <f>H139/$H$117</f>
        <v/>
      </c>
      <c r="J139" s="65">
        <f>H139+'2026 Νοέμβριος'!J139</f>
        <v/>
      </c>
      <c r="K139" s="65">
        <f>J139/$J$117</f>
        <v/>
      </c>
      <c r="L139" s="56">
        <f>'2024_60-69 ΕΞΟΔΑ+ΟΜ 2'!O87</f>
        <v/>
      </c>
      <c r="M139" s="75">
        <f>L139/$L$117</f>
        <v/>
      </c>
      <c r="N139" s="65">
        <f>L139+'2026 Νοέμβριος'!N139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2'!O93</f>
        <v/>
      </c>
      <c r="E140" s="75">
        <f>D140/$D$117</f>
        <v/>
      </c>
      <c r="F140" s="65">
        <f>D140+'2026 Νοέμβριος'!F140</f>
        <v/>
      </c>
      <c r="G140" s="75">
        <f>F140/$F$117</f>
        <v/>
      </c>
      <c r="H140" s="56">
        <f>ΠΡΟΥΠΟΛΟΓΙΣΜΟΣ_ΕΞΟΔΑ!O411</f>
        <v/>
      </c>
      <c r="I140" s="400">
        <f>H140/$H$117</f>
        <v/>
      </c>
      <c r="J140" s="65">
        <f>H140+'2026 Νοέμβριος'!J140</f>
        <v/>
      </c>
      <c r="K140" s="65">
        <f>J140/$J$117</f>
        <v/>
      </c>
      <c r="L140" s="56">
        <f>'2024_60-69 ΕΞΟΔΑ+ΟΜ 2'!O88</f>
        <v/>
      </c>
      <c r="M140" s="75">
        <f>L140/$L$117</f>
        <v/>
      </c>
      <c r="N140" s="65">
        <f>L140+'2026 Νοέμβριος'!N140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2'!O94</f>
        <v/>
      </c>
      <c r="E141" s="75">
        <f>D141/$D$117</f>
        <v/>
      </c>
      <c r="F141" s="65">
        <f>D141+'2026 Νοέμβριος'!F141</f>
        <v/>
      </c>
      <c r="G141" s="75">
        <f>F141/$F$117</f>
        <v/>
      </c>
      <c r="H141" s="56">
        <f>ΠΡΟΥΠΟΛΟΓΙΣΜΟΣ_ΕΞΟΔΑ!O416</f>
        <v/>
      </c>
      <c r="I141" s="400">
        <f>H141/$H$117</f>
        <v/>
      </c>
      <c r="J141" s="65">
        <f>H141+'2026 Νοέμβριος'!J141</f>
        <v/>
      </c>
      <c r="K141" s="65">
        <f>J141/$J$117</f>
        <v/>
      </c>
      <c r="L141" s="56">
        <f>'2024_60-69 ΕΞΟΔΑ+ΟΜ 2'!O89</f>
        <v/>
      </c>
      <c r="M141" s="75">
        <f>L141/$L$117</f>
        <v/>
      </c>
      <c r="N141" s="65">
        <f>L141+'2026 Νοέμβριος'!N141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2'!O95</f>
        <v/>
      </c>
      <c r="E142" s="75">
        <f>D142/$D$117</f>
        <v/>
      </c>
      <c r="F142" s="65">
        <f>D142+'2026 Νοέμβριος'!F142</f>
        <v/>
      </c>
      <c r="G142" s="75">
        <f>F142/$F$117</f>
        <v/>
      </c>
      <c r="H142" s="56">
        <f>ΠΡΟΥΠΟΛΟΓΙΣΜΟΣ_ΕΞΟΔΑ!O421</f>
        <v/>
      </c>
      <c r="I142" s="400">
        <f>H142/$H$117</f>
        <v/>
      </c>
      <c r="J142" s="65">
        <f>H142+'2026 Νοέμβριος'!J142</f>
        <v/>
      </c>
      <c r="K142" s="65">
        <f>J142/$J$117</f>
        <v/>
      </c>
      <c r="L142" s="56">
        <f>'2024_60-69 ΕΞΟΔΑ+ΟΜ 2'!O90</f>
        <v/>
      </c>
      <c r="M142" s="75">
        <f>L142/$L$117</f>
        <v/>
      </c>
      <c r="N142" s="65">
        <f>L142+'2026 Νοέμβριος'!N142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42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2'!O96</f>
        <v/>
      </c>
      <c r="E143" s="75">
        <f>D143/$D$117</f>
        <v/>
      </c>
      <c r="F143" s="65">
        <f>D143+'2026 Νοέμβριος'!F143</f>
        <v/>
      </c>
      <c r="G143" s="75">
        <f>F143/$F$117</f>
        <v/>
      </c>
      <c r="H143" s="56">
        <f>ΠΡΟΥΠΟΛΟΓΙΣΜΟΣ_ΕΞΟΔΑ!O426</f>
        <v/>
      </c>
      <c r="I143" s="400">
        <f>H143/$H$117</f>
        <v/>
      </c>
      <c r="J143" s="65">
        <f>H143+'2026 Νοέμβριος'!J143</f>
        <v/>
      </c>
      <c r="K143" s="65">
        <f>J143/$J$117</f>
        <v/>
      </c>
      <c r="L143" s="56">
        <f>'2024_60-69 ΕΞΟΔΑ+ΟΜ 2'!O91</f>
        <v/>
      </c>
      <c r="M143" s="75">
        <f>L143/$L$117</f>
        <v/>
      </c>
      <c r="N143" s="65">
        <f>L143+'2026 Νοέμβριος'!N143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42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2'!O97</f>
        <v/>
      </c>
      <c r="E144" s="75">
        <f>D144/$D$117</f>
        <v/>
      </c>
      <c r="F144" s="65">
        <f>D144+'2026 Νοέμβριος'!F144</f>
        <v/>
      </c>
      <c r="G144" s="75">
        <f>F144/$F$117</f>
        <v/>
      </c>
      <c r="H144" s="56">
        <f>ΠΡΟΥΠΟΛΟΓΙΣΜΟΣ_ΕΞΟΔΑ!O431</f>
        <v/>
      </c>
      <c r="I144" s="400">
        <f>H144/$H$117</f>
        <v/>
      </c>
      <c r="J144" s="65">
        <f>H144+'2026 Νοέμβριος'!J144</f>
        <v/>
      </c>
      <c r="K144" s="65">
        <f>J144/$J$117</f>
        <v/>
      </c>
      <c r="L144" s="56">
        <f>'2024_60-69 ΕΞΟΔΑ+ΟΜ 2'!O92</f>
        <v/>
      </c>
      <c r="M144" s="75">
        <f>L144/$L$117</f>
        <v/>
      </c>
      <c r="N144" s="65">
        <f>L144+'2026 Νοέμβριος'!N144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2'!O98</f>
        <v/>
      </c>
      <c r="E145" s="75">
        <f>D145/$D$117</f>
        <v/>
      </c>
      <c r="F145" s="65">
        <f>D145+'2026 Νοέμβριος'!F145</f>
        <v/>
      </c>
      <c r="G145" s="75">
        <f>F145/$F$117</f>
        <v/>
      </c>
      <c r="H145" s="56">
        <f>ΠΡΟΥΠΟΛΟΓΙΣΜΟΣ_ΕΞΟΔΑ!O436</f>
        <v/>
      </c>
      <c r="I145" s="400">
        <f>H145/$H$117</f>
        <v/>
      </c>
      <c r="J145" s="65">
        <f>H145+'2026 Νοέμβριος'!J145</f>
        <v/>
      </c>
      <c r="K145" s="65">
        <f>J145/$J$117</f>
        <v/>
      </c>
      <c r="L145" s="56">
        <f>'2024_60-69 ΕΞΟΔΑ+ΟΜ 2'!O93</f>
        <v/>
      </c>
      <c r="M145" s="75">
        <f>L145/$L$117</f>
        <v/>
      </c>
      <c r="N145" s="65">
        <f>L145+'2026 Νοέμβριος'!N145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2'!O99</f>
        <v/>
      </c>
      <c r="E146" s="75">
        <f>D146/$D$117</f>
        <v/>
      </c>
      <c r="F146" s="65">
        <f>D146+'2026 Νοέμβριος'!F146</f>
        <v/>
      </c>
      <c r="G146" s="75">
        <f>F146/$F$117</f>
        <v/>
      </c>
      <c r="H146" s="56">
        <f>ΠΡΟΥΠΟΛΟΓΙΣΜΟΣ_ΕΞΟΔΑ!O441</f>
        <v/>
      </c>
      <c r="I146" s="400">
        <f>H146/$H$117</f>
        <v/>
      </c>
      <c r="J146" s="65">
        <f>H146+'2026 Νοέμβριος'!J146</f>
        <v/>
      </c>
      <c r="K146" s="65">
        <f>J146/$J$117</f>
        <v/>
      </c>
      <c r="L146" s="56">
        <f>'2024_60-69 ΕΞΟΔΑ+ΟΜ 2'!O94</f>
        <v/>
      </c>
      <c r="M146" s="75">
        <f>L146/$L$117</f>
        <v/>
      </c>
      <c r="N146" s="65">
        <f>L146+'2026 Νοέμβριος'!N146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2'!O100</f>
        <v/>
      </c>
      <c r="E147" s="75">
        <f>D147/$D$117</f>
        <v/>
      </c>
      <c r="F147" s="65">
        <f>D147+'2026 Νοέμβριος'!F147</f>
        <v/>
      </c>
      <c r="G147" s="75">
        <f>F147/$F$117</f>
        <v/>
      </c>
      <c r="H147" s="56">
        <f>ΠΡΟΥΠΟΛΟΓΙΣΜΟΣ_ΕΞΟΔΑ!O446</f>
        <v/>
      </c>
      <c r="I147" s="400">
        <f>H147/$H$117</f>
        <v/>
      </c>
      <c r="J147" s="65">
        <f>H147+'2026 Νοέμβριος'!J147</f>
        <v/>
      </c>
      <c r="K147" s="65">
        <f>J147/$J$117</f>
        <v/>
      </c>
      <c r="L147" s="56">
        <f>'2024_60-69 ΕΞΟΔΑ+ΟΜ 2'!O95</f>
        <v/>
      </c>
      <c r="M147" s="75">
        <f>L147/$L$117</f>
        <v/>
      </c>
      <c r="N147" s="65">
        <f>L147+'2026 Νοέμβριος'!N147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2'!O101</f>
        <v/>
      </c>
      <c r="E148" s="75">
        <f>D148/$D$117</f>
        <v/>
      </c>
      <c r="F148" s="65">
        <f>D148+'2026 Νοέμβριος'!F148</f>
        <v/>
      </c>
      <c r="G148" s="75">
        <f>F148/$F$117</f>
        <v/>
      </c>
      <c r="H148" s="56">
        <f>ΠΡΟΥΠΟΛΟΓΙΣΜΟΣ_ΕΞΟΔΑ!O451</f>
        <v/>
      </c>
      <c r="I148" s="400">
        <f>H148/$H$117</f>
        <v/>
      </c>
      <c r="J148" s="65">
        <f>H148+'2026 Νοέμβριος'!J148</f>
        <v/>
      </c>
      <c r="K148" s="65">
        <f>J148/$J$117</f>
        <v/>
      </c>
      <c r="L148" s="56">
        <f>'2024_60-69 ΕΞΟΔΑ+ΟΜ 2'!O96</f>
        <v/>
      </c>
      <c r="M148" s="75">
        <f>L148/$L$117</f>
        <v/>
      </c>
      <c r="N148" s="65">
        <f>L148+'2026 Νοέμβριος'!N148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2'!O102</f>
        <v/>
      </c>
      <c r="E149" s="75">
        <f>D149/$D$117</f>
        <v/>
      </c>
      <c r="F149" s="65">
        <f>D149+'2026 Νοέμβριος'!F149</f>
        <v/>
      </c>
      <c r="G149" s="75">
        <f>F149/$F$117</f>
        <v/>
      </c>
      <c r="H149" s="56">
        <f>ΠΡΟΥΠΟΛΟΓΙΣΜΟΣ_ΕΞΟΔΑ!O456</f>
        <v/>
      </c>
      <c r="I149" s="400">
        <f>H149/$H$117</f>
        <v/>
      </c>
      <c r="J149" s="65">
        <f>H149+'2026 Νοέμβριος'!J149</f>
        <v/>
      </c>
      <c r="K149" s="65">
        <f>J149/$J$117</f>
        <v/>
      </c>
      <c r="L149" s="56">
        <f>'2024_60-69 ΕΞΟΔΑ+ΟΜ 2'!O97</f>
        <v/>
      </c>
      <c r="M149" s="75">
        <f>L149/$L$117</f>
        <v/>
      </c>
      <c r="N149" s="65">
        <f>L149+'2026 Νοέμβριος'!N149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2'!O103</f>
        <v/>
      </c>
      <c r="E150" s="75">
        <f>D150/$D$117</f>
        <v/>
      </c>
      <c r="F150" s="65">
        <f>D150+'2026 Νοέμβριος'!F150</f>
        <v/>
      </c>
      <c r="G150" s="75">
        <f>F150/$F$117</f>
        <v/>
      </c>
      <c r="H150" s="56">
        <f>ΠΡΟΥΠΟΛΟΓΙΣΜΟΣ_ΕΞΟΔΑ!O461</f>
        <v/>
      </c>
      <c r="I150" s="400">
        <f>H150/$H$117</f>
        <v/>
      </c>
      <c r="J150" s="65">
        <f>H150+'2026 Νοέμβριος'!J150</f>
        <v/>
      </c>
      <c r="K150" s="65">
        <f>J150/$J$117</f>
        <v/>
      </c>
      <c r="L150" s="56">
        <f>'2024_60-69 ΕΞΟΔΑ+ΟΜ 2'!O98</f>
        <v/>
      </c>
      <c r="M150" s="75">
        <f>L150/$L$117</f>
        <v/>
      </c>
      <c r="N150" s="65">
        <f>L150+'2026 Νοέμβριος'!N150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2'!O104</f>
        <v/>
      </c>
      <c r="E151" s="75">
        <f>D151/$D$117</f>
        <v/>
      </c>
      <c r="F151" s="65">
        <f>D151+'2026 Νοέμβριος'!F151</f>
        <v/>
      </c>
      <c r="G151" s="75">
        <f>F151/$F$117</f>
        <v/>
      </c>
      <c r="H151" s="56">
        <f>ΠΡΟΥΠΟΛΟΓΙΣΜΟΣ_ΕΞΟΔΑ!O466</f>
        <v/>
      </c>
      <c r="I151" s="400">
        <f>H151/$H$117</f>
        <v/>
      </c>
      <c r="J151" s="65">
        <f>H151+'2026 Νοέμβριος'!J151</f>
        <v/>
      </c>
      <c r="K151" s="65">
        <f>J151/$J$117</f>
        <v/>
      </c>
      <c r="L151" s="56">
        <f>'2024_60-69 ΕΞΟΔΑ+ΟΜ 2'!O99</f>
        <v/>
      </c>
      <c r="M151" s="75">
        <f>L151/$L$117</f>
        <v/>
      </c>
      <c r="N151" s="65">
        <f>L151+'2026 Νοέμβριος'!N151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2'!O105</f>
        <v/>
      </c>
      <c r="E152" s="75">
        <f>D152/$D$158</f>
        <v/>
      </c>
      <c r="F152" s="65">
        <f>D152+'2026 Νοέμβριος'!F152</f>
        <v/>
      </c>
      <c r="G152" s="75">
        <f>F152/$F$117</f>
        <v/>
      </c>
      <c r="H152" s="56">
        <f>ΠΡΟΥΠΟΛΟΓΙΣΜΟΣ_ΕΞΟΔΑ!O471</f>
        <v/>
      </c>
      <c r="I152" s="400">
        <f>H152/$H$117</f>
        <v/>
      </c>
      <c r="J152" s="65">
        <f>H152+'2026 Νοέμβριος'!J152</f>
        <v/>
      </c>
      <c r="K152" s="65">
        <f>J152/$J$117</f>
        <v/>
      </c>
      <c r="L152" s="56">
        <f>'2024_60-69 ΕΞΟΔΑ+ΟΜ 2'!O100</f>
        <v/>
      </c>
      <c r="M152" s="75">
        <f>L152/$L$117</f>
        <v/>
      </c>
      <c r="N152" s="65">
        <f>L152+'2026 Νοέμβριος'!N152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2'!O106</f>
        <v/>
      </c>
      <c r="E153" s="75">
        <f>D153/$D$158</f>
        <v/>
      </c>
      <c r="F153" s="65">
        <f>D153+'2026 Νοέμβριος'!F153</f>
        <v/>
      </c>
      <c r="G153" s="75">
        <f>F153/$F$117</f>
        <v/>
      </c>
      <c r="H153" s="56">
        <f>ΠΡΟΥΠΟΛΟΓΙΣΜΟΣ_ΕΞΟΔΑ!O476</f>
        <v/>
      </c>
      <c r="I153" s="400">
        <f>H153/$H$117</f>
        <v/>
      </c>
      <c r="J153" s="65">
        <f>H153+'2026 Νοέμβριος'!J153</f>
        <v/>
      </c>
      <c r="K153" s="65">
        <f>J153/$J$117</f>
        <v/>
      </c>
      <c r="L153" s="56">
        <f>'2024_60-69 ΕΞΟΔΑ+ΟΜ 2'!O101</f>
        <v/>
      </c>
      <c r="M153" s="75">
        <f>L153/$L$117</f>
        <v/>
      </c>
      <c r="N153" s="65">
        <f>L153+'2026 Νοέμβριος'!N153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2'!O107</f>
        <v/>
      </c>
      <c r="E154" s="75">
        <f>D154/$D$158</f>
        <v/>
      </c>
      <c r="F154" s="65">
        <f>D154+'2026 Νοέμβριος'!F154</f>
        <v/>
      </c>
      <c r="G154" s="75">
        <f>F154/$F$117</f>
        <v/>
      </c>
      <c r="H154" s="56">
        <f>ΠΡΟΥΠΟΛΟΓΙΣΜΟΣ_ΕΞΟΔΑ!O481</f>
        <v/>
      </c>
      <c r="I154" s="400">
        <f>H154/$H$117</f>
        <v/>
      </c>
      <c r="J154" s="65">
        <f>H154+'2026 Νοέμβριος'!J154</f>
        <v/>
      </c>
      <c r="K154" s="65">
        <f>J154/$J$117</f>
        <v/>
      </c>
      <c r="L154" s="56">
        <f>'2024_60-69 ΕΞΟΔΑ+ΟΜ 2'!O102</f>
        <v/>
      </c>
      <c r="M154" s="75">
        <f>L154/$L$117</f>
        <v/>
      </c>
      <c r="N154" s="65">
        <f>L154+'2026 Νοέμβριος'!N154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2'!O108</f>
        <v/>
      </c>
      <c r="E155" s="75">
        <f>D155/$D$117</f>
        <v/>
      </c>
      <c r="F155" s="65">
        <f>D155+'2026 Νοέμβριος'!F155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2'!O70</f>
        <v/>
      </c>
      <c r="E158" s="81" t="n"/>
      <c r="F158" s="64">
        <f>'2026_60-69 ΕΞΟΔΑ+ΟΜ 2'!AB70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2" ht="15.75" customHeight="1">
      <c r="O162" s="103" t="n"/>
    </row>
    <row r="164" ht="15.75" customHeight="1">
      <c r="N164" s="101" t="n"/>
    </row>
    <row r="165" ht="15.75" customHeight="1">
      <c r="N165" s="102" t="n"/>
      <c r="O165" s="100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3"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opLeftCell="A204" zoomScale="70" zoomScaleNormal="70" workbookViewId="0">
      <selection activeCell="O227" sqref="O227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2026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2026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2026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inlineStr">
        <is>
          <t>Πρόβλεψη Μσθοδοσίας</t>
        </is>
      </c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2026-03-25T21:27:05Z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