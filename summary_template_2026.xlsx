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6" activeTab="12" autoFilterDateGrouping="1"/>
  </bookViews>
  <sheets>
    <sheet xmlns:r="http://schemas.openxmlformats.org/officeDocument/2006/relationships" name="2026 Ιανουάριος" sheetId="1" state="visible" r:id="rId1"/>
    <sheet xmlns:r="http://schemas.openxmlformats.org/officeDocument/2006/relationships" name="2026 Φεβρουάριος" sheetId="2" state="visible" r:id="rId2"/>
    <sheet xmlns:r="http://schemas.openxmlformats.org/officeDocument/2006/relationships" name="2026 Μάρτιος" sheetId="3" state="visible" r:id="rId3"/>
    <sheet xmlns:r="http://schemas.openxmlformats.org/officeDocument/2006/relationships" name="2026 Απρίλιος" sheetId="4" state="visible" r:id="rId4"/>
    <sheet xmlns:r="http://schemas.openxmlformats.org/officeDocument/2006/relationships" name="2026 Μάιος" sheetId="5" state="visible" r:id="rId5"/>
    <sheet xmlns:r="http://schemas.openxmlformats.org/officeDocument/2006/relationships" name="2026 Ιούνιος" sheetId="6" state="visible" r:id="rId6"/>
    <sheet xmlns:r="http://schemas.openxmlformats.org/officeDocument/2006/relationships" name="2026 Ιούλιος" sheetId="7" state="visible" r:id="rId7"/>
    <sheet xmlns:r="http://schemas.openxmlformats.org/officeDocument/2006/relationships" name="2026 Aύγουστος" sheetId="8" state="visible" r:id="rId8"/>
    <sheet xmlns:r="http://schemas.openxmlformats.org/officeDocument/2006/relationships" name="2026 Σεπτέμβριος" sheetId="9" state="visible" r:id="rId9"/>
    <sheet xmlns:r="http://schemas.openxmlformats.org/officeDocument/2006/relationships" name="2026 Οκτώβριος" sheetId="10" state="visible" r:id="rId10"/>
    <sheet xmlns:r="http://schemas.openxmlformats.org/officeDocument/2006/relationships" name="2026 Νοέμβριος" sheetId="11" state="visible" r:id="rId11"/>
    <sheet xmlns:r="http://schemas.openxmlformats.org/officeDocument/2006/relationships" name="2026 Δεκέμβριος" sheetId="12" state="visible" r:id="rId12"/>
    <sheet xmlns:r="http://schemas.openxmlformats.org/officeDocument/2006/relationships" name="Γενικό Αποτέλεσμα" sheetId="13" state="visible" r:id="rId13"/>
    <sheet xmlns:r="http://schemas.openxmlformats.org/officeDocument/2006/relationships" name="Διαφορές" sheetId="14" state="visible" r:id="rId14"/>
  </sheets>
  <externalReferences>
    <externalReference xmlns:r="http://schemas.openxmlformats.org/officeDocument/2006/relationships" r:id="rId15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ptos Narrow"/>
      <charset val="161"/>
      <family val="2"/>
      <color theme="1"/>
      <sz val="11"/>
      <scheme val="minor"/>
    </font>
    <font>
      <name val="Arial"/>
      <charset val="161"/>
      <family val="2"/>
      <b val="1"/>
      <sz val="14"/>
    </font>
    <font>
      <name val="Arial"/>
      <charset val="161"/>
      <family val="2"/>
      <sz val="9"/>
    </font>
    <font>
      <name val="Arial"/>
      <charset val="161"/>
      <family val="2"/>
      <b val="1"/>
      <sz val="11"/>
    </font>
    <font>
      <name val="Arial"/>
      <charset val="161"/>
      <family val="2"/>
      <b val="1"/>
      <sz val="9"/>
    </font>
    <font>
      <name val="Arial"/>
      <family val="2"/>
      <sz val="8"/>
    </font>
    <font>
      <name val="Arial"/>
      <family val="2"/>
      <b val="1"/>
      <sz val="11"/>
    </font>
    <font>
      <name val="Arial"/>
      <charset val="161"/>
      <family val="2"/>
      <b val="1"/>
      <sz val="12"/>
    </font>
    <font>
      <name val="Arial"/>
      <charset val="161"/>
      <family val="2"/>
      <sz val="11"/>
    </font>
    <font>
      <name val="Arial"/>
      <charset val="161"/>
      <family val="2"/>
      <sz val="10"/>
    </font>
    <font>
      <name val="Aptos Narrow"/>
      <charset val="161"/>
      <family val="2"/>
      <sz val="11"/>
      <scheme val="minor"/>
    </font>
    <font>
      <name val="Aptos Narrow"/>
      <charset val="161"/>
      <family val="2"/>
      <color theme="1"/>
      <sz val="11"/>
      <scheme val="minor"/>
    </font>
    <font>
      <name val="Aptos Narrow"/>
      <charset val="161"/>
      <family val="2"/>
      <color theme="1"/>
      <sz val="13"/>
      <scheme val="minor"/>
    </font>
    <font>
      <name val="Arial"/>
      <charset val="161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charset val="161"/>
      <family val="2"/>
      <b val="1"/>
      <color theme="1"/>
      <sz val="10"/>
    </font>
    <font>
      <name val="Arial"/>
      <family val="2"/>
      <sz val="10"/>
    </font>
    <font>
      <name val="Aptos Narrow"/>
      <charset val="161"/>
      <family val="2"/>
      <color theme="1"/>
      <sz val="20"/>
      <scheme val="minor"/>
    </font>
    <font>
      <name val="Aptos Narrow"/>
      <family val="2"/>
      <b val="1"/>
      <color theme="1"/>
      <sz val="20"/>
      <scheme val="minor"/>
    </font>
  </fonts>
  <fills count="1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lightGray">
        <bgColor rgb="FFFFC000"/>
      </patternFill>
    </fill>
    <fill>
      <patternFill patternType="solid">
        <fgColor rgb="FFFFFF00"/>
        <bgColor indexed="64"/>
      </patternFill>
    </fill>
    <fill>
      <patternFill patternType="lightGray"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lightGray">
        <bgColor theme="7" tint="0.7999511703848384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"/>
        <bgColor indexed="64"/>
      </patternFill>
    </fill>
  </fills>
  <borders count="13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</borders>
  <cellStyleXfs count="5">
    <xf numFmtId="0" fontId="11" fillId="0" borderId="0"/>
    <xf numFmtId="0" fontId="11" fillId="9" borderId="0"/>
    <xf numFmtId="0" fontId="11" fillId="10" borderId="0"/>
    <xf numFmtId="0" fontId="18" fillId="0" borderId="0"/>
    <xf numFmtId="9" fontId="18" fillId="0" borderId="0"/>
  </cellStyleXfs>
  <cellXfs count="19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3" fontId="6" fillId="2" borderId="1" applyAlignment="1" pivotButton="0" quotePrefix="0" xfId="0">
      <alignment horizontal="left" vertical="center" wrapText="1"/>
    </xf>
    <xf numFmtId="4" fontId="7" fillId="2" borderId="1" applyAlignment="1" pivotButton="0" quotePrefix="0" xfId="0">
      <alignment horizontal="center" vertical="center" wrapText="1"/>
    </xf>
    <xf numFmtId="4" fontId="7" fillId="3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left" vertical="center" wrapText="1"/>
    </xf>
    <xf numFmtId="4" fontId="7" fillId="4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4" fontId="5" fillId="6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3" fontId="4" fillId="7" borderId="1" applyAlignment="1" pivotButton="0" quotePrefix="0" xfId="0">
      <alignment vertical="center"/>
    </xf>
    <xf numFmtId="4" fontId="10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 shrinkToFit="1"/>
    </xf>
    <xf numFmtId="0" fontId="5" fillId="6" borderId="1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left" vertical="center" wrapText="1"/>
    </xf>
    <xf numFmtId="3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vertical="center" wrapText="1"/>
    </xf>
    <xf numFmtId="10" fontId="7" fillId="5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vertical="center" wrapText="1"/>
    </xf>
    <xf numFmtId="4" fontId="7" fillId="7" borderId="1" applyAlignment="1" pivotButton="0" quotePrefix="0" xfId="0">
      <alignment horizontal="center" vertical="center" wrapText="1" shrinkToFit="1"/>
    </xf>
    <xf numFmtId="3" fontId="7" fillId="8" borderId="1" applyAlignment="1" pivotButton="0" quotePrefix="0" xfId="0">
      <alignment horizontal="center" vertical="center" wrapText="1" shrinkToFit="1"/>
    </xf>
    <xf numFmtId="3" fontId="7" fillId="7" borderId="1" applyAlignment="1" pivotButton="0" quotePrefix="0" xfId="0">
      <alignment horizontal="center" vertical="center" wrapText="1" shrinkToFit="1"/>
    </xf>
    <xf numFmtId="3" fontId="4" fillId="6" borderId="1" applyAlignment="1" pivotButton="0" quotePrefix="0" xfId="0">
      <alignment vertical="center" shrinkToFit="1"/>
    </xf>
    <xf numFmtId="0" fontId="5" fillId="6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/>
    </xf>
    <xf numFmtId="4" fontId="4" fillId="6" borderId="1" applyAlignment="1" pivotButton="0" quotePrefix="0" xfId="0">
      <alignment horizontal="center" vertical="center" wrapText="1" shrinkToFit="1"/>
    </xf>
    <xf numFmtId="4" fontId="2" fillId="0" borderId="1" applyAlignment="1" pivotButton="0" quotePrefix="0" xfId="0">
      <alignment horizontal="center" vertical="center" wrapText="1"/>
    </xf>
    <xf numFmtId="4" fontId="6" fillId="2" borderId="1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4" fontId="0" fillId="0" borderId="6" pivotButton="0" quotePrefix="0" xfId="0"/>
    <xf numFmtId="0" fontId="0" fillId="0" borderId="6" pivotButton="0" quotePrefix="0" xfId="0"/>
    <xf numFmtId="0" fontId="8" fillId="0" borderId="7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8" fillId="0" borderId="7" applyAlignment="1" pivotButton="0" quotePrefix="0" xfId="0">
      <alignment horizontal="left" vertical="center" wrapText="1"/>
    </xf>
    <xf numFmtId="4" fontId="0" fillId="0" borderId="8" pivotButton="0" quotePrefix="0" xfId="0"/>
    <xf numFmtId="0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vertical="center" wrapText="1"/>
    </xf>
    <xf numFmtId="3" fontId="8" fillId="0" borderId="1" applyAlignment="1" pivotButton="0" quotePrefix="0" xfId="0">
      <alignment horizontal="left" vertical="center" wrapText="1"/>
    </xf>
    <xf numFmtId="0" fontId="11" fillId="9" borderId="0" pivotButton="0" quotePrefix="0" xfId="1"/>
    <xf numFmtId="0" fontId="11" fillId="10" borderId="1" pivotButton="0" quotePrefix="0" xfId="2"/>
    <xf numFmtId="0" fontId="11" fillId="10" borderId="1" pivotButton="0" quotePrefix="1" xfId="2"/>
    <xf numFmtId="0" fontId="11" fillId="10" borderId="5" applyAlignment="1" pivotButton="0" quotePrefix="0" xfId="2">
      <alignment horizontal="left" vertical="center" wrapText="1"/>
    </xf>
    <xf numFmtId="0" fontId="11" fillId="10" borderId="1" applyAlignment="1" pivotButton="0" quotePrefix="0" xfId="2">
      <alignment horizontal="left" vertical="center" wrapText="1"/>
    </xf>
    <xf numFmtId="3" fontId="8" fillId="0" borderId="9" applyAlignment="1" pivotButton="0" quotePrefix="0" xfId="0">
      <alignment horizontal="left" vertical="center" wrapText="1"/>
    </xf>
    <xf numFmtId="0" fontId="12" fillId="10" borderId="1" pivotButton="0" quotePrefix="0" xfId="2"/>
    <xf numFmtId="0" fontId="0" fillId="0" borderId="8" pivotButton="0" quotePrefix="0" xfId="0"/>
    <xf numFmtId="3" fontId="0" fillId="0" borderId="0" pivotButton="0" quotePrefix="0" xfId="0"/>
    <xf numFmtId="0" fontId="0" fillId="0" borderId="4" pivotButton="0" quotePrefix="0" xfId="0"/>
    <xf numFmtId="1" fontId="13" fillId="11" borderId="1" applyAlignment="1" pivotButton="0" quotePrefix="0" xfId="0">
      <alignment horizontal="center" vertical="center"/>
    </xf>
    <xf numFmtId="1" fontId="14" fillId="11" borderId="1" applyAlignment="1" pivotButton="0" quotePrefix="0" xfId="0">
      <alignment horizontal="center" vertical="center"/>
    </xf>
    <xf numFmtId="3" fontId="8" fillId="4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1" fontId="16" fillId="4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vertical="center" wrapText="1"/>
    </xf>
    <xf numFmtId="3" fontId="8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center" vertical="center"/>
    </xf>
    <xf numFmtId="3" fontId="3" fillId="12" borderId="1" applyAlignment="1" pivotButton="0" quotePrefix="0" xfId="0">
      <alignment horizontal="center" vertical="center"/>
    </xf>
    <xf numFmtId="3" fontId="1" fillId="4" borderId="1" applyAlignment="1" pivotButton="0" quotePrefix="0" xfId="0">
      <alignment horizontal="center" vertical="center"/>
    </xf>
    <xf numFmtId="3" fontId="8" fillId="0" borderId="1" applyAlignment="1" pivotButton="0" quotePrefix="1" xfId="0">
      <alignment horizontal="left" vertical="center" wrapText="1"/>
    </xf>
    <xf numFmtId="3" fontId="8" fillId="0" borderId="1" applyAlignment="1" pivotButton="0" quotePrefix="0" xfId="0">
      <alignment vertical="center"/>
    </xf>
    <xf numFmtId="4" fontId="8" fillId="0" borderId="1" applyAlignment="1" pivotButton="0" quotePrefix="0" xfId="0">
      <alignment horizontal="left" vertical="center" wrapText="1"/>
    </xf>
    <xf numFmtId="3" fontId="8" fillId="6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vertical="center" wrapText="1"/>
    </xf>
    <xf numFmtId="3" fontId="3" fillId="7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center" vertical="center" wrapText="1" shrinkToFit="1"/>
    </xf>
    <xf numFmtId="1" fontId="15" fillId="11" borderId="1" applyAlignment="1" pivotButton="0" quotePrefix="0" xfId="0">
      <alignment horizontal="center" vertical="center"/>
    </xf>
    <xf numFmtId="4" fontId="9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4" fontId="8" fillId="6" borderId="1" applyAlignment="1" pivotButton="0" quotePrefix="0" xfId="0">
      <alignment horizontal="center" vertical="center" wrapText="1"/>
    </xf>
    <xf numFmtId="3" fontId="8" fillId="0" borderId="1" applyAlignment="1" pivotButton="0" quotePrefix="0" xfId="0">
      <alignment vertical="center" wrapText="1"/>
    </xf>
    <xf numFmtId="10" fontId="5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left" vertical="center"/>
    </xf>
    <xf numFmtId="1" fontId="17" fillId="11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 wrapText="1"/>
    </xf>
    <xf numFmtId="3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3">
      <alignment vertical="center"/>
    </xf>
    <xf numFmtId="3" fontId="2" fillId="0" borderId="0" applyAlignment="1" pivotButton="0" quotePrefix="0" xfId="3">
      <alignment vertical="center"/>
    </xf>
    <xf numFmtId="3" fontId="2" fillId="0" borderId="0" applyAlignment="1" pivotButton="0" quotePrefix="0" xfId="3">
      <alignment horizontal="center" vertical="center"/>
    </xf>
    <xf numFmtId="0" fontId="18" fillId="0" borderId="0" pivotButton="0" quotePrefix="0" xfId="3"/>
    <xf numFmtId="4" fontId="7" fillId="3" borderId="1" applyAlignment="1" pivotButton="0" quotePrefix="0" xfId="3">
      <alignment horizontal="center" vertical="center" wrapText="1"/>
    </xf>
    <xf numFmtId="4" fontId="6" fillId="2" borderId="1" applyAlignment="1" pivotButton="0" quotePrefix="0" xfId="3">
      <alignment horizontal="center" vertical="center" wrapText="1"/>
    </xf>
    <xf numFmtId="3" fontId="6" fillId="2" borderId="1" applyAlignment="1" pivotButton="0" quotePrefix="0" xfId="3">
      <alignment horizontal="left" vertical="center" wrapText="1"/>
    </xf>
    <xf numFmtId="3" fontId="3" fillId="2" borderId="1" applyAlignment="1" pivotButton="0" quotePrefix="0" xfId="3">
      <alignment horizontal="center" vertical="center" wrapText="1"/>
    </xf>
    <xf numFmtId="4" fontId="7" fillId="5" borderId="1" applyAlignment="1" pivotButton="0" quotePrefix="0" xfId="3">
      <alignment horizontal="center" vertical="center" wrapText="1"/>
    </xf>
    <xf numFmtId="4" fontId="7" fillId="4" borderId="1" applyAlignment="1" pivotButton="0" quotePrefix="0" xfId="3">
      <alignment horizontal="center" vertical="center" wrapText="1"/>
    </xf>
    <xf numFmtId="3" fontId="6" fillId="4" borderId="1" applyAlignment="1" pivotButton="0" quotePrefix="0" xfId="3">
      <alignment horizontal="left" vertical="center" wrapText="1"/>
    </xf>
    <xf numFmtId="3" fontId="3" fillId="4" borderId="1" applyAlignment="1" pivotButton="0" quotePrefix="0" xfId="3">
      <alignment horizontal="center" vertical="center" wrapText="1"/>
    </xf>
    <xf numFmtId="4" fontId="2" fillId="0" borderId="1" applyAlignment="1" pivotButton="0" quotePrefix="0" xfId="3">
      <alignment horizontal="center" vertical="center" wrapText="1"/>
    </xf>
    <xf numFmtId="4" fontId="5" fillId="6" borderId="1" applyAlignment="1" pivotButton="0" quotePrefix="0" xfId="3">
      <alignment horizontal="center" vertical="center" wrapText="1"/>
    </xf>
    <xf numFmtId="10" fontId="5" fillId="6" borderId="1" applyAlignment="1" pivotButton="0" quotePrefix="0" xfId="3">
      <alignment horizontal="center" vertical="center" wrapText="1"/>
    </xf>
    <xf numFmtId="4" fontId="10" fillId="6" borderId="1" applyAlignment="1" pivotButton="0" quotePrefix="0" xfId="3">
      <alignment horizontal="center" vertical="center" wrapText="1"/>
    </xf>
    <xf numFmtId="4" fontId="4" fillId="6" borderId="1" applyAlignment="1" pivotButton="0" quotePrefix="0" xfId="3">
      <alignment horizontal="center" vertical="center" wrapText="1" shrinkToFit="1"/>
    </xf>
    <xf numFmtId="3" fontId="8" fillId="0" borderId="1" applyAlignment="1" pivotButton="0" quotePrefix="0" xfId="3">
      <alignment horizontal="left" vertical="center" wrapText="1"/>
    </xf>
    <xf numFmtId="0" fontId="8" fillId="0" borderId="1" applyAlignment="1" pivotButton="0" quotePrefix="0" xfId="3">
      <alignment horizontal="center" vertical="center"/>
    </xf>
    <xf numFmtId="3" fontId="8" fillId="0" borderId="1" applyAlignment="1" pivotButton="0" quotePrefix="0" xfId="3">
      <alignment vertical="center"/>
    </xf>
    <xf numFmtId="4" fontId="8" fillId="0" borderId="1" applyAlignment="1" pivotButton="0" quotePrefix="0" xfId="3">
      <alignment horizontal="left" vertical="center" wrapText="1"/>
    </xf>
    <xf numFmtId="0" fontId="18" fillId="0" borderId="0" pivotButton="0" quotePrefix="1" xfId="3"/>
    <xf numFmtId="3" fontId="8" fillId="0" borderId="1" applyAlignment="1" pivotButton="0" quotePrefix="1" xfId="3">
      <alignment horizontal="left" vertical="center" wrapText="1"/>
    </xf>
    <xf numFmtId="0" fontId="8" fillId="0" borderId="1" applyAlignment="1" pivotButton="0" quotePrefix="0" xfId="3">
      <alignment horizontal="left" vertical="center" wrapText="1"/>
    </xf>
    <xf numFmtId="3" fontId="7" fillId="4" borderId="1" applyAlignment="1" pivotButton="0" quotePrefix="0" xfId="3">
      <alignment horizontal="center" vertical="center"/>
    </xf>
    <xf numFmtId="3" fontId="3" fillId="4" borderId="1" applyAlignment="1" pivotButton="0" quotePrefix="0" xfId="3">
      <alignment horizontal="center" vertical="center"/>
    </xf>
    <xf numFmtId="0" fontId="5" fillId="12" borderId="1" applyAlignment="1" pivotButton="0" quotePrefix="0" xfId="3">
      <alignment vertical="center" wrapText="1"/>
    </xf>
    <xf numFmtId="0" fontId="3" fillId="12" borderId="1" applyAlignment="1" pivotButton="0" quotePrefix="0" xfId="3">
      <alignment horizontal="center" vertical="center" wrapText="1"/>
    </xf>
    <xf numFmtId="3" fontId="3" fillId="12" borderId="1" applyAlignment="1" pivotButton="0" quotePrefix="0" xfId="3">
      <alignment horizontal="center" vertical="center"/>
    </xf>
    <xf numFmtId="1" fontId="16" fillId="4" borderId="1" applyAlignment="1" pivotButton="0" quotePrefix="0" xfId="3">
      <alignment horizontal="center" vertical="center" wrapText="1"/>
    </xf>
    <xf numFmtId="3" fontId="6" fillId="4" borderId="1" applyAlignment="1" pivotButton="0" quotePrefix="0" xfId="3">
      <alignment horizontal="center" vertical="center"/>
    </xf>
    <xf numFmtId="1" fontId="15" fillId="11" borderId="1" applyAlignment="1" pivotButton="0" quotePrefix="0" xfId="3">
      <alignment horizontal="center" vertical="center"/>
    </xf>
    <xf numFmtId="1" fontId="17" fillId="11" borderId="1" applyAlignment="1" pivotButton="0" quotePrefix="0" xfId="3">
      <alignment horizontal="center" vertical="center"/>
    </xf>
    <xf numFmtId="3" fontId="4" fillId="4" borderId="1" applyAlignment="1" pivotButton="0" quotePrefix="0" xfId="3">
      <alignment vertical="center" wrapText="1"/>
    </xf>
    <xf numFmtId="3" fontId="7" fillId="4" borderId="1" applyAlignment="1" pivotButton="0" quotePrefix="0" xfId="3">
      <alignment vertical="center" wrapText="1"/>
    </xf>
    <xf numFmtId="4" fontId="2" fillId="0" borderId="1" applyAlignment="1" pivotButton="0" quotePrefix="0" xfId="3">
      <alignment vertical="center"/>
    </xf>
    <xf numFmtId="10" fontId="5" fillId="0" borderId="1" applyAlignment="1" pivotButton="0" quotePrefix="0" xfId="3">
      <alignment horizontal="center" vertical="center"/>
    </xf>
    <xf numFmtId="4" fontId="9" fillId="6" borderId="1" applyAlignment="1" pivotButton="0" quotePrefix="0" xfId="3">
      <alignment horizontal="center" vertical="center" wrapText="1"/>
    </xf>
    <xf numFmtId="10" fontId="2" fillId="0" borderId="1" applyAlignment="1" pivotButton="0" quotePrefix="0" xfId="3">
      <alignment horizontal="center" vertical="center"/>
    </xf>
    <xf numFmtId="4" fontId="2" fillId="0" borderId="1" applyAlignment="1" pivotButton="0" quotePrefix="0" xfId="3">
      <alignment horizontal="center" vertical="center"/>
    </xf>
    <xf numFmtId="3" fontId="8" fillId="0" borderId="1" applyAlignment="1" pivotButton="0" quotePrefix="0" xfId="3">
      <alignment horizontal="left" vertical="center"/>
    </xf>
    <xf numFmtId="3" fontId="8" fillId="0" borderId="1" applyAlignment="1" pivotButton="0" quotePrefix="0" xfId="3">
      <alignment vertical="center" wrapText="1"/>
    </xf>
    <xf numFmtId="0" fontId="5" fillId="6" borderId="1" applyAlignment="1" pivotButton="0" quotePrefix="0" xfId="3">
      <alignment vertical="center" wrapText="1"/>
    </xf>
    <xf numFmtId="3" fontId="4" fillId="6" borderId="1" applyAlignment="1" pivotButton="0" quotePrefix="0" xfId="3">
      <alignment vertical="center" shrinkToFit="1"/>
    </xf>
    <xf numFmtId="3" fontId="8" fillId="6" borderId="1" applyAlignment="1" pivotButton="0" quotePrefix="0" xfId="3">
      <alignment vertical="center" wrapText="1"/>
    </xf>
    <xf numFmtId="4" fontId="8" fillId="6" borderId="1" applyAlignment="1" pivotButton="0" quotePrefix="0" xfId="3">
      <alignment horizontal="center" vertical="center" wrapText="1"/>
    </xf>
    <xf numFmtId="0" fontId="8" fillId="0" borderId="1" applyAlignment="1" pivotButton="0" quotePrefix="0" xfId="3">
      <alignment vertical="center"/>
    </xf>
    <xf numFmtId="3" fontId="3" fillId="4" borderId="1" applyAlignment="1" pivotButton="0" quotePrefix="0" xfId="3">
      <alignment vertical="center" wrapText="1"/>
    </xf>
    <xf numFmtId="3" fontId="7" fillId="8" borderId="1" applyAlignment="1" pivotButton="0" quotePrefix="0" xfId="3">
      <alignment horizontal="center" vertical="center" wrapText="1" shrinkToFit="1"/>
    </xf>
    <xf numFmtId="4" fontId="7" fillId="7" borderId="1" applyAlignment="1" pivotButton="0" quotePrefix="0" xfId="3">
      <alignment horizontal="center" vertical="center" wrapText="1" shrinkToFit="1"/>
    </xf>
    <xf numFmtId="4" fontId="7" fillId="4" borderId="1" applyAlignment="1" pivotButton="0" quotePrefix="0" xfId="3">
      <alignment horizontal="center" vertical="center" wrapText="1" shrinkToFit="1"/>
    </xf>
    <xf numFmtId="3" fontId="7" fillId="7" borderId="1" applyAlignment="1" pivotButton="0" quotePrefix="0" xfId="3">
      <alignment horizontal="center" vertical="center" wrapText="1" shrinkToFit="1"/>
    </xf>
    <xf numFmtId="3" fontId="4" fillId="7" borderId="1" applyAlignment="1" pivotButton="0" quotePrefix="0" xfId="3">
      <alignment vertical="center"/>
    </xf>
    <xf numFmtId="3" fontId="3" fillId="7" borderId="1" applyAlignment="1" pivotButton="0" quotePrefix="0" xfId="3">
      <alignment horizontal="center" vertical="center"/>
    </xf>
    <xf numFmtId="10" fontId="7" fillId="5" borderId="1" applyAlignment="1" pivotButton="0" quotePrefix="0" xfId="3">
      <alignment horizontal="center" vertical="center" wrapText="1"/>
    </xf>
    <xf numFmtId="0" fontId="5" fillId="6" borderId="1" applyAlignment="1" pivotButton="0" quotePrefix="0" xfId="3">
      <alignment horizontal="center" vertical="center" wrapText="1"/>
    </xf>
    <xf numFmtId="3" fontId="4" fillId="6" borderId="1" applyAlignment="1" pivotButton="0" quotePrefix="0" xfId="3">
      <alignment horizontal="center" vertical="center" wrapText="1" shrinkToFit="1"/>
    </xf>
    <xf numFmtId="3" fontId="8" fillId="6" borderId="1" applyAlignment="1" pivotButton="0" quotePrefix="0" xfId="3">
      <alignment horizontal="left" vertical="center" wrapText="1"/>
    </xf>
    <xf numFmtId="3" fontId="1" fillId="4" borderId="1" applyAlignment="1" pivotButton="0" quotePrefix="0" xfId="3">
      <alignment horizontal="center" vertical="center"/>
    </xf>
    <xf numFmtId="1" fontId="14" fillId="11" borderId="1" applyAlignment="1" pivotButton="0" quotePrefix="0" xfId="3">
      <alignment horizontal="center" vertical="center"/>
    </xf>
    <xf numFmtId="4" fontId="2" fillId="6" borderId="1" applyAlignment="1" pivotButton="0" quotePrefix="0" xfId="3">
      <alignment horizontal="center" vertical="center"/>
    </xf>
    <xf numFmtId="4" fontId="7" fillId="2" borderId="1" applyAlignment="1" pivotButton="0" quotePrefix="0" xfId="3">
      <alignment horizontal="center" vertical="center" wrapText="1"/>
    </xf>
    <xf numFmtId="0" fontId="7" fillId="2" borderId="1" applyAlignment="1" pivotButton="0" quotePrefix="0" xfId="3">
      <alignment horizontal="center" vertical="center" wrapText="1"/>
    </xf>
    <xf numFmtId="3" fontId="3" fillId="2" borderId="1" applyAlignment="1" pivotButton="0" quotePrefix="0" xfId="3">
      <alignment horizontal="center" vertical="center"/>
    </xf>
    <xf numFmtId="3" fontId="8" fillId="2" borderId="1" applyAlignment="1" pivotButton="0" quotePrefix="0" xfId="3">
      <alignment horizontal="center" vertical="center"/>
    </xf>
    <xf numFmtId="3" fontId="8" fillId="4" borderId="1" applyAlignment="1" pivotButton="0" quotePrefix="0" xfId="3">
      <alignment horizontal="center" vertical="center"/>
    </xf>
    <xf numFmtId="1" fontId="13" fillId="11" borderId="1" applyAlignment="1" pivotButton="0" quotePrefix="0" xfId="3">
      <alignment horizontal="center" vertical="center"/>
    </xf>
    <xf numFmtId="0" fontId="2" fillId="0" borderId="1" applyAlignment="1" pivotButton="0" quotePrefix="0" xfId="3">
      <alignment vertical="center"/>
    </xf>
    <xf numFmtId="0" fontId="0" fillId="0" borderId="2" pivotButton="0" quotePrefix="0" xfId="0"/>
    <xf numFmtId="0" fontId="0" fillId="0" borderId="10" pivotButton="0" quotePrefix="0" xfId="0"/>
    <xf numFmtId="4" fontId="0" fillId="0" borderId="10" pivotButton="0" quotePrefix="0" xfId="0"/>
    <xf numFmtId="3" fontId="8" fillId="0" borderId="8" applyAlignment="1" pivotButton="0" quotePrefix="0" xfId="0">
      <alignment horizontal="left" vertical="center" wrapText="1"/>
    </xf>
    <xf numFmtId="0" fontId="0" fillId="0" borderId="0" pivotButton="0" quotePrefix="1" xfId="0"/>
    <xf numFmtId="4" fontId="7" fillId="6" borderId="0" applyAlignment="1" pivotButton="0" quotePrefix="0" xfId="0">
      <alignment vertical="center"/>
    </xf>
    <xf numFmtId="4" fontId="7" fillId="0" borderId="0" applyAlignment="1" pivotButton="0" quotePrefix="0" xfId="0">
      <alignment vertical="center"/>
    </xf>
    <xf numFmtId="3" fontId="7" fillId="0" borderId="0" applyAlignment="1" pivotButton="0" quotePrefix="0" xfId="0">
      <alignment vertical="center"/>
    </xf>
    <xf numFmtId="4" fontId="2" fillId="0" borderId="0" applyAlignment="1" pivotButton="0" quotePrefix="0" xfId="0">
      <alignment vertical="center"/>
    </xf>
    <xf numFmtId="0" fontId="12" fillId="10" borderId="8" pivotButton="0" quotePrefix="0" xfId="2"/>
    <xf numFmtId="3" fontId="0" fillId="0" borderId="6" pivotButton="0" quotePrefix="0" xfId="0"/>
    <xf numFmtId="0" fontId="19" fillId="13" borderId="0" pivotButton="0" quotePrefix="0" xfId="0"/>
    <xf numFmtId="0" fontId="11" fillId="2" borderId="0" pivotButton="0" quotePrefix="0" xfId="1"/>
    <xf numFmtId="0" fontId="20" fillId="2" borderId="0" pivotButton="0" quotePrefix="0" xfId="1"/>
    <xf numFmtId="0" fontId="0" fillId="14" borderId="0" pivotButton="0" quotePrefix="0" xfId="0"/>
    <xf numFmtId="0" fontId="20" fillId="14" borderId="0" pivotButton="0" quotePrefix="0" xfId="0"/>
    <xf numFmtId="0" fontId="0" fillId="11" borderId="1" pivotButton="0" quotePrefix="0" xfId="0"/>
    <xf numFmtId="4" fontId="0" fillId="11" borderId="1" pivotButton="0" quotePrefix="0" xfId="0"/>
    <xf numFmtId="4" fontId="0" fillId="11" borderId="0" pivotButton="0" quotePrefix="0" xfId="0"/>
    <xf numFmtId="0" fontId="0" fillId="11" borderId="0" pivotButton="0" quotePrefix="0" xfId="0"/>
    <xf numFmtId="4" fontId="0" fillId="11" borderId="8" pivotButton="0" quotePrefix="0" xfId="0"/>
    <xf numFmtId="4" fontId="0" fillId="11" borderId="10" pivotButton="0" quotePrefix="0" xfId="0"/>
    <xf numFmtId="0" fontId="12" fillId="15" borderId="1" pivotButton="0" quotePrefix="0" xfId="2"/>
    <xf numFmtId="0" fontId="0" fillId="2" borderId="0" pivotButton="0" quotePrefix="0" xfId="0"/>
    <xf numFmtId="3" fontId="16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3" fontId="15" fillId="11" borderId="1" applyAlignment="1" pivotButton="0" quotePrefix="0" xfId="0">
      <alignment horizontal="center" vertical="center" wrapText="1"/>
    </xf>
    <xf numFmtId="1" fontId="15" fillId="11" borderId="1" applyAlignment="1" pivotButton="0" quotePrefix="0" xfId="0">
      <alignment horizontal="center" vertical="center" wrapText="1"/>
    </xf>
    <xf numFmtId="3" fontId="15" fillId="11" borderId="1" applyAlignment="1" pivotButton="0" quotePrefix="0" xfId="3">
      <alignment horizontal="center" vertical="center" wrapText="1"/>
    </xf>
    <xf numFmtId="1" fontId="15" fillId="11" borderId="1" applyAlignment="1" pivotButton="0" quotePrefix="0" xfId="3">
      <alignment horizontal="center" vertical="center" wrapText="1"/>
    </xf>
    <xf numFmtId="3" fontId="16" fillId="4" borderId="1" applyAlignment="1" pivotButton="0" quotePrefix="0" xfId="3">
      <alignment horizontal="center" vertical="center" wrapText="1"/>
    </xf>
    <xf numFmtId="0" fontId="1" fillId="0" borderId="1" applyAlignment="1" pivotButton="0" quotePrefix="0" xfId="3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0" fillId="0" borderId="3" pivotButton="0" quotePrefix="0" xfId="0"/>
  </cellXfs>
  <cellStyles count="5">
    <cellStyle name="Normal" xfId="0" builtinId="0"/>
    <cellStyle name="60% - Accent1" xfId="1" builtinId="32"/>
    <cellStyle name="40% - Accent3" xfId="2" builtinId="39"/>
    <cellStyle name="Normal 2" xfId="3"/>
    <cellStyle name="Percent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externalLink" Target="/xl/externalLinks/externalLink1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isp\SBSFC\COMBINED_PH1PH2\template_phase_2_cleaned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ΠΡΟΥΠΟΛΟΓΙΣΜΟΣ_ΕΞΟΔΑ"/>
      <sheetName val="2025_ΕΣΟΔΑ"/>
      <sheetName val="2025_60-69 ΕΞΟΔΑ+ΟΜ 2"/>
      <sheetName val="2024_60-69 ΕΞΟΔΑ+ΟΜ 2"/>
      <sheetName val="ΠΡΟΥΠΟΛΟΓΙΣΜΟΣ_ΕΣΟΔΑ"/>
      <sheetName val="2025 Ιανουάριος"/>
      <sheetName val="2025 Φεβρουάριος"/>
      <sheetName val="2025 Μάρτιος"/>
      <sheetName val="2025 Απρίλιος"/>
      <sheetName val="2025 Μάιος"/>
      <sheetName val="2025 Ιούνιος"/>
      <sheetName val="2025 Ιούλιος"/>
      <sheetName val="2025 Aύγουστος"/>
      <sheetName val="2025 Σεπτέμβριος"/>
      <sheetName val="2025 Οκτώβριος"/>
      <sheetName val="2025 Νοέμβριος"/>
      <sheetName val="2025 Δεκέμβριος"/>
      <sheetName val="Sheet1"/>
      <sheetName val="ΑΝΤΙΣΤΟΙΧΙΣΗ"/>
    </sheetNames>
    <sheetDataSet>
      <sheetData sheetId="0"/>
      <sheetData sheetId="1">
        <row r="2">
          <cell r="C2">
            <v>19279.13</v>
          </cell>
          <cell r="D2">
            <v>19216.580000000002</v>
          </cell>
          <cell r="E2">
            <v>27450.501769911501</v>
          </cell>
          <cell r="F2">
            <v>60725.5</v>
          </cell>
          <cell r="G2">
            <v>64639.62</v>
          </cell>
        </row>
        <row r="3"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44.25</v>
          </cell>
        </row>
        <row r="4"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C5">
            <v>1388.93</v>
          </cell>
          <cell r="D5">
            <v>1411.53442477876</v>
          </cell>
          <cell r="E5">
            <v>2656.6371681415922</v>
          </cell>
          <cell r="F5">
            <v>3250.4424778761049</v>
          </cell>
          <cell r="G5">
            <v>4452.21</v>
          </cell>
        </row>
        <row r="6">
          <cell r="C6">
            <v>0</v>
          </cell>
          <cell r="D6">
            <v>1638.42</v>
          </cell>
          <cell r="E6">
            <v>0</v>
          </cell>
          <cell r="F6">
            <v>0</v>
          </cell>
          <cell r="G6">
            <v>587.21</v>
          </cell>
        </row>
        <row r="7">
          <cell r="C7">
            <v>0</v>
          </cell>
          <cell r="D7">
            <v>251.43</v>
          </cell>
          <cell r="E7">
            <v>354.56</v>
          </cell>
          <cell r="F7">
            <v>837.22</v>
          </cell>
          <cell r="G7">
            <v>1883.5</v>
          </cell>
        </row>
        <row r="8">
          <cell r="C8">
            <v>100</v>
          </cell>
          <cell r="D8">
            <v>100</v>
          </cell>
          <cell r="E8">
            <v>100</v>
          </cell>
          <cell r="F8">
            <v>100</v>
          </cell>
          <cell r="G8">
            <v>100</v>
          </cell>
        </row>
        <row r="9">
          <cell r="C9">
            <v>68.550000000000011</v>
          </cell>
          <cell r="D9">
            <v>29.03</v>
          </cell>
          <cell r="E9">
            <v>173.38</v>
          </cell>
          <cell r="F9">
            <v>339.56</v>
          </cell>
          <cell r="G9">
            <v>564.57000000000005</v>
          </cell>
        </row>
        <row r="10">
          <cell r="C10">
            <v>16.12</v>
          </cell>
          <cell r="D10">
            <v>20.16</v>
          </cell>
          <cell r="E10">
            <v>56.45</v>
          </cell>
          <cell r="F10">
            <v>284.66000000000003</v>
          </cell>
          <cell r="G10">
            <v>295.89999999999992</v>
          </cell>
        </row>
        <row r="11">
          <cell r="C11">
            <v>0</v>
          </cell>
          <cell r="D11">
            <v>0</v>
          </cell>
          <cell r="E11">
            <v>464.6</v>
          </cell>
          <cell r="F11">
            <v>0</v>
          </cell>
          <cell r="G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C15">
            <v>0</v>
          </cell>
          <cell r="D15">
            <v>0</v>
          </cell>
          <cell r="E15">
            <v>230.09</v>
          </cell>
          <cell r="F15">
            <v>1274.3399999999999</v>
          </cell>
          <cell r="G15">
            <v>1725.63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C17">
            <v>0</v>
          </cell>
          <cell r="D17">
            <v>0</v>
          </cell>
          <cell r="E17">
            <v>495.58</v>
          </cell>
          <cell r="F17">
            <v>0</v>
          </cell>
          <cell r="G17">
            <v>0</v>
          </cell>
        </row>
        <row r="18">
          <cell r="C18">
            <v>0</v>
          </cell>
        </row>
        <row r="19">
          <cell r="C19">
            <v>0</v>
          </cell>
        </row>
        <row r="20">
          <cell r="C20">
            <v>0</v>
          </cell>
        </row>
        <row r="21">
          <cell r="C21">
            <v>0</v>
          </cell>
        </row>
        <row r="22">
          <cell r="C22">
            <v>0</v>
          </cell>
          <cell r="D22">
            <v>14.25</v>
          </cell>
          <cell r="E22">
            <v>0</v>
          </cell>
          <cell r="F22">
            <v>93.63</v>
          </cell>
          <cell r="G22">
            <v>142.82</v>
          </cell>
        </row>
        <row r="23">
          <cell r="C23">
            <v>0</v>
          </cell>
        </row>
        <row r="24">
          <cell r="C24">
            <v>4</v>
          </cell>
          <cell r="D24">
            <v>0</v>
          </cell>
          <cell r="E24">
            <v>100</v>
          </cell>
          <cell r="F24">
            <v>64.680000000000007</v>
          </cell>
          <cell r="G24">
            <v>95.75</v>
          </cell>
        </row>
        <row r="25">
          <cell r="C25">
            <v>-102.83</v>
          </cell>
          <cell r="D25">
            <v>-102.63</v>
          </cell>
          <cell r="E25">
            <v>-149.79</v>
          </cell>
          <cell r="F25">
            <v>-412.28</v>
          </cell>
          <cell r="G25">
            <v>-514.33000000000004</v>
          </cell>
        </row>
        <row r="26">
          <cell r="C26">
            <v>0</v>
          </cell>
          <cell r="D26">
            <v>0</v>
          </cell>
          <cell r="E26">
            <v>0</v>
          </cell>
          <cell r="G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G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4">
          <cell r="C34" t="str">
            <v>Ιανουάριος</v>
          </cell>
          <cell r="D34" t="str">
            <v>Φεβρουάριος</v>
          </cell>
          <cell r="E34" t="str">
            <v>Μάρτιος</v>
          </cell>
          <cell r="F34" t="str">
            <v>Απρίλιος</v>
          </cell>
          <cell r="G34" t="str">
            <v>Μάιος</v>
          </cell>
          <cell r="H34" t="str">
            <v>Ιούνιος</v>
          </cell>
          <cell r="I34" t="str">
            <v>Ιούλιος</v>
          </cell>
          <cell r="J34" t="str">
            <v>Αύγουστος</v>
          </cell>
          <cell r="K34" t="str">
            <v>Σεπτέμβριος</v>
          </cell>
          <cell r="L34" t="str">
            <v>Οκτώβριος</v>
          </cell>
          <cell r="M34" t="str">
            <v>Νοέμβριος</v>
          </cell>
          <cell r="N34" t="str">
            <v>Δεκέμβριος</v>
          </cell>
        </row>
      </sheetData>
      <sheetData sheetId="2">
        <row r="3">
          <cell r="D3">
            <v>46690.166666666657</v>
          </cell>
          <cell r="E3">
            <v>35605.006666666683</v>
          </cell>
          <cell r="F3">
            <v>42275.376666666671</v>
          </cell>
          <cell r="G3">
            <v>49339.176666666674</v>
          </cell>
          <cell r="H3">
            <v>50514.51666666667</v>
          </cell>
          <cell r="I3">
            <v>7839.9766666666674</v>
          </cell>
          <cell r="J3">
            <v>7839.9766666666674</v>
          </cell>
          <cell r="K3">
            <v>7839.9766666666674</v>
          </cell>
          <cell r="L3">
            <v>7839.9766666666674</v>
          </cell>
          <cell r="M3">
            <v>7839.9766666666674</v>
          </cell>
          <cell r="N3">
            <v>7839.9766666666674</v>
          </cell>
          <cell r="O3">
            <v>7839.9766666666674</v>
          </cell>
          <cell r="Q3">
            <v>46690.166666666657</v>
          </cell>
          <cell r="R3">
            <v>82295.17333333334</v>
          </cell>
          <cell r="S3">
            <v>124570.55</v>
          </cell>
          <cell r="W3">
            <v>240104.19666666671</v>
          </cell>
          <cell r="X3">
            <v>247944.17333333331</v>
          </cell>
          <cell r="Y3">
            <v>255784.15</v>
          </cell>
          <cell r="Z3">
            <v>263624.12666666659</v>
          </cell>
          <cell r="AA3">
            <v>271464.10333333327</v>
          </cell>
          <cell r="AB3">
            <v>279304.08</v>
          </cell>
        </row>
        <row r="4">
          <cell r="D4">
            <v>2197.7199999999998</v>
          </cell>
          <cell r="E4">
            <v>2149.4899999999998</v>
          </cell>
          <cell r="F4">
            <v>3372.31</v>
          </cell>
          <cell r="G4">
            <v>5695.58</v>
          </cell>
          <cell r="H4">
            <v>3675.16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D5">
            <v>3032.62</v>
          </cell>
          <cell r="E5">
            <v>4249.6499999999996</v>
          </cell>
          <cell r="F5">
            <v>4953.84</v>
          </cell>
          <cell r="G5">
            <v>7422.43</v>
          </cell>
          <cell r="H5">
            <v>5221.4599999999991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</row>
        <row r="6">
          <cell r="D6">
            <v>1618.22</v>
          </cell>
          <cell r="E6">
            <v>1990.56</v>
          </cell>
          <cell r="F6">
            <v>2472.37</v>
          </cell>
          <cell r="G6">
            <v>3740.09</v>
          </cell>
          <cell r="H6">
            <v>4379.5599999999986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D7">
            <v>484.84</v>
          </cell>
          <cell r="E7">
            <v>439.85</v>
          </cell>
          <cell r="F7">
            <v>741.13</v>
          </cell>
          <cell r="G7">
            <v>1209.9000000000001</v>
          </cell>
          <cell r="H7">
            <v>797.23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D8">
            <v>513.09</v>
          </cell>
          <cell r="E8">
            <v>734.17000000000007</v>
          </cell>
          <cell r="F8">
            <v>916.37</v>
          </cell>
          <cell r="G8">
            <v>1345.7</v>
          </cell>
          <cell r="H8">
            <v>999.18999999999994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D9">
            <v>382.68</v>
          </cell>
          <cell r="E9">
            <v>490.41</v>
          </cell>
          <cell r="F9">
            <v>627.18000000000006</v>
          </cell>
          <cell r="G9">
            <v>921.08</v>
          </cell>
          <cell r="H9">
            <v>611.53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D10">
            <v>9138.619999999999</v>
          </cell>
          <cell r="E10">
            <v>9138.619999999999</v>
          </cell>
          <cell r="F10">
            <v>9157.5199999999986</v>
          </cell>
          <cell r="G10">
            <v>9916.1200000000008</v>
          </cell>
          <cell r="H10">
            <v>9916.1200000000008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321.41000000000003</v>
          </cell>
          <cell r="E12">
            <v>321.41000000000003</v>
          </cell>
          <cell r="F12">
            <v>321.41000000000003</v>
          </cell>
          <cell r="G12">
            <v>350.21</v>
          </cell>
          <cell r="H12">
            <v>350.21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D13">
            <v>321.45999999999998</v>
          </cell>
          <cell r="E13">
            <v>433.18</v>
          </cell>
          <cell r="F13">
            <v>970.42000000000007</v>
          </cell>
          <cell r="G13">
            <v>506.04000000000008</v>
          </cell>
          <cell r="H13">
            <v>196.4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</row>
        <row r="14">
          <cell r="D14">
            <v>215.2</v>
          </cell>
          <cell r="E14">
            <v>738.5200000000001</v>
          </cell>
          <cell r="F14">
            <v>1191.53</v>
          </cell>
          <cell r="G14">
            <v>458.47</v>
          </cell>
          <cell r="H14">
            <v>779.78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D15">
            <v>0</v>
          </cell>
          <cell r="E15">
            <v>66.64</v>
          </cell>
          <cell r="F15">
            <v>656.05000000000007</v>
          </cell>
          <cell r="G15">
            <v>0</v>
          </cell>
          <cell r="H15">
            <v>356.39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  <row r="16">
          <cell r="D16">
            <v>122.32</v>
          </cell>
          <cell r="E16">
            <v>426.33</v>
          </cell>
          <cell r="F16">
            <v>348.42</v>
          </cell>
          <cell r="G16">
            <v>407.89</v>
          </cell>
          <cell r="H16">
            <v>373.33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</row>
        <row r="17">
          <cell r="D17">
            <v>1.57</v>
          </cell>
          <cell r="E17">
            <v>74.069999999999993</v>
          </cell>
          <cell r="F17">
            <v>8.93</v>
          </cell>
          <cell r="G17">
            <v>43.87</v>
          </cell>
          <cell r="H17">
            <v>158.62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D18">
            <v>3780.7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</row>
        <row r="19">
          <cell r="D19">
            <v>35.32</v>
          </cell>
          <cell r="E19">
            <v>67.36</v>
          </cell>
          <cell r="F19">
            <v>126.37</v>
          </cell>
          <cell r="G19">
            <v>55.66</v>
          </cell>
          <cell r="H19">
            <v>78.540000000000006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0</v>
          </cell>
          <cell r="G21">
            <v>0</v>
          </cell>
          <cell r="H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</row>
        <row r="23">
          <cell r="D23">
            <v>42.62</v>
          </cell>
          <cell r="E23">
            <v>50</v>
          </cell>
          <cell r="F23">
            <v>45.56</v>
          </cell>
          <cell r="G23">
            <v>49.57</v>
          </cell>
          <cell r="H23">
            <v>0.96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14981.98</v>
          </cell>
          <cell r="E24">
            <v>4853.79</v>
          </cell>
          <cell r="F24">
            <v>5452.54</v>
          </cell>
          <cell r="G24">
            <v>4093.02</v>
          </cell>
          <cell r="H24">
            <v>6964.8099999999986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</row>
        <row r="25">
          <cell r="D25">
            <v>0</v>
          </cell>
          <cell r="E25">
            <v>0</v>
          </cell>
          <cell r="F25">
            <v>768.5</v>
          </cell>
          <cell r="G25">
            <v>918.31999999999994</v>
          </cell>
          <cell r="H25">
            <v>1213.27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141.5</v>
          </cell>
          <cell r="H27">
            <v>257.56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D28">
            <v>684.1</v>
          </cell>
          <cell r="E28">
            <v>577.27</v>
          </cell>
          <cell r="F28">
            <v>982.57</v>
          </cell>
          <cell r="G28">
            <v>1736.58</v>
          </cell>
          <cell r="H28">
            <v>2013.94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D29">
            <v>0</v>
          </cell>
          <cell r="E29">
            <v>0</v>
          </cell>
          <cell r="F29">
            <v>0</v>
          </cell>
          <cell r="G29">
            <v>234.66</v>
          </cell>
          <cell r="H29">
            <v>1577.17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I30">
            <v>0</v>
          </cell>
          <cell r="K30">
            <v>0</v>
          </cell>
          <cell r="O30">
            <v>0</v>
          </cell>
        </row>
        <row r="31">
          <cell r="D31">
            <v>7839.9766666666674</v>
          </cell>
          <cell r="E31">
            <v>7839.9766666666674</v>
          </cell>
          <cell r="F31">
            <v>7839.9766666666674</v>
          </cell>
          <cell r="G31">
            <v>7839.9766666666674</v>
          </cell>
          <cell r="H31">
            <v>7839.9766666666674</v>
          </cell>
          <cell r="I31">
            <v>7839.9766666666674</v>
          </cell>
          <cell r="J31">
            <v>7839.9766666666674</v>
          </cell>
          <cell r="K31">
            <v>7839.9766666666674</v>
          </cell>
          <cell r="L31">
            <v>7839.9766666666674</v>
          </cell>
          <cell r="M31">
            <v>7839.9766666666674</v>
          </cell>
          <cell r="N31">
            <v>7839.9766666666674</v>
          </cell>
          <cell r="O31">
            <v>7839.9766666666674</v>
          </cell>
        </row>
        <row r="32">
          <cell r="D32">
            <v>872.89</v>
          </cell>
          <cell r="E32">
            <v>861.08</v>
          </cell>
          <cell r="F32">
            <v>1172.5899999999999</v>
          </cell>
          <cell r="G32">
            <v>1346.45</v>
          </cell>
          <cell r="H32">
            <v>1553.22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493.78</v>
          </cell>
          <cell r="H33">
            <v>685.76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6">
          <cell r="D36">
            <v>9618.77</v>
          </cell>
          <cell r="E36">
            <v>8756.2100000000009</v>
          </cell>
          <cell r="F36">
            <v>7219.98</v>
          </cell>
          <cell r="G36">
            <v>12929.56</v>
          </cell>
          <cell r="H36">
            <v>7772.8200000000024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Q36">
            <v>9618.77</v>
          </cell>
          <cell r="R36">
            <v>18374.98</v>
          </cell>
          <cell r="S36">
            <v>25594.959999999999</v>
          </cell>
          <cell r="X36">
            <v>46297.34</v>
          </cell>
          <cell r="Z36">
            <v>46297.34</v>
          </cell>
          <cell r="AA36">
            <v>46297.34</v>
          </cell>
          <cell r="AB36">
            <v>46297.34</v>
          </cell>
        </row>
        <row r="37">
          <cell r="D37">
            <v>1656.34</v>
          </cell>
          <cell r="E37">
            <v>1739.37</v>
          </cell>
          <cell r="F37">
            <v>1747.2</v>
          </cell>
          <cell r="G37">
            <v>2675.96</v>
          </cell>
          <cell r="H37">
            <v>1632.17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</row>
        <row r="38">
          <cell r="D38">
            <v>1671.24</v>
          </cell>
          <cell r="E38">
            <v>1747.2</v>
          </cell>
          <cell r="F38">
            <v>1785.18</v>
          </cell>
          <cell r="G38">
            <v>2645.07</v>
          </cell>
          <cell r="H38">
            <v>2304.38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1021.94</v>
          </cell>
          <cell r="E39">
            <v>1198.17</v>
          </cell>
          <cell r="F39">
            <v>1082.33</v>
          </cell>
          <cell r="G39">
            <v>1629.66</v>
          </cell>
          <cell r="H39">
            <v>988.92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</row>
        <row r="40">
          <cell r="D40">
            <v>1077.96</v>
          </cell>
          <cell r="E40">
            <v>1245.7</v>
          </cell>
          <cell r="F40">
            <v>1145.7</v>
          </cell>
          <cell r="G40">
            <v>1744.53</v>
          </cell>
          <cell r="H40">
            <v>1056.97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</row>
        <row r="41">
          <cell r="D41">
            <v>339.13</v>
          </cell>
          <cell r="E41">
            <v>357.22</v>
          </cell>
          <cell r="F41">
            <v>358.92</v>
          </cell>
          <cell r="G41">
            <v>523.53</v>
          </cell>
          <cell r="H41">
            <v>334.43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D42">
            <v>342.37</v>
          </cell>
          <cell r="E42">
            <v>358.92</v>
          </cell>
          <cell r="F42">
            <v>367.2</v>
          </cell>
          <cell r="G42">
            <v>530.74</v>
          </cell>
          <cell r="H42">
            <v>481.17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154.62</v>
          </cell>
          <cell r="E43">
            <v>151.02000000000001</v>
          </cell>
          <cell r="F43">
            <v>148.63</v>
          </cell>
          <cell r="G43">
            <v>231.44</v>
          </cell>
          <cell r="H43">
            <v>215.49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163.1</v>
          </cell>
          <cell r="E44">
            <v>158.21</v>
          </cell>
          <cell r="F44">
            <v>158.22</v>
          </cell>
          <cell r="G44">
            <v>241.26</v>
          </cell>
          <cell r="H44">
            <v>159.91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82.13</v>
          </cell>
          <cell r="E52">
            <v>161.91999999999999</v>
          </cell>
          <cell r="F52">
            <v>25.77</v>
          </cell>
          <cell r="G52">
            <v>34.4</v>
          </cell>
          <cell r="H52">
            <v>250.56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</row>
        <row r="55">
          <cell r="D55">
            <v>1972.45</v>
          </cell>
          <cell r="E55">
            <v>0</v>
          </cell>
          <cell r="F55">
            <v>275</v>
          </cell>
          <cell r="G55">
            <v>2500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96.02</v>
          </cell>
          <cell r="E56">
            <v>560.03</v>
          </cell>
          <cell r="F56">
            <v>55.84</v>
          </cell>
          <cell r="G56">
            <v>89.14</v>
          </cell>
          <cell r="H56">
            <v>77.09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</row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1041.47</v>
          </cell>
          <cell r="E59">
            <v>1078.45</v>
          </cell>
          <cell r="F59">
            <v>69.989999999999995</v>
          </cell>
          <cell r="G59">
            <v>83.83</v>
          </cell>
          <cell r="H59">
            <v>271.73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</row>
        <row r="73">
          <cell r="D73">
            <v>875.5</v>
          </cell>
          <cell r="E73">
            <v>875.5</v>
          </cell>
          <cell r="F73">
            <v>875.5</v>
          </cell>
          <cell r="G73">
            <v>875.5</v>
          </cell>
          <cell r="H73">
            <v>875.5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248.55</v>
          </cell>
          <cell r="E75">
            <v>248.55</v>
          </cell>
          <cell r="F75">
            <v>248.55</v>
          </cell>
          <cell r="G75">
            <v>248.55</v>
          </cell>
          <cell r="H75">
            <v>248.55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</row>
        <row r="76">
          <cell r="D76">
            <v>965.25</v>
          </cell>
          <cell r="E76">
            <v>965.25</v>
          </cell>
          <cell r="F76">
            <v>965.25</v>
          </cell>
          <cell r="G76">
            <v>965.25</v>
          </cell>
          <cell r="H76">
            <v>965.25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31.52</v>
          </cell>
          <cell r="E77">
            <v>31.52</v>
          </cell>
          <cell r="F77">
            <v>31.52</v>
          </cell>
          <cell r="G77">
            <v>31.52</v>
          </cell>
          <cell r="H77">
            <v>31.52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8.9499999999999993</v>
          </cell>
          <cell r="E78">
            <v>8.9499999999999993</v>
          </cell>
          <cell r="F78">
            <v>8.9499999999999993</v>
          </cell>
          <cell r="G78">
            <v>8.9499999999999993</v>
          </cell>
          <cell r="H78">
            <v>8.9499999999999993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</row>
        <row r="80">
          <cell r="D80">
            <v>34.75</v>
          </cell>
          <cell r="E80">
            <v>34.75</v>
          </cell>
          <cell r="F80">
            <v>34.75</v>
          </cell>
          <cell r="G80">
            <v>34.75</v>
          </cell>
          <cell r="H80">
            <v>34.75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</row>
        <row r="81"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</row>
        <row r="82"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D84">
            <v>38</v>
          </cell>
          <cell r="E84">
            <v>33</v>
          </cell>
          <cell r="F84">
            <v>30.8</v>
          </cell>
          <cell r="G84">
            <v>39.700000000000003</v>
          </cell>
          <cell r="H84">
            <v>31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D85">
            <v>70.83</v>
          </cell>
          <cell r="E85">
            <v>211.24</v>
          </cell>
          <cell r="F85">
            <v>151.55000000000001</v>
          </cell>
          <cell r="G85">
            <v>178.54</v>
          </cell>
          <cell r="H85">
            <v>139.47999999999999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D86">
            <v>6.55</v>
          </cell>
          <cell r="E86">
            <v>29.27</v>
          </cell>
          <cell r="F86">
            <v>14.17</v>
          </cell>
          <cell r="G86">
            <v>22.79</v>
          </cell>
          <cell r="H86">
            <v>15.9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D87">
            <v>3.86</v>
          </cell>
          <cell r="E87">
            <v>6.42</v>
          </cell>
          <cell r="F87">
            <v>11.08</v>
          </cell>
          <cell r="G87">
            <v>11.49</v>
          </cell>
          <cell r="H87">
            <v>13.46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22.48</v>
          </cell>
          <cell r="F88">
            <v>13.02</v>
          </cell>
          <cell r="G88">
            <v>14.13</v>
          </cell>
          <cell r="H88">
            <v>12.74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232.19</v>
          </cell>
          <cell r="E89">
            <v>297.5</v>
          </cell>
          <cell r="F89">
            <v>300.63</v>
          </cell>
          <cell r="G89">
            <v>306.85000000000002</v>
          </cell>
          <cell r="H89">
            <v>345.63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8.0500000000000007</v>
          </cell>
          <cell r="F90">
            <v>4.08</v>
          </cell>
          <cell r="G90">
            <v>0</v>
          </cell>
          <cell r="H90">
            <v>13.49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D91">
            <v>224.75</v>
          </cell>
          <cell r="E91">
            <v>0</v>
          </cell>
          <cell r="F91">
            <v>0</v>
          </cell>
          <cell r="G91">
            <v>74.5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</row>
        <row r="92"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</row>
        <row r="94"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</row>
        <row r="95">
          <cell r="D95">
            <v>120.01</v>
          </cell>
          <cell r="E95">
            <v>368.53</v>
          </cell>
          <cell r="F95">
            <v>0</v>
          </cell>
          <cell r="G95">
            <v>0</v>
          </cell>
          <cell r="H95">
            <v>598.04999999999995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</row>
        <row r="96">
          <cell r="D96">
            <v>950</v>
          </cell>
          <cell r="E96">
            <v>1632.73</v>
          </cell>
          <cell r="F96">
            <v>950</v>
          </cell>
          <cell r="G96">
            <v>1210</v>
          </cell>
          <cell r="H96">
            <v>500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957.54000000000008</v>
          </cell>
          <cell r="E97">
            <v>117.04</v>
          </cell>
          <cell r="F97">
            <v>2570.94</v>
          </cell>
          <cell r="G97">
            <v>788.73</v>
          </cell>
          <cell r="H97">
            <v>166.37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</row>
        <row r="98">
          <cell r="D98">
            <v>234.05</v>
          </cell>
          <cell r="E98">
            <v>934.62</v>
          </cell>
          <cell r="F98">
            <v>627.01</v>
          </cell>
          <cell r="G98">
            <v>172.38</v>
          </cell>
          <cell r="H98">
            <v>82.02000000000001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62.44</v>
          </cell>
          <cell r="E99">
            <v>82.97</v>
          </cell>
          <cell r="F99">
            <v>68.77</v>
          </cell>
          <cell r="G99">
            <v>65.22</v>
          </cell>
          <cell r="H99">
            <v>66.349999999999994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</row>
        <row r="102">
          <cell r="D102">
            <v>499.48</v>
          </cell>
          <cell r="E102">
            <v>725.34</v>
          </cell>
          <cell r="F102">
            <v>606.23</v>
          </cell>
          <cell r="G102">
            <v>1130.75</v>
          </cell>
          <cell r="H102">
            <v>1175.57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</row>
        <row r="104">
          <cell r="D104">
            <v>613.27</v>
          </cell>
          <cell r="E104">
            <v>521.88</v>
          </cell>
          <cell r="F104">
            <v>425.62</v>
          </cell>
          <cell r="G104">
            <v>766.93</v>
          </cell>
          <cell r="H104">
            <v>65.72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</row>
        <row r="106">
          <cell r="D106">
            <v>777.67000000000007</v>
          </cell>
          <cell r="E106">
            <v>777.67000000000007</v>
          </cell>
          <cell r="F106">
            <v>777.67000000000007</v>
          </cell>
          <cell r="G106">
            <v>777.67000000000007</v>
          </cell>
          <cell r="H106">
            <v>777.67000000000007</v>
          </cell>
          <cell r="I106">
            <v>777.67000000000007</v>
          </cell>
          <cell r="J106">
            <v>777.67000000000007</v>
          </cell>
          <cell r="K106">
            <v>777.67000000000007</v>
          </cell>
          <cell r="L106">
            <v>777.67000000000007</v>
          </cell>
          <cell r="M106">
            <v>777.67000000000007</v>
          </cell>
          <cell r="N106">
            <v>777.67000000000007</v>
          </cell>
          <cell r="O106">
            <v>777.67000000000007</v>
          </cell>
        </row>
        <row r="107">
          <cell r="D107">
            <v>1488.62</v>
          </cell>
          <cell r="E107">
            <v>109.66</v>
          </cell>
          <cell r="F107">
            <v>77.55</v>
          </cell>
          <cell r="G107">
            <v>98.51</v>
          </cell>
          <cell r="H107">
            <v>296.2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</row>
      </sheetData>
      <sheetData sheetId="3">
        <row r="4">
          <cell r="D4">
            <v>3058.18</v>
          </cell>
          <cell r="E4">
            <v>2874.37</v>
          </cell>
          <cell r="F4">
            <v>3424.67</v>
          </cell>
          <cell r="G4">
            <v>5421.86</v>
          </cell>
          <cell r="H4">
            <v>5098.67</v>
          </cell>
          <cell r="I4">
            <v>4919.01</v>
          </cell>
          <cell r="J4">
            <v>4563.4500000000007</v>
          </cell>
          <cell r="K4">
            <v>5871.9100000000008</v>
          </cell>
          <cell r="L4">
            <v>5002.6099999999997</v>
          </cell>
          <cell r="M4">
            <v>5747.8799999999992</v>
          </cell>
          <cell r="N4">
            <v>4216.6399999999994</v>
          </cell>
          <cell r="O4">
            <v>6109.88</v>
          </cell>
        </row>
        <row r="5">
          <cell r="D5">
            <v>4189.99</v>
          </cell>
          <cell r="E5">
            <v>4702.76</v>
          </cell>
          <cell r="F5">
            <v>11008.53</v>
          </cell>
          <cell r="G5">
            <v>5570.36</v>
          </cell>
          <cell r="H5">
            <v>3696.09</v>
          </cell>
          <cell r="I5">
            <v>4144.0200000000004</v>
          </cell>
          <cell r="J5">
            <v>3850.73</v>
          </cell>
          <cell r="K5">
            <v>5746.2000000000007</v>
          </cell>
          <cell r="L5">
            <v>5054.9400000000014</v>
          </cell>
          <cell r="M5">
            <v>4986.0600000000004</v>
          </cell>
          <cell r="N5">
            <v>5135.38</v>
          </cell>
          <cell r="O5">
            <v>7261.55</v>
          </cell>
        </row>
        <row r="6">
          <cell r="D6">
            <v>2700.28</v>
          </cell>
          <cell r="E6">
            <v>2652.85</v>
          </cell>
          <cell r="F6">
            <v>2814.91</v>
          </cell>
          <cell r="G6">
            <v>3696.68</v>
          </cell>
          <cell r="H6">
            <v>2821.13</v>
          </cell>
          <cell r="I6">
            <v>2653.87</v>
          </cell>
          <cell r="J6">
            <v>3863.68</v>
          </cell>
          <cell r="K6">
            <v>1982.12</v>
          </cell>
          <cell r="L6">
            <v>1933.8</v>
          </cell>
          <cell r="M6">
            <v>2330.9</v>
          </cell>
          <cell r="N6">
            <v>2263.46</v>
          </cell>
          <cell r="O6">
            <v>4350.17</v>
          </cell>
        </row>
        <row r="7">
          <cell r="D7">
            <v>747.42000000000007</v>
          </cell>
          <cell r="E7">
            <v>698.88999999999987</v>
          </cell>
          <cell r="F7">
            <v>815.88</v>
          </cell>
          <cell r="G7">
            <v>1325.1</v>
          </cell>
          <cell r="H7">
            <v>1221.99</v>
          </cell>
          <cell r="I7">
            <v>1170.8599999999999</v>
          </cell>
          <cell r="J7">
            <v>1058.54</v>
          </cell>
          <cell r="K7">
            <v>1481.66</v>
          </cell>
          <cell r="L7">
            <v>1156.06</v>
          </cell>
          <cell r="M7">
            <v>1326.72</v>
          </cell>
          <cell r="N7">
            <v>940.74</v>
          </cell>
          <cell r="O7">
            <v>1394.91</v>
          </cell>
        </row>
        <row r="8">
          <cell r="D8">
            <v>933.94999999999993</v>
          </cell>
          <cell r="E8">
            <v>1048.25</v>
          </cell>
          <cell r="F8">
            <v>1577.57</v>
          </cell>
          <cell r="G8">
            <v>1238.6400000000001</v>
          </cell>
          <cell r="H8">
            <v>823.86000000000013</v>
          </cell>
          <cell r="I8">
            <v>947.22</v>
          </cell>
          <cell r="J8">
            <v>810.41</v>
          </cell>
          <cell r="K8">
            <v>1307.33</v>
          </cell>
          <cell r="L8">
            <v>1005.93</v>
          </cell>
          <cell r="M8">
            <v>1008.2</v>
          </cell>
          <cell r="N8">
            <v>1022.18</v>
          </cell>
          <cell r="O8">
            <v>1422.38</v>
          </cell>
        </row>
        <row r="9">
          <cell r="D9">
            <v>713.96</v>
          </cell>
          <cell r="E9">
            <v>701.41</v>
          </cell>
          <cell r="F9">
            <v>744.26</v>
          </cell>
          <cell r="G9">
            <v>977.3900000000001</v>
          </cell>
          <cell r="H9">
            <v>745.91</v>
          </cell>
          <cell r="I9">
            <v>776.3</v>
          </cell>
          <cell r="J9">
            <v>824.94</v>
          </cell>
          <cell r="K9">
            <v>517.64</v>
          </cell>
          <cell r="L9">
            <v>484.86</v>
          </cell>
          <cell r="M9">
            <v>589.86</v>
          </cell>
          <cell r="N9">
            <v>572.03</v>
          </cell>
          <cell r="O9">
            <v>1123.74</v>
          </cell>
        </row>
        <row r="10">
          <cell r="D10">
            <v>9308.57</v>
          </cell>
          <cell r="E10">
            <v>9312.57</v>
          </cell>
          <cell r="F10">
            <v>9312.57</v>
          </cell>
          <cell r="G10">
            <v>9312.57</v>
          </cell>
          <cell r="H10">
            <v>9312.57</v>
          </cell>
          <cell r="I10">
            <v>9331.11</v>
          </cell>
          <cell r="J10">
            <v>9331.11</v>
          </cell>
          <cell r="K10">
            <v>9331.11</v>
          </cell>
          <cell r="L10">
            <v>9799.739999999998</v>
          </cell>
          <cell r="M10">
            <v>9331.11</v>
          </cell>
          <cell r="N10">
            <v>9218.49</v>
          </cell>
          <cell r="O10">
            <v>15699.14</v>
          </cell>
        </row>
        <row r="11"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D12">
            <v>335.09</v>
          </cell>
          <cell r="E12">
            <v>327.67</v>
          </cell>
          <cell r="F12">
            <v>327.67</v>
          </cell>
          <cell r="G12">
            <v>327.67</v>
          </cell>
          <cell r="H12">
            <v>327.67</v>
          </cell>
          <cell r="I12">
            <v>328.35</v>
          </cell>
          <cell r="J12">
            <v>328.35</v>
          </cell>
          <cell r="K12">
            <v>328.35</v>
          </cell>
          <cell r="L12">
            <v>328.35</v>
          </cell>
          <cell r="M12">
            <v>328.35</v>
          </cell>
          <cell r="N12">
            <v>324.3</v>
          </cell>
          <cell r="O12">
            <v>557.59999999999991</v>
          </cell>
        </row>
        <row r="13">
          <cell r="D13">
            <v>535.22</v>
          </cell>
          <cell r="E13">
            <v>482.53</v>
          </cell>
          <cell r="F13">
            <v>951.13</v>
          </cell>
          <cell r="G13">
            <v>292.92</v>
          </cell>
          <cell r="H13">
            <v>259.83</v>
          </cell>
          <cell r="I13">
            <v>1266.43</v>
          </cell>
          <cell r="J13">
            <v>124.79</v>
          </cell>
          <cell r="K13">
            <v>265.64</v>
          </cell>
          <cell r="L13">
            <v>865.06</v>
          </cell>
          <cell r="M13">
            <v>225.26</v>
          </cell>
          <cell r="N13">
            <v>176.62</v>
          </cell>
          <cell r="O13">
            <v>1227.25</v>
          </cell>
        </row>
        <row r="14">
          <cell r="D14">
            <v>107.41</v>
          </cell>
          <cell r="E14">
            <v>1298.3699999999999</v>
          </cell>
          <cell r="F14">
            <v>462.96999999999991</v>
          </cell>
          <cell r="G14">
            <v>-113.33</v>
          </cell>
          <cell r="H14">
            <v>606.06999999999994</v>
          </cell>
          <cell r="I14">
            <v>828.71900000000016</v>
          </cell>
          <cell r="J14">
            <v>1191.81</v>
          </cell>
          <cell r="K14">
            <v>3672.2400000000011</v>
          </cell>
          <cell r="L14">
            <v>2343.33</v>
          </cell>
          <cell r="M14">
            <v>2132</v>
          </cell>
          <cell r="N14">
            <v>537.91000000000008</v>
          </cell>
          <cell r="O14">
            <v>2113.17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472.22</v>
          </cell>
        </row>
        <row r="16">
          <cell r="D16">
            <v>128.1</v>
          </cell>
          <cell r="E16">
            <v>356.49</v>
          </cell>
          <cell r="F16">
            <v>359.67</v>
          </cell>
          <cell r="G16">
            <v>271.67</v>
          </cell>
          <cell r="H16">
            <v>356.69</v>
          </cell>
          <cell r="I16">
            <v>360.39</v>
          </cell>
          <cell r="J16">
            <v>360.39</v>
          </cell>
          <cell r="K16">
            <v>357.93</v>
          </cell>
          <cell r="L16">
            <v>360.39</v>
          </cell>
          <cell r="M16">
            <v>360.39</v>
          </cell>
          <cell r="N16">
            <v>375.48</v>
          </cell>
          <cell r="O16">
            <v>606.06000000000006</v>
          </cell>
        </row>
        <row r="17">
          <cell r="D17">
            <v>2.84</v>
          </cell>
          <cell r="E17">
            <v>-29.789999999999971</v>
          </cell>
          <cell r="F17">
            <v>6.36</v>
          </cell>
          <cell r="G17">
            <v>24.39</v>
          </cell>
          <cell r="H17">
            <v>206.35</v>
          </cell>
          <cell r="I17">
            <v>30.27</v>
          </cell>
          <cell r="J17">
            <v>78.58</v>
          </cell>
          <cell r="K17">
            <v>486.81</v>
          </cell>
          <cell r="L17">
            <v>0</v>
          </cell>
          <cell r="M17">
            <v>95.350000000000009</v>
          </cell>
          <cell r="N17">
            <v>446.28</v>
          </cell>
          <cell r="O17">
            <v>150.47999999999999</v>
          </cell>
        </row>
        <row r="18">
          <cell r="D18">
            <v>768.31000000000017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291.37999999999988</v>
          </cell>
          <cell r="J18">
            <v>0</v>
          </cell>
          <cell r="K18">
            <v>383.39</v>
          </cell>
          <cell r="L18">
            <v>0</v>
          </cell>
          <cell r="M18">
            <v>0</v>
          </cell>
          <cell r="N18">
            <v>0</v>
          </cell>
          <cell r="O18">
            <v>172.65</v>
          </cell>
        </row>
        <row r="19">
          <cell r="D19">
            <v>4.8399999999999181</v>
          </cell>
          <cell r="E19">
            <v>0</v>
          </cell>
          <cell r="F19">
            <v>249.66000000000008</v>
          </cell>
          <cell r="G19">
            <v>256.40999999999985</v>
          </cell>
          <cell r="H19">
            <v>86.929999999999836</v>
          </cell>
          <cell r="I19">
            <v>310.02</v>
          </cell>
          <cell r="J19">
            <v>101.18000000000029</v>
          </cell>
          <cell r="K19">
            <v>0</v>
          </cell>
          <cell r="L19">
            <v>0</v>
          </cell>
          <cell r="M19">
            <v>56.519999999999982</v>
          </cell>
          <cell r="N19">
            <v>172.68999999999983</v>
          </cell>
          <cell r="O19">
            <v>62.970000000000027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</row>
        <row r="21">
          <cell r="D21">
            <v>8.99</v>
          </cell>
          <cell r="E21">
            <v>8.99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9.35</v>
          </cell>
          <cell r="L21">
            <v>9.35</v>
          </cell>
          <cell r="M21">
            <v>0</v>
          </cell>
          <cell r="N21">
            <v>0</v>
          </cell>
          <cell r="O21">
            <v>0</v>
          </cell>
        </row>
        <row r="22">
          <cell r="D22">
            <v>61.85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39.25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11.79</v>
          </cell>
        </row>
        <row r="23">
          <cell r="D23">
            <v>83.76</v>
          </cell>
          <cell r="E23">
            <v>378.72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24.03</v>
          </cell>
          <cell r="L23">
            <v>37.83</v>
          </cell>
          <cell r="M23">
            <v>0</v>
          </cell>
          <cell r="N23">
            <v>0</v>
          </cell>
          <cell r="O23">
            <v>0</v>
          </cell>
        </row>
        <row r="24">
          <cell r="D24">
            <v>3930.91</v>
          </cell>
          <cell r="E24">
            <v>5027.21</v>
          </cell>
          <cell r="F24">
            <v>4924.2700000000004</v>
          </cell>
          <cell r="G24">
            <v>7312.44</v>
          </cell>
          <cell r="H24">
            <v>11237</v>
          </cell>
          <cell r="I24">
            <v>10545.34</v>
          </cell>
          <cell r="J24">
            <v>10004.91</v>
          </cell>
          <cell r="K24">
            <v>9089.7099999999991</v>
          </cell>
          <cell r="L24">
            <v>8795.36</v>
          </cell>
          <cell r="M24">
            <v>8393.18</v>
          </cell>
          <cell r="N24">
            <v>9113.51</v>
          </cell>
          <cell r="O24">
            <v>6551.71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353.98</v>
          </cell>
          <cell r="J25">
            <v>398.4</v>
          </cell>
          <cell r="K25">
            <v>711.5</v>
          </cell>
          <cell r="L25">
            <v>-21.24</v>
          </cell>
          <cell r="M25">
            <v>793.61</v>
          </cell>
          <cell r="N25">
            <v>0</v>
          </cell>
          <cell r="O25">
            <v>0</v>
          </cell>
        </row>
        <row r="26"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140</v>
          </cell>
          <cell r="J26">
            <v>88.5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</row>
        <row r="27"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157.55000000000001</v>
          </cell>
          <cell r="L27">
            <v>186.25</v>
          </cell>
          <cell r="M27">
            <v>206.81</v>
          </cell>
          <cell r="N27">
            <v>229.14</v>
          </cell>
          <cell r="O27">
            <v>0</v>
          </cell>
        </row>
        <row r="28">
          <cell r="D28">
            <v>648.03</v>
          </cell>
          <cell r="E28">
            <v>509.31</v>
          </cell>
          <cell r="F28">
            <v>1023.77</v>
          </cell>
          <cell r="G28">
            <v>2162.85</v>
          </cell>
          <cell r="H28">
            <v>2563.73</v>
          </cell>
          <cell r="I28">
            <v>2239.9899999999998</v>
          </cell>
          <cell r="J28">
            <v>1975.94</v>
          </cell>
          <cell r="K28">
            <v>2185.81</v>
          </cell>
          <cell r="L28">
            <v>1837.94</v>
          </cell>
          <cell r="M28">
            <v>2034.47</v>
          </cell>
          <cell r="N28">
            <v>955.65</v>
          </cell>
          <cell r="O28">
            <v>812.86</v>
          </cell>
        </row>
        <row r="29">
          <cell r="D29">
            <v>659.73</v>
          </cell>
          <cell r="E29">
            <v>1082.4000000000001</v>
          </cell>
          <cell r="F29">
            <v>1892.42</v>
          </cell>
          <cell r="G29">
            <v>0</v>
          </cell>
          <cell r="H29">
            <v>0</v>
          </cell>
          <cell r="I29">
            <v>717.63</v>
          </cell>
          <cell r="J29">
            <v>0</v>
          </cell>
          <cell r="K29">
            <v>0</v>
          </cell>
          <cell r="L29">
            <v>3513.93</v>
          </cell>
          <cell r="M29">
            <v>0</v>
          </cell>
          <cell r="N29">
            <v>0</v>
          </cell>
          <cell r="O29">
            <v>1186.6300000000001</v>
          </cell>
        </row>
        <row r="30">
          <cell r="D30">
            <v>59.92</v>
          </cell>
          <cell r="E30">
            <v>85.2</v>
          </cell>
          <cell r="F30">
            <v>135.74</v>
          </cell>
          <cell r="G30">
            <v>328.35</v>
          </cell>
          <cell r="H30">
            <v>343.69</v>
          </cell>
          <cell r="I30">
            <v>403.13</v>
          </cell>
          <cell r="J30">
            <v>383.32</v>
          </cell>
          <cell r="K30">
            <v>331.8</v>
          </cell>
          <cell r="L30">
            <v>361.84</v>
          </cell>
          <cell r="M30">
            <v>366.73</v>
          </cell>
          <cell r="N30">
            <v>120.61</v>
          </cell>
          <cell r="O30">
            <v>0</v>
          </cell>
        </row>
        <row r="31">
          <cell r="D31">
            <v>7839.98</v>
          </cell>
          <cell r="E31">
            <v>7839.98</v>
          </cell>
          <cell r="F31">
            <v>7839.98</v>
          </cell>
          <cell r="G31">
            <v>7839.98</v>
          </cell>
          <cell r="H31">
            <v>7839.98</v>
          </cell>
          <cell r="I31">
            <v>7839.98</v>
          </cell>
          <cell r="J31">
            <v>7839.98</v>
          </cell>
          <cell r="K31">
            <v>7839.98</v>
          </cell>
          <cell r="L31">
            <v>7839.98</v>
          </cell>
          <cell r="M31">
            <v>7839.98</v>
          </cell>
          <cell r="N31">
            <v>7839.98</v>
          </cell>
          <cell r="O31">
            <v>2414.42</v>
          </cell>
        </row>
        <row r="32">
          <cell r="D32">
            <v>1024.95</v>
          </cell>
          <cell r="E32">
            <v>1250.28</v>
          </cell>
          <cell r="F32">
            <v>1274.8499999999999</v>
          </cell>
          <cell r="G32">
            <v>3709.31</v>
          </cell>
          <cell r="H32">
            <v>3091.48</v>
          </cell>
          <cell r="I32">
            <v>2931.61</v>
          </cell>
          <cell r="J32">
            <v>3442.24</v>
          </cell>
          <cell r="K32">
            <v>2918.7</v>
          </cell>
          <cell r="L32">
            <v>2944.73</v>
          </cell>
          <cell r="M32">
            <v>2966.78</v>
          </cell>
          <cell r="N32">
            <v>1171.43</v>
          </cell>
          <cell r="O32">
            <v>752.79</v>
          </cell>
        </row>
        <row r="33"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</row>
        <row r="35">
          <cell r="D35">
            <v>1349.58</v>
          </cell>
          <cell r="E35">
            <v>1349.58</v>
          </cell>
          <cell r="F35">
            <v>2190.1999999999998</v>
          </cell>
          <cell r="G35">
            <v>2234.79</v>
          </cell>
          <cell r="H35">
            <v>1573.33</v>
          </cell>
          <cell r="I35">
            <v>1603.98</v>
          </cell>
          <cell r="J35">
            <v>1527.26</v>
          </cell>
          <cell r="K35">
            <v>2460.9699999999998</v>
          </cell>
          <cell r="L35">
            <v>1739.8</v>
          </cell>
          <cell r="M35">
            <v>1739.82</v>
          </cell>
          <cell r="N35">
            <v>1590.96</v>
          </cell>
          <cell r="O35">
            <v>3226.49</v>
          </cell>
        </row>
        <row r="36">
          <cell r="D36">
            <v>0</v>
          </cell>
          <cell r="E36">
            <v>0</v>
          </cell>
          <cell r="F36">
            <v>0</v>
          </cell>
          <cell r="H36">
            <v>1490.71</v>
          </cell>
          <cell r="I36">
            <v>2585.3000000000002</v>
          </cell>
          <cell r="J36">
            <v>786.42</v>
          </cell>
          <cell r="K36">
            <v>1718.77</v>
          </cell>
          <cell r="L36">
            <v>1756.79</v>
          </cell>
          <cell r="M36">
            <v>1756.78</v>
          </cell>
          <cell r="N36">
            <v>1604</v>
          </cell>
          <cell r="O36">
            <v>3371.38</v>
          </cell>
        </row>
        <row r="37">
          <cell r="D37">
            <v>930.01</v>
          </cell>
          <cell r="E37">
            <v>1439.8</v>
          </cell>
          <cell r="F37">
            <v>1434.4</v>
          </cell>
          <cell r="H37">
            <v>2241.0100000000002</v>
          </cell>
          <cell r="I37">
            <v>564.71</v>
          </cell>
          <cell r="J37">
            <v>1738.73</v>
          </cell>
          <cell r="K37">
            <v>2797.91</v>
          </cell>
          <cell r="L37">
            <v>2091.4</v>
          </cell>
          <cell r="M37">
            <v>2091.4</v>
          </cell>
          <cell r="N37">
            <v>2091.4</v>
          </cell>
          <cell r="O37">
            <v>4349.45</v>
          </cell>
        </row>
        <row r="38">
          <cell r="D38">
            <v>0</v>
          </cell>
          <cell r="E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D39">
            <v>0</v>
          </cell>
          <cell r="E39">
            <v>300.82</v>
          </cell>
          <cell r="F39">
            <v>488.2</v>
          </cell>
          <cell r="H39">
            <v>350.7</v>
          </cell>
          <cell r="I39">
            <v>365.51</v>
          </cell>
          <cell r="J39">
            <v>340.43</v>
          </cell>
          <cell r="K39">
            <v>568.54999999999995</v>
          </cell>
          <cell r="L39">
            <v>365.51</v>
          </cell>
          <cell r="M39">
            <v>365.52</v>
          </cell>
          <cell r="N39">
            <v>332.33</v>
          </cell>
          <cell r="O39">
            <v>696.89</v>
          </cell>
        </row>
        <row r="40">
          <cell r="D40">
            <v>300.82</v>
          </cell>
          <cell r="E40">
            <v>0</v>
          </cell>
          <cell r="H40">
            <v>332.28</v>
          </cell>
          <cell r="I40">
            <v>494.2</v>
          </cell>
          <cell r="J40">
            <v>175.29</v>
          </cell>
          <cell r="K40">
            <v>403.12</v>
          </cell>
          <cell r="L40">
            <v>369.3</v>
          </cell>
          <cell r="M40">
            <v>369.3</v>
          </cell>
          <cell r="N40">
            <v>335.24</v>
          </cell>
          <cell r="O40">
            <v>729.19</v>
          </cell>
        </row>
        <row r="41">
          <cell r="D41">
            <v>176.37</v>
          </cell>
          <cell r="E41">
            <v>292.81</v>
          </cell>
          <cell r="F41">
            <v>288.8</v>
          </cell>
          <cell r="H41">
            <v>414.21</v>
          </cell>
          <cell r="I41">
            <v>99.47</v>
          </cell>
          <cell r="J41">
            <v>271.76</v>
          </cell>
          <cell r="K41">
            <v>477.31999999999988</v>
          </cell>
          <cell r="L41">
            <v>326.89999999999998</v>
          </cell>
          <cell r="M41">
            <v>326.89999999999998</v>
          </cell>
          <cell r="N41">
            <v>326.89999999999998</v>
          </cell>
          <cell r="O41">
            <v>679.83</v>
          </cell>
        </row>
        <row r="42">
          <cell r="D42">
            <v>0</v>
          </cell>
          <cell r="E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</row>
        <row r="43">
          <cell r="D43">
            <v>0</v>
          </cell>
          <cell r="E43">
            <v>0</v>
          </cell>
          <cell r="F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</row>
        <row r="45">
          <cell r="D45">
            <v>0</v>
          </cell>
          <cell r="E45">
            <v>0</v>
          </cell>
          <cell r="F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</row>
        <row r="46">
          <cell r="D46">
            <v>0</v>
          </cell>
          <cell r="E46">
            <v>0</v>
          </cell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D47">
            <v>0</v>
          </cell>
          <cell r="E47">
            <v>0</v>
          </cell>
          <cell r="F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D48">
            <v>0</v>
          </cell>
          <cell r="E48">
            <v>0</v>
          </cell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</row>
        <row r="49">
          <cell r="D49">
            <v>0</v>
          </cell>
          <cell r="E49">
            <v>246.76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</row>
        <row r="50">
          <cell r="D50">
            <v>0</v>
          </cell>
          <cell r="E50">
            <v>0</v>
          </cell>
          <cell r="F50">
            <v>8.0399999999999991</v>
          </cell>
          <cell r="H50">
            <v>13.75</v>
          </cell>
          <cell r="I50">
            <v>72.5</v>
          </cell>
          <cell r="J50">
            <v>217.5</v>
          </cell>
          <cell r="K50">
            <v>0</v>
          </cell>
          <cell r="L50">
            <v>57.97</v>
          </cell>
          <cell r="M50">
            <v>15.63</v>
          </cell>
          <cell r="N50">
            <v>0.8</v>
          </cell>
          <cell r="O50">
            <v>0</v>
          </cell>
        </row>
        <row r="51"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</row>
        <row r="52"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</row>
        <row r="53">
          <cell r="D53">
            <v>0</v>
          </cell>
          <cell r="E53">
            <v>45.5</v>
          </cell>
          <cell r="F53">
            <v>37.19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</row>
        <row r="54">
          <cell r="D54">
            <v>660</v>
          </cell>
          <cell r="E54">
            <v>0</v>
          </cell>
          <cell r="F54">
            <v>0</v>
          </cell>
          <cell r="H54">
            <v>124.91</v>
          </cell>
          <cell r="I54">
            <v>137.22999999999999</v>
          </cell>
          <cell r="J54">
            <v>142.41</v>
          </cell>
          <cell r="K54">
            <v>168.16</v>
          </cell>
          <cell r="L54">
            <v>128.84</v>
          </cell>
          <cell r="M54">
            <v>129.57</v>
          </cell>
          <cell r="N54">
            <v>155.29</v>
          </cell>
          <cell r="O54">
            <v>230.38</v>
          </cell>
        </row>
        <row r="55">
          <cell r="D55">
            <v>0</v>
          </cell>
          <cell r="E55">
            <v>0</v>
          </cell>
          <cell r="F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D56">
            <v>0</v>
          </cell>
          <cell r="E56">
            <v>1012.1</v>
          </cell>
          <cell r="F56">
            <v>384.13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D57">
            <v>1000</v>
          </cell>
          <cell r="E57">
            <v>0</v>
          </cell>
          <cell r="F57">
            <v>598.29</v>
          </cell>
          <cell r="H57">
            <v>1059.94</v>
          </cell>
          <cell r="I57">
            <v>1000</v>
          </cell>
          <cell r="J57">
            <v>1576.34</v>
          </cell>
          <cell r="K57">
            <v>1000</v>
          </cell>
          <cell r="L57">
            <v>1000</v>
          </cell>
          <cell r="M57">
            <v>1000</v>
          </cell>
          <cell r="N57">
            <v>1257</v>
          </cell>
          <cell r="O57">
            <v>1074.8699999999999</v>
          </cell>
        </row>
        <row r="58">
          <cell r="D58">
            <v>0</v>
          </cell>
          <cell r="E58">
            <v>0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</row>
        <row r="59">
          <cell r="D59">
            <v>0</v>
          </cell>
          <cell r="E59">
            <v>0</v>
          </cell>
          <cell r="F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74.680000000000007</v>
          </cell>
        </row>
        <row r="60">
          <cell r="H60">
            <v>0</v>
          </cell>
        </row>
        <row r="66">
          <cell r="D66">
            <v>1223.8900000000001</v>
          </cell>
          <cell r="E66">
            <v>1042.0999999999999</v>
          </cell>
          <cell r="F66">
            <v>1934.32</v>
          </cell>
          <cell r="G66">
            <v>1313.16</v>
          </cell>
          <cell r="H66">
            <v>1079</v>
          </cell>
          <cell r="I66">
            <v>1007.3</v>
          </cell>
          <cell r="J66">
            <v>1079</v>
          </cell>
          <cell r="K66">
            <v>1618.5</v>
          </cell>
          <cell r="L66">
            <v>1079</v>
          </cell>
          <cell r="M66">
            <v>1079</v>
          </cell>
          <cell r="N66">
            <v>1079</v>
          </cell>
          <cell r="O66">
            <v>2202.9499999999998</v>
          </cell>
        </row>
        <row r="67">
          <cell r="D67">
            <v>272.81</v>
          </cell>
          <cell r="E67">
            <v>232.28</v>
          </cell>
          <cell r="F67">
            <v>307.83</v>
          </cell>
          <cell r="G67">
            <v>292.7</v>
          </cell>
          <cell r="H67">
            <v>240.51</v>
          </cell>
          <cell r="I67">
            <v>240.51</v>
          </cell>
          <cell r="J67">
            <v>240.51</v>
          </cell>
          <cell r="K67">
            <v>380.76</v>
          </cell>
          <cell r="L67">
            <v>240.51</v>
          </cell>
          <cell r="M67">
            <v>240.51</v>
          </cell>
          <cell r="N67">
            <v>240.51</v>
          </cell>
          <cell r="O67">
            <v>491.04</v>
          </cell>
        </row>
        <row r="68">
          <cell r="D68">
            <v>850</v>
          </cell>
          <cell r="E68">
            <v>850</v>
          </cell>
          <cell r="F68">
            <v>850</v>
          </cell>
          <cell r="G68">
            <v>850</v>
          </cell>
          <cell r="H68">
            <v>850</v>
          </cell>
          <cell r="I68">
            <v>850</v>
          </cell>
          <cell r="J68">
            <v>875.5</v>
          </cell>
          <cell r="K68">
            <v>875.5</v>
          </cell>
          <cell r="L68">
            <v>875.5</v>
          </cell>
          <cell r="M68">
            <v>875.5</v>
          </cell>
          <cell r="N68">
            <v>875.5</v>
          </cell>
          <cell r="O68">
            <v>875.5</v>
          </cell>
        </row>
        <row r="69"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</row>
        <row r="70">
          <cell r="D70">
            <v>241.31</v>
          </cell>
          <cell r="E70">
            <v>241.31</v>
          </cell>
          <cell r="F70">
            <v>241.31</v>
          </cell>
          <cell r="G70">
            <v>241.31</v>
          </cell>
          <cell r="H70">
            <v>241.31</v>
          </cell>
          <cell r="I70">
            <v>241.31</v>
          </cell>
          <cell r="J70">
            <v>241.31</v>
          </cell>
          <cell r="K70">
            <v>241.31</v>
          </cell>
          <cell r="L70">
            <v>241.31</v>
          </cell>
          <cell r="M70">
            <v>241.31</v>
          </cell>
          <cell r="N70">
            <v>241.31</v>
          </cell>
          <cell r="O70">
            <v>241.31</v>
          </cell>
        </row>
        <row r="71">
          <cell r="D71">
            <v>965.25</v>
          </cell>
          <cell r="E71">
            <v>965.25</v>
          </cell>
          <cell r="F71">
            <v>965.25</v>
          </cell>
          <cell r="G71">
            <v>965.25</v>
          </cell>
          <cell r="H71">
            <v>965.25</v>
          </cell>
          <cell r="I71">
            <v>965.25</v>
          </cell>
          <cell r="J71">
            <v>965.25</v>
          </cell>
          <cell r="K71">
            <v>965.25</v>
          </cell>
          <cell r="L71">
            <v>965.25</v>
          </cell>
          <cell r="M71">
            <v>965.25</v>
          </cell>
          <cell r="N71">
            <v>965.25</v>
          </cell>
          <cell r="O71">
            <v>965.25</v>
          </cell>
        </row>
        <row r="72">
          <cell r="D72">
            <v>30.6</v>
          </cell>
          <cell r="E72">
            <v>30.6</v>
          </cell>
          <cell r="F72">
            <v>30.6</v>
          </cell>
          <cell r="G72">
            <v>30.6</v>
          </cell>
          <cell r="H72">
            <v>30.6</v>
          </cell>
          <cell r="I72">
            <v>30.6</v>
          </cell>
          <cell r="J72">
            <v>31.52</v>
          </cell>
          <cell r="K72">
            <v>31.52</v>
          </cell>
          <cell r="L72">
            <v>31.52</v>
          </cell>
          <cell r="M72">
            <v>31.52</v>
          </cell>
          <cell r="N72">
            <v>31.52</v>
          </cell>
          <cell r="O72">
            <v>31.52</v>
          </cell>
        </row>
        <row r="73">
          <cell r="D73">
            <v>8.69</v>
          </cell>
          <cell r="E73">
            <v>8.69</v>
          </cell>
          <cell r="F73">
            <v>8.69</v>
          </cell>
          <cell r="G73">
            <v>8.69</v>
          </cell>
          <cell r="H73">
            <v>8.69</v>
          </cell>
          <cell r="I73">
            <v>8.69</v>
          </cell>
          <cell r="J73">
            <v>8.69</v>
          </cell>
          <cell r="K73">
            <v>8.69</v>
          </cell>
          <cell r="L73">
            <v>25.56</v>
          </cell>
          <cell r="M73">
            <v>8.69</v>
          </cell>
          <cell r="N73">
            <v>8.69</v>
          </cell>
          <cell r="O73">
            <v>8.69</v>
          </cell>
        </row>
        <row r="74"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</row>
        <row r="75">
          <cell r="D75">
            <v>34.75</v>
          </cell>
          <cell r="E75">
            <v>34.75</v>
          </cell>
          <cell r="F75">
            <v>34.75</v>
          </cell>
          <cell r="G75">
            <v>34.75</v>
          </cell>
          <cell r="H75">
            <v>34.75</v>
          </cell>
          <cell r="I75">
            <v>34.75</v>
          </cell>
          <cell r="J75">
            <v>34.75</v>
          </cell>
          <cell r="K75">
            <v>34.75</v>
          </cell>
          <cell r="L75">
            <v>34.75</v>
          </cell>
          <cell r="M75">
            <v>34.75</v>
          </cell>
          <cell r="N75">
            <v>34.75</v>
          </cell>
          <cell r="O75">
            <v>34.75</v>
          </cell>
        </row>
        <row r="76"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</row>
        <row r="77"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</row>
        <row r="78"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</row>
        <row r="79">
          <cell r="D79">
            <v>21</v>
          </cell>
          <cell r="E79">
            <v>55</v>
          </cell>
          <cell r="F79">
            <v>71.5</v>
          </cell>
          <cell r="G79">
            <v>38</v>
          </cell>
          <cell r="H79">
            <v>32</v>
          </cell>
          <cell r="I79">
            <v>31</v>
          </cell>
          <cell r="J79">
            <v>0</v>
          </cell>
          <cell r="K79">
            <v>61</v>
          </cell>
          <cell r="L79">
            <v>32</v>
          </cell>
          <cell r="M79">
            <v>31</v>
          </cell>
          <cell r="N79">
            <v>42.58</v>
          </cell>
          <cell r="O79">
            <v>47</v>
          </cell>
        </row>
        <row r="80">
          <cell r="D80">
            <v>64.239999999999995</v>
          </cell>
          <cell r="E80">
            <v>124.94</v>
          </cell>
          <cell r="F80">
            <v>133.29</v>
          </cell>
          <cell r="G80">
            <v>25.36</v>
          </cell>
          <cell r="H80">
            <v>140.11000000000001</v>
          </cell>
          <cell r="I80">
            <v>190.71</v>
          </cell>
          <cell r="J80">
            <v>265.68</v>
          </cell>
          <cell r="K80">
            <v>290.24</v>
          </cell>
          <cell r="L80">
            <v>271.26</v>
          </cell>
          <cell r="M80">
            <v>54.38</v>
          </cell>
          <cell r="N80">
            <v>130.58000000000001</v>
          </cell>
          <cell r="O80">
            <v>191.38</v>
          </cell>
        </row>
        <row r="81">
          <cell r="D81">
            <v>5.14</v>
          </cell>
          <cell r="E81">
            <v>-18.329999999999998</v>
          </cell>
          <cell r="F81">
            <v>18.190000000000001</v>
          </cell>
          <cell r="G81">
            <v>-1.98</v>
          </cell>
          <cell r="H81">
            <v>29.59</v>
          </cell>
          <cell r="I81">
            <v>43.72</v>
          </cell>
          <cell r="J81">
            <v>5.2</v>
          </cell>
          <cell r="K81">
            <v>31.01</v>
          </cell>
          <cell r="L81">
            <v>12.73</v>
          </cell>
          <cell r="M81">
            <v>23.77</v>
          </cell>
          <cell r="N81">
            <v>24.51</v>
          </cell>
          <cell r="O81">
            <v>27.15</v>
          </cell>
        </row>
        <row r="82">
          <cell r="D82">
            <v>3.77</v>
          </cell>
          <cell r="E82">
            <v>0</v>
          </cell>
          <cell r="F82">
            <v>32.130000000000003</v>
          </cell>
          <cell r="G82">
            <v>9.49</v>
          </cell>
          <cell r="H82">
            <v>-11.02</v>
          </cell>
          <cell r="I82">
            <v>-1.05</v>
          </cell>
          <cell r="J82">
            <v>0.87</v>
          </cell>
          <cell r="K82">
            <v>-3.07</v>
          </cell>
          <cell r="L82">
            <v>4.4400000000000004</v>
          </cell>
          <cell r="M82">
            <v>0</v>
          </cell>
          <cell r="N82">
            <v>17.07</v>
          </cell>
          <cell r="O82">
            <v>17.489999999999998</v>
          </cell>
        </row>
        <row r="83">
          <cell r="D83">
            <v>0</v>
          </cell>
          <cell r="E83">
            <v>27.2</v>
          </cell>
          <cell r="F83">
            <v>17.61</v>
          </cell>
          <cell r="G83">
            <v>-12.76</v>
          </cell>
          <cell r="H83">
            <v>69.48</v>
          </cell>
          <cell r="I83">
            <v>83.01</v>
          </cell>
          <cell r="J83">
            <v>87.68</v>
          </cell>
          <cell r="K83">
            <v>-227.12</v>
          </cell>
          <cell r="L83">
            <v>0.27</v>
          </cell>
          <cell r="M83">
            <v>17.010000000000002</v>
          </cell>
          <cell r="N83">
            <v>19.55</v>
          </cell>
          <cell r="O83">
            <v>48.53</v>
          </cell>
        </row>
        <row r="84">
          <cell r="D84">
            <v>167.16</v>
          </cell>
          <cell r="E84">
            <v>291.22000000000003</v>
          </cell>
          <cell r="F84">
            <v>306.44</v>
          </cell>
          <cell r="G84">
            <v>334.3</v>
          </cell>
          <cell r="H84">
            <v>369.61999999999989</v>
          </cell>
          <cell r="I84">
            <v>366.94</v>
          </cell>
          <cell r="J84">
            <v>252.57</v>
          </cell>
          <cell r="K84">
            <v>528.74</v>
          </cell>
          <cell r="L84">
            <v>337.7</v>
          </cell>
          <cell r="M84">
            <v>323.31</v>
          </cell>
          <cell r="N84">
            <v>330.23</v>
          </cell>
          <cell r="O84">
            <v>408.08</v>
          </cell>
        </row>
        <row r="85">
          <cell r="D85">
            <v>0</v>
          </cell>
          <cell r="E85">
            <v>28.63</v>
          </cell>
          <cell r="F85">
            <v>0</v>
          </cell>
          <cell r="G85">
            <v>0</v>
          </cell>
          <cell r="H85">
            <v>21.68</v>
          </cell>
          <cell r="I85">
            <v>0</v>
          </cell>
          <cell r="J85">
            <v>0</v>
          </cell>
          <cell r="K85">
            <v>21.62</v>
          </cell>
          <cell r="L85">
            <v>0</v>
          </cell>
          <cell r="M85">
            <v>0</v>
          </cell>
          <cell r="N85">
            <v>27.59</v>
          </cell>
          <cell r="O85">
            <v>12.28</v>
          </cell>
        </row>
        <row r="86">
          <cell r="D86">
            <v>316.24</v>
          </cell>
          <cell r="E86">
            <v>0</v>
          </cell>
          <cell r="F86">
            <v>0</v>
          </cell>
          <cell r="G86">
            <v>71.5</v>
          </cell>
          <cell r="H86">
            <v>81.84</v>
          </cell>
          <cell r="I86">
            <v>0</v>
          </cell>
          <cell r="J86">
            <v>0</v>
          </cell>
          <cell r="K86">
            <v>0</v>
          </cell>
          <cell r="L86">
            <v>45.42</v>
          </cell>
          <cell r="M86">
            <v>29.3</v>
          </cell>
          <cell r="N86">
            <v>0</v>
          </cell>
          <cell r="O86">
            <v>0</v>
          </cell>
        </row>
        <row r="87"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</row>
        <row r="90">
          <cell r="D90">
            <v>0</v>
          </cell>
          <cell r="E90">
            <v>0</v>
          </cell>
          <cell r="F90">
            <v>0</v>
          </cell>
          <cell r="G90">
            <v>133.24</v>
          </cell>
          <cell r="H90">
            <v>768.06</v>
          </cell>
          <cell r="I90">
            <v>0</v>
          </cell>
          <cell r="J90">
            <v>244.16</v>
          </cell>
          <cell r="K90">
            <v>0</v>
          </cell>
          <cell r="L90">
            <v>0</v>
          </cell>
          <cell r="M90">
            <v>13.39</v>
          </cell>
          <cell r="N90">
            <v>33.380000000000003</v>
          </cell>
          <cell r="O90">
            <v>781.97</v>
          </cell>
        </row>
        <row r="91">
          <cell r="D91">
            <v>700</v>
          </cell>
          <cell r="E91">
            <v>700</v>
          </cell>
          <cell r="F91">
            <v>700</v>
          </cell>
          <cell r="G91">
            <v>900</v>
          </cell>
          <cell r="H91">
            <v>900</v>
          </cell>
          <cell r="I91">
            <v>900</v>
          </cell>
          <cell r="J91">
            <v>1250</v>
          </cell>
          <cell r="K91">
            <v>1740</v>
          </cell>
          <cell r="L91">
            <v>900</v>
          </cell>
          <cell r="M91">
            <v>900</v>
          </cell>
          <cell r="N91">
            <v>900</v>
          </cell>
          <cell r="O91">
            <v>4042</v>
          </cell>
        </row>
        <row r="92">
          <cell r="D92">
            <v>1639.47</v>
          </cell>
          <cell r="E92">
            <v>44.8</v>
          </cell>
          <cell r="F92">
            <v>716.15</v>
          </cell>
          <cell r="G92">
            <v>0</v>
          </cell>
          <cell r="H92">
            <v>158.65</v>
          </cell>
          <cell r="I92">
            <v>0</v>
          </cell>
          <cell r="J92">
            <v>448.23</v>
          </cell>
          <cell r="K92">
            <v>38.24</v>
          </cell>
          <cell r="L92">
            <v>34.44</v>
          </cell>
          <cell r="M92">
            <v>28.84</v>
          </cell>
          <cell r="N92">
            <v>28.84</v>
          </cell>
          <cell r="O92">
            <v>28.84</v>
          </cell>
        </row>
        <row r="93">
          <cell r="D93">
            <v>0</v>
          </cell>
          <cell r="E93">
            <v>84.94</v>
          </cell>
          <cell r="F93">
            <v>301.91000000000003</v>
          </cell>
          <cell r="G93">
            <v>841.99</v>
          </cell>
          <cell r="H93">
            <v>147.29</v>
          </cell>
          <cell r="I93">
            <v>29.3</v>
          </cell>
          <cell r="J93">
            <v>196.93</v>
          </cell>
          <cell r="K93">
            <v>194.97</v>
          </cell>
          <cell r="L93">
            <v>0</v>
          </cell>
          <cell r="M93">
            <v>286.47000000000003</v>
          </cell>
          <cell r="N93">
            <v>1047.56</v>
          </cell>
          <cell r="O93">
            <v>1565.32</v>
          </cell>
        </row>
        <row r="94">
          <cell r="D94">
            <v>95.86</v>
          </cell>
          <cell r="E94">
            <v>62.01</v>
          </cell>
          <cell r="F94">
            <v>126.45</v>
          </cell>
          <cell r="G94">
            <v>224.23</v>
          </cell>
          <cell r="H94">
            <v>92.38</v>
          </cell>
          <cell r="I94">
            <v>112.36</v>
          </cell>
          <cell r="J94">
            <v>97.33</v>
          </cell>
          <cell r="K94">
            <v>89.28</v>
          </cell>
          <cell r="L94">
            <v>74.19</v>
          </cell>
          <cell r="M94">
            <v>99.76</v>
          </cell>
          <cell r="N94">
            <v>57.53</v>
          </cell>
          <cell r="O94">
            <v>63.53</v>
          </cell>
        </row>
        <row r="95"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1530.96</v>
          </cell>
          <cell r="N95">
            <v>4705.72</v>
          </cell>
          <cell r="O95">
            <v>0</v>
          </cell>
        </row>
        <row r="96"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</row>
        <row r="97">
          <cell r="D97">
            <v>601.70999999999992</v>
          </cell>
          <cell r="E97">
            <v>844.19</v>
          </cell>
          <cell r="F97">
            <v>931.67000000000007</v>
          </cell>
          <cell r="G97">
            <v>140.5199999999999</v>
          </cell>
          <cell r="H97">
            <v>318.33999999999997</v>
          </cell>
          <cell r="I97">
            <v>130.18</v>
          </cell>
          <cell r="J97">
            <v>394.61</v>
          </cell>
          <cell r="K97">
            <v>387.49999999999989</v>
          </cell>
          <cell r="L97">
            <v>92.44</v>
          </cell>
          <cell r="M97">
            <v>211.88</v>
          </cell>
          <cell r="N97">
            <v>476.24</v>
          </cell>
          <cell r="O97">
            <v>1104.3399999999999</v>
          </cell>
        </row>
        <row r="98"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</row>
        <row r="99">
          <cell r="D99">
            <v>556.22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373.4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</row>
        <row r="100">
          <cell r="D100">
            <v>429.25</v>
          </cell>
          <cell r="E100">
            <v>695.07</v>
          </cell>
          <cell r="F100">
            <v>1025.42</v>
          </cell>
          <cell r="G100">
            <v>911.16</v>
          </cell>
          <cell r="H100">
            <v>538.42999999999995</v>
          </cell>
          <cell r="I100">
            <v>674.67</v>
          </cell>
          <cell r="J100">
            <v>540.63</v>
          </cell>
          <cell r="K100">
            <v>422.99</v>
          </cell>
          <cell r="L100">
            <v>578.87</v>
          </cell>
          <cell r="M100">
            <v>626.67999999999995</v>
          </cell>
          <cell r="N100">
            <v>336.86</v>
          </cell>
          <cell r="O100">
            <v>488.85</v>
          </cell>
        </row>
        <row r="101"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308.29000000000002</v>
          </cell>
        </row>
        <row r="102">
          <cell r="D102">
            <v>4406.5300000000007</v>
          </cell>
          <cell r="E102">
            <v>38.700000000000003</v>
          </cell>
          <cell r="F102">
            <v>868.31</v>
          </cell>
          <cell r="G102">
            <v>139.16999999999999</v>
          </cell>
          <cell r="H102">
            <v>203.09</v>
          </cell>
          <cell r="I102">
            <v>22.73</v>
          </cell>
          <cell r="J102">
            <v>44.55</v>
          </cell>
          <cell r="K102">
            <v>253.21</v>
          </cell>
          <cell r="L102">
            <v>4728.78</v>
          </cell>
          <cell r="M102">
            <v>197.25</v>
          </cell>
          <cell r="N102">
            <v>71.099999999999994</v>
          </cell>
          <cell r="O102">
            <v>910.87</v>
          </cell>
        </row>
        <row r="114">
          <cell r="C114">
            <v>11109.16</v>
          </cell>
          <cell r="D114">
            <v>15707.256637168099</v>
          </cell>
          <cell r="E114">
            <v>25251.761061946901</v>
          </cell>
          <cell r="F114">
            <v>61207.442477876102</v>
          </cell>
          <cell r="G114">
            <v>64011.902654867299</v>
          </cell>
          <cell r="H114">
            <v>75778.42</v>
          </cell>
          <cell r="I114">
            <v>72744.490000000005</v>
          </cell>
          <cell r="J114">
            <v>62815.14</v>
          </cell>
          <cell r="K114">
            <v>66655.538672566399</v>
          </cell>
          <cell r="L114">
            <v>69039.8</v>
          </cell>
          <cell r="M114">
            <v>23056.07</v>
          </cell>
          <cell r="N114">
            <v>35454.42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</row>
        <row r="117">
          <cell r="C117">
            <v>774.33628318584078</v>
          </cell>
          <cell r="D117">
            <v>1318.5840707964601</v>
          </cell>
          <cell r="E117">
            <v>1960.176991150443</v>
          </cell>
          <cell r="F117">
            <v>4690.2654867256642</v>
          </cell>
          <cell r="G117">
            <v>5252.212389380531</v>
          </cell>
          <cell r="H117">
            <v>5990.71</v>
          </cell>
          <cell r="I117">
            <v>4302.1099999999997</v>
          </cell>
          <cell r="J117">
            <v>3860.69</v>
          </cell>
          <cell r="K117">
            <v>5935.3982300884963</v>
          </cell>
          <cell r="L117">
            <v>4419.47</v>
          </cell>
          <cell r="M117">
            <v>1185.83</v>
          </cell>
          <cell r="N117">
            <v>1369.49</v>
          </cell>
        </row>
        <row r="118">
          <cell r="C118">
            <v>0</v>
          </cell>
          <cell r="D118">
            <v>0</v>
          </cell>
          <cell r="E118">
            <v>943.79</v>
          </cell>
          <cell r="F118">
            <v>524.49</v>
          </cell>
          <cell r="G118">
            <v>296.2</v>
          </cell>
          <cell r="H118">
            <v>292.45</v>
          </cell>
          <cell r="I118">
            <v>349.66</v>
          </cell>
          <cell r="J118">
            <v>0</v>
          </cell>
          <cell r="K118">
            <v>278.14</v>
          </cell>
          <cell r="L118">
            <v>0</v>
          </cell>
          <cell r="M118">
            <v>0</v>
          </cell>
          <cell r="N118">
            <v>0</v>
          </cell>
        </row>
        <row r="119">
          <cell r="C119">
            <v>0</v>
          </cell>
          <cell r="D119">
            <v>0</v>
          </cell>
          <cell r="E119">
            <v>1721.95</v>
          </cell>
          <cell r="F119">
            <v>0</v>
          </cell>
          <cell r="G119">
            <v>2404.79</v>
          </cell>
          <cell r="H119">
            <v>2142.91</v>
          </cell>
          <cell r="I119">
            <v>3007.42</v>
          </cell>
          <cell r="J119">
            <v>2335.15</v>
          </cell>
          <cell r="K119">
            <v>2499.94</v>
          </cell>
          <cell r="L119">
            <v>2140.0100000000002</v>
          </cell>
          <cell r="M119">
            <v>2493.9499999999998</v>
          </cell>
          <cell r="N119">
            <v>637.6</v>
          </cell>
        </row>
        <row r="120">
          <cell r="C120">
            <v>100</v>
          </cell>
          <cell r="D120">
            <v>100</v>
          </cell>
          <cell r="E120">
            <v>100</v>
          </cell>
          <cell r="F120">
            <v>100</v>
          </cell>
          <cell r="G120">
            <v>100</v>
          </cell>
          <cell r="H120">
            <v>100</v>
          </cell>
          <cell r="I120">
            <v>100</v>
          </cell>
          <cell r="J120">
            <v>100</v>
          </cell>
          <cell r="K120">
            <v>100</v>
          </cell>
          <cell r="L120">
            <v>100</v>
          </cell>
          <cell r="M120">
            <v>100</v>
          </cell>
          <cell r="N120">
            <v>100</v>
          </cell>
        </row>
        <row r="121">
          <cell r="C121">
            <v>0</v>
          </cell>
          <cell r="D121">
            <v>0</v>
          </cell>
          <cell r="E121">
            <v>15.32</v>
          </cell>
          <cell r="F121">
            <v>104.03</v>
          </cell>
          <cell r="G121">
            <v>87.88</v>
          </cell>
          <cell r="H121">
            <v>322.26</v>
          </cell>
          <cell r="I121">
            <v>139.51</v>
          </cell>
          <cell r="J121">
            <v>438.71</v>
          </cell>
          <cell r="K121">
            <v>618.54</v>
          </cell>
          <cell r="L121">
            <v>912.88</v>
          </cell>
          <cell r="M121">
            <v>103.21</v>
          </cell>
          <cell r="N121">
            <v>54.84</v>
          </cell>
        </row>
        <row r="122"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168.15</v>
          </cell>
          <cell r="I123">
            <v>88.5</v>
          </cell>
          <cell r="J123">
            <v>0</v>
          </cell>
          <cell r="K123">
            <v>281.62</v>
          </cell>
          <cell r="L123">
            <v>0</v>
          </cell>
          <cell r="M123">
            <v>0</v>
          </cell>
          <cell r="N123">
            <v>0</v>
          </cell>
        </row>
        <row r="124"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112.9</v>
          </cell>
          <cell r="M124">
            <v>0</v>
          </cell>
          <cell r="N124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</row>
        <row r="126"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150.44</v>
          </cell>
          <cell r="H127">
            <v>548.66999999999996</v>
          </cell>
          <cell r="I127">
            <v>311.5</v>
          </cell>
          <cell r="J127">
            <v>911.51</v>
          </cell>
          <cell r="K127">
            <v>460.18</v>
          </cell>
          <cell r="L127">
            <v>345.13</v>
          </cell>
          <cell r="M127">
            <v>0</v>
          </cell>
          <cell r="N127">
            <v>0</v>
          </cell>
        </row>
        <row r="128"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</row>
        <row r="129">
          <cell r="C129">
            <v>0</v>
          </cell>
          <cell r="D129">
            <v>0</v>
          </cell>
          <cell r="E129">
            <v>201.48</v>
          </cell>
          <cell r="F129">
            <v>322.58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</row>
        <row r="130">
          <cell r="C130">
            <v>0</v>
          </cell>
          <cell r="D130">
            <v>15</v>
          </cell>
          <cell r="E130">
            <v>114.6</v>
          </cell>
          <cell r="F130">
            <v>100.8</v>
          </cell>
          <cell r="G130">
            <v>401.1</v>
          </cell>
          <cell r="H130">
            <v>481.2</v>
          </cell>
          <cell r="I130">
            <v>592.04999999999995</v>
          </cell>
          <cell r="J130">
            <v>352.35</v>
          </cell>
          <cell r="K130">
            <v>287.85000000000002</v>
          </cell>
          <cell r="L130">
            <v>91.95</v>
          </cell>
          <cell r="M130">
            <v>100.8</v>
          </cell>
          <cell r="N130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</row>
        <row r="132"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112.9</v>
          </cell>
          <cell r="M132">
            <v>0</v>
          </cell>
          <cell r="N132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194.35</v>
          </cell>
          <cell r="I133">
            <v>225.4</v>
          </cell>
          <cell r="J133">
            <v>54.92</v>
          </cell>
          <cell r="K133">
            <v>275.08</v>
          </cell>
          <cell r="L133">
            <v>110.88999999999999</v>
          </cell>
          <cell r="M133">
            <v>407.42</v>
          </cell>
          <cell r="N133">
            <v>19.05</v>
          </cell>
        </row>
        <row r="134"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120.16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</row>
        <row r="135">
          <cell r="C135">
            <v>5335.41</v>
          </cell>
          <cell r="D135">
            <v>15.01</v>
          </cell>
          <cell r="E135">
            <v>6.22</v>
          </cell>
          <cell r="F135">
            <v>75.13</v>
          </cell>
          <cell r="G135">
            <v>34.61</v>
          </cell>
          <cell r="H135">
            <v>114.01</v>
          </cell>
          <cell r="I135">
            <v>24.11</v>
          </cell>
          <cell r="J135">
            <v>0</v>
          </cell>
          <cell r="K135">
            <v>126.27</v>
          </cell>
          <cell r="L135">
            <v>76.400000000000006</v>
          </cell>
          <cell r="M135">
            <v>280.5</v>
          </cell>
          <cell r="N135">
            <v>12649.49</v>
          </cell>
        </row>
        <row r="136">
          <cell r="C136">
            <v>-59.92</v>
          </cell>
          <cell r="D136">
            <v>-85.21</v>
          </cell>
          <cell r="E136">
            <v>-135.77000000000001</v>
          </cell>
          <cell r="F136">
            <v>-328.33</v>
          </cell>
          <cell r="G136">
            <v>-343.69</v>
          </cell>
          <cell r="H136">
            <v>-403.13</v>
          </cell>
          <cell r="I136">
            <v>-383.32</v>
          </cell>
          <cell r="J136">
            <v>-331.8</v>
          </cell>
          <cell r="K136">
            <v>-361.84</v>
          </cell>
          <cell r="L136">
            <v>-366.73</v>
          </cell>
          <cell r="M136">
            <v>-120.61</v>
          </cell>
          <cell r="N136">
            <v>-178.7</v>
          </cell>
        </row>
        <row r="137"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50000</v>
          </cell>
        </row>
      </sheetData>
      <sheetData sheetId="4">
        <row r="225">
          <cell r="E225">
            <v>0</v>
          </cell>
        </row>
      </sheetData>
      <sheetData sheetId="5">
        <row r="7">
          <cell r="N7">
            <v>17258.986283185841</v>
          </cell>
        </row>
        <row r="8">
          <cell r="F8">
            <v>19279.13</v>
          </cell>
          <cell r="J8">
            <v>27171.870011828574</v>
          </cell>
          <cell r="N8">
            <v>11109.16</v>
          </cell>
        </row>
        <row r="9">
          <cell r="F9">
            <v>0</v>
          </cell>
          <cell r="J9">
            <v>200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1388.93</v>
          </cell>
          <cell r="J11">
            <v>2371.62</v>
          </cell>
          <cell r="N11">
            <v>774.33628318584078</v>
          </cell>
        </row>
        <row r="12">
          <cell r="F12">
            <v>0</v>
          </cell>
          <cell r="J12">
            <v>200</v>
          </cell>
          <cell r="N12">
            <v>0</v>
          </cell>
        </row>
        <row r="13">
          <cell r="F13">
            <v>0</v>
          </cell>
          <cell r="J13">
            <v>0</v>
          </cell>
          <cell r="N13">
            <v>0</v>
          </cell>
        </row>
        <row r="14">
          <cell r="F14">
            <v>100</v>
          </cell>
          <cell r="J14">
            <v>100</v>
          </cell>
          <cell r="N14">
            <v>100</v>
          </cell>
        </row>
        <row r="15">
          <cell r="F15">
            <v>68.550000000000011</v>
          </cell>
          <cell r="J15">
            <v>0</v>
          </cell>
          <cell r="N15">
            <v>0</v>
          </cell>
        </row>
        <row r="16">
          <cell r="F16">
            <v>16.12</v>
          </cell>
          <cell r="J16">
            <v>0</v>
          </cell>
          <cell r="N16">
            <v>0</v>
          </cell>
        </row>
        <row r="17">
          <cell r="F17">
            <v>0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0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0</v>
          </cell>
          <cell r="J23">
            <v>0</v>
          </cell>
          <cell r="N23">
            <v>0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0</v>
          </cell>
          <cell r="N25">
            <v>0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0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4</v>
          </cell>
          <cell r="J30">
            <v>11248.74</v>
          </cell>
          <cell r="N30">
            <v>5335.41</v>
          </cell>
        </row>
        <row r="31">
          <cell r="F31">
            <v>-102.83</v>
          </cell>
          <cell r="J31">
            <v>-59.92</v>
          </cell>
          <cell r="N31">
            <v>-59.92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46587.336666666662</v>
          </cell>
          <cell r="L44">
            <v>37852.28</v>
          </cell>
        </row>
        <row r="45">
          <cell r="F45">
            <v>2197.7199999999998</v>
          </cell>
          <cell r="L45">
            <v>3058.18</v>
          </cell>
        </row>
        <row r="46">
          <cell r="F46">
            <v>3032.62</v>
          </cell>
          <cell r="L46">
            <v>4189.99</v>
          </cell>
        </row>
        <row r="47">
          <cell r="F47">
            <v>1618.22</v>
          </cell>
          <cell r="L47">
            <v>2700.28</v>
          </cell>
        </row>
        <row r="48">
          <cell r="F48">
            <v>484.84</v>
          </cell>
          <cell r="L48">
            <v>747.42000000000007</v>
          </cell>
        </row>
        <row r="49">
          <cell r="F49">
            <v>513.09</v>
          </cell>
          <cell r="L49">
            <v>933.94999999999993</v>
          </cell>
        </row>
        <row r="50">
          <cell r="F50">
            <v>382.68</v>
          </cell>
          <cell r="L50">
            <v>713.96</v>
          </cell>
        </row>
        <row r="51">
          <cell r="F51">
            <v>9138.619999999999</v>
          </cell>
          <cell r="L51">
            <v>9308.57</v>
          </cell>
        </row>
        <row r="52">
          <cell r="F52">
            <v>0</v>
          </cell>
          <cell r="L52">
            <v>0</v>
          </cell>
        </row>
        <row r="53">
          <cell r="F53">
            <v>321.41000000000003</v>
          </cell>
          <cell r="L53">
            <v>335.09</v>
          </cell>
        </row>
        <row r="54">
          <cell r="F54">
            <v>321.45999999999998</v>
          </cell>
          <cell r="L54">
            <v>535.22</v>
          </cell>
        </row>
        <row r="55">
          <cell r="F55">
            <v>215.2</v>
          </cell>
          <cell r="L55">
            <v>107.41</v>
          </cell>
        </row>
        <row r="56">
          <cell r="F56">
            <v>0</v>
          </cell>
          <cell r="L56">
            <v>0</v>
          </cell>
        </row>
        <row r="57">
          <cell r="F57">
            <v>122.32</v>
          </cell>
          <cell r="L57">
            <v>128.1</v>
          </cell>
        </row>
        <row r="58">
          <cell r="F58">
            <v>1.57</v>
          </cell>
          <cell r="L58">
            <v>2.84</v>
          </cell>
        </row>
        <row r="59">
          <cell r="F59">
            <v>3780.7</v>
          </cell>
          <cell r="L59">
            <v>768.31000000000017</v>
          </cell>
        </row>
        <row r="60">
          <cell r="F60">
            <v>35.32</v>
          </cell>
          <cell r="L60">
            <v>4.8399999999999181</v>
          </cell>
        </row>
        <row r="61">
          <cell r="F61">
            <v>0</v>
          </cell>
          <cell r="L61">
            <v>0</v>
          </cell>
        </row>
        <row r="62">
          <cell r="F62">
            <v>0</v>
          </cell>
          <cell r="L62">
            <v>8.99</v>
          </cell>
        </row>
        <row r="63">
          <cell r="F63">
            <v>0</v>
          </cell>
          <cell r="L63">
            <v>61.85</v>
          </cell>
        </row>
        <row r="64">
          <cell r="F64">
            <v>42.62</v>
          </cell>
          <cell r="L64">
            <v>83.76</v>
          </cell>
        </row>
        <row r="65">
          <cell r="F65">
            <v>14981.98</v>
          </cell>
          <cell r="L65">
            <v>3930.91</v>
          </cell>
        </row>
        <row r="66">
          <cell r="F66">
            <v>0</v>
          </cell>
          <cell r="L66">
            <v>0</v>
          </cell>
        </row>
        <row r="67">
          <cell r="F67">
            <v>0</v>
          </cell>
          <cell r="L67">
            <v>0</v>
          </cell>
        </row>
        <row r="68">
          <cell r="F68">
            <v>0</v>
          </cell>
          <cell r="L68">
            <v>0</v>
          </cell>
        </row>
        <row r="69">
          <cell r="F69">
            <v>684.1</v>
          </cell>
          <cell r="L69">
            <v>648.03</v>
          </cell>
        </row>
        <row r="70">
          <cell r="F70">
            <v>0</v>
          </cell>
          <cell r="L70">
            <v>659.73</v>
          </cell>
        </row>
        <row r="71">
          <cell r="F71">
            <v>0</v>
          </cell>
          <cell r="L71">
            <v>59.92</v>
          </cell>
        </row>
        <row r="72">
          <cell r="F72">
            <v>7839.9766666666674</v>
          </cell>
          <cell r="L72">
            <v>7839.98</v>
          </cell>
        </row>
        <row r="73">
          <cell r="F73">
            <v>872.89</v>
          </cell>
          <cell r="L73">
            <v>1024.95</v>
          </cell>
        </row>
        <row r="81">
          <cell r="F81">
            <v>9618.77</v>
          </cell>
          <cell r="L81">
            <v>4416.7800000000007</v>
          </cell>
        </row>
        <row r="82">
          <cell r="F82">
            <v>1656.34</v>
          </cell>
          <cell r="L82">
            <v>1349.58</v>
          </cell>
        </row>
        <row r="83">
          <cell r="F83">
            <v>1671.24</v>
          </cell>
          <cell r="L83">
            <v>0</v>
          </cell>
        </row>
        <row r="84">
          <cell r="F84">
            <v>1021.94</v>
          </cell>
          <cell r="L84">
            <v>930.01</v>
          </cell>
        </row>
        <row r="85">
          <cell r="F85">
            <v>1077.96</v>
          </cell>
          <cell r="L85">
            <v>0</v>
          </cell>
        </row>
        <row r="86">
          <cell r="F86">
            <v>339.13</v>
          </cell>
          <cell r="L86">
            <v>0</v>
          </cell>
        </row>
        <row r="87">
          <cell r="F87">
            <v>342.37</v>
          </cell>
          <cell r="L87">
            <v>300.82</v>
          </cell>
        </row>
        <row r="88">
          <cell r="F88">
            <v>154.62</v>
          </cell>
          <cell r="L88">
            <v>176.37</v>
          </cell>
        </row>
        <row r="89">
          <cell r="F89">
            <v>163.1</v>
          </cell>
          <cell r="L89">
            <v>0</v>
          </cell>
        </row>
        <row r="90">
          <cell r="F90">
            <v>0</v>
          </cell>
          <cell r="L90">
            <v>0</v>
          </cell>
        </row>
        <row r="91">
          <cell r="F91">
            <v>0</v>
          </cell>
          <cell r="L91">
            <v>0</v>
          </cell>
        </row>
        <row r="92">
          <cell r="F92">
            <v>0</v>
          </cell>
          <cell r="L92">
            <v>0</v>
          </cell>
        </row>
        <row r="93">
          <cell r="F93">
            <v>0</v>
          </cell>
          <cell r="L93">
            <v>0</v>
          </cell>
        </row>
        <row r="94">
          <cell r="F94">
            <v>0</v>
          </cell>
          <cell r="L94">
            <v>0</v>
          </cell>
        </row>
        <row r="95">
          <cell r="F95">
            <v>0</v>
          </cell>
          <cell r="L95">
            <v>0</v>
          </cell>
        </row>
        <row r="96">
          <cell r="F96">
            <v>0</v>
          </cell>
          <cell r="L96">
            <v>0</v>
          </cell>
        </row>
        <row r="97">
          <cell r="F97">
            <v>82.13</v>
          </cell>
          <cell r="L97">
            <v>0</v>
          </cell>
        </row>
        <row r="98">
          <cell r="F98">
            <v>0</v>
          </cell>
          <cell r="L98">
            <v>0</v>
          </cell>
        </row>
        <row r="99">
          <cell r="F99">
            <v>0</v>
          </cell>
          <cell r="L99">
            <v>0</v>
          </cell>
        </row>
        <row r="100">
          <cell r="F100">
            <v>1972.45</v>
          </cell>
          <cell r="L100">
            <v>0</v>
          </cell>
        </row>
        <row r="101">
          <cell r="F101">
            <v>96.02</v>
          </cell>
          <cell r="L101">
            <v>660</v>
          </cell>
        </row>
        <row r="102">
          <cell r="F102">
            <v>0</v>
          </cell>
          <cell r="L102">
            <v>0</v>
          </cell>
        </row>
        <row r="103">
          <cell r="F103">
            <v>0</v>
          </cell>
          <cell r="L103">
            <v>0</v>
          </cell>
        </row>
        <row r="104">
          <cell r="F104">
            <v>1041.47</v>
          </cell>
          <cell r="L104">
            <v>1000</v>
          </cell>
        </row>
        <row r="105">
          <cell r="F105">
            <v>0</v>
          </cell>
          <cell r="L105">
            <v>0</v>
          </cell>
        </row>
        <row r="117">
          <cell r="F117">
            <v>9731.61</v>
          </cell>
          <cell r="L117">
            <v>12633.890000000001</v>
          </cell>
        </row>
        <row r="118">
          <cell r="F118">
            <v>1057.42</v>
          </cell>
          <cell r="L118">
            <v>1223.8900000000001</v>
          </cell>
        </row>
        <row r="119">
          <cell r="F119">
            <v>230.41</v>
          </cell>
          <cell r="L119">
            <v>272.81</v>
          </cell>
        </row>
        <row r="120">
          <cell r="F120">
            <v>875.5</v>
          </cell>
          <cell r="L120">
            <v>850</v>
          </cell>
        </row>
        <row r="121">
          <cell r="F121">
            <v>0</v>
          </cell>
          <cell r="L121">
            <v>0</v>
          </cell>
        </row>
        <row r="122">
          <cell r="F122">
            <v>248.55</v>
          </cell>
          <cell r="L122">
            <v>241.31</v>
          </cell>
        </row>
        <row r="123">
          <cell r="F123">
            <v>965.25</v>
          </cell>
          <cell r="L123">
            <v>965.25</v>
          </cell>
        </row>
        <row r="124">
          <cell r="F124">
            <v>31.52</v>
          </cell>
          <cell r="L124">
            <v>30.6</v>
          </cell>
        </row>
        <row r="125">
          <cell r="F125">
            <v>8.9499999999999993</v>
          </cell>
          <cell r="L125">
            <v>8.69</v>
          </cell>
        </row>
        <row r="126">
          <cell r="F126">
            <v>0</v>
          </cell>
          <cell r="L126">
            <v>0</v>
          </cell>
        </row>
        <row r="127">
          <cell r="F127">
            <v>34.75</v>
          </cell>
          <cell r="L127">
            <v>34.75</v>
          </cell>
        </row>
        <row r="128">
          <cell r="F128">
            <v>0</v>
          </cell>
          <cell r="L128">
            <v>0</v>
          </cell>
        </row>
        <row r="129">
          <cell r="F129">
            <v>0</v>
          </cell>
          <cell r="L129">
            <v>0</v>
          </cell>
        </row>
        <row r="130">
          <cell r="F130">
            <v>0</v>
          </cell>
          <cell r="L130">
            <v>0</v>
          </cell>
        </row>
        <row r="131">
          <cell r="F131">
            <v>38</v>
          </cell>
          <cell r="L131">
            <v>21</v>
          </cell>
        </row>
        <row r="132">
          <cell r="F132">
            <v>70.83</v>
          </cell>
          <cell r="L132">
            <v>64.239999999999995</v>
          </cell>
        </row>
        <row r="133">
          <cell r="F133">
            <v>6.55</v>
          </cell>
          <cell r="L133">
            <v>5.14</v>
          </cell>
        </row>
        <row r="134">
          <cell r="F134">
            <v>3.86</v>
          </cell>
          <cell r="L134">
            <v>3.77</v>
          </cell>
        </row>
        <row r="135">
          <cell r="F135">
            <v>0</v>
          </cell>
          <cell r="L135">
            <v>0</v>
          </cell>
        </row>
        <row r="136">
          <cell r="F136">
            <v>232.19</v>
          </cell>
          <cell r="L136">
            <v>167.16</v>
          </cell>
        </row>
        <row r="137">
          <cell r="F137">
            <v>0</v>
          </cell>
          <cell r="L137">
            <v>0</v>
          </cell>
        </row>
        <row r="138">
          <cell r="F138">
            <v>224.75</v>
          </cell>
          <cell r="L138">
            <v>316.24</v>
          </cell>
        </row>
        <row r="139">
          <cell r="F139">
            <v>0</v>
          </cell>
          <cell r="L139">
            <v>0</v>
          </cell>
        </row>
        <row r="140">
          <cell r="F140">
            <v>0</v>
          </cell>
          <cell r="L140">
            <v>0</v>
          </cell>
        </row>
        <row r="141">
          <cell r="F141">
            <v>0</v>
          </cell>
          <cell r="L141">
            <v>0</v>
          </cell>
        </row>
        <row r="142">
          <cell r="F142">
            <v>120.01</v>
          </cell>
          <cell r="L142">
            <v>0</v>
          </cell>
        </row>
        <row r="143">
          <cell r="F143">
            <v>950</v>
          </cell>
          <cell r="L143">
            <v>700</v>
          </cell>
        </row>
        <row r="144">
          <cell r="F144">
            <v>957.54000000000008</v>
          </cell>
          <cell r="L144">
            <v>1639.47</v>
          </cell>
        </row>
        <row r="145">
          <cell r="F145">
            <v>234.05</v>
          </cell>
          <cell r="L145">
            <v>0</v>
          </cell>
        </row>
        <row r="146">
          <cell r="F146">
            <v>62.44</v>
          </cell>
          <cell r="L146">
            <v>95.86</v>
          </cell>
        </row>
        <row r="147">
          <cell r="F147">
            <v>0</v>
          </cell>
          <cell r="L147">
            <v>0</v>
          </cell>
        </row>
        <row r="148">
          <cell r="F148">
            <v>0</v>
          </cell>
          <cell r="L148">
            <v>0</v>
          </cell>
        </row>
        <row r="149">
          <cell r="F149">
            <v>499.48</v>
          </cell>
          <cell r="L149">
            <v>601.70999999999992</v>
          </cell>
        </row>
        <row r="150">
          <cell r="F150">
            <v>0</v>
          </cell>
          <cell r="L150">
            <v>0</v>
          </cell>
        </row>
        <row r="151">
          <cell r="F151">
            <v>613.27</v>
          </cell>
          <cell r="L151">
            <v>556.22</v>
          </cell>
        </row>
        <row r="152">
          <cell r="F152">
            <v>0</v>
          </cell>
          <cell r="L152">
            <v>429.25</v>
          </cell>
        </row>
        <row r="153">
          <cell r="F153">
            <v>777.67000000000007</v>
          </cell>
          <cell r="L153">
            <v>0</v>
          </cell>
        </row>
      </sheetData>
      <sheetData sheetId="6">
        <row r="7">
          <cell r="N7">
            <v>34329.626991150399</v>
          </cell>
        </row>
        <row r="8">
          <cell r="F8">
            <v>38495.710000000006</v>
          </cell>
          <cell r="J8">
            <v>56396.872914078049</v>
          </cell>
          <cell r="N8">
            <v>26816.416637168099</v>
          </cell>
        </row>
        <row r="9">
          <cell r="F9">
            <v>0</v>
          </cell>
          <cell r="J9">
            <v>401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2800.4644247787601</v>
          </cell>
          <cell r="J11">
            <v>5008.7881415929205</v>
          </cell>
          <cell r="N11">
            <v>2092.9203539823011</v>
          </cell>
        </row>
        <row r="12">
          <cell r="F12">
            <v>1638.42</v>
          </cell>
          <cell r="J12">
            <v>200</v>
          </cell>
          <cell r="N12">
            <v>0</v>
          </cell>
        </row>
        <row r="13">
          <cell r="F13">
            <v>251.43</v>
          </cell>
          <cell r="J13">
            <v>0</v>
          </cell>
          <cell r="N13">
            <v>0</v>
          </cell>
        </row>
        <row r="14">
          <cell r="F14">
            <v>200</v>
          </cell>
          <cell r="J14">
            <v>200</v>
          </cell>
          <cell r="N14">
            <v>200</v>
          </cell>
        </row>
        <row r="15">
          <cell r="F15">
            <v>97.580000000000013</v>
          </cell>
          <cell r="J15">
            <v>0</v>
          </cell>
          <cell r="N15">
            <v>0</v>
          </cell>
        </row>
        <row r="16">
          <cell r="F16">
            <v>36.28</v>
          </cell>
          <cell r="J16">
            <v>0</v>
          </cell>
          <cell r="N16">
            <v>0</v>
          </cell>
        </row>
        <row r="17">
          <cell r="F17">
            <v>0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0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0</v>
          </cell>
          <cell r="J23">
            <v>0</v>
          </cell>
          <cell r="N23">
            <v>0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30</v>
          </cell>
          <cell r="N25">
            <v>15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14.25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4</v>
          </cell>
          <cell r="J30">
            <v>11263.75</v>
          </cell>
          <cell r="N30">
            <v>5350.42</v>
          </cell>
        </row>
        <row r="31">
          <cell r="F31">
            <v>-205.45999999999998</v>
          </cell>
          <cell r="J31">
            <v>-145.12</v>
          </cell>
          <cell r="N31">
            <v>-145.13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82089.713333333333</v>
          </cell>
          <cell r="N44">
            <v>78460.739999999976</v>
          </cell>
        </row>
        <row r="45">
          <cell r="F45">
            <v>4347.2099999999991</v>
          </cell>
          <cell r="N45">
            <v>5932.5499999999993</v>
          </cell>
        </row>
        <row r="46">
          <cell r="F46">
            <v>7282.2699999999995</v>
          </cell>
          <cell r="N46">
            <v>8892.75</v>
          </cell>
        </row>
        <row r="47">
          <cell r="F47">
            <v>3608.7799999999997</v>
          </cell>
          <cell r="N47">
            <v>5353.13</v>
          </cell>
        </row>
        <row r="48">
          <cell r="F48">
            <v>924.69</v>
          </cell>
          <cell r="N48">
            <v>1446.31</v>
          </cell>
        </row>
        <row r="49">
          <cell r="F49">
            <v>1247.2600000000002</v>
          </cell>
          <cell r="N49">
            <v>1982.1999999999998</v>
          </cell>
        </row>
        <row r="50">
          <cell r="F50">
            <v>873.09</v>
          </cell>
          <cell r="N50">
            <v>1415.37</v>
          </cell>
        </row>
        <row r="51">
          <cell r="F51">
            <v>18277.239999999998</v>
          </cell>
          <cell r="N51">
            <v>18621.14</v>
          </cell>
        </row>
        <row r="52">
          <cell r="F52">
            <v>0</v>
          </cell>
          <cell r="N52">
            <v>0</v>
          </cell>
        </row>
        <row r="53">
          <cell r="F53">
            <v>642.82000000000005</v>
          </cell>
          <cell r="N53">
            <v>662.76</v>
          </cell>
        </row>
        <row r="54">
          <cell r="F54">
            <v>754.64</v>
          </cell>
          <cell r="N54">
            <v>1017.75</v>
          </cell>
        </row>
        <row r="55">
          <cell r="F55">
            <v>953.72</v>
          </cell>
          <cell r="N55">
            <v>1405.78</v>
          </cell>
        </row>
        <row r="56">
          <cell r="F56">
            <v>66.64</v>
          </cell>
          <cell r="N56">
            <v>0</v>
          </cell>
        </row>
        <row r="57">
          <cell r="F57">
            <v>548.65</v>
          </cell>
          <cell r="N57">
            <v>484.59000000000003</v>
          </cell>
        </row>
        <row r="58">
          <cell r="F58">
            <v>75.639999999999986</v>
          </cell>
          <cell r="N58">
            <v>-26.949999999999971</v>
          </cell>
        </row>
        <row r="59">
          <cell r="F59">
            <v>3780.7</v>
          </cell>
          <cell r="N59">
            <v>768.31000000000017</v>
          </cell>
        </row>
        <row r="60">
          <cell r="F60">
            <v>102.68</v>
          </cell>
          <cell r="N60">
            <v>4.8399999999999181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61.85</v>
          </cell>
        </row>
        <row r="64">
          <cell r="F64">
            <v>92.62</v>
          </cell>
          <cell r="N64">
            <v>462.48</v>
          </cell>
        </row>
        <row r="65">
          <cell r="F65">
            <v>19835.77</v>
          </cell>
          <cell r="N65">
            <v>8958.119999999999</v>
          </cell>
        </row>
        <row r="66">
          <cell r="F66">
            <v>0</v>
          </cell>
          <cell r="N66">
            <v>0</v>
          </cell>
        </row>
        <row r="67">
          <cell r="F67">
            <v>0</v>
          </cell>
          <cell r="N67">
            <v>0</v>
          </cell>
        </row>
        <row r="68">
          <cell r="F68">
            <v>0</v>
          </cell>
          <cell r="N68">
            <v>0</v>
          </cell>
        </row>
        <row r="69">
          <cell r="F69">
            <v>1261.3699999999999</v>
          </cell>
          <cell r="N69">
            <v>1157.3399999999999</v>
          </cell>
        </row>
        <row r="70">
          <cell r="F70">
            <v>0</v>
          </cell>
          <cell r="N70">
            <v>1742.13</v>
          </cell>
        </row>
        <row r="71">
          <cell r="F71">
            <v>0</v>
          </cell>
          <cell r="N71">
            <v>145.12</v>
          </cell>
        </row>
        <row r="72">
          <cell r="F72">
            <v>15679.953333333335</v>
          </cell>
          <cell r="N72">
            <v>15679.96</v>
          </cell>
        </row>
        <row r="73">
          <cell r="F73">
            <v>1733.97</v>
          </cell>
          <cell r="N73">
            <v>2275.23</v>
          </cell>
        </row>
        <row r="81">
          <cell r="F81">
            <v>18374.98</v>
          </cell>
          <cell r="N81">
            <v>9104.15</v>
          </cell>
        </row>
        <row r="82">
          <cell r="F82">
            <v>3395.71</v>
          </cell>
          <cell r="N82">
            <v>2699.16</v>
          </cell>
        </row>
        <row r="83">
          <cell r="F83">
            <v>3418.44</v>
          </cell>
          <cell r="N83">
            <v>0</v>
          </cell>
        </row>
        <row r="84">
          <cell r="F84">
            <v>2220.11</v>
          </cell>
          <cell r="N84">
            <v>2369.81</v>
          </cell>
        </row>
        <row r="85">
          <cell r="F85">
            <v>2323.66</v>
          </cell>
          <cell r="N85">
            <v>0</v>
          </cell>
        </row>
        <row r="86">
          <cell r="F86">
            <v>696.35</v>
          </cell>
          <cell r="N86">
            <v>300.82</v>
          </cell>
        </row>
        <row r="87">
          <cell r="F87">
            <v>701.29</v>
          </cell>
          <cell r="N87">
            <v>300.82</v>
          </cell>
        </row>
        <row r="88">
          <cell r="F88">
            <v>305.64</v>
          </cell>
          <cell r="N88">
            <v>469.18</v>
          </cell>
        </row>
        <row r="89">
          <cell r="F89">
            <v>321.31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244.04999999999998</v>
          </cell>
          <cell r="N97">
            <v>0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1972.45</v>
          </cell>
          <cell r="N100">
            <v>45.5</v>
          </cell>
        </row>
        <row r="101">
          <cell r="F101">
            <v>656.05</v>
          </cell>
          <cell r="N101">
            <v>660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1012.1</v>
          </cell>
        </row>
        <row r="104">
          <cell r="F104">
            <v>2119.92</v>
          </cell>
          <cell r="N104">
            <v>1000</v>
          </cell>
        </row>
        <row r="105">
          <cell r="F105">
            <v>0</v>
          </cell>
          <cell r="N105">
            <v>0</v>
          </cell>
        </row>
        <row r="117">
          <cell r="F117">
            <v>19238.64</v>
          </cell>
          <cell r="N117">
            <v>19017.240000000002</v>
          </cell>
        </row>
        <row r="118">
          <cell r="F118">
            <v>2286.42</v>
          </cell>
          <cell r="N118">
            <v>2265.9899999999998</v>
          </cell>
        </row>
        <row r="119">
          <cell r="F119">
            <v>465.52</v>
          </cell>
          <cell r="N119">
            <v>505.09000000000003</v>
          </cell>
        </row>
        <row r="120">
          <cell r="F120">
            <v>1751</v>
          </cell>
          <cell r="N120">
            <v>1700</v>
          </cell>
        </row>
        <row r="121">
          <cell r="F121">
            <v>0</v>
          </cell>
          <cell r="N121">
            <v>0</v>
          </cell>
        </row>
        <row r="122">
          <cell r="F122">
            <v>497.1</v>
          </cell>
          <cell r="N122">
            <v>482.62</v>
          </cell>
        </row>
        <row r="123">
          <cell r="F123">
            <v>1930.5</v>
          </cell>
          <cell r="N123">
            <v>1930.5</v>
          </cell>
        </row>
        <row r="124">
          <cell r="F124">
            <v>63.04</v>
          </cell>
          <cell r="N124">
            <v>61.2</v>
          </cell>
        </row>
        <row r="125">
          <cell r="F125">
            <v>17.899999999999999</v>
          </cell>
          <cell r="N125">
            <v>17.38</v>
          </cell>
        </row>
        <row r="126">
          <cell r="F126">
            <v>0</v>
          </cell>
          <cell r="N126">
            <v>0</v>
          </cell>
        </row>
        <row r="127">
          <cell r="F127">
            <v>69.5</v>
          </cell>
          <cell r="N127">
            <v>69.5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71</v>
          </cell>
          <cell r="N131">
            <v>76</v>
          </cell>
        </row>
        <row r="132">
          <cell r="F132">
            <v>282.07</v>
          </cell>
          <cell r="N132">
            <v>189.18</v>
          </cell>
        </row>
        <row r="133">
          <cell r="F133">
            <v>35.82</v>
          </cell>
          <cell r="N133">
            <v>-13.189999999999998</v>
          </cell>
        </row>
        <row r="134">
          <cell r="F134">
            <v>10.28</v>
          </cell>
          <cell r="N134">
            <v>3.77</v>
          </cell>
        </row>
        <row r="135">
          <cell r="F135">
            <v>22.48</v>
          </cell>
          <cell r="N135">
            <v>27.2</v>
          </cell>
        </row>
        <row r="136">
          <cell r="F136">
            <v>529.69000000000005</v>
          </cell>
          <cell r="N136">
            <v>458.38</v>
          </cell>
        </row>
        <row r="137">
          <cell r="F137">
            <v>8.0500000000000007</v>
          </cell>
          <cell r="N137">
            <v>28.63</v>
          </cell>
        </row>
        <row r="138">
          <cell r="F138">
            <v>224.75</v>
          </cell>
          <cell r="N138">
            <v>316.24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488.53999999999996</v>
          </cell>
          <cell r="N142">
            <v>0</v>
          </cell>
        </row>
        <row r="143">
          <cell r="F143">
            <v>2582.73</v>
          </cell>
          <cell r="N143">
            <v>1400</v>
          </cell>
        </row>
        <row r="144">
          <cell r="F144">
            <v>1074.5800000000002</v>
          </cell>
          <cell r="N144">
            <v>1684.27</v>
          </cell>
        </row>
        <row r="145">
          <cell r="F145">
            <v>1168.67</v>
          </cell>
          <cell r="N145">
            <v>84.94</v>
          </cell>
        </row>
        <row r="146">
          <cell r="F146">
            <v>145.41</v>
          </cell>
          <cell r="N146">
            <v>157.87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1224.8200000000002</v>
          </cell>
          <cell r="N149">
            <v>1445.9</v>
          </cell>
        </row>
        <row r="150">
          <cell r="F150">
            <v>0</v>
          </cell>
          <cell r="N150">
            <v>0</v>
          </cell>
        </row>
        <row r="151">
          <cell r="F151">
            <v>1135.1500000000001</v>
          </cell>
          <cell r="N151">
            <v>556.22</v>
          </cell>
        </row>
        <row r="152">
          <cell r="F152">
            <v>0</v>
          </cell>
          <cell r="N152">
            <v>1124.3200000000002</v>
          </cell>
        </row>
        <row r="153">
          <cell r="F153">
            <v>1555.3400000000001</v>
          </cell>
          <cell r="N153">
            <v>0</v>
          </cell>
        </row>
      </sheetData>
      <sheetData sheetId="7">
        <row r="7">
          <cell r="N7">
            <v>64509.155044247746</v>
          </cell>
        </row>
        <row r="8">
          <cell r="F8">
            <v>65946.211769911504</v>
          </cell>
          <cell r="J8">
            <v>89193.632954831584</v>
          </cell>
          <cell r="N8">
            <v>52068.177699114996</v>
          </cell>
        </row>
        <row r="9">
          <cell r="F9">
            <v>0</v>
          </cell>
          <cell r="J9">
            <v>603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5457.1015929203522</v>
          </cell>
          <cell r="J11">
            <v>8929.1421238938055</v>
          </cell>
          <cell r="N11">
            <v>4053.0973451327441</v>
          </cell>
        </row>
        <row r="12">
          <cell r="F12">
            <v>1638.42</v>
          </cell>
          <cell r="J12">
            <v>1143.79</v>
          </cell>
          <cell r="N12">
            <v>943.79</v>
          </cell>
        </row>
        <row r="13">
          <cell r="F13">
            <v>605.99</v>
          </cell>
          <cell r="J13">
            <v>1721.95</v>
          </cell>
          <cell r="N13">
            <v>1721.95</v>
          </cell>
        </row>
        <row r="14">
          <cell r="F14">
            <v>300</v>
          </cell>
          <cell r="J14">
            <v>300</v>
          </cell>
          <cell r="N14">
            <v>300</v>
          </cell>
        </row>
        <row r="15">
          <cell r="F15">
            <v>270.96000000000004</v>
          </cell>
          <cell r="J15">
            <v>76.599999999999994</v>
          </cell>
          <cell r="N15">
            <v>15.32</v>
          </cell>
        </row>
        <row r="16">
          <cell r="F16">
            <v>92.73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230.09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201.48</v>
          </cell>
          <cell r="N23">
            <v>201.48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259.2</v>
          </cell>
          <cell r="N25">
            <v>129.6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14.25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104</v>
          </cell>
          <cell r="J30">
            <v>11269.97</v>
          </cell>
          <cell r="N30">
            <v>5356.64</v>
          </cell>
        </row>
        <row r="31">
          <cell r="F31">
            <v>-355.25</v>
          </cell>
          <cell r="J31">
            <v>-280.86</v>
          </cell>
          <cell r="N31">
            <v>-280.89999999999998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D44">
            <v>42125.58666666667</v>
          </cell>
          <cell r="F44">
            <v>124215.29999999999</v>
          </cell>
          <cell r="N44">
            <v>127607.62</v>
          </cell>
        </row>
        <row r="45">
          <cell r="D45">
            <v>3372.31</v>
          </cell>
          <cell r="F45">
            <v>7719.5199999999986</v>
          </cell>
          <cell r="N45">
            <v>9357.2199999999993</v>
          </cell>
        </row>
        <row r="46">
          <cell r="D46">
            <v>4953.84</v>
          </cell>
          <cell r="F46">
            <v>12236.11</v>
          </cell>
          <cell r="N46">
            <v>19901.28</v>
          </cell>
        </row>
        <row r="47">
          <cell r="D47">
            <v>2472.37</v>
          </cell>
          <cell r="F47">
            <v>6081.15</v>
          </cell>
          <cell r="N47">
            <v>8168.04</v>
          </cell>
        </row>
        <row r="48">
          <cell r="D48">
            <v>741.13</v>
          </cell>
          <cell r="F48">
            <v>1665.8200000000002</v>
          </cell>
          <cell r="N48">
            <v>2262.19</v>
          </cell>
        </row>
        <row r="49">
          <cell r="D49">
            <v>916.37</v>
          </cell>
          <cell r="F49">
            <v>2163.63</v>
          </cell>
          <cell r="N49">
            <v>3559.7699999999995</v>
          </cell>
        </row>
        <row r="50">
          <cell r="D50">
            <v>627.18000000000006</v>
          </cell>
          <cell r="F50">
            <v>1500.27</v>
          </cell>
          <cell r="N50">
            <v>2159.63</v>
          </cell>
        </row>
        <row r="51">
          <cell r="D51">
            <v>9157.5199999999986</v>
          </cell>
          <cell r="F51">
            <v>27434.759999999995</v>
          </cell>
          <cell r="N51">
            <v>27933.71</v>
          </cell>
        </row>
        <row r="52">
          <cell r="D52">
            <v>0</v>
          </cell>
          <cell r="F52">
            <v>0</v>
          </cell>
          <cell r="N52">
            <v>0</v>
          </cell>
        </row>
        <row r="53">
          <cell r="D53">
            <v>321.41000000000003</v>
          </cell>
          <cell r="F53">
            <v>964.23</v>
          </cell>
          <cell r="N53">
            <v>990.43000000000006</v>
          </cell>
        </row>
        <row r="54">
          <cell r="D54">
            <v>970.42000000000007</v>
          </cell>
          <cell r="F54">
            <v>1725.06</v>
          </cell>
          <cell r="N54">
            <v>1968.88</v>
          </cell>
        </row>
        <row r="55">
          <cell r="D55">
            <v>1191.53</v>
          </cell>
          <cell r="F55">
            <v>2145.25</v>
          </cell>
          <cell r="N55">
            <v>1868.75</v>
          </cell>
        </row>
        <row r="56">
          <cell r="D56">
            <v>656.05000000000007</v>
          </cell>
          <cell r="F56">
            <v>722.69</v>
          </cell>
          <cell r="N56">
            <v>0</v>
          </cell>
        </row>
        <row r="57">
          <cell r="D57">
            <v>348.42</v>
          </cell>
          <cell r="F57">
            <v>897.06999999999994</v>
          </cell>
          <cell r="N57">
            <v>844.26</v>
          </cell>
        </row>
        <row r="58">
          <cell r="D58">
            <v>8.93</v>
          </cell>
          <cell r="F58">
            <v>84.57</v>
          </cell>
          <cell r="N58">
            <v>-20.589999999999971</v>
          </cell>
        </row>
        <row r="59">
          <cell r="D59">
            <v>0</v>
          </cell>
          <cell r="F59">
            <v>3780.7</v>
          </cell>
          <cell r="N59">
            <v>768.31000000000017</v>
          </cell>
        </row>
        <row r="60">
          <cell r="D60">
            <v>126.37</v>
          </cell>
          <cell r="F60">
            <v>229.05</v>
          </cell>
          <cell r="N60">
            <v>254.5</v>
          </cell>
        </row>
        <row r="61">
          <cell r="D61">
            <v>0</v>
          </cell>
          <cell r="F61">
            <v>0</v>
          </cell>
          <cell r="N61">
            <v>0</v>
          </cell>
        </row>
        <row r="62">
          <cell r="D62">
            <v>0</v>
          </cell>
          <cell r="F62">
            <v>0</v>
          </cell>
          <cell r="N62">
            <v>17.98</v>
          </cell>
        </row>
        <row r="63">
          <cell r="D63">
            <v>0</v>
          </cell>
          <cell r="F63">
            <v>0</v>
          </cell>
          <cell r="N63">
            <v>61.85</v>
          </cell>
        </row>
        <row r="64">
          <cell r="D64">
            <v>45.56</v>
          </cell>
          <cell r="F64">
            <v>138.18</v>
          </cell>
          <cell r="N64">
            <v>462.48</v>
          </cell>
        </row>
        <row r="65">
          <cell r="D65">
            <v>5452.54</v>
          </cell>
          <cell r="F65">
            <v>25288.31</v>
          </cell>
          <cell r="N65">
            <v>13882.39</v>
          </cell>
        </row>
        <row r="66">
          <cell r="D66">
            <v>768.5</v>
          </cell>
          <cell r="F66">
            <v>768.5</v>
          </cell>
          <cell r="N66">
            <v>0</v>
          </cell>
        </row>
        <row r="67">
          <cell r="D67">
            <v>0</v>
          </cell>
          <cell r="F67">
            <v>0</v>
          </cell>
          <cell r="N67">
            <v>0</v>
          </cell>
        </row>
        <row r="68">
          <cell r="D68">
            <v>0</v>
          </cell>
          <cell r="F68">
            <v>0</v>
          </cell>
          <cell r="N68">
            <v>0</v>
          </cell>
        </row>
        <row r="69">
          <cell r="D69">
            <v>982.57</v>
          </cell>
          <cell r="F69">
            <v>2243.94</v>
          </cell>
          <cell r="N69">
            <v>2181.1099999999997</v>
          </cell>
        </row>
        <row r="70">
          <cell r="D70">
            <v>0</v>
          </cell>
          <cell r="F70">
            <v>0</v>
          </cell>
          <cell r="N70">
            <v>3634.55</v>
          </cell>
        </row>
        <row r="71">
          <cell r="D71">
            <v>0</v>
          </cell>
          <cell r="F71">
            <v>0</v>
          </cell>
          <cell r="N71">
            <v>280.86</v>
          </cell>
        </row>
        <row r="72">
          <cell r="D72">
            <v>7839.9766666666674</v>
          </cell>
          <cell r="F72">
            <v>23519.93</v>
          </cell>
          <cell r="N72">
            <v>23519.94</v>
          </cell>
        </row>
        <row r="73">
          <cell r="D73">
            <v>1172.5899999999999</v>
          </cell>
          <cell r="F73">
            <v>2906.56</v>
          </cell>
          <cell r="N73">
            <v>3550.08</v>
          </cell>
        </row>
        <row r="74">
          <cell r="F74">
            <v>0</v>
          </cell>
        </row>
        <row r="81">
          <cell r="D81">
            <v>7219.9800000000005</v>
          </cell>
          <cell r="F81">
            <v>25594.959999999999</v>
          </cell>
          <cell r="N81">
            <v>14533.400000000001</v>
          </cell>
        </row>
        <row r="82">
          <cell r="D82">
            <v>1747.2</v>
          </cell>
          <cell r="F82">
            <v>5142.91</v>
          </cell>
          <cell r="N82">
            <v>4889.3599999999997</v>
          </cell>
        </row>
        <row r="83">
          <cell r="D83">
            <v>1785.18</v>
          </cell>
          <cell r="F83">
            <v>5203.62</v>
          </cell>
          <cell r="N83">
            <v>0</v>
          </cell>
        </row>
        <row r="84">
          <cell r="D84">
            <v>1082.33</v>
          </cell>
          <cell r="F84">
            <v>3302.44</v>
          </cell>
          <cell r="N84">
            <v>3804.21</v>
          </cell>
        </row>
        <row r="85">
          <cell r="D85">
            <v>1145.7</v>
          </cell>
          <cell r="F85">
            <v>3469.3599999999997</v>
          </cell>
          <cell r="N85">
            <v>0</v>
          </cell>
        </row>
        <row r="86">
          <cell r="D86">
            <v>358.92</v>
          </cell>
          <cell r="F86">
            <v>1055.27</v>
          </cell>
          <cell r="N86">
            <v>789.02</v>
          </cell>
        </row>
        <row r="87">
          <cell r="D87">
            <v>367.2</v>
          </cell>
          <cell r="F87">
            <v>1068.49</v>
          </cell>
          <cell r="N87">
            <v>300.82</v>
          </cell>
        </row>
        <row r="88">
          <cell r="D88">
            <v>148.63</v>
          </cell>
          <cell r="F88">
            <v>454.27</v>
          </cell>
          <cell r="N88">
            <v>757.98</v>
          </cell>
        </row>
        <row r="89">
          <cell r="D89">
            <v>158.22</v>
          </cell>
          <cell r="F89">
            <v>479.53</v>
          </cell>
          <cell r="N89">
            <v>0</v>
          </cell>
        </row>
        <row r="90">
          <cell r="D90">
            <v>0</v>
          </cell>
          <cell r="F90">
            <v>0</v>
          </cell>
          <cell r="N90">
            <v>0</v>
          </cell>
        </row>
        <row r="91">
          <cell r="D91">
            <v>0</v>
          </cell>
          <cell r="F91">
            <v>0</v>
          </cell>
          <cell r="N91">
            <v>0</v>
          </cell>
        </row>
        <row r="92">
          <cell r="D92">
            <v>0</v>
          </cell>
          <cell r="F92">
            <v>0</v>
          </cell>
          <cell r="N92">
            <v>0</v>
          </cell>
        </row>
        <row r="93">
          <cell r="D93">
            <v>0</v>
          </cell>
          <cell r="F93">
            <v>0</v>
          </cell>
          <cell r="N93">
            <v>0</v>
          </cell>
        </row>
        <row r="94">
          <cell r="D94">
            <v>0</v>
          </cell>
          <cell r="F94">
            <v>0</v>
          </cell>
          <cell r="N94">
            <v>0</v>
          </cell>
        </row>
        <row r="95">
          <cell r="D95">
            <v>0</v>
          </cell>
          <cell r="F95">
            <v>0</v>
          </cell>
          <cell r="N95">
            <v>0</v>
          </cell>
        </row>
        <row r="96">
          <cell r="D96">
            <v>0</v>
          </cell>
          <cell r="F96">
            <v>0</v>
          </cell>
          <cell r="N96">
            <v>246.76</v>
          </cell>
        </row>
        <row r="97">
          <cell r="D97">
            <v>25.77</v>
          </cell>
          <cell r="F97">
            <v>269.82</v>
          </cell>
          <cell r="N97">
            <v>8.0399999999999991</v>
          </cell>
        </row>
        <row r="98">
          <cell r="D98">
            <v>0</v>
          </cell>
          <cell r="F98">
            <v>0</v>
          </cell>
          <cell r="N98">
            <v>0</v>
          </cell>
        </row>
        <row r="99">
          <cell r="D99">
            <v>0</v>
          </cell>
          <cell r="F99">
            <v>0</v>
          </cell>
          <cell r="N99">
            <v>0</v>
          </cell>
        </row>
        <row r="100">
          <cell r="D100">
            <v>275</v>
          </cell>
          <cell r="F100">
            <v>2247.4499999999998</v>
          </cell>
          <cell r="N100">
            <v>82.69</v>
          </cell>
        </row>
        <row r="101">
          <cell r="D101">
            <v>55.84</v>
          </cell>
          <cell r="F101">
            <v>711.89</v>
          </cell>
          <cell r="N101">
            <v>660</v>
          </cell>
        </row>
        <row r="102">
          <cell r="D102">
            <v>0</v>
          </cell>
          <cell r="F102">
            <v>0</v>
          </cell>
          <cell r="N102">
            <v>0</v>
          </cell>
        </row>
        <row r="103">
          <cell r="D103">
            <v>0</v>
          </cell>
          <cell r="F103">
            <v>0</v>
          </cell>
          <cell r="N103">
            <v>1396.23</v>
          </cell>
        </row>
        <row r="104">
          <cell r="D104">
            <v>69.989999999999995</v>
          </cell>
          <cell r="F104">
            <v>2189.91</v>
          </cell>
          <cell r="N104">
            <v>1598.29</v>
          </cell>
        </row>
        <row r="105">
          <cell r="D105">
            <v>0</v>
          </cell>
          <cell r="F105">
            <v>0</v>
          </cell>
          <cell r="N105">
            <v>0</v>
          </cell>
        </row>
        <row r="117">
          <cell r="F117">
            <v>29446.39</v>
          </cell>
          <cell r="N117">
            <v>28639.059999999998</v>
          </cell>
        </row>
        <row r="118">
          <cell r="F118">
            <v>3465.42</v>
          </cell>
          <cell r="N118">
            <v>4200.3099999999995</v>
          </cell>
        </row>
        <row r="119">
          <cell r="F119">
            <v>700.63</v>
          </cell>
          <cell r="N119">
            <v>812.92000000000007</v>
          </cell>
        </row>
        <row r="120">
          <cell r="F120">
            <v>2626.5</v>
          </cell>
          <cell r="N120">
            <v>2550</v>
          </cell>
        </row>
        <row r="121">
          <cell r="F121">
            <v>0</v>
          </cell>
          <cell r="N121">
            <v>0</v>
          </cell>
        </row>
        <row r="122">
          <cell r="F122">
            <v>745.65000000000009</v>
          </cell>
          <cell r="N122">
            <v>723.93000000000006</v>
          </cell>
        </row>
        <row r="123">
          <cell r="F123">
            <v>2895.75</v>
          </cell>
          <cell r="N123">
            <v>2895.75</v>
          </cell>
        </row>
        <row r="124">
          <cell r="F124">
            <v>94.56</v>
          </cell>
          <cell r="N124">
            <v>91.800000000000011</v>
          </cell>
        </row>
        <row r="125">
          <cell r="F125">
            <v>26.849999999999998</v>
          </cell>
          <cell r="N125">
            <v>26.07</v>
          </cell>
        </row>
        <row r="126">
          <cell r="F126">
            <v>0</v>
          </cell>
          <cell r="N126">
            <v>0</v>
          </cell>
        </row>
        <row r="127">
          <cell r="F127">
            <v>104.25</v>
          </cell>
          <cell r="N127">
            <v>104.25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101.8</v>
          </cell>
          <cell r="N131">
            <v>147.5</v>
          </cell>
        </row>
        <row r="132">
          <cell r="F132">
            <v>433.62</v>
          </cell>
          <cell r="N132">
            <v>322.47000000000003</v>
          </cell>
        </row>
        <row r="133">
          <cell r="F133">
            <v>49.99</v>
          </cell>
          <cell r="N133">
            <v>5.0000000000000036</v>
          </cell>
        </row>
        <row r="134">
          <cell r="F134">
            <v>21.36</v>
          </cell>
          <cell r="N134">
            <v>35.900000000000006</v>
          </cell>
        </row>
        <row r="135">
          <cell r="F135">
            <v>35.5</v>
          </cell>
          <cell r="N135">
            <v>44.81</v>
          </cell>
        </row>
        <row r="136">
          <cell r="F136">
            <v>830.32</v>
          </cell>
          <cell r="N136">
            <v>764.81999999999994</v>
          </cell>
        </row>
        <row r="137">
          <cell r="F137">
            <v>12.13</v>
          </cell>
          <cell r="N137">
            <v>28.63</v>
          </cell>
        </row>
        <row r="138">
          <cell r="F138">
            <v>224.75</v>
          </cell>
          <cell r="N138">
            <v>316.24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488.53999999999996</v>
          </cell>
          <cell r="N142">
            <v>0</v>
          </cell>
        </row>
        <row r="143">
          <cell r="F143">
            <v>3532.73</v>
          </cell>
          <cell r="N143">
            <v>2100</v>
          </cell>
        </row>
        <row r="144">
          <cell r="F144">
            <v>3645.5200000000004</v>
          </cell>
          <cell r="N144">
            <v>2400.42</v>
          </cell>
        </row>
        <row r="145">
          <cell r="F145">
            <v>1795.68</v>
          </cell>
          <cell r="N145">
            <v>386.85</v>
          </cell>
        </row>
        <row r="146">
          <cell r="F146">
            <v>214.18</v>
          </cell>
          <cell r="N146">
            <v>284.32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1831.0500000000002</v>
          </cell>
          <cell r="N149">
            <v>2377.5700000000002</v>
          </cell>
        </row>
        <row r="150">
          <cell r="F150">
            <v>0</v>
          </cell>
          <cell r="N150">
            <v>0</v>
          </cell>
        </row>
        <row r="151">
          <cell r="F151">
            <v>1560.77</v>
          </cell>
          <cell r="N151">
            <v>556.22</v>
          </cell>
        </row>
        <row r="152">
          <cell r="F152">
            <v>0</v>
          </cell>
          <cell r="N152">
            <v>2149.7400000000002</v>
          </cell>
        </row>
        <row r="153">
          <cell r="F153">
            <v>2333.0100000000002</v>
          </cell>
          <cell r="N153">
            <v>0</v>
          </cell>
        </row>
      </sheetData>
      <sheetData sheetId="8">
        <row r="7">
          <cell r="N7">
            <v>131305.56300884951</v>
          </cell>
        </row>
        <row r="8">
          <cell r="F8">
            <v>126671.7117699115</v>
          </cell>
          <cell r="J8">
            <v>140304.34040286022</v>
          </cell>
          <cell r="N8">
            <v>113275.6201769911</v>
          </cell>
        </row>
        <row r="9">
          <cell r="F9">
            <v>0</v>
          </cell>
          <cell r="J9">
            <v>806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8707.5440707964572</v>
          </cell>
          <cell r="J11">
            <v>18309.673097345134</v>
          </cell>
          <cell r="N11">
            <v>8743.3628318584088</v>
          </cell>
        </row>
        <row r="12">
          <cell r="F12">
            <v>1638.42</v>
          </cell>
          <cell r="J12">
            <v>1668.28</v>
          </cell>
          <cell r="N12">
            <v>1468.28</v>
          </cell>
        </row>
        <row r="13">
          <cell r="F13">
            <v>1443.21</v>
          </cell>
          <cell r="J13">
            <v>1721.95</v>
          </cell>
          <cell r="N13">
            <v>1721.95</v>
          </cell>
        </row>
        <row r="14">
          <cell r="F14">
            <v>400</v>
          </cell>
          <cell r="J14">
            <v>400</v>
          </cell>
          <cell r="N14">
            <v>400</v>
          </cell>
        </row>
        <row r="15">
          <cell r="F15">
            <v>610.52</v>
          </cell>
          <cell r="J15">
            <v>596.75</v>
          </cell>
          <cell r="N15">
            <v>119.35</v>
          </cell>
        </row>
        <row r="16">
          <cell r="F16">
            <v>377.39000000000004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1504.4299999999998</v>
          </cell>
          <cell r="J21">
            <v>0</v>
          </cell>
          <cell r="N21">
            <v>0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460.79999999999995</v>
          </cell>
          <cell r="N25">
            <v>230.39999999999998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107.88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168.68</v>
          </cell>
          <cell r="J30">
            <v>11345.099999999999</v>
          </cell>
          <cell r="N30">
            <v>5431.77</v>
          </cell>
        </row>
        <row r="31">
          <cell r="F31">
            <v>-767.53</v>
          </cell>
          <cell r="J31">
            <v>-609.21</v>
          </cell>
          <cell r="N31">
            <v>-609.23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173142.19666666671</v>
          </cell>
          <cell r="N44">
            <v>177562.88</v>
          </cell>
        </row>
        <row r="45">
          <cell r="F45">
            <v>13415.099999999999</v>
          </cell>
          <cell r="N45">
            <v>14779.079999999998</v>
          </cell>
        </row>
        <row r="46">
          <cell r="F46">
            <v>19658.54</v>
          </cell>
          <cell r="N46">
            <v>25471.64</v>
          </cell>
        </row>
        <row r="47">
          <cell r="F47">
            <v>9821.24</v>
          </cell>
          <cell r="N47">
            <v>11864.72</v>
          </cell>
        </row>
        <row r="48">
          <cell r="F48">
            <v>2875.7200000000003</v>
          </cell>
          <cell r="N48">
            <v>3587.29</v>
          </cell>
        </row>
        <row r="49">
          <cell r="F49">
            <v>3509.33</v>
          </cell>
          <cell r="N49">
            <v>4798.41</v>
          </cell>
        </row>
        <row r="50">
          <cell r="F50">
            <v>2421.35</v>
          </cell>
          <cell r="N50">
            <v>3137.0200000000004</v>
          </cell>
        </row>
        <row r="51">
          <cell r="F51">
            <v>37350.879999999997</v>
          </cell>
          <cell r="N51">
            <v>37246.28</v>
          </cell>
        </row>
        <row r="52">
          <cell r="F52">
            <v>0</v>
          </cell>
          <cell r="N52">
            <v>0</v>
          </cell>
        </row>
        <row r="53">
          <cell r="F53">
            <v>1314.44</v>
          </cell>
          <cell r="N53">
            <v>1318.1000000000001</v>
          </cell>
        </row>
        <row r="54">
          <cell r="F54">
            <v>2231.1</v>
          </cell>
          <cell r="N54">
            <v>2261.8000000000002</v>
          </cell>
        </row>
        <row r="55">
          <cell r="F55">
            <v>2603.7200000000003</v>
          </cell>
          <cell r="N55">
            <v>1755.42</v>
          </cell>
        </row>
        <row r="56">
          <cell r="F56">
            <v>722.69</v>
          </cell>
          <cell r="N56">
            <v>0</v>
          </cell>
        </row>
        <row r="57">
          <cell r="F57">
            <v>1304.96</v>
          </cell>
          <cell r="N57">
            <v>1115.93</v>
          </cell>
        </row>
        <row r="58">
          <cell r="F58">
            <v>128.44</v>
          </cell>
          <cell r="N58">
            <v>3.8000000000000291</v>
          </cell>
        </row>
        <row r="59">
          <cell r="F59">
            <v>3780.7</v>
          </cell>
          <cell r="N59">
            <v>768.31000000000017</v>
          </cell>
        </row>
        <row r="60">
          <cell r="F60">
            <v>284.71000000000004</v>
          </cell>
          <cell r="N60">
            <v>510.90999999999985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61.85</v>
          </cell>
        </row>
        <row r="64">
          <cell r="F64">
            <v>187.75</v>
          </cell>
          <cell r="N64">
            <v>462.48</v>
          </cell>
        </row>
        <row r="65">
          <cell r="F65">
            <v>29381.33</v>
          </cell>
          <cell r="N65">
            <v>21194.829999999998</v>
          </cell>
        </row>
        <row r="66">
          <cell r="F66">
            <v>1686.82</v>
          </cell>
          <cell r="N66">
            <v>0</v>
          </cell>
        </row>
        <row r="67">
          <cell r="F67">
            <v>0</v>
          </cell>
          <cell r="N67">
            <v>0</v>
          </cell>
        </row>
        <row r="68">
          <cell r="F68">
            <v>141.5</v>
          </cell>
          <cell r="N68">
            <v>0</v>
          </cell>
        </row>
        <row r="69">
          <cell r="F69">
            <v>3980.52</v>
          </cell>
          <cell r="N69">
            <v>4343.9599999999991</v>
          </cell>
        </row>
        <row r="70">
          <cell r="F70">
            <v>234.66</v>
          </cell>
          <cell r="N70">
            <v>3634.55</v>
          </cell>
        </row>
        <row r="71">
          <cell r="F71">
            <v>0</v>
          </cell>
          <cell r="N71">
            <v>609.21</v>
          </cell>
        </row>
        <row r="72">
          <cell r="F72">
            <v>31359.906666666669</v>
          </cell>
          <cell r="N72">
            <v>31359.919999999998</v>
          </cell>
        </row>
        <row r="73">
          <cell r="F73">
            <v>4253.01</v>
          </cell>
          <cell r="N73">
            <v>7259.3899999999994</v>
          </cell>
        </row>
        <row r="74">
          <cell r="F74">
            <v>493.78</v>
          </cell>
        </row>
        <row r="81">
          <cell r="F81">
            <v>38524.519999999997</v>
          </cell>
          <cell r="N81">
            <v>23621.690000000002</v>
          </cell>
        </row>
        <row r="82">
          <cell r="F82">
            <v>7818.87</v>
          </cell>
          <cell r="N82">
            <v>7124.15</v>
          </cell>
        </row>
        <row r="83">
          <cell r="F83">
            <v>7848.6900000000005</v>
          </cell>
          <cell r="N83">
            <v>1730.58</v>
          </cell>
        </row>
        <row r="84">
          <cell r="F84">
            <v>4932.1000000000004</v>
          </cell>
          <cell r="N84">
            <v>5933.05</v>
          </cell>
        </row>
        <row r="85">
          <cell r="F85">
            <v>5213.8899999999994</v>
          </cell>
          <cell r="N85">
            <v>0</v>
          </cell>
        </row>
        <row r="86">
          <cell r="F86">
            <v>1578.8</v>
          </cell>
          <cell r="N86">
            <v>1287.1500000000001</v>
          </cell>
        </row>
        <row r="87">
          <cell r="F87">
            <v>1599.23</v>
          </cell>
          <cell r="N87">
            <v>686.56999999999994</v>
          </cell>
        </row>
        <row r="88">
          <cell r="F88">
            <v>685.71</v>
          </cell>
          <cell r="N88">
            <v>1185.47</v>
          </cell>
        </row>
        <row r="89">
          <cell r="F89">
            <v>720.79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304.21999999999997</v>
          </cell>
          <cell r="N97">
            <v>8.0399999999999991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801.03</v>
          </cell>
          <cell r="N101">
            <v>1305.52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2273.7399999999998</v>
          </cell>
          <cell r="N104">
            <v>2598.29</v>
          </cell>
        </row>
        <row r="105">
          <cell r="F105">
            <v>0</v>
          </cell>
          <cell r="N105">
            <v>0</v>
          </cell>
        </row>
        <row r="106">
          <cell r="N106">
            <v>0</v>
          </cell>
        </row>
        <row r="117">
          <cell r="F117">
            <v>39488.04</v>
          </cell>
          <cell r="N117">
            <v>36129.740000000005</v>
          </cell>
        </row>
        <row r="118">
          <cell r="F118">
            <v>5305.25</v>
          </cell>
          <cell r="N118">
            <v>5513.4699999999993</v>
          </cell>
        </row>
        <row r="119">
          <cell r="F119">
            <v>1079.74</v>
          </cell>
          <cell r="N119">
            <v>1105.6200000000001</v>
          </cell>
        </row>
        <row r="120">
          <cell r="F120">
            <v>3502</v>
          </cell>
          <cell r="N120">
            <v>3400</v>
          </cell>
        </row>
        <row r="121">
          <cell r="F121">
            <v>0</v>
          </cell>
          <cell r="N121">
            <v>0</v>
          </cell>
        </row>
        <row r="122">
          <cell r="F122">
            <v>994.2</v>
          </cell>
          <cell r="N122">
            <v>965.24</v>
          </cell>
        </row>
        <row r="123">
          <cell r="F123">
            <v>3861</v>
          </cell>
          <cell r="N123">
            <v>3861</v>
          </cell>
        </row>
        <row r="124">
          <cell r="F124">
            <v>126.08</v>
          </cell>
          <cell r="N124">
            <v>122.4</v>
          </cell>
        </row>
        <row r="125">
          <cell r="F125">
            <v>35.799999999999997</v>
          </cell>
          <cell r="N125">
            <v>34.76</v>
          </cell>
        </row>
        <row r="126">
          <cell r="F126">
            <v>0</v>
          </cell>
          <cell r="N126">
            <v>0</v>
          </cell>
        </row>
        <row r="127">
          <cell r="F127">
            <v>139</v>
          </cell>
          <cell r="N127">
            <v>139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141.5</v>
          </cell>
          <cell r="N131">
            <v>185.5</v>
          </cell>
        </row>
        <row r="132">
          <cell r="F132">
            <v>612.16</v>
          </cell>
          <cell r="N132">
            <v>347.83000000000004</v>
          </cell>
        </row>
        <row r="133">
          <cell r="F133">
            <v>72.78</v>
          </cell>
          <cell r="N133">
            <v>3.0200000000000036</v>
          </cell>
        </row>
        <row r="134">
          <cell r="F134">
            <v>32.85</v>
          </cell>
          <cell r="N134">
            <v>45.390000000000008</v>
          </cell>
        </row>
        <row r="135">
          <cell r="F135">
            <v>49.63</v>
          </cell>
          <cell r="N135">
            <v>32.050000000000004</v>
          </cell>
        </row>
        <row r="136">
          <cell r="F136">
            <v>1137.17</v>
          </cell>
          <cell r="N136">
            <v>1099.1199999999999</v>
          </cell>
        </row>
        <row r="137">
          <cell r="F137">
            <v>12.13</v>
          </cell>
          <cell r="N137">
            <v>28.63</v>
          </cell>
        </row>
        <row r="138">
          <cell r="F138">
            <v>299.25</v>
          </cell>
          <cell r="N138">
            <v>387.74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488.53999999999996</v>
          </cell>
          <cell r="N142">
            <v>133.24</v>
          </cell>
        </row>
        <row r="143">
          <cell r="F143">
            <v>4742.7299999999996</v>
          </cell>
          <cell r="N143">
            <v>3000</v>
          </cell>
        </row>
        <row r="144">
          <cell r="F144">
            <v>4434.25</v>
          </cell>
          <cell r="N144">
            <v>2400.42</v>
          </cell>
        </row>
        <row r="145">
          <cell r="F145">
            <v>1968.06</v>
          </cell>
          <cell r="N145">
            <v>1228.8400000000001</v>
          </cell>
        </row>
        <row r="146">
          <cell r="F146">
            <v>279.39999999999998</v>
          </cell>
          <cell r="N146">
            <v>508.54999999999995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2961.8</v>
          </cell>
          <cell r="N149">
            <v>2518.09</v>
          </cell>
        </row>
        <row r="150">
          <cell r="F150">
            <v>0</v>
          </cell>
          <cell r="N150">
            <v>0</v>
          </cell>
        </row>
        <row r="151">
          <cell r="F151">
            <v>2327.6999999999998</v>
          </cell>
          <cell r="N151">
            <v>556.22</v>
          </cell>
        </row>
        <row r="152">
          <cell r="F152">
            <v>0</v>
          </cell>
          <cell r="N152">
            <v>3060.9</v>
          </cell>
        </row>
        <row r="153">
          <cell r="F153">
            <v>3110.6800000000003</v>
          </cell>
          <cell r="N153">
            <v>0</v>
          </cell>
        </row>
      </sheetData>
      <sheetData sheetId="9">
        <row r="7">
          <cell r="N7">
            <v>203701.00805309735</v>
          </cell>
        </row>
        <row r="8">
          <cell r="F8">
            <v>191311.33176991151</v>
          </cell>
          <cell r="J8">
            <v>196288.43819710801</v>
          </cell>
          <cell r="N8">
            <v>177287.5228318584</v>
          </cell>
        </row>
        <row r="9">
          <cell r="F9">
            <v>44.25</v>
          </cell>
          <cell r="J9">
            <v>1010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28814.097876106196</v>
          </cell>
          <cell r="N11">
            <v>13995.57522123894</v>
          </cell>
        </row>
        <row r="12">
          <cell r="F12">
            <v>2225.63</v>
          </cell>
          <cell r="J12">
            <v>1964.48</v>
          </cell>
          <cell r="N12">
            <v>1764.48</v>
          </cell>
        </row>
        <row r="13">
          <cell r="F13">
            <v>3326.71</v>
          </cell>
          <cell r="J13">
            <v>4126.74</v>
          </cell>
          <cell r="N13">
            <v>4126.74</v>
          </cell>
        </row>
        <row r="14">
          <cell r="F14">
            <v>500</v>
          </cell>
          <cell r="J14">
            <v>500</v>
          </cell>
          <cell r="N14">
            <v>500</v>
          </cell>
        </row>
        <row r="15">
          <cell r="F15">
            <v>1175.0900000000001</v>
          </cell>
          <cell r="J15">
            <v>1036.1500000000001</v>
          </cell>
          <cell r="N15">
            <v>207.23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0</v>
          </cell>
          <cell r="N17">
            <v>0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300.88</v>
          </cell>
          <cell r="N21">
            <v>150.44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1263</v>
          </cell>
          <cell r="N25">
            <v>631.5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250.7</v>
          </cell>
          <cell r="J28">
            <v>0</v>
          </cell>
          <cell r="N28">
            <v>0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264.43</v>
          </cell>
          <cell r="J30">
            <v>11379.71</v>
          </cell>
          <cell r="N30">
            <v>5466.38</v>
          </cell>
        </row>
        <row r="31">
          <cell r="F31">
            <v>-1281.8600000000001</v>
          </cell>
          <cell r="J31">
            <v>-952.90000000000009</v>
          </cell>
          <cell r="N31">
            <v>-952.92000000000007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223142.3833333333</v>
          </cell>
          <cell r="N44">
            <v>228202.52</v>
          </cell>
        </row>
        <row r="45">
          <cell r="F45">
            <v>17090.259999999998</v>
          </cell>
          <cell r="N45">
            <v>19877.75</v>
          </cell>
        </row>
        <row r="46">
          <cell r="F46">
            <v>24880</v>
          </cell>
          <cell r="N46">
            <v>29167.73</v>
          </cell>
        </row>
        <row r="47">
          <cell r="F47">
            <v>14200.8</v>
          </cell>
          <cell r="N47">
            <v>14685.849999999999</v>
          </cell>
        </row>
        <row r="48">
          <cell r="F48">
            <v>3672.9500000000003</v>
          </cell>
          <cell r="N48">
            <v>4809.28</v>
          </cell>
        </row>
        <row r="49">
          <cell r="F49">
            <v>4508.5199999999995</v>
          </cell>
          <cell r="N49">
            <v>5622.27</v>
          </cell>
        </row>
        <row r="50">
          <cell r="F50">
            <v>3032.88</v>
          </cell>
          <cell r="N50">
            <v>3882.9300000000003</v>
          </cell>
        </row>
        <row r="51">
          <cell r="F51">
            <v>47267</v>
          </cell>
          <cell r="N51">
            <v>46558.85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1645.7700000000002</v>
          </cell>
        </row>
        <row r="54">
          <cell r="F54">
            <v>2427.5</v>
          </cell>
          <cell r="N54">
            <v>2521.63</v>
          </cell>
        </row>
        <row r="55">
          <cell r="F55">
            <v>3383.5</v>
          </cell>
          <cell r="N55">
            <v>2361.4899999999998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1472.6200000000001</v>
          </cell>
        </row>
        <row r="58">
          <cell r="F58">
            <v>287.06</v>
          </cell>
          <cell r="N58">
            <v>210.15000000000003</v>
          </cell>
        </row>
        <row r="59">
          <cell r="F59">
            <v>3780.7</v>
          </cell>
          <cell r="N59">
            <v>768.31000000000017</v>
          </cell>
        </row>
        <row r="60">
          <cell r="F60">
            <v>363.25000000000006</v>
          </cell>
          <cell r="N60">
            <v>597.83999999999969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61.85</v>
          </cell>
        </row>
        <row r="64">
          <cell r="F64">
            <v>188.71</v>
          </cell>
          <cell r="N64">
            <v>462.48</v>
          </cell>
        </row>
        <row r="65">
          <cell r="F65">
            <v>36346.14</v>
          </cell>
          <cell r="N65">
            <v>32431.829999999998</v>
          </cell>
        </row>
        <row r="66">
          <cell r="F66">
            <v>2900.09</v>
          </cell>
          <cell r="N66">
            <v>0</v>
          </cell>
        </row>
        <row r="67">
          <cell r="F67">
            <v>0</v>
          </cell>
          <cell r="N67">
            <v>0</v>
          </cell>
        </row>
        <row r="68">
          <cell r="F68">
            <v>399.06</v>
          </cell>
          <cell r="N68">
            <v>0</v>
          </cell>
        </row>
        <row r="69">
          <cell r="F69">
            <v>5994.46</v>
          </cell>
          <cell r="N69">
            <v>6907.6899999999987</v>
          </cell>
        </row>
        <row r="70">
          <cell r="F70">
            <v>1811.8300000000002</v>
          </cell>
          <cell r="N70">
            <v>3634.55</v>
          </cell>
        </row>
        <row r="71">
          <cell r="F71">
            <v>0</v>
          </cell>
          <cell r="N71">
            <v>952.90000000000009</v>
          </cell>
        </row>
        <row r="72">
          <cell r="F72">
            <v>39199.883333333339</v>
          </cell>
          <cell r="N72">
            <v>39199.899999999994</v>
          </cell>
        </row>
        <row r="73">
          <cell r="F73">
            <v>5806.2300000000005</v>
          </cell>
          <cell r="N73">
            <v>10350.869999999999</v>
          </cell>
        </row>
        <row r="74">
          <cell r="F74">
            <v>1179.54</v>
          </cell>
        </row>
        <row r="81">
          <cell r="F81">
            <v>46297.34</v>
          </cell>
          <cell r="N81">
            <v>31222.53</v>
          </cell>
        </row>
        <row r="82">
          <cell r="F82">
            <v>9451.0400000000009</v>
          </cell>
          <cell r="N82">
            <v>8697.48</v>
          </cell>
        </row>
        <row r="83">
          <cell r="F83">
            <v>10153.07</v>
          </cell>
          <cell r="N83">
            <v>3221.29</v>
          </cell>
        </row>
        <row r="84">
          <cell r="F84">
            <v>5921.02</v>
          </cell>
          <cell r="N84">
            <v>8174.06</v>
          </cell>
        </row>
        <row r="85">
          <cell r="F85">
            <v>6270.86</v>
          </cell>
          <cell r="N85">
            <v>0</v>
          </cell>
        </row>
        <row r="86">
          <cell r="F86">
            <v>1913.23</v>
          </cell>
          <cell r="N86">
            <v>1637.8500000000001</v>
          </cell>
        </row>
        <row r="87">
          <cell r="F87">
            <v>2080.4</v>
          </cell>
          <cell r="N87">
            <v>1018.8499999999999</v>
          </cell>
        </row>
        <row r="88">
          <cell r="F88">
            <v>901.2</v>
          </cell>
          <cell r="N88">
            <v>1599.68</v>
          </cell>
        </row>
        <row r="89">
          <cell r="F89">
            <v>880.69999999999993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554.78</v>
          </cell>
          <cell r="N97">
            <v>21.79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878.12</v>
          </cell>
          <cell r="N101">
            <v>1430.43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2545.4699999999998</v>
          </cell>
          <cell r="N104">
            <v>3658.23</v>
          </cell>
        </row>
        <row r="105">
          <cell r="F105">
            <v>0</v>
          </cell>
          <cell r="N105">
            <v>0</v>
          </cell>
        </row>
        <row r="117">
          <cell r="F117">
            <v>47345.49</v>
          </cell>
          <cell r="N117">
            <v>43439.39</v>
          </cell>
        </row>
        <row r="118">
          <cell r="F118">
            <v>6449.25</v>
          </cell>
          <cell r="N118">
            <v>6592.4699999999993</v>
          </cell>
        </row>
        <row r="119">
          <cell r="F119">
            <v>1329.02</v>
          </cell>
          <cell r="N119">
            <v>1346.13</v>
          </cell>
        </row>
        <row r="120">
          <cell r="F120">
            <v>4377.5</v>
          </cell>
          <cell r="N120">
            <v>4250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1206.55</v>
          </cell>
        </row>
        <row r="123">
          <cell r="F123">
            <v>4826.25</v>
          </cell>
          <cell r="N123">
            <v>4826.25</v>
          </cell>
        </row>
        <row r="124">
          <cell r="F124">
            <v>157.6</v>
          </cell>
          <cell r="N124">
            <v>153</v>
          </cell>
        </row>
        <row r="125">
          <cell r="F125">
            <v>44.75</v>
          </cell>
          <cell r="N125">
            <v>43.449999999999996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173.75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217.5</v>
          </cell>
        </row>
        <row r="132">
          <cell r="F132">
            <v>751.64</v>
          </cell>
          <cell r="N132">
            <v>487.94000000000005</v>
          </cell>
        </row>
        <row r="133">
          <cell r="F133">
            <v>88.68</v>
          </cell>
          <cell r="N133">
            <v>32.610000000000007</v>
          </cell>
        </row>
        <row r="134">
          <cell r="F134">
            <v>46.31</v>
          </cell>
          <cell r="N134">
            <v>34.370000000000005</v>
          </cell>
        </row>
        <row r="135">
          <cell r="F135">
            <v>62.370000000000005</v>
          </cell>
          <cell r="N135">
            <v>101.53</v>
          </cell>
        </row>
        <row r="136">
          <cell r="F136">
            <v>1482.8000000000002</v>
          </cell>
          <cell r="N136">
            <v>1468.7399999999998</v>
          </cell>
        </row>
        <row r="137">
          <cell r="F137">
            <v>25.62</v>
          </cell>
          <cell r="N137">
            <v>50.31</v>
          </cell>
        </row>
        <row r="138">
          <cell r="F138">
            <v>299.25</v>
          </cell>
          <cell r="N138">
            <v>469.58000000000004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901.3</v>
          </cell>
        </row>
        <row r="143">
          <cell r="F143">
            <v>5242.7299999999996</v>
          </cell>
          <cell r="N143">
            <v>3900</v>
          </cell>
        </row>
        <row r="144">
          <cell r="F144">
            <v>4600.62</v>
          </cell>
          <cell r="N144">
            <v>2559.0700000000002</v>
          </cell>
        </row>
        <row r="145">
          <cell r="F145">
            <v>2050.08</v>
          </cell>
          <cell r="N145">
            <v>1376.13</v>
          </cell>
        </row>
        <row r="146">
          <cell r="F146">
            <v>345.75</v>
          </cell>
          <cell r="N146">
            <v>600.92999999999995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2836.4300000000003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556.22</v>
          </cell>
        </row>
        <row r="152">
          <cell r="F152">
            <v>0</v>
          </cell>
          <cell r="N152">
            <v>3599.33</v>
          </cell>
        </row>
        <row r="153">
          <cell r="F153">
            <v>3888.3500000000004</v>
          </cell>
          <cell r="N153">
            <v>0</v>
          </cell>
        </row>
      </sheetData>
      <sheetData sheetId="10">
        <row r="8">
          <cell r="F8">
            <v>191311.33176991151</v>
          </cell>
          <cell r="J8">
            <v>263506.03495944297</v>
          </cell>
          <cell r="N8">
            <v>253065.94283185841</v>
          </cell>
        </row>
        <row r="9">
          <cell r="F9">
            <v>44.25</v>
          </cell>
          <cell r="J9">
            <v>1215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40795.517876106198</v>
          </cell>
          <cell r="N11">
            <v>19986.285221238941</v>
          </cell>
        </row>
        <row r="12">
          <cell r="F12">
            <v>2225.63</v>
          </cell>
          <cell r="J12">
            <v>2256.9299999999998</v>
          </cell>
          <cell r="N12">
            <v>2056.9299999999998</v>
          </cell>
        </row>
        <row r="13">
          <cell r="F13">
            <v>3326.71</v>
          </cell>
          <cell r="J13">
            <v>6269.65</v>
          </cell>
          <cell r="N13">
            <v>6269.65</v>
          </cell>
        </row>
        <row r="14">
          <cell r="F14">
            <v>500</v>
          </cell>
          <cell r="J14">
            <v>600</v>
          </cell>
          <cell r="N14">
            <v>600</v>
          </cell>
        </row>
        <row r="15">
          <cell r="F15">
            <v>1175.0900000000001</v>
          </cell>
          <cell r="J15">
            <v>2647.45</v>
          </cell>
          <cell r="N15">
            <v>529.49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336.3</v>
          </cell>
          <cell r="N17">
            <v>168.15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1398.2199999999998</v>
          </cell>
          <cell r="N21">
            <v>699.1099999999999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2225.4</v>
          </cell>
          <cell r="N25">
            <v>1112.7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250.7</v>
          </cell>
          <cell r="J28">
            <v>388.7</v>
          </cell>
          <cell r="N28">
            <v>194.35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264.43</v>
          </cell>
          <cell r="J30">
            <v>11493.72</v>
          </cell>
          <cell r="N30">
            <v>5580.39</v>
          </cell>
        </row>
        <row r="31">
          <cell r="F31">
            <v>-1281.8600000000001</v>
          </cell>
          <cell r="J31">
            <v>-1356.0300000000002</v>
          </cell>
          <cell r="N31">
            <v>-1356.0500000000002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230982.36</v>
          </cell>
          <cell r="N44">
            <v>280771.37900000002</v>
          </cell>
        </row>
        <row r="45">
          <cell r="F45">
            <v>17090.259999999998</v>
          </cell>
          <cell r="N45">
            <v>24796.760000000002</v>
          </cell>
        </row>
        <row r="46">
          <cell r="F46">
            <v>24880</v>
          </cell>
          <cell r="N46">
            <v>33311.75</v>
          </cell>
        </row>
        <row r="47">
          <cell r="F47">
            <v>14200.8</v>
          </cell>
          <cell r="N47">
            <v>17339.719999999998</v>
          </cell>
        </row>
        <row r="48">
          <cell r="F48">
            <v>3672.9500000000003</v>
          </cell>
          <cell r="N48">
            <v>5980.1399999999994</v>
          </cell>
        </row>
        <row r="49">
          <cell r="F49">
            <v>4508.5199999999995</v>
          </cell>
          <cell r="N49">
            <v>6569.4900000000007</v>
          </cell>
        </row>
        <row r="50">
          <cell r="F50">
            <v>3032.88</v>
          </cell>
          <cell r="N50">
            <v>4659.2300000000005</v>
          </cell>
        </row>
        <row r="51">
          <cell r="F51">
            <v>47267</v>
          </cell>
          <cell r="N51">
            <v>55889.96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1974.1200000000003</v>
          </cell>
        </row>
        <row r="54">
          <cell r="F54">
            <v>2427.5</v>
          </cell>
          <cell r="N54">
            <v>3788.0600000000004</v>
          </cell>
        </row>
        <row r="55">
          <cell r="F55">
            <v>3383.5</v>
          </cell>
          <cell r="N55">
            <v>3190.2089999999998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1833.0100000000002</v>
          </cell>
        </row>
        <row r="58">
          <cell r="F58">
            <v>287.06</v>
          </cell>
          <cell r="N58">
            <v>240.42000000000004</v>
          </cell>
        </row>
        <row r="59">
          <cell r="F59">
            <v>3780.7</v>
          </cell>
          <cell r="N59">
            <v>1059.69</v>
          </cell>
        </row>
        <row r="60">
          <cell r="F60">
            <v>363.25000000000006</v>
          </cell>
          <cell r="N60">
            <v>907.85999999999967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462.48</v>
          </cell>
        </row>
        <row r="65">
          <cell r="F65">
            <v>36346.14</v>
          </cell>
          <cell r="N65">
            <v>42977.17</v>
          </cell>
        </row>
        <row r="66">
          <cell r="F66">
            <v>2900.09</v>
          </cell>
          <cell r="N66">
            <v>353.98</v>
          </cell>
        </row>
        <row r="67">
          <cell r="F67">
            <v>0</v>
          </cell>
          <cell r="N67">
            <v>140</v>
          </cell>
        </row>
        <row r="68">
          <cell r="F68">
            <v>399.06</v>
          </cell>
          <cell r="N68">
            <v>0</v>
          </cell>
        </row>
        <row r="69">
          <cell r="F69">
            <v>5994.46</v>
          </cell>
          <cell r="N69">
            <v>9147.6799999999985</v>
          </cell>
        </row>
        <row r="70">
          <cell r="F70">
            <v>1811.8300000000002</v>
          </cell>
          <cell r="N70">
            <v>4352.18</v>
          </cell>
        </row>
        <row r="71">
          <cell r="F71">
            <v>0</v>
          </cell>
          <cell r="N71">
            <v>1356.0300000000002</v>
          </cell>
        </row>
        <row r="72">
          <cell r="F72">
            <v>47039.860000000008</v>
          </cell>
          <cell r="N72">
            <v>47039.87999999999</v>
          </cell>
        </row>
        <row r="73">
          <cell r="F73">
            <v>5806.2300000000005</v>
          </cell>
          <cell r="N73">
            <v>13282.48</v>
          </cell>
        </row>
        <row r="81">
          <cell r="D81">
            <v>0</v>
          </cell>
          <cell r="F81">
            <v>46297.34</v>
          </cell>
          <cell r="N81">
            <v>38145.430000000008</v>
          </cell>
        </row>
        <row r="82">
          <cell r="D82">
            <v>0</v>
          </cell>
          <cell r="F82">
            <v>9451.0400000000009</v>
          </cell>
          <cell r="N82">
            <v>10301.459999999999</v>
          </cell>
        </row>
        <row r="83">
          <cell r="D83">
            <v>0</v>
          </cell>
          <cell r="F83">
            <v>10153.07</v>
          </cell>
          <cell r="N83">
            <v>5806.59</v>
          </cell>
        </row>
        <row r="84">
          <cell r="D84">
            <v>0</v>
          </cell>
          <cell r="F84">
            <v>5921.02</v>
          </cell>
          <cell r="N84">
            <v>8738.77</v>
          </cell>
        </row>
        <row r="85">
          <cell r="D85">
            <v>0</v>
          </cell>
          <cell r="F85">
            <v>6270.86</v>
          </cell>
          <cell r="N85">
            <v>0</v>
          </cell>
        </row>
        <row r="86">
          <cell r="D86">
            <v>0</v>
          </cell>
          <cell r="F86">
            <v>1913.23</v>
          </cell>
          <cell r="N86">
            <v>2003.3600000000001</v>
          </cell>
        </row>
        <row r="87">
          <cell r="D87">
            <v>0</v>
          </cell>
          <cell r="F87">
            <v>2080.4</v>
          </cell>
          <cell r="N87">
            <v>1513.05</v>
          </cell>
        </row>
        <row r="88">
          <cell r="D88">
            <v>0</v>
          </cell>
          <cell r="F88">
            <v>901.2</v>
          </cell>
          <cell r="N88">
            <v>1699.15</v>
          </cell>
        </row>
        <row r="89">
          <cell r="D89">
            <v>0</v>
          </cell>
          <cell r="F89">
            <v>880.69999999999993</v>
          </cell>
          <cell r="N89">
            <v>0</v>
          </cell>
        </row>
        <row r="90">
          <cell r="D90">
            <v>0</v>
          </cell>
          <cell r="F90">
            <v>0</v>
          </cell>
          <cell r="N90">
            <v>0</v>
          </cell>
        </row>
        <row r="91">
          <cell r="D91">
            <v>0</v>
          </cell>
          <cell r="F91">
            <v>0</v>
          </cell>
          <cell r="N91">
            <v>0</v>
          </cell>
        </row>
        <row r="92">
          <cell r="D92">
            <v>0</v>
          </cell>
          <cell r="F92">
            <v>0</v>
          </cell>
          <cell r="N92">
            <v>0</v>
          </cell>
        </row>
        <row r="93">
          <cell r="D93">
            <v>0</v>
          </cell>
          <cell r="F93">
            <v>0</v>
          </cell>
          <cell r="N93">
            <v>0</v>
          </cell>
        </row>
        <row r="94">
          <cell r="D94">
            <v>0</v>
          </cell>
          <cell r="F94">
            <v>0</v>
          </cell>
          <cell r="N94">
            <v>0</v>
          </cell>
        </row>
        <row r="95">
          <cell r="D95">
            <v>0</v>
          </cell>
          <cell r="F95">
            <v>0</v>
          </cell>
          <cell r="N95">
            <v>0</v>
          </cell>
        </row>
        <row r="96">
          <cell r="D96">
            <v>0</v>
          </cell>
          <cell r="F96">
            <v>0</v>
          </cell>
          <cell r="N96">
            <v>246.76</v>
          </cell>
        </row>
        <row r="97">
          <cell r="D97">
            <v>0</v>
          </cell>
          <cell r="F97">
            <v>554.78</v>
          </cell>
          <cell r="N97">
            <v>94.289999999999992</v>
          </cell>
        </row>
        <row r="98">
          <cell r="D98">
            <v>0</v>
          </cell>
          <cell r="F98">
            <v>0</v>
          </cell>
          <cell r="N98">
            <v>0</v>
          </cell>
        </row>
        <row r="99">
          <cell r="D99">
            <v>0</v>
          </cell>
          <cell r="F99">
            <v>0</v>
          </cell>
          <cell r="N99">
            <v>0</v>
          </cell>
        </row>
        <row r="100">
          <cell r="D100">
            <v>0</v>
          </cell>
          <cell r="F100">
            <v>4747.45</v>
          </cell>
          <cell r="N100">
            <v>119.88</v>
          </cell>
        </row>
        <row r="101">
          <cell r="D101">
            <v>0</v>
          </cell>
          <cell r="F101">
            <v>878.12</v>
          </cell>
          <cell r="N101">
            <v>1567.66</v>
          </cell>
        </row>
        <row r="102">
          <cell r="D102">
            <v>0</v>
          </cell>
          <cell r="F102">
            <v>0</v>
          </cell>
          <cell r="N102">
            <v>0</v>
          </cell>
        </row>
        <row r="103">
          <cell r="D103">
            <v>0</v>
          </cell>
          <cell r="F103">
            <v>0</v>
          </cell>
          <cell r="N103">
            <v>1396.23</v>
          </cell>
        </row>
        <row r="104">
          <cell r="D104">
            <v>0</v>
          </cell>
          <cell r="F104">
            <v>2545.4699999999998</v>
          </cell>
          <cell r="N104">
            <v>4658.2299999999996</v>
          </cell>
        </row>
        <row r="105">
          <cell r="D105">
            <v>0</v>
          </cell>
          <cell r="F105">
            <v>0</v>
          </cell>
          <cell r="N105">
            <v>0</v>
          </cell>
        </row>
        <row r="117">
          <cell r="F117">
            <v>48123.159999999996</v>
          </cell>
          <cell r="N117">
            <v>49401.37000000001</v>
          </cell>
        </row>
        <row r="118">
          <cell r="F118">
            <v>6449.25</v>
          </cell>
          <cell r="N118">
            <v>7599.7699999999995</v>
          </cell>
        </row>
        <row r="119">
          <cell r="F119">
            <v>1329.02</v>
          </cell>
          <cell r="N119">
            <v>1586.64</v>
          </cell>
        </row>
        <row r="120">
          <cell r="F120">
            <v>4377.5</v>
          </cell>
          <cell r="N120">
            <v>5100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1447.86</v>
          </cell>
        </row>
        <row r="123">
          <cell r="F123">
            <v>4826.25</v>
          </cell>
          <cell r="N123">
            <v>5791.5</v>
          </cell>
        </row>
        <row r="124">
          <cell r="F124">
            <v>157.6</v>
          </cell>
          <cell r="N124">
            <v>183.6</v>
          </cell>
        </row>
        <row r="125">
          <cell r="F125">
            <v>44.75</v>
          </cell>
          <cell r="N125">
            <v>52.139999999999993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208.5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248.5</v>
          </cell>
        </row>
        <row r="132">
          <cell r="F132">
            <v>751.64</v>
          </cell>
          <cell r="N132">
            <v>678.65000000000009</v>
          </cell>
        </row>
        <row r="133">
          <cell r="F133">
            <v>88.68</v>
          </cell>
          <cell r="N133">
            <v>76.330000000000013</v>
          </cell>
        </row>
        <row r="134">
          <cell r="F134">
            <v>46.31</v>
          </cell>
          <cell r="N134">
            <v>33.320000000000007</v>
          </cell>
        </row>
        <row r="135">
          <cell r="F135">
            <v>62.370000000000005</v>
          </cell>
          <cell r="N135">
            <v>184.54000000000002</v>
          </cell>
        </row>
        <row r="136">
          <cell r="F136">
            <v>1482.8000000000002</v>
          </cell>
          <cell r="N136">
            <v>1835.6799999999998</v>
          </cell>
        </row>
        <row r="137">
          <cell r="F137">
            <v>25.62</v>
          </cell>
          <cell r="N137">
            <v>50.31</v>
          </cell>
        </row>
        <row r="138">
          <cell r="F138">
            <v>299.25</v>
          </cell>
          <cell r="N138">
            <v>469.58000000000004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901.3</v>
          </cell>
        </row>
        <row r="143">
          <cell r="F143">
            <v>5242.7299999999996</v>
          </cell>
          <cell r="N143">
            <v>4800</v>
          </cell>
        </row>
        <row r="144">
          <cell r="F144">
            <v>4600.62</v>
          </cell>
          <cell r="N144">
            <v>2559.0700000000002</v>
          </cell>
        </row>
        <row r="145">
          <cell r="F145">
            <v>2050.08</v>
          </cell>
          <cell r="N145">
            <v>1405.43</v>
          </cell>
        </row>
        <row r="146">
          <cell r="F146">
            <v>345.75</v>
          </cell>
          <cell r="N146">
            <v>713.29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2966.61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556.22</v>
          </cell>
        </row>
        <row r="152">
          <cell r="F152">
            <v>0</v>
          </cell>
          <cell r="N152">
            <v>4274</v>
          </cell>
        </row>
        <row r="153">
          <cell r="F153">
            <v>4666.0200000000004</v>
          </cell>
          <cell r="N153">
            <v>0</v>
          </cell>
        </row>
      </sheetData>
      <sheetData sheetId="11">
        <row r="8">
          <cell r="F8">
            <v>191311.33176991151</v>
          </cell>
          <cell r="J8">
            <v>333904.83628838381</v>
          </cell>
          <cell r="N8">
            <v>325810.4328318584</v>
          </cell>
        </row>
        <row r="9">
          <cell r="F9">
            <v>44.25</v>
          </cell>
          <cell r="J9">
            <v>1421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49399.737876106199</v>
          </cell>
          <cell r="N11">
            <v>24288.395221238941</v>
          </cell>
        </row>
        <row r="12">
          <cell r="F12">
            <v>2225.63</v>
          </cell>
          <cell r="J12">
            <v>2606.5899999999997</v>
          </cell>
          <cell r="N12">
            <v>2406.5899999999997</v>
          </cell>
        </row>
        <row r="13">
          <cell r="F13">
            <v>3326.71</v>
          </cell>
          <cell r="J13">
            <v>9277.07</v>
          </cell>
          <cell r="N13">
            <v>9277.07</v>
          </cell>
        </row>
        <row r="14">
          <cell r="F14">
            <v>500</v>
          </cell>
          <cell r="J14">
            <v>700</v>
          </cell>
          <cell r="N14">
            <v>700</v>
          </cell>
        </row>
        <row r="15">
          <cell r="F15">
            <v>1175.0900000000001</v>
          </cell>
          <cell r="J15">
            <v>3345</v>
          </cell>
          <cell r="N15">
            <v>669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513.29999999999995</v>
          </cell>
          <cell r="N17">
            <v>256.64999999999998</v>
          </cell>
        </row>
        <row r="18">
          <cell r="F18">
            <v>0</v>
          </cell>
          <cell r="J18">
            <v>0</v>
          </cell>
          <cell r="N18">
            <v>0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2021.2199999999998</v>
          </cell>
          <cell r="N21">
            <v>1010.6099999999999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3409.5</v>
          </cell>
          <cell r="N25">
            <v>1704.75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0</v>
          </cell>
          <cell r="N27">
            <v>0</v>
          </cell>
        </row>
        <row r="28">
          <cell r="F28">
            <v>250.7</v>
          </cell>
          <cell r="J28">
            <v>839.5</v>
          </cell>
          <cell r="N28">
            <v>419.75</v>
          </cell>
        </row>
        <row r="29">
          <cell r="F29">
            <v>0</v>
          </cell>
          <cell r="J29">
            <v>0</v>
          </cell>
          <cell r="N29">
            <v>0</v>
          </cell>
        </row>
        <row r="30">
          <cell r="F30">
            <v>264.43</v>
          </cell>
          <cell r="J30">
            <v>11517.83</v>
          </cell>
          <cell r="N30">
            <v>5604.5</v>
          </cell>
        </row>
        <row r="31">
          <cell r="F31">
            <v>-1281.8600000000001</v>
          </cell>
          <cell r="J31">
            <v>-1739.3500000000001</v>
          </cell>
          <cell r="N31">
            <v>-1739.3700000000001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238822.33666666664</v>
          </cell>
          <cell r="N44">
            <v>331392.62899999996</v>
          </cell>
        </row>
        <row r="45">
          <cell r="F45">
            <v>17090.259999999998</v>
          </cell>
          <cell r="N45">
            <v>29360.210000000003</v>
          </cell>
        </row>
        <row r="46">
          <cell r="F46">
            <v>24880</v>
          </cell>
          <cell r="N46">
            <v>37162.480000000003</v>
          </cell>
        </row>
        <row r="47">
          <cell r="F47">
            <v>14200.8</v>
          </cell>
          <cell r="N47">
            <v>21203.399999999998</v>
          </cell>
        </row>
        <row r="48">
          <cell r="F48">
            <v>3672.9500000000003</v>
          </cell>
          <cell r="N48">
            <v>7038.6799999999994</v>
          </cell>
        </row>
        <row r="49">
          <cell r="F49">
            <v>4508.5199999999995</v>
          </cell>
          <cell r="N49">
            <v>7379.9000000000005</v>
          </cell>
        </row>
        <row r="50">
          <cell r="F50">
            <v>3032.88</v>
          </cell>
          <cell r="N50">
            <v>5484.17</v>
          </cell>
        </row>
        <row r="51">
          <cell r="F51">
            <v>47267</v>
          </cell>
          <cell r="N51">
            <v>65221.07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2302.4700000000003</v>
          </cell>
        </row>
        <row r="54">
          <cell r="F54">
            <v>2427.5</v>
          </cell>
          <cell r="N54">
            <v>3912.8500000000004</v>
          </cell>
        </row>
        <row r="55">
          <cell r="F55">
            <v>3383.5</v>
          </cell>
          <cell r="N55">
            <v>4382.0190000000002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2193.4</v>
          </cell>
        </row>
        <row r="58">
          <cell r="F58">
            <v>287.06</v>
          </cell>
          <cell r="N58">
            <v>319.00000000000006</v>
          </cell>
        </row>
        <row r="59">
          <cell r="F59">
            <v>3780.7</v>
          </cell>
          <cell r="N59">
            <v>1059.69</v>
          </cell>
        </row>
        <row r="60">
          <cell r="F60">
            <v>363.25000000000006</v>
          </cell>
          <cell r="N60">
            <v>1009.04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17.98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462.48</v>
          </cell>
        </row>
        <row r="65">
          <cell r="F65">
            <v>36346.14</v>
          </cell>
          <cell r="N65">
            <v>52982.080000000002</v>
          </cell>
        </row>
        <row r="66">
          <cell r="F66">
            <v>2900.09</v>
          </cell>
          <cell r="N66">
            <v>752.38</v>
          </cell>
        </row>
        <row r="67">
          <cell r="F67">
            <v>0</v>
          </cell>
          <cell r="N67">
            <v>228.5</v>
          </cell>
        </row>
        <row r="68">
          <cell r="F68">
            <v>399.06</v>
          </cell>
          <cell r="N68">
            <v>0</v>
          </cell>
        </row>
        <row r="69">
          <cell r="F69">
            <v>5994.46</v>
          </cell>
          <cell r="N69">
            <v>11123.619999999999</v>
          </cell>
        </row>
        <row r="70">
          <cell r="F70">
            <v>1811.8300000000002</v>
          </cell>
          <cell r="N70">
            <v>4352.18</v>
          </cell>
        </row>
        <row r="71">
          <cell r="F71">
            <v>0</v>
          </cell>
          <cell r="N71">
            <v>1739.3500000000001</v>
          </cell>
        </row>
        <row r="72">
          <cell r="F72">
            <v>54879.836666666677</v>
          </cell>
          <cell r="N72">
            <v>54879.859999999986</v>
          </cell>
        </row>
        <row r="73">
          <cell r="F73">
            <v>5806.2300000000005</v>
          </cell>
          <cell r="N73">
            <v>16724.72</v>
          </cell>
        </row>
        <row r="81">
          <cell r="D81">
            <v>0</v>
          </cell>
          <cell r="F81">
            <v>46297.34</v>
          </cell>
          <cell r="N81">
            <v>44921.570000000007</v>
          </cell>
        </row>
        <row r="82">
          <cell r="D82">
            <v>0</v>
          </cell>
          <cell r="F82">
            <v>9451.0400000000009</v>
          </cell>
          <cell r="N82">
            <v>11828.72</v>
          </cell>
        </row>
        <row r="83">
          <cell r="D83">
            <v>0</v>
          </cell>
          <cell r="F83">
            <v>10153.07</v>
          </cell>
          <cell r="N83">
            <v>6593.01</v>
          </cell>
        </row>
        <row r="84">
          <cell r="D84">
            <v>0</v>
          </cell>
          <cell r="F84">
            <v>5921.02</v>
          </cell>
          <cell r="N84">
            <v>10477.5</v>
          </cell>
        </row>
        <row r="85">
          <cell r="D85">
            <v>0</v>
          </cell>
          <cell r="F85">
            <v>6270.86</v>
          </cell>
          <cell r="N85">
            <v>0</v>
          </cell>
        </row>
        <row r="86">
          <cell r="D86">
            <v>0</v>
          </cell>
          <cell r="F86">
            <v>1913.23</v>
          </cell>
          <cell r="N86">
            <v>2343.79</v>
          </cell>
        </row>
        <row r="87">
          <cell r="D87">
            <v>0</v>
          </cell>
          <cell r="F87">
            <v>2080.4</v>
          </cell>
          <cell r="N87">
            <v>1688.34</v>
          </cell>
        </row>
        <row r="88">
          <cell r="D88">
            <v>0</v>
          </cell>
          <cell r="F88">
            <v>901.2</v>
          </cell>
          <cell r="N88">
            <v>1970.91</v>
          </cell>
        </row>
        <row r="89">
          <cell r="D89">
            <v>0</v>
          </cell>
          <cell r="F89">
            <v>880.69999999999993</v>
          </cell>
          <cell r="N89">
            <v>0</v>
          </cell>
        </row>
        <row r="90">
          <cell r="D90">
            <v>0</v>
          </cell>
          <cell r="F90">
            <v>0</v>
          </cell>
          <cell r="N90">
            <v>0</v>
          </cell>
        </row>
        <row r="91">
          <cell r="D91">
            <v>0</v>
          </cell>
          <cell r="F91">
            <v>0</v>
          </cell>
          <cell r="N91">
            <v>0</v>
          </cell>
        </row>
        <row r="92">
          <cell r="D92">
            <v>0</v>
          </cell>
          <cell r="F92">
            <v>0</v>
          </cell>
          <cell r="N92">
            <v>0</v>
          </cell>
        </row>
        <row r="93">
          <cell r="D93">
            <v>0</v>
          </cell>
          <cell r="F93">
            <v>0</v>
          </cell>
          <cell r="N93">
            <v>0</v>
          </cell>
        </row>
        <row r="94">
          <cell r="D94">
            <v>0</v>
          </cell>
          <cell r="F94">
            <v>0</v>
          </cell>
          <cell r="N94">
            <v>0</v>
          </cell>
        </row>
        <row r="95">
          <cell r="D95">
            <v>0</v>
          </cell>
          <cell r="F95">
            <v>0</v>
          </cell>
          <cell r="N95">
            <v>0</v>
          </cell>
        </row>
        <row r="96">
          <cell r="D96">
            <v>0</v>
          </cell>
          <cell r="F96">
            <v>0</v>
          </cell>
          <cell r="N96">
            <v>246.76</v>
          </cell>
        </row>
        <row r="97">
          <cell r="D97">
            <v>0</v>
          </cell>
          <cell r="F97">
            <v>554.78</v>
          </cell>
          <cell r="N97">
            <v>311.78999999999996</v>
          </cell>
        </row>
        <row r="98">
          <cell r="D98">
            <v>0</v>
          </cell>
          <cell r="F98">
            <v>0</v>
          </cell>
          <cell r="N98">
            <v>0</v>
          </cell>
        </row>
        <row r="99">
          <cell r="D99">
            <v>0</v>
          </cell>
          <cell r="F99">
            <v>0</v>
          </cell>
          <cell r="N99">
            <v>0</v>
          </cell>
        </row>
        <row r="100">
          <cell r="D100">
            <v>0</v>
          </cell>
          <cell r="F100">
            <v>4747.45</v>
          </cell>
          <cell r="N100">
            <v>119.88</v>
          </cell>
        </row>
        <row r="101">
          <cell r="D101">
            <v>0</v>
          </cell>
          <cell r="F101">
            <v>878.12</v>
          </cell>
          <cell r="N101">
            <v>1710.0700000000002</v>
          </cell>
        </row>
        <row r="102">
          <cell r="D102">
            <v>0</v>
          </cell>
          <cell r="F102">
            <v>0</v>
          </cell>
          <cell r="N102">
            <v>0</v>
          </cell>
        </row>
        <row r="103">
          <cell r="D103">
            <v>0</v>
          </cell>
          <cell r="F103">
            <v>0</v>
          </cell>
          <cell r="N103">
            <v>1396.23</v>
          </cell>
        </row>
        <row r="104">
          <cell r="D104">
            <v>0</v>
          </cell>
          <cell r="F104">
            <v>2545.4699999999998</v>
          </cell>
          <cell r="N104">
            <v>6234.57</v>
          </cell>
        </row>
        <row r="105">
          <cell r="D105">
            <v>0</v>
          </cell>
          <cell r="F105">
            <v>0</v>
          </cell>
          <cell r="N105">
            <v>0</v>
          </cell>
        </row>
        <row r="117">
          <cell r="F117">
            <v>48900.83</v>
          </cell>
          <cell r="N117">
            <v>57079.740000000013</v>
          </cell>
        </row>
        <row r="118">
          <cell r="F118">
            <v>6449.25</v>
          </cell>
          <cell r="N118">
            <v>8678.77</v>
          </cell>
        </row>
        <row r="119">
          <cell r="F119">
            <v>1329.02</v>
          </cell>
          <cell r="N119">
            <v>1827.15</v>
          </cell>
        </row>
        <row r="120">
          <cell r="F120">
            <v>4377.5</v>
          </cell>
          <cell r="N120">
            <v>5975.5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1689.1699999999998</v>
          </cell>
        </row>
        <row r="123">
          <cell r="F123">
            <v>4826.25</v>
          </cell>
          <cell r="N123">
            <v>6756.75</v>
          </cell>
        </row>
        <row r="124">
          <cell r="F124">
            <v>157.6</v>
          </cell>
          <cell r="N124">
            <v>215.12</v>
          </cell>
        </row>
        <row r="125">
          <cell r="F125">
            <v>44.75</v>
          </cell>
          <cell r="N125">
            <v>60.829999999999991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243.25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248.5</v>
          </cell>
        </row>
        <row r="132">
          <cell r="F132">
            <v>751.64</v>
          </cell>
          <cell r="N132">
            <v>944.33000000000015</v>
          </cell>
        </row>
        <row r="133">
          <cell r="F133">
            <v>88.68</v>
          </cell>
          <cell r="N133">
            <v>81.530000000000015</v>
          </cell>
        </row>
        <row r="134">
          <cell r="F134">
            <v>46.31</v>
          </cell>
          <cell r="N134">
            <v>34.190000000000005</v>
          </cell>
        </row>
        <row r="135">
          <cell r="F135">
            <v>62.370000000000005</v>
          </cell>
          <cell r="N135">
            <v>272.22000000000003</v>
          </cell>
        </row>
        <row r="136">
          <cell r="F136">
            <v>1482.8000000000002</v>
          </cell>
          <cell r="N136">
            <v>2088.25</v>
          </cell>
        </row>
        <row r="137">
          <cell r="F137">
            <v>25.62</v>
          </cell>
          <cell r="N137">
            <v>50.31</v>
          </cell>
        </row>
        <row r="138">
          <cell r="F138">
            <v>299.25</v>
          </cell>
          <cell r="N138">
            <v>469.58000000000004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1145.46</v>
          </cell>
        </row>
        <row r="143">
          <cell r="F143">
            <v>5242.7299999999996</v>
          </cell>
          <cell r="N143">
            <v>6050</v>
          </cell>
        </row>
        <row r="144">
          <cell r="F144">
            <v>4600.62</v>
          </cell>
          <cell r="N144">
            <v>3007.3</v>
          </cell>
        </row>
        <row r="145">
          <cell r="F145">
            <v>2050.08</v>
          </cell>
          <cell r="N145">
            <v>1602.3600000000001</v>
          </cell>
        </row>
        <row r="146">
          <cell r="F146">
            <v>345.75</v>
          </cell>
          <cell r="N146">
            <v>810.62</v>
          </cell>
        </row>
        <row r="147">
          <cell r="F147">
            <v>0</v>
          </cell>
          <cell r="N147">
            <v>0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3361.2200000000003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929.62</v>
          </cell>
        </row>
        <row r="152">
          <cell r="F152">
            <v>0</v>
          </cell>
          <cell r="N152">
            <v>4814.63</v>
          </cell>
        </row>
        <row r="153">
          <cell r="F153">
            <v>5443.6900000000005</v>
          </cell>
          <cell r="N153">
            <v>0</v>
          </cell>
        </row>
      </sheetData>
      <sheetData sheetId="12">
        <row r="24">
          <cell r="F24">
            <v>0</v>
          </cell>
          <cell r="J24">
            <v>0</v>
          </cell>
          <cell r="N24">
            <v>0</v>
          </cell>
        </row>
      </sheetData>
      <sheetData sheetId="13">
        <row r="24">
          <cell r="F24">
            <v>0</v>
          </cell>
          <cell r="J24">
            <v>0</v>
          </cell>
          <cell r="N24">
            <v>0</v>
          </cell>
        </row>
      </sheetData>
      <sheetData sheetId="14">
        <row r="7">
          <cell r="N7">
            <v>595841.58495575259</v>
          </cell>
        </row>
        <row r="8">
          <cell r="F8">
            <v>191311.33176991151</v>
          </cell>
          <cell r="J8">
            <v>519037.13098440983</v>
          </cell>
          <cell r="N8">
            <v>524320.91150442488</v>
          </cell>
        </row>
        <row r="9">
          <cell r="F9">
            <v>44.25</v>
          </cell>
          <cell r="J9">
            <v>2045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77799.934336283186</v>
          </cell>
          <cell r="N11">
            <v>38503.953451327441</v>
          </cell>
        </row>
        <row r="12">
          <cell r="F12">
            <v>2225.63</v>
          </cell>
          <cell r="J12">
            <v>2884.7299999999996</v>
          </cell>
          <cell r="N12">
            <v>2684.7299999999996</v>
          </cell>
        </row>
        <row r="13">
          <cell r="F13">
            <v>3326.71</v>
          </cell>
          <cell r="J13">
            <v>16252.17</v>
          </cell>
          <cell r="N13">
            <v>16252.17</v>
          </cell>
        </row>
        <row r="14">
          <cell r="F14">
            <v>500</v>
          </cell>
          <cell r="J14">
            <v>1000</v>
          </cell>
          <cell r="N14">
            <v>1000</v>
          </cell>
        </row>
        <row r="15">
          <cell r="F15">
            <v>1175.0900000000001</v>
          </cell>
          <cell r="J15">
            <v>13195.65</v>
          </cell>
          <cell r="N15">
            <v>2639.13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1076.54</v>
          </cell>
          <cell r="N17">
            <v>538.27</v>
          </cell>
        </row>
        <row r="18">
          <cell r="F18">
            <v>0</v>
          </cell>
          <cell r="J18">
            <v>254.84</v>
          </cell>
          <cell r="N18">
            <v>112.9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5454.86</v>
          </cell>
          <cell r="N21">
            <v>2727.43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4873.7999999999993</v>
          </cell>
          <cell r="N25">
            <v>2436.8999999999996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225.8</v>
          </cell>
          <cell r="N27">
            <v>112.9</v>
          </cell>
        </row>
        <row r="28">
          <cell r="F28">
            <v>250.7</v>
          </cell>
          <cell r="J28">
            <v>1721.28</v>
          </cell>
          <cell r="N28">
            <v>860.64</v>
          </cell>
        </row>
        <row r="29">
          <cell r="F29">
            <v>0</v>
          </cell>
          <cell r="J29">
            <v>240.32</v>
          </cell>
          <cell r="N29">
            <v>120.16</v>
          </cell>
        </row>
        <row r="30">
          <cell r="F30">
            <v>264.43</v>
          </cell>
          <cell r="J30">
            <v>11720.5</v>
          </cell>
          <cell r="N30">
            <v>5807.17</v>
          </cell>
        </row>
        <row r="31">
          <cell r="F31">
            <v>-1281.8600000000001</v>
          </cell>
          <cell r="J31">
            <v>-2799.7200000000003</v>
          </cell>
          <cell r="N31">
            <v>-2799.7400000000002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262342.26666666666</v>
          </cell>
          <cell r="N44">
            <v>491354.58899999986</v>
          </cell>
        </row>
        <row r="45">
          <cell r="F45">
            <v>17090.259999999998</v>
          </cell>
          <cell r="N45">
            <v>45982.61</v>
          </cell>
        </row>
        <row r="46">
          <cell r="F46">
            <v>24880</v>
          </cell>
          <cell r="N46">
            <v>52949.680000000008</v>
          </cell>
        </row>
        <row r="47">
          <cell r="F47">
            <v>14200.8</v>
          </cell>
          <cell r="N47">
            <v>27450.219999999998</v>
          </cell>
        </row>
        <row r="48">
          <cell r="F48">
            <v>3672.9500000000003</v>
          </cell>
          <cell r="N48">
            <v>11003.119999999999</v>
          </cell>
        </row>
        <row r="49">
          <cell r="F49">
            <v>4508.5199999999995</v>
          </cell>
          <cell r="N49">
            <v>10701.36</v>
          </cell>
        </row>
        <row r="50">
          <cell r="F50">
            <v>3032.88</v>
          </cell>
          <cell r="N50">
            <v>7076.53</v>
          </cell>
        </row>
        <row r="51">
          <cell r="F51">
            <v>47267</v>
          </cell>
          <cell r="N51">
            <v>93683.029999999984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3287.52</v>
          </cell>
        </row>
        <row r="54">
          <cell r="F54">
            <v>2427.5</v>
          </cell>
          <cell r="N54">
            <v>5268.8100000000013</v>
          </cell>
        </row>
        <row r="55">
          <cell r="F55">
            <v>3383.5</v>
          </cell>
          <cell r="N55">
            <v>12529.589000000002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3272.1099999999997</v>
          </cell>
        </row>
        <row r="58">
          <cell r="F58">
            <v>287.06</v>
          </cell>
          <cell r="N58">
            <v>901.16000000000008</v>
          </cell>
        </row>
        <row r="59">
          <cell r="F59">
            <v>3780.7</v>
          </cell>
          <cell r="N59">
            <v>1443.08</v>
          </cell>
        </row>
        <row r="60">
          <cell r="F60">
            <v>363.25000000000006</v>
          </cell>
          <cell r="N60">
            <v>1065.56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36.68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524.34</v>
          </cell>
        </row>
        <row r="65">
          <cell r="F65">
            <v>36346.14</v>
          </cell>
          <cell r="N65">
            <v>79260.329999999987</v>
          </cell>
        </row>
        <row r="66">
          <cell r="F66">
            <v>2900.09</v>
          </cell>
          <cell r="N66">
            <v>2236.25</v>
          </cell>
        </row>
        <row r="67">
          <cell r="F67">
            <v>0</v>
          </cell>
          <cell r="N67">
            <v>228.5</v>
          </cell>
        </row>
        <row r="68">
          <cell r="F68">
            <v>399.06</v>
          </cell>
          <cell r="N68">
            <v>550.61</v>
          </cell>
        </row>
        <row r="69">
          <cell r="F69">
            <v>5994.46</v>
          </cell>
          <cell r="N69">
            <v>17181.84</v>
          </cell>
        </row>
        <row r="70">
          <cell r="F70">
            <v>1811.8300000000002</v>
          </cell>
          <cell r="N70">
            <v>7866.1100000000006</v>
          </cell>
        </row>
        <row r="71">
          <cell r="F71">
            <v>0</v>
          </cell>
          <cell r="N71">
            <v>2799.7200000000003</v>
          </cell>
        </row>
        <row r="72">
          <cell r="F72">
            <v>78399.766666666677</v>
          </cell>
          <cell r="N72">
            <v>78399.799999999974</v>
          </cell>
        </row>
        <row r="73">
          <cell r="F73">
            <v>5806.2300000000005</v>
          </cell>
          <cell r="N73">
            <v>25554.93</v>
          </cell>
        </row>
        <row r="81">
          <cell r="F81">
            <v>46297.34</v>
          </cell>
          <cell r="N81">
            <v>70147.799999999988</v>
          </cell>
        </row>
        <row r="82">
          <cell r="F82">
            <v>9451.0400000000009</v>
          </cell>
          <cell r="N82">
            <v>17769.309999999998</v>
          </cell>
        </row>
        <row r="83">
          <cell r="F83">
            <v>10153.07</v>
          </cell>
          <cell r="N83">
            <v>11825.35</v>
          </cell>
        </row>
        <row r="84">
          <cell r="F84">
            <v>5921.02</v>
          </cell>
          <cell r="N84">
            <v>17458.21</v>
          </cell>
        </row>
        <row r="85">
          <cell r="F85">
            <v>6270.86</v>
          </cell>
          <cell r="N85">
            <v>0</v>
          </cell>
        </row>
        <row r="86">
          <cell r="F86">
            <v>1913.23</v>
          </cell>
          <cell r="N86">
            <v>3643.3700000000003</v>
          </cell>
        </row>
        <row r="87">
          <cell r="F87">
            <v>2080.4</v>
          </cell>
          <cell r="N87">
            <v>2830.0600000000004</v>
          </cell>
        </row>
        <row r="88">
          <cell r="F88">
            <v>901.2</v>
          </cell>
          <cell r="N88">
            <v>3102.03</v>
          </cell>
        </row>
        <row r="89">
          <cell r="F89">
            <v>880.69999999999993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554.78</v>
          </cell>
          <cell r="N97">
            <v>385.39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878.12</v>
          </cell>
          <cell r="N101">
            <v>2136.6400000000003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2545.4699999999998</v>
          </cell>
          <cell r="N104">
            <v>9234.57</v>
          </cell>
        </row>
        <row r="105">
          <cell r="F105">
            <v>0</v>
          </cell>
          <cell r="N105">
            <v>0</v>
          </cell>
        </row>
        <row r="117">
          <cell r="F117">
            <v>51233.840000000004</v>
          </cell>
          <cell r="N117">
            <v>83521.100000000006</v>
          </cell>
        </row>
        <row r="118">
          <cell r="F118">
            <v>6449.25</v>
          </cell>
          <cell r="N118">
            <v>12455.27</v>
          </cell>
        </row>
        <row r="119">
          <cell r="F119">
            <v>1329.02</v>
          </cell>
          <cell r="N119">
            <v>2688.9300000000003</v>
          </cell>
        </row>
        <row r="120">
          <cell r="F120">
            <v>4377.5</v>
          </cell>
          <cell r="N120">
            <v>8602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2413.1</v>
          </cell>
        </row>
        <row r="123">
          <cell r="F123">
            <v>4826.25</v>
          </cell>
          <cell r="N123">
            <v>9652.5</v>
          </cell>
        </row>
        <row r="124">
          <cell r="F124">
            <v>157.6</v>
          </cell>
          <cell r="N124">
            <v>309.68</v>
          </cell>
        </row>
        <row r="125">
          <cell r="F125">
            <v>44.75</v>
          </cell>
          <cell r="N125">
            <v>103.77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347.5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372.5</v>
          </cell>
        </row>
        <row r="132">
          <cell r="F132">
            <v>751.64</v>
          </cell>
          <cell r="N132">
            <v>1560.2100000000003</v>
          </cell>
        </row>
        <row r="133">
          <cell r="F133">
            <v>88.68</v>
          </cell>
          <cell r="N133">
            <v>149.04000000000002</v>
          </cell>
        </row>
        <row r="134">
          <cell r="F134">
            <v>46.31</v>
          </cell>
          <cell r="N134">
            <v>35.56</v>
          </cell>
        </row>
        <row r="135">
          <cell r="F135">
            <v>62.370000000000005</v>
          </cell>
          <cell r="N135">
            <v>62.380000000000024</v>
          </cell>
        </row>
        <row r="136">
          <cell r="F136">
            <v>1482.8000000000002</v>
          </cell>
          <cell r="N136">
            <v>3277.9999999999995</v>
          </cell>
        </row>
        <row r="137">
          <cell r="F137">
            <v>25.62</v>
          </cell>
          <cell r="N137">
            <v>71.930000000000007</v>
          </cell>
        </row>
        <row r="138">
          <cell r="F138">
            <v>299.25</v>
          </cell>
          <cell r="N138">
            <v>544.29999999999995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1158.8500000000001</v>
          </cell>
        </row>
        <row r="143">
          <cell r="F143">
            <v>5242.7299999999996</v>
          </cell>
          <cell r="N143">
            <v>9590</v>
          </cell>
        </row>
        <row r="144">
          <cell r="F144">
            <v>4600.62</v>
          </cell>
          <cell r="N144">
            <v>3108.82</v>
          </cell>
        </row>
        <row r="145">
          <cell r="F145">
            <v>2050.08</v>
          </cell>
          <cell r="N145">
            <v>2083.8000000000002</v>
          </cell>
        </row>
        <row r="146">
          <cell r="F146">
            <v>345.75</v>
          </cell>
          <cell r="N146">
            <v>1073.8499999999999</v>
          </cell>
        </row>
        <row r="147">
          <cell r="F147">
            <v>0</v>
          </cell>
          <cell r="N147">
            <v>1530.96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4053.0400000000004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929.62</v>
          </cell>
        </row>
        <row r="152">
          <cell r="F152">
            <v>0</v>
          </cell>
          <cell r="N152">
            <v>6443.17</v>
          </cell>
        </row>
        <row r="153">
          <cell r="F153">
            <v>7776.7000000000007</v>
          </cell>
          <cell r="N153">
            <v>0</v>
          </cell>
        </row>
      </sheetData>
      <sheetData sheetId="15">
        <row r="8">
          <cell r="F8">
            <v>191311.33176991151</v>
          </cell>
          <cell r="J8">
            <v>569906.9184056028</v>
          </cell>
          <cell r="N8">
            <v>547376.98150442482</v>
          </cell>
        </row>
        <row r="9">
          <cell r="F9">
            <v>44.25</v>
          </cell>
          <cell r="J9">
            <v>2255</v>
          </cell>
          <cell r="N9">
            <v>0</v>
          </cell>
        </row>
        <row r="10">
          <cell r="F10">
            <v>0</v>
          </cell>
          <cell r="J10">
            <v>0</v>
          </cell>
          <cell r="N10">
            <v>0</v>
          </cell>
        </row>
        <row r="11">
          <cell r="F11">
            <v>13159.754070796458</v>
          </cell>
          <cell r="J11">
            <v>80171.594336283189</v>
          </cell>
          <cell r="N11">
            <v>39689.783451327443</v>
          </cell>
        </row>
        <row r="12">
          <cell r="F12">
            <v>2225.63</v>
          </cell>
          <cell r="J12">
            <v>2884.7299999999996</v>
          </cell>
          <cell r="N12">
            <v>2684.7299999999996</v>
          </cell>
        </row>
        <row r="13">
          <cell r="F13">
            <v>3326.71</v>
          </cell>
          <cell r="J13">
            <v>18746.12</v>
          </cell>
          <cell r="N13">
            <v>18746.12</v>
          </cell>
        </row>
        <row r="14">
          <cell r="F14">
            <v>500</v>
          </cell>
          <cell r="J14">
            <v>1100</v>
          </cell>
          <cell r="N14">
            <v>1100</v>
          </cell>
        </row>
        <row r="15">
          <cell r="F15">
            <v>1175.0900000000001</v>
          </cell>
          <cell r="J15">
            <v>13711.699999999999</v>
          </cell>
          <cell r="N15">
            <v>2742.34</v>
          </cell>
        </row>
        <row r="16">
          <cell r="F16">
            <v>673.29</v>
          </cell>
          <cell r="J16">
            <v>0</v>
          </cell>
          <cell r="N16">
            <v>0</v>
          </cell>
        </row>
        <row r="17">
          <cell r="F17">
            <v>464.6</v>
          </cell>
          <cell r="J17">
            <v>1076.54</v>
          </cell>
          <cell r="N17">
            <v>538.27</v>
          </cell>
        </row>
        <row r="18">
          <cell r="F18">
            <v>0</v>
          </cell>
          <cell r="J18">
            <v>254.84</v>
          </cell>
          <cell r="N18">
            <v>112.9</v>
          </cell>
        </row>
        <row r="19">
          <cell r="F19">
            <v>0</v>
          </cell>
          <cell r="J19">
            <v>0</v>
          </cell>
          <cell r="N19">
            <v>0</v>
          </cell>
        </row>
        <row r="20">
          <cell r="F20">
            <v>0</v>
          </cell>
          <cell r="J20">
            <v>0</v>
          </cell>
          <cell r="N20">
            <v>0</v>
          </cell>
        </row>
        <row r="21">
          <cell r="F21">
            <v>3230.06</v>
          </cell>
          <cell r="J21">
            <v>5454.86</v>
          </cell>
          <cell r="N21">
            <v>2727.43</v>
          </cell>
        </row>
        <row r="22">
          <cell r="F22">
            <v>0</v>
          </cell>
          <cell r="J22">
            <v>0</v>
          </cell>
          <cell r="N22">
            <v>0</v>
          </cell>
        </row>
        <row r="23">
          <cell r="F23">
            <v>495.58</v>
          </cell>
          <cell r="J23">
            <v>524.05999999999995</v>
          </cell>
          <cell r="N23">
            <v>524.05999999999995</v>
          </cell>
        </row>
        <row r="24">
          <cell r="F24">
            <v>0</v>
          </cell>
          <cell r="J24">
            <v>0</v>
          </cell>
          <cell r="N24">
            <v>0</v>
          </cell>
        </row>
        <row r="25">
          <cell r="F25">
            <v>0</v>
          </cell>
          <cell r="J25">
            <v>5075.3999999999996</v>
          </cell>
          <cell r="N25">
            <v>2537.6999999999998</v>
          </cell>
        </row>
        <row r="26">
          <cell r="F26">
            <v>0</v>
          </cell>
          <cell r="J26">
            <v>0</v>
          </cell>
          <cell r="N26">
            <v>0</v>
          </cell>
        </row>
        <row r="27">
          <cell r="F27">
            <v>0</v>
          </cell>
          <cell r="J27">
            <v>225.8</v>
          </cell>
          <cell r="N27">
            <v>112.9</v>
          </cell>
        </row>
        <row r="28">
          <cell r="F28">
            <v>250.7</v>
          </cell>
          <cell r="J28">
            <v>2218.38</v>
          </cell>
          <cell r="N28">
            <v>1268.06</v>
          </cell>
        </row>
        <row r="29">
          <cell r="F29">
            <v>0</v>
          </cell>
          <cell r="J29">
            <v>240.32</v>
          </cell>
          <cell r="N29">
            <v>120.16</v>
          </cell>
        </row>
        <row r="30">
          <cell r="F30">
            <v>264.43</v>
          </cell>
          <cell r="J30">
            <v>12001</v>
          </cell>
          <cell r="N30">
            <v>6087.67</v>
          </cell>
        </row>
        <row r="31">
          <cell r="F31">
            <v>-1281.8600000000001</v>
          </cell>
          <cell r="J31">
            <v>-2920.3300000000004</v>
          </cell>
          <cell r="N31">
            <v>-2920.3500000000004</v>
          </cell>
        </row>
        <row r="32">
          <cell r="F32">
            <v>0</v>
          </cell>
          <cell r="J32">
            <v>0</v>
          </cell>
          <cell r="N32">
            <v>0</v>
          </cell>
        </row>
        <row r="33">
          <cell r="F33">
            <v>0</v>
          </cell>
          <cell r="J33">
            <v>0</v>
          </cell>
          <cell r="N33">
            <v>0</v>
          </cell>
        </row>
        <row r="34">
          <cell r="F34">
            <v>0</v>
          </cell>
          <cell r="J34">
            <v>0</v>
          </cell>
          <cell r="N34">
            <v>0</v>
          </cell>
        </row>
        <row r="35">
          <cell r="F35">
            <v>0</v>
          </cell>
          <cell r="J35">
            <v>0</v>
          </cell>
          <cell r="N35">
            <v>0</v>
          </cell>
        </row>
        <row r="36">
          <cell r="F36">
            <v>0</v>
          </cell>
          <cell r="J36">
            <v>0</v>
          </cell>
          <cell r="N36">
            <v>0</v>
          </cell>
        </row>
        <row r="37">
          <cell r="F37">
            <v>0</v>
          </cell>
          <cell r="J37">
            <v>0</v>
          </cell>
          <cell r="N37">
            <v>0</v>
          </cell>
        </row>
        <row r="44">
          <cell r="F44">
            <v>270182.24333333323</v>
          </cell>
          <cell r="N44">
            <v>536187.10899999994</v>
          </cell>
        </row>
        <row r="45">
          <cell r="F45">
            <v>17090.259999999998</v>
          </cell>
          <cell r="N45">
            <v>50199.25</v>
          </cell>
        </row>
        <row r="46">
          <cell r="F46">
            <v>24880</v>
          </cell>
          <cell r="N46">
            <v>58085.060000000005</v>
          </cell>
        </row>
        <row r="47">
          <cell r="F47">
            <v>14200.8</v>
          </cell>
          <cell r="N47">
            <v>29713.679999999997</v>
          </cell>
        </row>
        <row r="48">
          <cell r="F48">
            <v>3672.9500000000003</v>
          </cell>
          <cell r="N48">
            <v>11943.859999999999</v>
          </cell>
        </row>
        <row r="49">
          <cell r="F49">
            <v>4508.5199999999995</v>
          </cell>
          <cell r="N49">
            <v>11723.54</v>
          </cell>
        </row>
        <row r="50">
          <cell r="F50">
            <v>3032.88</v>
          </cell>
          <cell r="N50">
            <v>7648.5599999999995</v>
          </cell>
        </row>
        <row r="51">
          <cell r="F51">
            <v>47267</v>
          </cell>
          <cell r="N51">
            <v>102901.51999999999</v>
          </cell>
        </row>
        <row r="52">
          <cell r="F52">
            <v>0</v>
          </cell>
          <cell r="N52">
            <v>0</v>
          </cell>
        </row>
        <row r="53">
          <cell r="F53">
            <v>1664.65</v>
          </cell>
          <cell r="N53">
            <v>3611.82</v>
          </cell>
        </row>
        <row r="54">
          <cell r="F54">
            <v>2427.5</v>
          </cell>
          <cell r="N54">
            <v>5445.4300000000012</v>
          </cell>
        </row>
        <row r="55">
          <cell r="F55">
            <v>3383.5</v>
          </cell>
          <cell r="N55">
            <v>13067.499000000002</v>
          </cell>
        </row>
        <row r="56">
          <cell r="F56">
            <v>1079.08</v>
          </cell>
          <cell r="N56">
            <v>0</v>
          </cell>
        </row>
        <row r="57">
          <cell r="F57">
            <v>1678.29</v>
          </cell>
          <cell r="N57">
            <v>3647.5899999999997</v>
          </cell>
        </row>
        <row r="58">
          <cell r="F58">
            <v>287.06</v>
          </cell>
          <cell r="N58">
            <v>1347.44</v>
          </cell>
        </row>
        <row r="59">
          <cell r="F59">
            <v>3780.7</v>
          </cell>
          <cell r="N59">
            <v>1443.08</v>
          </cell>
        </row>
        <row r="60">
          <cell r="F60">
            <v>363.25000000000006</v>
          </cell>
          <cell r="N60">
            <v>1238.2499999999998</v>
          </cell>
        </row>
        <row r="61">
          <cell r="F61">
            <v>0</v>
          </cell>
          <cell r="N61">
            <v>0</v>
          </cell>
        </row>
        <row r="62">
          <cell r="F62">
            <v>0</v>
          </cell>
          <cell r="N62">
            <v>36.68</v>
          </cell>
        </row>
        <row r="63">
          <cell r="F63">
            <v>0</v>
          </cell>
          <cell r="N63">
            <v>101.1</v>
          </cell>
        </row>
        <row r="64">
          <cell r="F64">
            <v>188.71</v>
          </cell>
          <cell r="N64">
            <v>524.34</v>
          </cell>
        </row>
        <row r="65">
          <cell r="F65">
            <v>36346.14</v>
          </cell>
          <cell r="N65">
            <v>88373.839999999982</v>
          </cell>
        </row>
        <row r="66">
          <cell r="F66">
            <v>2900.09</v>
          </cell>
          <cell r="N66">
            <v>2236.25</v>
          </cell>
        </row>
        <row r="67">
          <cell r="F67">
            <v>0</v>
          </cell>
          <cell r="N67">
            <v>228.5</v>
          </cell>
        </row>
        <row r="68">
          <cell r="F68">
            <v>399.06</v>
          </cell>
          <cell r="N68">
            <v>779.75</v>
          </cell>
        </row>
        <row r="69">
          <cell r="F69">
            <v>5994.46</v>
          </cell>
          <cell r="N69">
            <v>18137.490000000002</v>
          </cell>
        </row>
        <row r="70">
          <cell r="F70">
            <v>1811.8300000000002</v>
          </cell>
          <cell r="N70">
            <v>7866.1100000000006</v>
          </cell>
        </row>
        <row r="71">
          <cell r="F71">
            <v>0</v>
          </cell>
          <cell r="N71">
            <v>2920.3300000000004</v>
          </cell>
        </row>
        <row r="72">
          <cell r="F72">
            <v>86239.743333333347</v>
          </cell>
          <cell r="N72">
            <v>86239.77999999997</v>
          </cell>
        </row>
        <row r="73">
          <cell r="F73">
            <v>5806.2300000000005</v>
          </cell>
          <cell r="N73">
            <v>26726.36</v>
          </cell>
        </row>
        <row r="81">
          <cell r="F81">
            <v>46297.34</v>
          </cell>
          <cell r="N81">
            <v>77841.72</v>
          </cell>
        </row>
        <row r="82">
          <cell r="F82">
            <v>9451.0400000000009</v>
          </cell>
          <cell r="N82">
            <v>19360.269999999997</v>
          </cell>
        </row>
        <row r="83">
          <cell r="F83">
            <v>10153.07</v>
          </cell>
          <cell r="N83">
            <v>13429.35</v>
          </cell>
        </row>
        <row r="84">
          <cell r="F84">
            <v>5921.02</v>
          </cell>
          <cell r="N84">
            <v>19549.61</v>
          </cell>
        </row>
        <row r="85">
          <cell r="F85">
            <v>6270.86</v>
          </cell>
          <cell r="N85">
            <v>0</v>
          </cell>
        </row>
        <row r="86">
          <cell r="F86">
            <v>1913.23</v>
          </cell>
          <cell r="N86">
            <v>3975.7000000000003</v>
          </cell>
        </row>
        <row r="87">
          <cell r="F87">
            <v>2080.4</v>
          </cell>
          <cell r="N87">
            <v>3165.3</v>
          </cell>
        </row>
        <row r="88">
          <cell r="F88">
            <v>901.2</v>
          </cell>
          <cell r="N88">
            <v>3428.9300000000003</v>
          </cell>
        </row>
        <row r="89">
          <cell r="F89">
            <v>880.69999999999993</v>
          </cell>
          <cell r="N89">
            <v>0</v>
          </cell>
        </row>
        <row r="90">
          <cell r="F90">
            <v>0</v>
          </cell>
          <cell r="N90">
            <v>0</v>
          </cell>
        </row>
        <row r="91">
          <cell r="F91">
            <v>0</v>
          </cell>
          <cell r="N91">
            <v>0</v>
          </cell>
        </row>
        <row r="92">
          <cell r="F92">
            <v>0</v>
          </cell>
          <cell r="N92">
            <v>0</v>
          </cell>
        </row>
        <row r="93">
          <cell r="F93">
            <v>0</v>
          </cell>
          <cell r="N93">
            <v>0</v>
          </cell>
        </row>
        <row r="94">
          <cell r="F94">
            <v>0</v>
          </cell>
          <cell r="N94">
            <v>0</v>
          </cell>
        </row>
        <row r="95">
          <cell r="F95">
            <v>0</v>
          </cell>
          <cell r="N95">
            <v>0</v>
          </cell>
        </row>
        <row r="96">
          <cell r="F96">
            <v>0</v>
          </cell>
          <cell r="N96">
            <v>246.76</v>
          </cell>
        </row>
        <row r="97">
          <cell r="F97">
            <v>554.78</v>
          </cell>
          <cell r="N97">
            <v>386.19</v>
          </cell>
        </row>
        <row r="98">
          <cell r="F98">
            <v>0</v>
          </cell>
          <cell r="N98">
            <v>0</v>
          </cell>
        </row>
        <row r="99">
          <cell r="F99">
            <v>0</v>
          </cell>
          <cell r="N99">
            <v>0</v>
          </cell>
        </row>
        <row r="100">
          <cell r="F100">
            <v>4747.45</v>
          </cell>
          <cell r="N100">
            <v>119.88</v>
          </cell>
        </row>
        <row r="101">
          <cell r="F101">
            <v>878.12</v>
          </cell>
          <cell r="N101">
            <v>2291.9300000000003</v>
          </cell>
        </row>
        <row r="102">
          <cell r="F102">
            <v>0</v>
          </cell>
          <cell r="N102">
            <v>0</v>
          </cell>
        </row>
        <row r="103">
          <cell r="F103">
            <v>0</v>
          </cell>
          <cell r="N103">
            <v>1396.23</v>
          </cell>
        </row>
        <row r="104">
          <cell r="F104">
            <v>2545.4699999999998</v>
          </cell>
          <cell r="N104">
            <v>10491.57</v>
          </cell>
        </row>
        <row r="105">
          <cell r="F105">
            <v>0</v>
          </cell>
          <cell r="N105">
            <v>0</v>
          </cell>
        </row>
        <row r="117">
          <cell r="F117">
            <v>52011.51</v>
          </cell>
          <cell r="N117">
            <v>95246.969999999987</v>
          </cell>
        </row>
        <row r="118">
          <cell r="F118">
            <v>6449.25</v>
          </cell>
          <cell r="N118">
            <v>13534.27</v>
          </cell>
        </row>
        <row r="119">
          <cell r="F119">
            <v>1329.02</v>
          </cell>
          <cell r="N119">
            <v>2929.4400000000005</v>
          </cell>
        </row>
        <row r="120">
          <cell r="F120">
            <v>4377.5</v>
          </cell>
          <cell r="N120">
            <v>9477.5</v>
          </cell>
        </row>
        <row r="121">
          <cell r="F121">
            <v>0</v>
          </cell>
          <cell r="N121">
            <v>0</v>
          </cell>
        </row>
        <row r="122">
          <cell r="F122">
            <v>1242.75</v>
          </cell>
          <cell r="N122">
            <v>2654.41</v>
          </cell>
        </row>
        <row r="123">
          <cell r="F123">
            <v>4826.25</v>
          </cell>
          <cell r="N123">
            <v>10617.75</v>
          </cell>
        </row>
        <row r="124">
          <cell r="F124">
            <v>157.6</v>
          </cell>
          <cell r="N124">
            <v>341.2</v>
          </cell>
        </row>
        <row r="125">
          <cell r="F125">
            <v>44.75</v>
          </cell>
          <cell r="N125">
            <v>112.46</v>
          </cell>
        </row>
        <row r="126">
          <cell r="F126">
            <v>0</v>
          </cell>
          <cell r="N126">
            <v>0</v>
          </cell>
        </row>
        <row r="127">
          <cell r="F127">
            <v>173.75</v>
          </cell>
          <cell r="N127">
            <v>382.25</v>
          </cell>
        </row>
        <row r="128">
          <cell r="F128">
            <v>0</v>
          </cell>
          <cell r="N128">
            <v>0</v>
          </cell>
        </row>
        <row r="129">
          <cell r="F129">
            <v>0</v>
          </cell>
          <cell r="N129">
            <v>0</v>
          </cell>
        </row>
        <row r="130">
          <cell r="F130">
            <v>0</v>
          </cell>
          <cell r="N130">
            <v>0</v>
          </cell>
        </row>
        <row r="131">
          <cell r="F131">
            <v>172.5</v>
          </cell>
          <cell r="N131">
            <v>415.08</v>
          </cell>
        </row>
        <row r="132">
          <cell r="F132">
            <v>751.64</v>
          </cell>
          <cell r="N132">
            <v>1690.7900000000002</v>
          </cell>
        </row>
        <row r="133">
          <cell r="F133">
            <v>88.68</v>
          </cell>
          <cell r="N133">
            <v>173.55</v>
          </cell>
        </row>
        <row r="134">
          <cell r="F134">
            <v>46.31</v>
          </cell>
          <cell r="N134">
            <v>52.63</v>
          </cell>
        </row>
        <row r="135">
          <cell r="F135">
            <v>62.370000000000005</v>
          </cell>
          <cell r="N135">
            <v>81.930000000000021</v>
          </cell>
        </row>
        <row r="136">
          <cell r="F136">
            <v>1482.8000000000002</v>
          </cell>
          <cell r="N136">
            <v>3608.2299999999996</v>
          </cell>
        </row>
        <row r="137">
          <cell r="F137">
            <v>25.62</v>
          </cell>
          <cell r="N137">
            <v>99.52000000000001</v>
          </cell>
        </row>
        <row r="138">
          <cell r="F138">
            <v>299.25</v>
          </cell>
          <cell r="N138">
            <v>544.29999999999995</v>
          </cell>
        </row>
        <row r="139">
          <cell r="F139">
            <v>0</v>
          </cell>
          <cell r="N139">
            <v>0</v>
          </cell>
        </row>
        <row r="140">
          <cell r="F140">
            <v>0</v>
          </cell>
          <cell r="N140">
            <v>0</v>
          </cell>
        </row>
        <row r="141">
          <cell r="F141">
            <v>0</v>
          </cell>
          <cell r="N141">
            <v>0</v>
          </cell>
        </row>
        <row r="142">
          <cell r="F142">
            <v>1086.5899999999999</v>
          </cell>
          <cell r="N142">
            <v>1192.2300000000002</v>
          </cell>
        </row>
        <row r="143">
          <cell r="F143">
            <v>5242.7299999999996</v>
          </cell>
          <cell r="N143">
            <v>10490</v>
          </cell>
        </row>
        <row r="144">
          <cell r="F144">
            <v>4600.62</v>
          </cell>
          <cell r="N144">
            <v>3137.6600000000003</v>
          </cell>
        </row>
        <row r="145">
          <cell r="F145">
            <v>2050.08</v>
          </cell>
          <cell r="N145">
            <v>3131.36</v>
          </cell>
        </row>
        <row r="146">
          <cell r="F146">
            <v>345.75</v>
          </cell>
          <cell r="N146">
            <v>1131.3799999999999</v>
          </cell>
        </row>
        <row r="147">
          <cell r="F147">
            <v>0</v>
          </cell>
          <cell r="N147">
            <v>6236.68</v>
          </cell>
        </row>
        <row r="148">
          <cell r="F148">
            <v>0</v>
          </cell>
          <cell r="N148">
            <v>0</v>
          </cell>
        </row>
        <row r="149">
          <cell r="F149">
            <v>4137.37</v>
          </cell>
          <cell r="N149">
            <v>4529.2800000000007</v>
          </cell>
        </row>
        <row r="150">
          <cell r="F150">
            <v>0</v>
          </cell>
          <cell r="N150">
            <v>0</v>
          </cell>
        </row>
        <row r="151">
          <cell r="F151">
            <v>2393.4199999999996</v>
          </cell>
          <cell r="N151">
            <v>929.62</v>
          </cell>
        </row>
        <row r="152">
          <cell r="F152">
            <v>0</v>
          </cell>
          <cell r="N152">
            <v>6780.03</v>
          </cell>
        </row>
        <row r="153">
          <cell r="F153">
            <v>8554.3700000000008</v>
          </cell>
          <cell r="N153">
            <v>0</v>
          </cell>
        </row>
      </sheetData>
      <sheetData sheetId="16"/>
      <sheetData sheetId="17"/>
      <sheetData sheetId="18">
        <row r="32">
          <cell r="F32" t="str">
            <v xml:space="preserve">ΠΡΑΓΜΑΤΟΠΟΙΗΘΕΝΤΑ ΜΗΝΟΣ ΤΡΕΧ. ΕΤΟΥΣ </v>
          </cell>
        </row>
        <row r="33">
          <cell r="D33">
            <v>2024</v>
          </cell>
        </row>
        <row r="34">
          <cell r="D34">
            <v>2025</v>
          </cell>
        </row>
        <row r="35">
          <cell r="F35" t="str">
            <v>ΠΡΟΥΠΟΛΟΓΙΣΜΟΣ ΤΡΕΧΟΝΤΟΣ ΕΤΟΥΣ</v>
          </cell>
        </row>
        <row r="68">
          <cell r="F68" t="str">
            <v>ΠΡΑΓΜΑΤΟΠΟΙΗΘΕΝΤΑ ΠΡΟΗΓΟΥΜΕΝΟΥ ΕΤΟΥΣ</v>
          </cell>
        </row>
        <row r="100">
          <cell r="F100" t="str">
            <v xml:space="preserve">ΣΥΓΚΡΙΣΕΙΣ </v>
          </cell>
        </row>
        <row r="106">
          <cell r="F106" t="str">
            <v xml:space="preserve">ΙΑΝΟΥΑΡΙΟΣ ΤΡΕΧΟΝ ΕΤΟΣ </v>
          </cell>
        </row>
        <row r="107">
          <cell r="F107" t="str">
            <v xml:space="preserve">ΦΕΒΡΟΥΑΡΙΟΣ ΤΡΕΧΟΝ ΕΤΟΣ </v>
          </cell>
        </row>
        <row r="108">
          <cell r="F108" t="str">
            <v xml:space="preserve">ΜΑΡΤΙΟΣ ΤΡΕΧΟΝ ΕΤΟΣ </v>
          </cell>
        </row>
        <row r="109">
          <cell r="F109" t="str">
            <v xml:space="preserve">ΑΠΡΙΛΙΟΣ ΤΡΕΧΟΝ ΕΤΟΣ </v>
          </cell>
        </row>
        <row r="110">
          <cell r="F110" t="str">
            <v xml:space="preserve">ΜΑΙΟΣ ΤΡΕΧΟΝ ΕΤΟΣ </v>
          </cell>
        </row>
        <row r="111">
          <cell r="F111" t="str">
            <v xml:space="preserve">ΙΟΥΝΙΟΣ ΤΡΕΧΟΝ ΕΤΟΣ </v>
          </cell>
        </row>
        <row r="112">
          <cell r="F112" t="str">
            <v xml:space="preserve">ΙΟΥΛΙΟΣ ΤΡΕΧΟΝ ΕΤΟΣ </v>
          </cell>
        </row>
        <row r="113">
          <cell r="F113" t="str">
            <v xml:space="preserve">ΑΥΓΟΥΣΤΟΣ ΤΡΕΧΟΝ ΕΤΟΣ </v>
          </cell>
        </row>
        <row r="114">
          <cell r="F114" t="str">
            <v xml:space="preserve">ΣΕΠΤΕΜΒΡΙΟΣ ΤΡΕΧΟΝ ΕΤΟΣ </v>
          </cell>
        </row>
        <row r="115">
          <cell r="F115" t="str">
            <v xml:space="preserve">ΟΚΤΩΒΡΙΟΣ ΤΡΕΧΟΝ ΕΤΟΣ </v>
          </cell>
        </row>
        <row r="116">
          <cell r="F116" t="str">
            <v xml:space="preserve">ΝΟΕΜΒΡΙΟΣ ΤΡΕΧΟΝ ΕΤΟΣ </v>
          </cell>
        </row>
        <row r="117">
          <cell r="F117" t="str">
            <v xml:space="preserve">ΔΕΚΕΜΒΡΙΟΣ ΤΡΕΧΟΝ ΕΤΟΣ </v>
          </cell>
        </row>
        <row r="120">
          <cell r="F120" t="str">
            <v xml:space="preserve">ΙΑΝΟΥΑΡΙΟΣ ΠΡΟΗΓΟΥΜΕΝΟΥ ΕΤΟΥΣ </v>
          </cell>
        </row>
        <row r="121">
          <cell r="F121" t="str">
            <v>ΦΕΒΡΟΥΑΡΙΟΣ ΠΡΟΗΓΟΥΜΕΝΟΥ ΕΤΟΥΣ</v>
          </cell>
        </row>
        <row r="122">
          <cell r="F122" t="str">
            <v>ΜΑΡΤΙΟΣ ΠΡΟΗΓΟΥΜΕΝΟΥ ΕΤΟΥΣ</v>
          </cell>
        </row>
        <row r="123">
          <cell r="F123" t="str">
            <v>ΑΠΡΙΛΙΟΣ ΠΡΟΗΓΟΥΜΕΝΟΥ ΕΤΟΥΣ</v>
          </cell>
        </row>
        <row r="124">
          <cell r="F124" t="str">
            <v>ΜΑΙΟΣ ΠΡΟΗΓΟΥΜΕΝΟΥ ΕΤΟΥΣ</v>
          </cell>
        </row>
        <row r="125">
          <cell r="F125" t="str">
            <v>ΙΟΥΝΙΟΣ ΠΡΟΗΓΟΥΜΕΝΟΥ ΕΤΟΥΣ</v>
          </cell>
        </row>
        <row r="126">
          <cell r="F126" t="str">
            <v>ΙΟΥΛΙΟΣ ΠΡΟΗΓΟΥΜΕΝΟΥ ΕΤΟΥΣ</v>
          </cell>
        </row>
        <row r="127">
          <cell r="F127" t="str">
            <v>ΑΥΓΟΥΣΤΟΣ ΠΡΟΗΓΟΥΜΕΝΟΥ ΕΤΟΥΣ</v>
          </cell>
        </row>
        <row r="128">
          <cell r="F128" t="str">
            <v>ΣΕΠΤΕΜΒΡΙΟΣ ΠΡΟΗΓΟΥΜΕΝΟΥ ΕΤΟΥΣ</v>
          </cell>
        </row>
        <row r="129">
          <cell r="F129" t="str">
            <v>ΟΚΤΩΒΡΙΟΣ ΠΡΟΗΓΟΥΜΕΝΟΥ ΕΤΟΥΣ</v>
          </cell>
        </row>
        <row r="130">
          <cell r="F130" t="str">
            <v>ΝΟΕΜΒΡΙΟΣ ΠΡΟΗΓΟΥΜΕΝΟΥ ΕΤΟΥΣ</v>
          </cell>
        </row>
        <row r="131">
          <cell r="F131" t="str">
            <v>ΔΕΚΕΜΒΡΙΟΣ ΠΡΟΗΓΟΥΜΕΝΟΥ ΕΤΟΥΣ</v>
          </cell>
        </row>
        <row r="141">
          <cell r="H141">
            <v>2024</v>
          </cell>
        </row>
        <row r="187">
          <cell r="F187" t="str">
            <v>Εσοδα Φιλοξενείας-Διαμονής</v>
          </cell>
          <cell r="I187" t="str">
            <v>Μικτές Αποδοχές H.Keepin (Α.Κ.Υπ.)</v>
          </cell>
          <cell r="L187" t="str">
            <v>Μικτές Αποδοχές Developent Department (A.K.Ddep)</v>
          </cell>
          <cell r="O187" t="str">
            <v>Μικτές Αποδοχές (Α.Κ.Διοικ.)</v>
          </cell>
        </row>
        <row r="188">
          <cell r="F188" t="str">
            <v>Early Check in/Check Out</v>
          </cell>
          <cell r="I188" t="str">
            <v>Μικτές Αποδοχές Operation (Α.Κ.Operation )</v>
          </cell>
          <cell r="L188" t="str">
            <v>Μικτές Αποδοχές Reservation department (Α.Κ.RDep )</v>
          </cell>
          <cell r="O188" t="str">
            <v>Ασφαλιστικές εισφορές  (Α.Κ.Διοικ.)</v>
          </cell>
        </row>
        <row r="189">
          <cell r="F189" t="str">
            <v xml:space="preserve">Πρωινό ( Εξτρα ) </v>
          </cell>
          <cell r="I189" t="str">
            <v>Μικτές Αποδοχές Maintenance (Α.Κ.Υπ.)</v>
          </cell>
          <cell r="L189" t="str">
            <v>Μικτές Αποδοχές Marketing (Α.Κ.MDep )</v>
          </cell>
          <cell r="O189" t="str">
            <v xml:space="preserve">Ενοίκια  Έδρας </v>
          </cell>
        </row>
        <row r="190">
          <cell r="F190" t="str">
            <v xml:space="preserve">Έσοδα Καθαριότητας </v>
          </cell>
          <cell r="I190" t="str">
            <v>Ασφαλιστικές εισφορές (Α.Κ.HOUSE KEEPING)</v>
          </cell>
          <cell r="L190" t="str">
            <v>Μικτές Αποδοχές Sales (Α.Κ.SDep )</v>
          </cell>
          <cell r="O190" t="str">
            <v>Ενοίκιο Αποθήκης Β</v>
          </cell>
        </row>
        <row r="191">
          <cell r="F191" t="str">
            <v>Cancellation Fees</v>
          </cell>
          <cell r="I191" t="str">
            <v>Ασφαλιστικές εισφορές (Α.Κ. OPERATION DEP )</v>
          </cell>
          <cell r="L191" t="str">
            <v>Ασφαλιστικές εισφορές (Α.Κ.DDep)</v>
          </cell>
          <cell r="O191" t="str">
            <v>Ενοίκιο Αποθήκης Α</v>
          </cell>
        </row>
        <row r="192">
          <cell r="F192" t="str">
            <v>Έσοδα Διαχείρισης καταλυμάτων 24%</v>
          </cell>
          <cell r="I192" t="str">
            <v>Ασφαλιστικές εισφορές (Α.Κ. MAINTENANCE DEP )</v>
          </cell>
          <cell r="L192" t="str">
            <v>Ασφαλιστικές εισφορές (Α.Κ.RDep)</v>
          </cell>
          <cell r="O192" t="str">
            <v>Ενοίκιο Αριστοφάνους 1</v>
          </cell>
        </row>
        <row r="193">
          <cell r="F193" t="str">
            <v>Έσοδα από Ενοίκια Ιππάρχου 24%</v>
          </cell>
          <cell r="I193" t="str">
            <v xml:space="preserve">Ενοίκια </v>
          </cell>
          <cell r="L193" t="str">
            <v>Ασφαλιστικές εισφορές (Α.Κ.MDep)</v>
          </cell>
          <cell r="O193" t="str">
            <v xml:space="preserve">Χαρτόσημο ενοικίου Έδρας </v>
          </cell>
        </row>
        <row r="194">
          <cell r="F194" t="str">
            <v>Πωλ.Φύλαξη Αποσκευών (DIRECT)</v>
          </cell>
          <cell r="I194" t="str">
            <v xml:space="preserve">Διαφορά Ενοικίου </v>
          </cell>
          <cell r="L194" t="str">
            <v>Ασφαλιστικές εισφορές (Α.Κ.SDep)</v>
          </cell>
          <cell r="O194" t="str">
            <v xml:space="preserve">Χαρτόσημο Ενοικίου Αποθήκης Α </v>
          </cell>
        </row>
        <row r="195">
          <cell r="F195" t="str">
            <v>Πωλ.Φύλαξη Αποσκευών  (ΤΡΙΤΩΝ) (RADICAL)</v>
          </cell>
          <cell r="I195" t="str">
            <v xml:space="preserve">Χαρτόσημο ενοικίων </v>
          </cell>
          <cell r="L195" t="str">
            <v>Ενοίκιο</v>
          </cell>
          <cell r="O195" t="str">
            <v xml:space="preserve">Χαρτόσημο Ενοικίου Αποθήκης Β </v>
          </cell>
        </row>
        <row r="196">
          <cell r="F196" t="str">
            <v>Πωλ. TRANSFER (Περιορισμένη Μίσθωση)</v>
          </cell>
          <cell r="I196" t="str">
            <v xml:space="preserve">Κοινόχρηστες Δαπάνες </v>
          </cell>
          <cell r="L196" t="str">
            <v xml:space="preserve">Χαρτόσημο ενοικίων </v>
          </cell>
          <cell r="O196" t="str">
            <v>Χαρτόσημο Ενοικίου Αριστοφάνους 1</v>
          </cell>
        </row>
        <row r="197">
          <cell r="F197" t="str">
            <v>Πωλ.Ενοικ.Μεταφ.Μέσων Αναψυχής (ποδήλατα)</v>
          </cell>
          <cell r="I197" t="str">
            <v xml:space="preserve">Ενέργεια </v>
          </cell>
          <cell r="L197" t="str">
            <v xml:space="preserve">Κοινόχρηστες Δαπάνες </v>
          </cell>
          <cell r="O197" t="str">
            <v xml:space="preserve">Κοινόχρηστες Δαπάνες Έδρας </v>
          </cell>
        </row>
        <row r="198">
          <cell r="F198" t="str">
            <v>Πωλ.Ενοικ.Μεταφ.Μέσων(αυτοκινητα)</v>
          </cell>
          <cell r="I198" t="str">
            <v>Φυσικό αέριο</v>
          </cell>
          <cell r="L198" t="str">
            <v xml:space="preserve">Ενέργεια </v>
          </cell>
          <cell r="O198" t="str">
            <v xml:space="preserve">Κοινόχρηστες Δαπάνες Αποθήκης Α </v>
          </cell>
        </row>
        <row r="199">
          <cell r="F199" t="str">
            <v>Πωλήσεις Καθαριότητας (ΤΡΙΤΩΝ)</v>
          </cell>
          <cell r="I199" t="str">
            <v xml:space="preserve">Τηλεπικοινωνίες (Τηλεφωνία &amp; Διαδίκτυο) </v>
          </cell>
          <cell r="L199" t="str">
            <v xml:space="preserve">Τηλεπικοινωνίες (Τηλεφωνία &amp; Διαδίκτυο) </v>
          </cell>
          <cell r="O199" t="str">
            <v xml:space="preserve">Κοινόχρηστες Δαπάνες Αποθήκης Β </v>
          </cell>
        </row>
        <row r="200">
          <cell r="F200" t="str">
            <v>Πωλ.Κρουαζιέρας</v>
          </cell>
          <cell r="I200" t="str">
            <v xml:space="preserve">Ύδρευση </v>
          </cell>
          <cell r="L200" t="str">
            <v xml:space="preserve">Ύδρευση </v>
          </cell>
          <cell r="O200" t="str">
            <v>Κοινόχρηστες Δαπάνες Αριστοφάνους 1</v>
          </cell>
        </row>
        <row r="201">
          <cell r="F201" t="str">
            <v>Πωλ. Μαθημάτων</v>
          </cell>
          <cell r="I201" t="str">
            <v xml:space="preserve">Ασφάλιστρα </v>
          </cell>
          <cell r="L201" t="str">
            <v xml:space="preserve">Ασφάλιστρα </v>
          </cell>
          <cell r="O201" t="str">
            <v xml:space="preserve">Ενέργεια  Έδρας </v>
          </cell>
        </row>
        <row r="202">
          <cell r="F202" t="str">
            <v>Πωλ.Κρουαζ.Transfer.MM. (ΠΑΚΕΤΟ)</v>
          </cell>
          <cell r="I202" t="str">
            <v xml:space="preserve">Αναλώσιμα τρόφιμα  </v>
          </cell>
          <cell r="L202" t="str">
            <v xml:space="preserve">Έντυπα και γραφική Ύλη </v>
          </cell>
          <cell r="O202" t="str">
            <v xml:space="preserve">Ενέργεια Αποθήκης Α </v>
          </cell>
        </row>
        <row r="203">
          <cell r="F203" t="str">
            <v>Υπηρεσίες Marketing</v>
          </cell>
        </row>
        <row r="204">
          <cell r="F204" t="str">
            <v>Προμ. Συστ.Πελ. Αυτοκ.</v>
          </cell>
          <cell r="I204" t="str">
            <v xml:space="preserve">Εντυπα και γραφική ύλη </v>
          </cell>
          <cell r="L204" t="str">
            <v xml:space="preserve">Υλικά Καθαριότητας </v>
          </cell>
          <cell r="O204" t="str">
            <v>Ενέργεια Αποθήκης Β (OPERATION)</v>
          </cell>
        </row>
        <row r="205">
          <cell r="F205" t="str">
            <v>Προμ. Συστ.Πελ. Γυμν.</v>
          </cell>
          <cell r="I205" t="str">
            <v xml:space="preserve">Υλικά Καθαριότητας </v>
          </cell>
          <cell r="L205" t="str">
            <v>Υλικά Φαρμακείου</v>
          </cell>
          <cell r="O205" t="str">
            <v>Ενέργεια Αριστοφάνους 1</v>
          </cell>
        </row>
        <row r="206">
          <cell r="F206" t="str">
            <v>Προμ.Σύστ.Πελ. TRANSFER</v>
          </cell>
          <cell r="I206" t="str">
            <v>Υλικά Φαρμακείου</v>
          </cell>
          <cell r="L206" t="str">
            <v xml:space="preserve">Αγορές εφαρμογών για Marketing </v>
          </cell>
          <cell r="O206" t="str">
            <v xml:space="preserve">Τηλεπικοινωνίες (Τηλεφωνία &amp; Διαδίκτυο) </v>
          </cell>
        </row>
        <row r="207">
          <cell r="F207" t="str">
            <v>Προμ.Σύστ.Πελ.Εκδρ.- Ξεναγ.</v>
          </cell>
          <cell r="I207" t="str">
            <v>Διάφορα αναλώσιμα</v>
          </cell>
          <cell r="L207" t="str">
            <v>Αμοιβές συνεργατών ( Συνδρομές για Marketing - Ιστοσελίδα _ Editing 3D  -)</v>
          </cell>
          <cell r="O207" t="str">
            <v xml:space="preserve">Υδρευση </v>
          </cell>
        </row>
        <row r="208">
          <cell r="F208" t="str">
            <v>Προμ.Συστ.Πελ.Κρουαζιέρας</v>
          </cell>
          <cell r="I208" t="str">
            <v>Αμοιβές συνεργατών ( Μέσα ανεύρεσης Πελατείας Booking Airbnb κλπ)</v>
          </cell>
          <cell r="L208" t="str">
            <v xml:space="preserve">Αμοιβές Τρίτων </v>
          </cell>
          <cell r="O208" t="str">
            <v xml:space="preserve">Ασφάλιστρα </v>
          </cell>
        </row>
        <row r="209">
          <cell r="F209" t="str">
            <v>Ασυνήθη έσοδα και κέρδη</v>
          </cell>
          <cell r="I209" t="str">
            <v>Εξοδα για Αναψυχή Πελατών (Κρουαζιέρες Ποδήλατα - Μαθήματα)</v>
          </cell>
          <cell r="L209" t="str">
            <v>Επισκευές - Συντηρήσεις</v>
          </cell>
          <cell r="O209" t="str">
            <v xml:space="preserve">Έντυπα και γραφική Ύλη </v>
          </cell>
        </row>
        <row r="210">
          <cell r="F210" t="str">
            <v>Φορος Παρεπιδημούντων</v>
          </cell>
          <cell r="I210" t="str">
            <v>Εξοδα για Μεταφορά Πελατών</v>
          </cell>
          <cell r="L210" t="str">
            <v xml:space="preserve">Εξοδα προβολής και διαφήμισης </v>
          </cell>
          <cell r="O210" t="str">
            <v xml:space="preserve">Υλικά Καθαριότητας </v>
          </cell>
        </row>
        <row r="211">
          <cell r="F211" t="str">
            <v xml:space="preserve">Πρόβλεψη </v>
          </cell>
          <cell r="I211" t="str">
            <v xml:space="preserve">Έξοδα για σύσταση πελατείας αποθήκευσης Αποσκευών ( Radical) </v>
          </cell>
          <cell r="L211" t="str">
            <v>Εξοδα εκθέσεων και επιδείξεων</v>
          </cell>
          <cell r="O211" t="str">
            <v>Υλικά Φαρμακείου</v>
          </cell>
        </row>
        <row r="212">
          <cell r="I212" t="str">
            <v>Αμοιβές Τρίτων ( Καθαριστήριο και άλλα άμεσα έξοδα )</v>
          </cell>
          <cell r="L212" t="str">
            <v>Αποσβέσεις ( Εξοπλισμού R.DEP. &amp; M.DEP.)</v>
          </cell>
          <cell r="O212" t="str">
            <v>Διάφορα αναλώσιμα</v>
          </cell>
        </row>
        <row r="213">
          <cell r="I213" t="str">
            <v>Επισκευές - Συντηρήσεις</v>
          </cell>
          <cell r="O213" t="str">
            <v>Αμοιβές συνεργατών ( Εξωτερικοί Συνεργάτες Λογιστής - Μισθοδοσία Δικηγόρος )</v>
          </cell>
        </row>
        <row r="214">
          <cell r="I214" t="str">
            <v>Φόρος Παρεπιδημούντων</v>
          </cell>
          <cell r="O214" t="str">
            <v>Αμοιβές Τρίτων (Αμοιβές - Συνδρομές για υποστήριξη Pylon Συναγερμός - Διατακτικές)</v>
          </cell>
        </row>
        <row r="215">
          <cell r="I215" t="str">
            <v>Αποσβέσεις ( Κτήρια - Μηχανήματα - Εξοπλισμός )</v>
          </cell>
          <cell r="O215" t="str">
            <v>Επισκευές - Συντηρήσεις</v>
          </cell>
        </row>
        <row r="216">
          <cell r="I216" t="str">
            <v>Αναλώσιμα τρόφιμα  (Ομάδα 2**)</v>
          </cell>
          <cell r="O216" t="str">
            <v xml:space="preserve">Εξοδα μεταφορών </v>
          </cell>
        </row>
        <row r="217">
          <cell r="O217" t="str">
            <v xml:space="preserve">Εξοδα ταξιδίων </v>
          </cell>
        </row>
        <row r="218">
          <cell r="O218" t="str">
            <v xml:space="preserve">Υλικά άμεσης ανάλωσης </v>
          </cell>
        </row>
        <row r="219">
          <cell r="O219" t="str">
            <v xml:space="preserve">Φόροι και τέλη </v>
          </cell>
        </row>
        <row r="220">
          <cell r="O220" t="str">
            <v>Εξοδα δημοσιεύσεων</v>
          </cell>
        </row>
        <row r="221">
          <cell r="O221" t="str">
            <v xml:space="preserve">Λοιπά Διάφορα έξοδα </v>
          </cell>
        </row>
        <row r="222">
          <cell r="O222" t="str">
            <v xml:space="preserve">Τόκοι και συναφή εξοδα </v>
          </cell>
        </row>
        <row r="223">
          <cell r="O223" t="str">
            <v xml:space="preserve">Αποσβέσεις ( Εξοπλισμού Διοίκησης και εγκαταστάσεων στην έδρα και αποθήκες ) </v>
          </cell>
        </row>
        <row r="224">
          <cell r="O224" t="str">
            <v xml:space="preserve">Ασυνήθη έξοδα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"/>
  <sheetViews>
    <sheetView topLeftCell="A83" zoomScale="85" zoomScaleNormal="85" workbookViewId="0">
      <selection activeCell="A85" sqref="A85:A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 xml:space="preserve">ΠΕΡΙΟΔΟΣ </t>
        </is>
      </c>
      <c r="D3" s="180">
        <f>[1]ΑΝΤΙΣΤΟΙΧΙΣΗ!$F$106</f>
        <v/>
      </c>
      <c r="E3" s="192" t="n"/>
      <c r="F3" s="56" t="n"/>
      <c r="G3" s="61">
        <f>[1]ΑΝΤΙΣΤΟΙΧΙΣΗ!$D$34</f>
        <v/>
      </c>
      <c r="H3" s="180">
        <f>[1]ΑΝΤΙΣΤΟΙΧΙΣΗ!$F$106</f>
        <v/>
      </c>
      <c r="I3" s="192" t="n"/>
      <c r="J3" s="56" t="n"/>
      <c r="K3" s="61">
        <f>[1]ΑΝΤΙΣΤΟΙΧΙΣΗ!$D$34</f>
        <v/>
      </c>
      <c r="L3" s="180">
        <f>[1]ΑΝΤΙΣΤΟΙΧΙΣΗ!$F$120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Ποσά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'[1]2026_ΕΣΟΔΑ'!C2</f>
        <v/>
      </c>
      <c r="E8" s="11">
        <f>D8/$D$7</f>
        <v/>
      </c>
      <c r="F8" s="12">
        <f>D8</f>
        <v/>
      </c>
      <c r="G8" s="11">
        <f>F8/$F$7</f>
        <v/>
      </c>
      <c r="H8" s="12" t="n">
        <v>0</v>
      </c>
      <c r="I8" s="11">
        <f>H8/$H$7</f>
        <v/>
      </c>
      <c r="J8" s="12">
        <f>H8</f>
        <v/>
      </c>
      <c r="K8" s="11">
        <f>J8/$J$7</f>
        <v/>
      </c>
      <c r="L8" s="68">
        <f>'[1]2024_60-69 ΕΞΟΔΑ+ΟΜ 2'!C114</f>
        <v/>
      </c>
      <c r="M8" s="11">
        <f>L8/$L$7</f>
        <v/>
      </c>
      <c r="N8" s="12">
        <f>L8</f>
        <v/>
      </c>
      <c r="O8" s="11">
        <f>N8/$N$7</f>
        <v/>
      </c>
      <c r="P8" s="12">
        <f>F8-N8</f>
        <v/>
      </c>
      <c r="Q8" s="11">
        <f>P8/J8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'[1]2026_ΕΣΟΔΑ'!C3</f>
        <v/>
      </c>
      <c r="E9" s="11">
        <f>D9/$D$7</f>
        <v/>
      </c>
      <c r="F9" s="12">
        <f>D9</f>
        <v/>
      </c>
      <c r="G9" s="11">
        <f>F9/$F$7</f>
        <v/>
      </c>
      <c r="H9" s="12" t="n"/>
      <c r="I9" s="11">
        <f>H9/$H$7</f>
        <v/>
      </c>
      <c r="J9" s="12">
        <f>H9</f>
        <v/>
      </c>
      <c r="K9" s="11">
        <f>J9/$J$7</f>
        <v/>
      </c>
      <c r="L9" s="68">
        <f>'[1]2024_60-69 ΕΞΟΔΑ+ΟΜ 2'!C115</f>
        <v/>
      </c>
      <c r="M9" s="11">
        <f>L9/$L$7</f>
        <v/>
      </c>
      <c r="N9" s="12">
        <f>L9</f>
        <v/>
      </c>
      <c r="O9" s="11">
        <f>N9/$N$7</f>
        <v/>
      </c>
      <c r="P9" s="12">
        <f>F9-N9</f>
        <v/>
      </c>
      <c r="Q9" s="11">
        <f>P9/J9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'[1]2026_ΕΣΟΔΑ'!C4</f>
        <v/>
      </c>
      <c r="E10" s="11">
        <f>D10/$D$7</f>
        <v/>
      </c>
      <c r="F10" s="12">
        <f>D10</f>
        <v/>
      </c>
      <c r="G10" s="11">
        <f>F10/$F$7</f>
        <v/>
      </c>
      <c r="H10" s="12" t="n"/>
      <c r="I10" s="11">
        <f>H10/$H$7</f>
        <v/>
      </c>
      <c r="J10" s="12">
        <f>H10</f>
        <v/>
      </c>
      <c r="K10" s="11">
        <f>J10/$J$7</f>
        <v/>
      </c>
      <c r="L10" s="68">
        <f>'[1]2024_60-69 ΕΞΟΔΑ+ΟΜ 2'!C116</f>
        <v/>
      </c>
      <c r="M10" s="11">
        <f>L10/$L$7</f>
        <v/>
      </c>
      <c r="N10" s="12">
        <f>L10</f>
        <v/>
      </c>
      <c r="O10" s="11">
        <f>N10/$N$7</f>
        <v/>
      </c>
      <c r="P10" s="12">
        <f>F10-N10</f>
        <v/>
      </c>
      <c r="Q10" s="11">
        <f>P10/J10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'[1]2026_ΕΣΟΔΑ'!C5</f>
        <v/>
      </c>
      <c r="E11" s="11">
        <f>D11/$D$7</f>
        <v/>
      </c>
      <c r="F11" s="12">
        <f>D11</f>
        <v/>
      </c>
      <c r="G11" s="11">
        <f>F11/$F$7</f>
        <v/>
      </c>
      <c r="H11" s="12" t="n"/>
      <c r="I11" s="11">
        <f>H11/$H$7</f>
        <v/>
      </c>
      <c r="J11" s="12">
        <f>H11</f>
        <v/>
      </c>
      <c r="K11" s="11">
        <f>J11/$J$7</f>
        <v/>
      </c>
      <c r="L11" s="68">
        <f>'[1]2024_60-69 ΕΞΟΔΑ+ΟΜ 2'!C117</f>
        <v/>
      </c>
      <c r="M11" s="11">
        <f>L11/$L$7</f>
        <v/>
      </c>
      <c r="N11" s="12">
        <f>L11</f>
        <v/>
      </c>
      <c r="O11" s="11">
        <f>N11/$N$7</f>
        <v/>
      </c>
      <c r="P11" s="12">
        <f>F11-N11</f>
        <v/>
      </c>
      <c r="Q11" s="11">
        <f>P11/J11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'[1]2026_ΕΣΟΔΑ'!C6</f>
        <v/>
      </c>
      <c r="E12" s="11">
        <f>D12/$D$7</f>
        <v/>
      </c>
      <c r="F12" s="12">
        <f>D12</f>
        <v/>
      </c>
      <c r="G12" s="11">
        <f>F12/$F$7</f>
        <v/>
      </c>
      <c r="H12" s="12" t="n"/>
      <c r="I12" s="11">
        <f>H12/$H$7</f>
        <v/>
      </c>
      <c r="J12" s="12">
        <f>H12</f>
        <v/>
      </c>
      <c r="K12" s="11">
        <f>J12/$J$7</f>
        <v/>
      </c>
      <c r="L12" s="68">
        <f>'[1]2024_60-69 ΕΞΟΔΑ+ΟΜ 2'!C118</f>
        <v/>
      </c>
      <c r="M12" s="11">
        <f>L12/$L$7</f>
        <v/>
      </c>
      <c r="N12" s="12">
        <f>L12</f>
        <v/>
      </c>
      <c r="O12" s="11">
        <f>N12/$N$7</f>
        <v/>
      </c>
      <c r="P12" s="12">
        <f>F12-N12</f>
        <v/>
      </c>
      <c r="Q12" s="11">
        <f>P12/J12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'[1]2026_ΕΣΟΔΑ'!C7</f>
        <v/>
      </c>
      <c r="E13" s="11">
        <f>D13/$D$7</f>
        <v/>
      </c>
      <c r="F13" s="12">
        <f>D13</f>
        <v/>
      </c>
      <c r="G13" s="11">
        <f>F13/$F$7</f>
        <v/>
      </c>
      <c r="H13" s="12" t="n"/>
      <c r="I13" s="11">
        <f>H13/$H$7</f>
        <v/>
      </c>
      <c r="J13" s="12">
        <f>H13</f>
        <v/>
      </c>
      <c r="K13" s="11">
        <f>J13/$J$7</f>
        <v/>
      </c>
      <c r="L13" s="68">
        <f>'[1]2024_60-69 ΕΞΟΔΑ+ΟΜ 2'!C119</f>
        <v/>
      </c>
      <c r="M13" s="11">
        <f>L13/$L$7</f>
        <v/>
      </c>
      <c r="N13" s="12">
        <f>L13</f>
        <v/>
      </c>
      <c r="O13" s="11">
        <f>N13/$N$7</f>
        <v/>
      </c>
      <c r="P13" s="12">
        <f>F13-N13</f>
        <v/>
      </c>
      <c r="Q13" s="11">
        <f>P13/J13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'[1]2026_ΕΣΟΔΑ'!C8</f>
        <v/>
      </c>
      <c r="E14" s="11">
        <f>D14/$D$7</f>
        <v/>
      </c>
      <c r="F14" s="12">
        <f>D14</f>
        <v/>
      </c>
      <c r="G14" s="11">
        <f>F14/$F$7</f>
        <v/>
      </c>
      <c r="H14" s="12" t="n"/>
      <c r="I14" s="11">
        <f>H14/$H$7</f>
        <v/>
      </c>
      <c r="J14" s="12">
        <f>H14</f>
        <v/>
      </c>
      <c r="K14" s="11">
        <f>J14/$J$7</f>
        <v/>
      </c>
      <c r="L14" s="68">
        <f>'[1]2024_60-69 ΕΞΟΔΑ+ΟΜ 2'!C120</f>
        <v/>
      </c>
      <c r="M14" s="11">
        <f>L14/$L$7</f>
        <v/>
      </c>
      <c r="N14" s="12">
        <f>L14</f>
        <v/>
      </c>
      <c r="O14" s="11">
        <f>N14/$N$7</f>
        <v/>
      </c>
      <c r="P14" s="12">
        <f>F14-N14</f>
        <v/>
      </c>
      <c r="Q14" s="11">
        <f>P14/J14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'[1]2026_ΕΣΟΔΑ'!C9</f>
        <v/>
      </c>
      <c r="E15" s="11">
        <f>D15/$D$7</f>
        <v/>
      </c>
      <c r="F15" s="12">
        <f>D15</f>
        <v/>
      </c>
      <c r="G15" s="11">
        <f>F15/$F$7</f>
        <v/>
      </c>
      <c r="H15" s="12" t="n"/>
      <c r="I15" s="11">
        <f>H15/$H$7</f>
        <v/>
      </c>
      <c r="J15" s="12">
        <f>H15</f>
        <v/>
      </c>
      <c r="K15" s="11">
        <f>J15/$J$7</f>
        <v/>
      </c>
      <c r="L15" s="68">
        <f>'[1]2024_60-69 ΕΞΟΔΑ+ΟΜ 2'!C121</f>
        <v/>
      </c>
      <c r="M15" s="11">
        <f>L15/$L$7</f>
        <v/>
      </c>
      <c r="N15" s="12">
        <f>L15</f>
        <v/>
      </c>
      <c r="O15" s="11">
        <f>N15/$N$7</f>
        <v/>
      </c>
      <c r="P15" s="12">
        <f>F15-N15</f>
        <v/>
      </c>
      <c r="Q15" s="11">
        <f>P15/J15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'[1]2026_ΕΣΟΔΑ'!C10</f>
        <v/>
      </c>
      <c r="E16" s="11">
        <f>D16/$D$7</f>
        <v/>
      </c>
      <c r="F16" s="12">
        <f>D16</f>
        <v/>
      </c>
      <c r="G16" s="11">
        <f>F16/$F$7</f>
        <v/>
      </c>
      <c r="H16" s="12" t="n"/>
      <c r="I16" s="11">
        <f>H16/$H$7</f>
        <v/>
      </c>
      <c r="J16" s="12">
        <f>H16</f>
        <v/>
      </c>
      <c r="K16" s="11">
        <f>J16/$J$7</f>
        <v/>
      </c>
      <c r="L16" s="68">
        <f>'[1]2024_60-69 ΕΞΟΔΑ+ΟΜ 2'!C122</f>
        <v/>
      </c>
      <c r="M16" s="11">
        <f>L16/$L$7</f>
        <v/>
      </c>
      <c r="N16" s="12">
        <f>L16</f>
        <v/>
      </c>
      <c r="O16" s="11">
        <f>N16/$N$7</f>
        <v/>
      </c>
      <c r="P16" s="12">
        <f>F16-N16</f>
        <v/>
      </c>
      <c r="Q16" s="11">
        <f>P16/J16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'[1]2026_ΕΣΟΔΑ'!C11</f>
        <v/>
      </c>
      <c r="E17" s="11">
        <f>D17/$D$7</f>
        <v/>
      </c>
      <c r="F17" s="12">
        <f>D17</f>
        <v/>
      </c>
      <c r="G17" s="11">
        <f>F17/$F$7</f>
        <v/>
      </c>
      <c r="H17" s="12" t="n"/>
      <c r="I17" s="11">
        <f>H17/$H$7</f>
        <v/>
      </c>
      <c r="J17" s="12">
        <f>H17</f>
        <v/>
      </c>
      <c r="K17" s="11">
        <f>J17/$J$7</f>
        <v/>
      </c>
      <c r="L17" s="68">
        <f>'[1]2024_60-69 ΕΞΟΔΑ+ΟΜ 2'!C123</f>
        <v/>
      </c>
      <c r="M17" s="11">
        <f>L17/$L$7</f>
        <v/>
      </c>
      <c r="N17" s="12">
        <f>L17</f>
        <v/>
      </c>
      <c r="O17" s="11">
        <f>N17/$N$7</f>
        <v/>
      </c>
      <c r="P17" s="12">
        <f>F17-N17</f>
        <v/>
      </c>
      <c r="Q17" s="11">
        <f>P17/J17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'[1]2026_ΕΣΟΔΑ'!C12</f>
        <v/>
      </c>
      <c r="E18" s="11">
        <f>D18/$D$7</f>
        <v/>
      </c>
      <c r="F18" s="12">
        <f>D18</f>
        <v/>
      </c>
      <c r="G18" s="11">
        <f>F18/$F$7</f>
        <v/>
      </c>
      <c r="H18" s="12" t="n"/>
      <c r="I18" s="11">
        <f>H18/$H$7</f>
        <v/>
      </c>
      <c r="J18" s="12">
        <f>H18</f>
        <v/>
      </c>
      <c r="K18" s="11">
        <f>J18/$J$7</f>
        <v/>
      </c>
      <c r="L18" s="68">
        <f>'[1]2024_60-69 ΕΞΟΔΑ+ΟΜ 2'!C124</f>
        <v/>
      </c>
      <c r="M18" s="11">
        <f>L18/$L$7</f>
        <v/>
      </c>
      <c r="N18" s="12">
        <f>L18</f>
        <v/>
      </c>
      <c r="O18" s="11">
        <f>N18/$N$7</f>
        <v/>
      </c>
      <c r="P18" s="12">
        <f>F18-N18</f>
        <v/>
      </c>
      <c r="Q18" s="11">
        <f>P18/J18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'[1]2026_ΕΣΟΔΑ'!C13</f>
        <v/>
      </c>
      <c r="E19" s="11">
        <f>D19/$D$7</f>
        <v/>
      </c>
      <c r="F19" s="12">
        <f>D19</f>
        <v/>
      </c>
      <c r="G19" s="11">
        <f>F19/$F$7</f>
        <v/>
      </c>
      <c r="H19" s="12" t="n"/>
      <c r="I19" s="11">
        <f>H19/$H$7</f>
        <v/>
      </c>
      <c r="J19" s="12">
        <f>H19</f>
        <v/>
      </c>
      <c r="K19" s="11">
        <f>J19/$J$7</f>
        <v/>
      </c>
      <c r="L19" s="68">
        <f>'[1]2024_60-69 ΕΞΟΔΑ+ΟΜ 2'!C125</f>
        <v/>
      </c>
      <c r="M19" s="11">
        <f>L19/$L$7</f>
        <v/>
      </c>
      <c r="N19" s="12">
        <f>L19</f>
        <v/>
      </c>
      <c r="O19" s="11">
        <f>N19/$N$7</f>
        <v/>
      </c>
      <c r="P19" s="12">
        <f>F19-N19</f>
        <v/>
      </c>
      <c r="Q19" s="11">
        <f>P19/J19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'[1]2026_ΕΣΟΔΑ'!C14</f>
        <v/>
      </c>
      <c r="E20" s="11">
        <f>D20/$D$7</f>
        <v/>
      </c>
      <c r="F20" s="12">
        <f>D20</f>
        <v/>
      </c>
      <c r="G20" s="11">
        <f>F20/$F$7</f>
        <v/>
      </c>
      <c r="H20" s="12" t="n"/>
      <c r="I20" s="11">
        <f>H20/$H$7</f>
        <v/>
      </c>
      <c r="J20" s="12">
        <f>H20</f>
        <v/>
      </c>
      <c r="K20" s="11">
        <f>J20/$J$7</f>
        <v/>
      </c>
      <c r="L20" s="68">
        <f>'[1]2024_60-69 ΕΞΟΔΑ+ΟΜ 2'!C126</f>
        <v/>
      </c>
      <c r="M20" s="11">
        <f>L20/$L$7</f>
        <v/>
      </c>
      <c r="N20" s="12">
        <f>L20</f>
        <v/>
      </c>
      <c r="O20" s="11">
        <f>N20/$N$7</f>
        <v/>
      </c>
      <c r="P20" s="12">
        <f>F20-N20</f>
        <v/>
      </c>
      <c r="Q20" s="11">
        <f>P20/J20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'[1]2026_ΕΣΟΔΑ'!C15</f>
        <v/>
      </c>
      <c r="E21" s="11">
        <f>D21/$D$7</f>
        <v/>
      </c>
      <c r="F21" s="12">
        <f>D21</f>
        <v/>
      </c>
      <c r="G21" s="11">
        <f>F21/$F$7</f>
        <v/>
      </c>
      <c r="H21" s="12" t="n"/>
      <c r="I21" s="11">
        <f>H21/$H$7</f>
        <v/>
      </c>
      <c r="J21" s="12">
        <f>H21</f>
        <v/>
      </c>
      <c r="K21" s="11">
        <f>J21/$J$7</f>
        <v/>
      </c>
      <c r="L21" s="68">
        <f>'[1]2024_60-69 ΕΞΟΔΑ+ΟΜ 2'!C127</f>
        <v/>
      </c>
      <c r="M21" s="11">
        <f>L21/$L$7</f>
        <v/>
      </c>
      <c r="N21" s="12">
        <f>L21</f>
        <v/>
      </c>
      <c r="O21" s="11">
        <f>N21/$N$7</f>
        <v/>
      </c>
      <c r="P21" s="12">
        <f>F21-N21</f>
        <v/>
      </c>
      <c r="Q21" s="11">
        <f>P21/J21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'[1]2026_ΕΣΟΔΑ'!C16</f>
        <v/>
      </c>
      <c r="E22" s="11">
        <f>D22/$D$7</f>
        <v/>
      </c>
      <c r="F22" s="12">
        <f>D22</f>
        <v/>
      </c>
      <c r="G22" s="11">
        <f>F22/$F$7</f>
        <v/>
      </c>
      <c r="H22" s="12" t="n"/>
      <c r="I22" s="11">
        <f>H22/$H$7</f>
        <v/>
      </c>
      <c r="J22" s="12">
        <f>H22</f>
        <v/>
      </c>
      <c r="K22" s="11">
        <f>J22/$J$7</f>
        <v/>
      </c>
      <c r="L22" s="68">
        <f>'[1]2024_60-69 ΕΞΟΔΑ+ΟΜ 2'!C128</f>
        <v/>
      </c>
      <c r="M22" s="11">
        <f>L22/$L$7</f>
        <v/>
      </c>
      <c r="N22" s="12">
        <f>L22</f>
        <v/>
      </c>
      <c r="O22" s="11">
        <f>N22/$N$7</f>
        <v/>
      </c>
      <c r="P22" s="12">
        <f>F22-N22</f>
        <v/>
      </c>
      <c r="Q22" s="11">
        <f>P22/J22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'[1]2026_ΕΣΟΔΑ'!C17</f>
        <v/>
      </c>
      <c r="E23" s="11">
        <f>D23/$D$7</f>
        <v/>
      </c>
      <c r="F23" s="12">
        <f>D23</f>
        <v/>
      </c>
      <c r="G23" s="11">
        <f>F23/$F$7</f>
        <v/>
      </c>
      <c r="H23" s="12" t="n"/>
      <c r="I23" s="11">
        <f>H23/$H$7</f>
        <v/>
      </c>
      <c r="J23" s="12">
        <f>H23</f>
        <v/>
      </c>
      <c r="K23" s="11">
        <f>J23/$J$7</f>
        <v/>
      </c>
      <c r="L23" s="68">
        <f>'[1]2024_60-69 ΕΞΟΔΑ+ΟΜ 2'!C129</f>
        <v/>
      </c>
      <c r="M23" s="11">
        <f>L23/$L$7</f>
        <v/>
      </c>
      <c r="N23" s="12">
        <f>L23</f>
        <v/>
      </c>
      <c r="O23" s="11">
        <f>N23/$N$7</f>
        <v/>
      </c>
      <c r="P23" s="12">
        <f>F23-N23</f>
        <v/>
      </c>
      <c r="Q23" s="11">
        <f>P23/J23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'[1]2026_ΕΣΟΔΑ'!C18</f>
        <v/>
      </c>
      <c r="E24" s="11">
        <f>D24/$D$7</f>
        <v/>
      </c>
      <c r="F24" s="12">
        <f>D24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</f>
        <v/>
      </c>
      <c r="K24" s="11">
        <f>J24/$J$7</f>
        <v/>
      </c>
      <c r="L24" s="68">
        <f>'[1]2024_60-69 ΕΞΟΔΑ+ΟΜ 2'!C130</f>
        <v/>
      </c>
      <c r="M24" s="11">
        <f>L24/$L$7</f>
        <v/>
      </c>
      <c r="N24" s="12">
        <f>L24</f>
        <v/>
      </c>
      <c r="O24" s="11">
        <f>N24/$N$7</f>
        <v/>
      </c>
      <c r="P24" s="12">
        <f>F24-N24</f>
        <v/>
      </c>
      <c r="Q24" s="11">
        <f>F24/J24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'[1]2026_ΕΣΟΔΑ'!C19</f>
        <v/>
      </c>
      <c r="E25" s="11">
        <f>D25/$D$7</f>
        <v/>
      </c>
      <c r="F25" s="12">
        <f>D25</f>
        <v/>
      </c>
      <c r="G25" s="11">
        <f>F25/$F$7</f>
        <v/>
      </c>
      <c r="H25" s="12" t="n"/>
      <c r="I25" s="11">
        <f>H25/$H$7</f>
        <v/>
      </c>
      <c r="J25" s="12">
        <f>H25</f>
        <v/>
      </c>
      <c r="K25" s="11">
        <f>J25/$J$7</f>
        <v/>
      </c>
      <c r="L25" s="68">
        <f>'[1]2024_60-69 ΕΞΟΔΑ+ΟΜ 2'!C131</f>
        <v/>
      </c>
      <c r="M25" s="11">
        <f>L25/$L$7</f>
        <v/>
      </c>
      <c r="N25" s="12">
        <f>L25</f>
        <v/>
      </c>
      <c r="O25" s="11">
        <f>N25/$N$7</f>
        <v/>
      </c>
      <c r="P25" s="12">
        <f>F25-N25</f>
        <v/>
      </c>
      <c r="Q25" s="11">
        <f>P25/J25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'[1]2026_ΕΣΟΔΑ'!C20</f>
        <v/>
      </c>
      <c r="E26" s="11">
        <f>D26/$D$7</f>
        <v/>
      </c>
      <c r="F26" s="12">
        <f>D26</f>
        <v/>
      </c>
      <c r="G26" s="11">
        <f>F26/$F$7</f>
        <v/>
      </c>
      <c r="H26" s="12" t="n"/>
      <c r="I26" s="11">
        <f>H26/$H$7</f>
        <v/>
      </c>
      <c r="J26" s="12">
        <f>H26</f>
        <v/>
      </c>
      <c r="K26" s="11">
        <f>J26/$J$7</f>
        <v/>
      </c>
      <c r="L26" s="68">
        <f>'[1]2024_60-69 ΕΞΟΔΑ+ΟΜ 2'!C132</f>
        <v/>
      </c>
      <c r="M26" s="11">
        <f>L26/$L$7</f>
        <v/>
      </c>
      <c r="N26" s="12">
        <f>L26</f>
        <v/>
      </c>
      <c r="O26" s="11">
        <f>N26/$N$7</f>
        <v/>
      </c>
      <c r="P26" s="12">
        <f>F26-N26</f>
        <v/>
      </c>
      <c r="Q26" s="11">
        <f>P26/J26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'[1]2026_ΕΣΟΔΑ'!C21</f>
        <v/>
      </c>
      <c r="E27" s="11">
        <f>D27/$D$7</f>
        <v/>
      </c>
      <c r="F27" s="12">
        <f>D27</f>
        <v/>
      </c>
      <c r="G27" s="11">
        <f>F27/$F$7</f>
        <v/>
      </c>
      <c r="H27" s="12" t="n"/>
      <c r="I27" s="11">
        <f>H27/$H$7</f>
        <v/>
      </c>
      <c r="J27" s="12">
        <f>H27</f>
        <v/>
      </c>
      <c r="K27" s="11">
        <f>J27/$J$7</f>
        <v/>
      </c>
      <c r="L27" s="68">
        <f>'[1]2024_60-69 ΕΞΟΔΑ+ΟΜ 2'!C133</f>
        <v/>
      </c>
      <c r="M27" s="11">
        <f>L27/$L$7</f>
        <v/>
      </c>
      <c r="N27" s="12">
        <f>L27</f>
        <v/>
      </c>
      <c r="O27" s="11">
        <f>N27/$N$7</f>
        <v/>
      </c>
      <c r="P27" s="12">
        <f>F27-N27</f>
        <v/>
      </c>
      <c r="Q27" s="11">
        <f>P27/J27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'[1]2026_ΕΣΟΔΑ'!C22</f>
        <v/>
      </c>
      <c r="E28" s="11">
        <f>D28/$D$7</f>
        <v/>
      </c>
      <c r="F28" s="12">
        <f>D28</f>
        <v/>
      </c>
      <c r="G28" s="11">
        <f>F28/$F$7</f>
        <v/>
      </c>
      <c r="H28" s="12" t="n"/>
      <c r="I28" s="11">
        <f>H28/$H$7</f>
        <v/>
      </c>
      <c r="J28" s="12">
        <f>H28</f>
        <v/>
      </c>
      <c r="K28" s="11">
        <f>J28/$J$7</f>
        <v/>
      </c>
      <c r="L28" s="68">
        <f>'[1]2024_60-69 ΕΞΟΔΑ+ΟΜ 2'!C134</f>
        <v/>
      </c>
      <c r="M28" s="11">
        <f>L28/$L$7</f>
        <v/>
      </c>
      <c r="N28" s="12">
        <f>L28</f>
        <v/>
      </c>
      <c r="O28" s="11">
        <f>N28/$N$7</f>
        <v/>
      </c>
      <c r="P28" s="12">
        <f>F28-N28</f>
        <v/>
      </c>
      <c r="Q28" s="11">
        <f>P28/J28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'[1]2026_ΕΣΟΔΑ'!C23</f>
        <v/>
      </c>
      <c r="E29" s="11">
        <f>D29/$D$7</f>
        <v/>
      </c>
      <c r="F29" s="12">
        <f>D29</f>
        <v/>
      </c>
      <c r="G29" s="11">
        <f>F29/$F$7</f>
        <v/>
      </c>
      <c r="H29" s="12" t="n"/>
      <c r="I29" s="11">
        <f>H29/$H$7</f>
        <v/>
      </c>
      <c r="J29" s="12">
        <f>H29</f>
        <v/>
      </c>
      <c r="K29" s="11">
        <f>J29/$J$7</f>
        <v/>
      </c>
      <c r="L29" s="68">
        <f>'[1]2024_60-69 ΕΞΟΔΑ+ΟΜ 2'!C135</f>
        <v/>
      </c>
      <c r="M29" s="11">
        <f>L29/$L$7</f>
        <v/>
      </c>
      <c r="N29" s="12">
        <f>L29</f>
        <v/>
      </c>
      <c r="O29" s="11">
        <f>N29/$N$7</f>
        <v/>
      </c>
      <c r="P29" s="12">
        <f>F29-N29</f>
        <v/>
      </c>
      <c r="Q29" s="11">
        <f>P29/J29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'[1]2026_ΕΣΟΔΑ'!C24</f>
        <v/>
      </c>
      <c r="E30" s="11">
        <f>D30/$D$7</f>
        <v/>
      </c>
      <c r="F30" s="12">
        <f>D30</f>
        <v/>
      </c>
      <c r="G30" s="11">
        <f>F30/$F$7</f>
        <v/>
      </c>
      <c r="H30" s="12" t="n"/>
      <c r="I30" s="11">
        <f>H30/$H$7</f>
        <v/>
      </c>
      <c r="J30" s="12">
        <f>H30</f>
        <v/>
      </c>
      <c r="K30" s="11">
        <f>J30/$J$7</f>
        <v/>
      </c>
      <c r="L30" s="68">
        <f>'[1]2024_60-69 ΕΞΟΔΑ+ΟΜ 2'!C136</f>
        <v/>
      </c>
      <c r="M30" s="11">
        <f>L30/$L$7</f>
        <v/>
      </c>
      <c r="N30" s="12">
        <f>L30</f>
        <v/>
      </c>
      <c r="O30" s="11">
        <f>N30/$N$7</f>
        <v/>
      </c>
      <c r="P30" s="12">
        <f>F30-N30</f>
        <v/>
      </c>
      <c r="Q30" s="11">
        <f>P30/J30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'[1]2026_ΕΣΟΔΑ'!C25</f>
        <v/>
      </c>
      <c r="E31" s="11">
        <f>D31/$D$7</f>
        <v/>
      </c>
      <c r="F31" s="12">
        <f>D31</f>
        <v/>
      </c>
      <c r="G31" s="11">
        <f>F31/$F$7</f>
        <v/>
      </c>
      <c r="H31" s="12" t="n"/>
      <c r="I31" s="11">
        <f>H31/$H$7</f>
        <v/>
      </c>
      <c r="J31" s="12">
        <f>H31</f>
        <v/>
      </c>
      <c r="K31" s="11">
        <f>J31/$J$7</f>
        <v/>
      </c>
      <c r="L31" s="68">
        <f>'[1]2024_60-69 ΕΞΟΔΑ+ΟΜ 2'!C137</f>
        <v/>
      </c>
      <c r="M31" s="11">
        <f>L31/$L$7</f>
        <v/>
      </c>
      <c r="N31" s="12">
        <f>L31</f>
        <v/>
      </c>
      <c r="O31" s="11">
        <f>N31/$N$7</f>
        <v/>
      </c>
      <c r="P31" s="12">
        <f>F31-N31</f>
        <v/>
      </c>
      <c r="Q31" s="11">
        <f>P31/J31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'[1]2026_ΕΣΟΔΑ'!C26</f>
        <v/>
      </c>
      <c r="E32" s="11">
        <f>D32/$D$7</f>
        <v/>
      </c>
      <c r="F32" s="12">
        <f>D32</f>
        <v/>
      </c>
      <c r="G32" s="11">
        <f>F32/$F$7</f>
        <v/>
      </c>
      <c r="H32" s="12" t="n"/>
      <c r="I32" s="11">
        <f>H32/$H$7</f>
        <v/>
      </c>
      <c r="J32" s="12">
        <f>H32</f>
        <v/>
      </c>
      <c r="K32" s="11">
        <f>J32/$J$7</f>
        <v/>
      </c>
      <c r="L32" s="68">
        <f>'[1]2024_60-69 ΕΞΟΔΑ+ΟΜ 2'!C138</f>
        <v/>
      </c>
      <c r="M32" s="11">
        <f>L32/$L$7</f>
        <v/>
      </c>
      <c r="N32" s="12">
        <f>L32</f>
        <v/>
      </c>
      <c r="O32" s="11">
        <f>N32/$N$7</f>
        <v/>
      </c>
      <c r="P32" s="12">
        <f>F32-N32</f>
        <v/>
      </c>
      <c r="Q32" s="11">
        <f>P32/J32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'[1]2026_ΕΣΟΔΑ'!C27</f>
        <v/>
      </c>
      <c r="E33" s="11">
        <f>D33/$D$7</f>
        <v/>
      </c>
      <c r="F33" s="12">
        <f>D33</f>
        <v/>
      </c>
      <c r="G33" s="11">
        <f>F33/$F$7</f>
        <v/>
      </c>
      <c r="H33" s="12" t="n"/>
      <c r="I33" s="11">
        <f>H33/$H$7</f>
        <v/>
      </c>
      <c r="J33" s="12">
        <f>H33</f>
        <v/>
      </c>
      <c r="K33" s="11">
        <f>J33/$J$7</f>
        <v/>
      </c>
      <c r="L33" s="68">
        <f>'[1]2024_60-69 ΕΞΟΔΑ+ΟΜ 2'!C139</f>
        <v/>
      </c>
      <c r="M33" s="11">
        <f>L33/$L$7</f>
        <v/>
      </c>
      <c r="N33" s="12">
        <f>L33</f>
        <v/>
      </c>
      <c r="O33" s="11">
        <f>N33/$N$7</f>
        <v/>
      </c>
      <c r="P33" s="12">
        <f>F33-N33</f>
        <v/>
      </c>
      <c r="Q33" s="11">
        <f>P33/J33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'[1]2026_ΕΣΟΔΑ'!C28</f>
        <v/>
      </c>
      <c r="E34" s="11">
        <f>D34/$D$7</f>
        <v/>
      </c>
      <c r="F34" s="12">
        <f>D34</f>
        <v/>
      </c>
      <c r="G34" s="11">
        <f>F34/$F$7</f>
        <v/>
      </c>
      <c r="H34" s="12" t="n"/>
      <c r="I34" s="11">
        <f>H34/$H$7</f>
        <v/>
      </c>
      <c r="J34" s="12">
        <f>H34</f>
        <v/>
      </c>
      <c r="K34" s="11">
        <f>J34/$J$7</f>
        <v/>
      </c>
      <c r="L34" s="68">
        <f>'[1]2024_60-69 ΕΞΟΔΑ+ΟΜ 2'!C140</f>
        <v/>
      </c>
      <c r="M34" s="11">
        <f>L34/$L$7</f>
        <v/>
      </c>
      <c r="N34" s="12">
        <f>L34</f>
        <v/>
      </c>
      <c r="O34" s="11">
        <f>N34/$N$7</f>
        <v/>
      </c>
      <c r="P34" s="12">
        <f>F34-N34</f>
        <v/>
      </c>
      <c r="Q34" s="11">
        <f>P34/J34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'[1]2026_ΕΣΟΔΑ'!C29</f>
        <v/>
      </c>
      <c r="E35" s="11">
        <f>D35/$D$7</f>
        <v/>
      </c>
      <c r="F35" s="12">
        <f>D35</f>
        <v/>
      </c>
      <c r="G35" s="11">
        <f>F35/$F$7</f>
        <v/>
      </c>
      <c r="H35" s="12" t="n"/>
      <c r="I35" s="11">
        <f>H35/$H$7</f>
        <v/>
      </c>
      <c r="J35" s="12">
        <f>H35</f>
        <v/>
      </c>
      <c r="K35" s="11">
        <f>J35/$J$7</f>
        <v/>
      </c>
      <c r="L35" s="68">
        <f>'[1]2024_60-69 ΕΞΟΔΑ+ΟΜ 2'!C141</f>
        <v/>
      </c>
      <c r="M35" s="11">
        <f>L35/$L$7</f>
        <v/>
      </c>
      <c r="N35" s="12">
        <f>L35</f>
        <v/>
      </c>
      <c r="O35" s="11">
        <f>N35/$N$7</f>
        <v/>
      </c>
      <c r="P35" s="12">
        <f>F35-N35</f>
        <v/>
      </c>
      <c r="Q35" s="11">
        <f>P35/J35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'[1]2026_ΕΣΟΔΑ'!C30</f>
        <v/>
      </c>
      <c r="E36" s="11">
        <f>D36/$D$7</f>
        <v/>
      </c>
      <c r="F36" s="12">
        <f>D36</f>
        <v/>
      </c>
      <c r="G36" s="11">
        <f>F36/$F$7</f>
        <v/>
      </c>
      <c r="H36" s="12" t="n"/>
      <c r="I36" s="11">
        <f>H36/$H$7</f>
        <v/>
      </c>
      <c r="J36" s="12">
        <f>H36</f>
        <v/>
      </c>
      <c r="K36" s="11">
        <f>J36/$J$7</f>
        <v/>
      </c>
      <c r="L36" s="68">
        <f>'[1]2024_60-69 ΕΞΟΔΑ+ΟΜ 2'!C142</f>
        <v/>
      </c>
      <c r="M36" s="11">
        <f>L36/$L$7</f>
        <v/>
      </c>
      <c r="N36" s="12">
        <f>L36</f>
        <v/>
      </c>
      <c r="O36" s="11">
        <f>N36/$N$7</f>
        <v/>
      </c>
      <c r="P36" s="12">
        <f>F36-N36</f>
        <v/>
      </c>
      <c r="Q36" s="11">
        <f>P36/J36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'[1]2026_ΕΣΟΔΑ'!C31</f>
        <v/>
      </c>
      <c r="E37" s="11">
        <f>D37/$D$7</f>
        <v/>
      </c>
      <c r="F37" s="12">
        <f>D37</f>
        <v/>
      </c>
      <c r="G37" s="11">
        <f>F37/$F$7</f>
        <v/>
      </c>
      <c r="H37" s="12" t="n"/>
      <c r="I37" s="11">
        <f>H37/$H$7</f>
        <v/>
      </c>
      <c r="J37" s="12">
        <f>H37</f>
        <v/>
      </c>
      <c r="K37" s="11">
        <f>J37/$J$7</f>
        <v/>
      </c>
      <c r="L37" s="68">
        <f>'[1]2024_60-69 ΕΞΟΔΑ+ΟΜ 2'!C143</f>
        <v/>
      </c>
      <c r="M37" s="11">
        <f>L37/$L$7</f>
        <v/>
      </c>
      <c r="N37" s="12">
        <f>L37</f>
        <v/>
      </c>
      <c r="O37" s="11">
        <f>N37/$N$7</f>
        <v/>
      </c>
      <c r="P37" s="12">
        <f>F37-N37</f>
        <v/>
      </c>
      <c r="Q37" s="11">
        <f>P37/J37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'[1]2026_ΕΣΟΔΑ'!C32</f>
        <v/>
      </c>
      <c r="E38" s="8" t="n"/>
      <c r="F38" s="7">
        <f>'[1]2026_ΕΣΟΔΑ'!C34</f>
        <v/>
      </c>
      <c r="G38" s="8" t="n"/>
      <c r="H38" s="7">
        <f>SUM(H8:H30)</f>
        <v/>
      </c>
      <c r="I38" s="8" t="n"/>
      <c r="J38" s="7">
        <f>SUM(J8:J30)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SUM(P8:P30)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[1]ΑΝΤΙΣΤΟΙΧΙΣΗ!$F$106</f>
        <v/>
      </c>
      <c r="E41" s="192" t="n"/>
      <c r="F41" s="56" t="n"/>
      <c r="G41" s="61">
        <f>[1]ΑΝΤΙΣΤΟΙΧΙΣΗ!$D$34</f>
        <v/>
      </c>
      <c r="H41" s="180">
        <f>[1]ΑΝΤΙΣΤΟΙΧΙΣΗ!$F$106</f>
        <v/>
      </c>
      <c r="I41" s="192" t="n"/>
      <c r="J41" s="56" t="n"/>
      <c r="K41" s="61">
        <f>[1]ΑΝΤΙΣΤΟΙΧΙΣΗ!$D$34</f>
        <v/>
      </c>
      <c r="L41" s="180">
        <f>[1]ΑΝΤΙΣΤΟΙΧΙΣΗ!$F$120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inlineStr">
        <is>
          <t xml:space="preserve">Ποσά </t>
        </is>
      </c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53.2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2'!D4</f>
        <v/>
      </c>
      <c r="E44" s="15">
        <f>D44/$D$43</f>
        <v/>
      </c>
      <c r="F44" s="10">
        <f>D44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J44/$J$38</f>
        <v/>
      </c>
      <c r="L44" s="14">
        <f>'[1]2024_60-69 ΕΞΟΔΑ+ΟΜ 2'!D4</f>
        <v/>
      </c>
      <c r="M44" s="15">
        <f>L44/$L$43</f>
        <v/>
      </c>
      <c r="N44" s="10">
        <f>L44</f>
        <v/>
      </c>
      <c r="O44" s="15">
        <f>N44/$N$43</f>
        <v/>
      </c>
      <c r="P44" s="10">
        <f>F44-N44</f>
        <v/>
      </c>
      <c r="Q44" s="15">
        <f>N44/F44</f>
        <v/>
      </c>
    </row>
    <row r="45" ht="53.2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2'!D5</f>
        <v/>
      </c>
      <c r="E45" s="15">
        <f>D45/$D$43</f>
        <v/>
      </c>
      <c r="F45" s="10">
        <f>D45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J45/$J$38</f>
        <v/>
      </c>
      <c r="L45" s="14">
        <f>'[1]2024_60-69 ΕΞΟΔΑ+ΟΜ 2'!D5</f>
        <v/>
      </c>
      <c r="M45" s="15">
        <f>L45/$L$43</f>
        <v/>
      </c>
      <c r="N45" s="10">
        <f>L45</f>
        <v/>
      </c>
      <c r="O45" s="15">
        <f>N45/$N$43</f>
        <v/>
      </c>
      <c r="P45" s="10">
        <f>F45-N45</f>
        <v/>
      </c>
      <c r="Q45" s="15">
        <f>N45/F45</f>
        <v/>
      </c>
    </row>
    <row r="46" ht="53.2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2'!D6</f>
        <v/>
      </c>
      <c r="E46" s="15">
        <f>D46/$D$43</f>
        <v/>
      </c>
      <c r="F46" s="10">
        <f>D46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J46/$J$38</f>
        <v/>
      </c>
      <c r="L46" s="14">
        <f>'[1]2024_60-69 ΕΞΟΔΑ+ΟΜ 2'!D6</f>
        <v/>
      </c>
      <c r="M46" s="15">
        <f>L46/$L$43</f>
        <v/>
      </c>
      <c r="N46" s="10">
        <f>L46</f>
        <v/>
      </c>
      <c r="O46" s="15">
        <f>N46/$N$43</f>
        <v/>
      </c>
      <c r="P46" s="10">
        <f>F46-N46</f>
        <v/>
      </c>
      <c r="Q46" s="15">
        <f>N46/F46</f>
        <v/>
      </c>
    </row>
    <row r="47" ht="53.2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2'!D7</f>
        <v/>
      </c>
      <c r="E47" s="15">
        <f>D49/$D$43</f>
        <v/>
      </c>
      <c r="F47" s="10">
        <f>D49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J49/$J$38</f>
        <v/>
      </c>
      <c r="L47" s="14">
        <f>'[1]2024_60-69 ΕΞΟΔΑ+ΟΜ 2'!D7</f>
        <v/>
      </c>
      <c r="M47" s="15">
        <f>L49/$L$43</f>
        <v/>
      </c>
      <c r="N47" s="10">
        <f>L49</f>
        <v/>
      </c>
      <c r="O47" s="15">
        <f>N49/$N$43</f>
        <v/>
      </c>
      <c r="P47" s="10">
        <f>F49-N49</f>
        <v/>
      </c>
      <c r="Q47" s="15">
        <f>N49/F49</f>
        <v/>
      </c>
    </row>
    <row r="48" ht="53.2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2'!D8</f>
        <v/>
      </c>
      <c r="E48" s="15">
        <f>D50/$D$43</f>
        <v/>
      </c>
      <c r="F48" s="10">
        <f>D50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J50/$J$38</f>
        <v/>
      </c>
      <c r="L48" s="14">
        <f>'[1]2024_60-69 ΕΞΟΔΑ+ΟΜ 2'!D8</f>
        <v/>
      </c>
      <c r="M48" s="15">
        <f>L50/$L$43</f>
        <v/>
      </c>
      <c r="N48" s="10">
        <f>L50</f>
        <v/>
      </c>
      <c r="O48" s="15">
        <f>N50/$N$43</f>
        <v/>
      </c>
      <c r="P48" s="10">
        <f>F50-N50</f>
        <v/>
      </c>
      <c r="Q48" s="15">
        <f>N50/F50</f>
        <v/>
      </c>
    </row>
    <row r="49" ht="53.2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2'!D9</f>
        <v/>
      </c>
      <c r="E49" s="15">
        <f>D51/$D$43</f>
        <v/>
      </c>
      <c r="F49" s="10">
        <f>D51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J51/$J$38</f>
        <v/>
      </c>
      <c r="L49" s="14">
        <f>'[1]2024_60-69 ΕΞΟΔΑ+ΟΜ 2'!D9</f>
        <v/>
      </c>
      <c r="M49" s="15">
        <f>L51/$L$43</f>
        <v/>
      </c>
      <c r="N49" s="10">
        <f>L51</f>
        <v/>
      </c>
      <c r="O49" s="15">
        <f>N51/$N$43</f>
        <v/>
      </c>
      <c r="P49" s="10">
        <f>F51-N51</f>
        <v/>
      </c>
      <c r="Q49" s="15">
        <f>N51/F51</f>
        <v/>
      </c>
    </row>
    <row r="50" ht="53.2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2'!D10</f>
        <v/>
      </c>
      <c r="E50" s="15">
        <f>D54/$D$43</f>
        <v/>
      </c>
      <c r="F50" s="10">
        <f>D54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J54/$J$38</f>
        <v/>
      </c>
      <c r="L50" s="14">
        <f>'[1]2024_60-69 ΕΞΟΔΑ+ΟΜ 2'!D10</f>
        <v/>
      </c>
      <c r="M50" s="15">
        <f>L54/$L$43</f>
        <v/>
      </c>
      <c r="N50" s="10">
        <f>L54</f>
        <v/>
      </c>
      <c r="O50" s="15">
        <f>N54/$N$43</f>
        <v/>
      </c>
      <c r="P50" s="10">
        <f>F54-N54</f>
        <v/>
      </c>
      <c r="Q50" s="15">
        <f>N54/F54</f>
        <v/>
      </c>
    </row>
    <row r="51" ht="53.2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2'!D11</f>
        <v/>
      </c>
      <c r="E51" s="15">
        <f>D55/$D$43</f>
        <v/>
      </c>
      <c r="F51" s="10">
        <f>D55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J55/$J$38</f>
        <v/>
      </c>
      <c r="L51" s="14">
        <f>'[1]2024_60-69 ΕΞΟΔΑ+ΟΜ 2'!D11</f>
        <v/>
      </c>
      <c r="M51" s="15">
        <f>L55/$L$43</f>
        <v/>
      </c>
      <c r="N51" s="10">
        <f>L55</f>
        <v/>
      </c>
      <c r="O51" s="15">
        <f>N55/$N$43</f>
        <v/>
      </c>
      <c r="P51" s="10">
        <f>F55-N55</f>
        <v/>
      </c>
      <c r="Q51" s="15">
        <f>N55/F55</f>
        <v/>
      </c>
    </row>
    <row r="52" ht="53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2'!D12</f>
        <v/>
      </c>
      <c r="E52" s="15">
        <f>D56/$D$43</f>
        <v/>
      </c>
      <c r="F52" s="10">
        <f>D56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J56/$J$38</f>
        <v/>
      </c>
      <c r="L52" s="14">
        <f>'[1]2024_60-69 ΕΞΟΔΑ+ΟΜ 2'!D12</f>
        <v/>
      </c>
      <c r="M52" s="15">
        <f>L56/$L$43</f>
        <v/>
      </c>
      <c r="N52" s="10">
        <f>L56</f>
        <v/>
      </c>
      <c r="O52" s="15">
        <f>N56/$N$43</f>
        <v/>
      </c>
      <c r="P52" s="10">
        <f>F56-N56</f>
        <v/>
      </c>
      <c r="Q52" s="15">
        <f>N56/F56</f>
        <v/>
      </c>
    </row>
    <row r="53" ht="31.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2'!D13</f>
        <v/>
      </c>
      <c r="E53" s="15">
        <f>D57/$D$43</f>
        <v/>
      </c>
      <c r="F53" s="10">
        <f>D57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J57/$J$38</f>
        <v/>
      </c>
      <c r="L53" s="14">
        <f>'[1]2024_60-69 ΕΞΟΔΑ+ΟΜ 2'!D13</f>
        <v/>
      </c>
      <c r="M53" s="15">
        <f>L57/$L$43</f>
        <v/>
      </c>
      <c r="N53" s="10">
        <f>L57</f>
        <v/>
      </c>
      <c r="O53" s="15">
        <f>N57/$N$43</f>
        <v/>
      </c>
      <c r="P53" s="10">
        <f>F57-N57</f>
        <v/>
      </c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2'!D14</f>
        <v/>
      </c>
      <c r="E54" s="15">
        <f>D58/$D$43</f>
        <v/>
      </c>
      <c r="F54" s="10">
        <f>D58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J58/$J$38</f>
        <v/>
      </c>
      <c r="L54" s="14">
        <f>'[1]2024_60-69 ΕΞΟΔΑ+ΟΜ 2'!D14</f>
        <v/>
      </c>
      <c r="M54" s="15">
        <f>L58/$L$43</f>
        <v/>
      </c>
      <c r="N54" s="10">
        <f>L58</f>
        <v/>
      </c>
      <c r="O54" s="15">
        <f>N58/$N$43</f>
        <v/>
      </c>
      <c r="P54" s="10">
        <f>F58-N58</f>
        <v/>
      </c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2'!D15</f>
        <v/>
      </c>
      <c r="E55" s="15">
        <f>D59/$D$43</f>
        <v/>
      </c>
      <c r="F55" s="10">
        <f>D59</f>
        <v/>
      </c>
      <c r="G55" s="15">
        <f>F59/$F$43</f>
        <v/>
      </c>
      <c r="H55" s="14" t="n"/>
      <c r="I55" s="16">
        <f>H59/$H$43</f>
        <v/>
      </c>
      <c r="J55" s="10" t="n"/>
      <c r="K55" s="17">
        <f>J59/$J$38</f>
        <v/>
      </c>
      <c r="L55" s="14">
        <f>'[1]2024_60-69 ΕΞΟΔΑ+ΟΜ 2'!D15</f>
        <v/>
      </c>
      <c r="M55" s="15">
        <f>L59/$L$43</f>
        <v/>
      </c>
      <c r="N55" s="10">
        <f>L59</f>
        <v/>
      </c>
      <c r="O55" s="15">
        <f>N59/$N$43</f>
        <v/>
      </c>
      <c r="P55" s="10">
        <f>F59-N59</f>
        <v/>
      </c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2'!D16</f>
        <v/>
      </c>
      <c r="E56" s="15">
        <f>D60/$D$43</f>
        <v/>
      </c>
      <c r="F56" s="10">
        <f>D60</f>
        <v/>
      </c>
      <c r="G56" s="15">
        <f>F60/$F$43</f>
        <v/>
      </c>
      <c r="H56" s="14" t="n"/>
      <c r="I56" s="16">
        <f>H60/$H$43</f>
        <v/>
      </c>
      <c r="J56" s="10">
        <f>H60</f>
        <v/>
      </c>
      <c r="K56" s="17">
        <f>J60/$J$38</f>
        <v/>
      </c>
      <c r="L56" s="14">
        <f>'[1]2024_60-69 ΕΞΟΔΑ+ΟΜ 2'!D16</f>
        <v/>
      </c>
      <c r="M56" s="15">
        <f>L60/$L$43</f>
        <v/>
      </c>
      <c r="N56" s="10">
        <f>L60</f>
        <v/>
      </c>
      <c r="O56" s="15">
        <f>N60/$N$43</f>
        <v/>
      </c>
      <c r="P56" s="10">
        <f>F60-N60</f>
        <v/>
      </c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2'!D17</f>
        <v/>
      </c>
      <c r="E57" s="15">
        <f>D61/$D$43</f>
        <v/>
      </c>
      <c r="F57" s="10">
        <f>D61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J61/$J$38</f>
        <v/>
      </c>
      <c r="L57" s="14">
        <f>'[1]2024_60-69 ΕΞΟΔΑ+ΟΜ 2'!D17</f>
        <v/>
      </c>
      <c r="M57" s="15">
        <f>L61/$L$43</f>
        <v/>
      </c>
      <c r="N57" s="10">
        <f>L61</f>
        <v/>
      </c>
      <c r="O57" s="15">
        <f>N61/$N$43</f>
        <v/>
      </c>
      <c r="P57" s="10">
        <f>F61-N61</f>
        <v/>
      </c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2'!D18</f>
        <v/>
      </c>
      <c r="E58" s="15">
        <f>D62/$D$43</f>
        <v/>
      </c>
      <c r="F58" s="10">
        <f>D62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J62/$J$38</f>
        <v/>
      </c>
      <c r="L58" s="14">
        <f>'[1]2024_60-69 ΕΞΟΔΑ+ΟΜ 2'!D18</f>
        <v/>
      </c>
      <c r="M58" s="15">
        <f>L62/$L$43</f>
        <v/>
      </c>
      <c r="N58" s="10">
        <f>L62</f>
        <v/>
      </c>
      <c r="O58" s="15">
        <f>N62/$N$43</f>
        <v/>
      </c>
      <c r="P58" s="10">
        <f>F62-N62</f>
        <v/>
      </c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2'!D19</f>
        <v/>
      </c>
      <c r="E59" s="15">
        <f>D63/$D$43</f>
        <v/>
      </c>
      <c r="F59" s="10">
        <f>D63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J63/$J$38</f>
        <v/>
      </c>
      <c r="L59" s="14">
        <f>'[1]2024_60-69 ΕΞΟΔΑ+ΟΜ 2'!D19</f>
        <v/>
      </c>
      <c r="M59" s="15">
        <f>L63/$L$43</f>
        <v/>
      </c>
      <c r="N59" s="10">
        <f>L63</f>
        <v/>
      </c>
      <c r="O59" s="15">
        <f>N63/$N$43</f>
        <v/>
      </c>
      <c r="P59" s="10">
        <f>F63-N63</f>
        <v/>
      </c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2'!D20</f>
        <v/>
      </c>
      <c r="E60" s="15">
        <f>D64/$D$43</f>
        <v/>
      </c>
      <c r="F60" s="10">
        <f>D64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J64/$J$38</f>
        <v/>
      </c>
      <c r="L60" s="14">
        <f>'[1]2024_60-69 ΕΞΟΔΑ+ΟΜ 2'!D20</f>
        <v/>
      </c>
      <c r="M60" s="15">
        <f>L64/$L$43</f>
        <v/>
      </c>
      <c r="N60" s="10">
        <f>L64</f>
        <v/>
      </c>
      <c r="O60" s="15">
        <f>N64/$N$43</f>
        <v/>
      </c>
      <c r="P60" s="10">
        <f>F64-N64</f>
        <v/>
      </c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2'!D21+'[1]2026_60-69 ΕΞΟΔΑ+ΟΜ 2'!D184</f>
        <v/>
      </c>
      <c r="E61" s="15">
        <f>D65/$D$43</f>
        <v/>
      </c>
      <c r="F61" s="10">
        <f>D65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J65/$J$38</f>
        <v/>
      </c>
      <c r="L61" s="14">
        <f>'[1]2024_60-69 ΕΞΟΔΑ+ΟΜ 2'!D21</f>
        <v/>
      </c>
      <c r="M61" s="15">
        <f>L65/$L$43</f>
        <v/>
      </c>
      <c r="N61" s="10">
        <f>L65</f>
        <v/>
      </c>
      <c r="O61" s="15">
        <f>N65/$N$43</f>
        <v/>
      </c>
      <c r="P61" s="10">
        <f>F65-N65</f>
        <v/>
      </c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2'!D22</f>
        <v/>
      </c>
      <c r="E62" s="15">
        <f>D66/$D$43</f>
        <v/>
      </c>
      <c r="F62" s="10">
        <f>D66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J66/$J$38</f>
        <v/>
      </c>
      <c r="L62" s="14">
        <f>'[1]2024_60-69 ΕΞΟΔΑ+ΟΜ 2'!D22</f>
        <v/>
      </c>
      <c r="M62" s="15">
        <f>L66/$L$43</f>
        <v/>
      </c>
      <c r="N62" s="10">
        <f>L66</f>
        <v/>
      </c>
      <c r="O62" s="15">
        <f>N66/$N$43</f>
        <v/>
      </c>
      <c r="P62" s="10">
        <f>F66-N66</f>
        <v/>
      </c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2'!D23</f>
        <v/>
      </c>
      <c r="E63" s="15">
        <f>D67/$D$43</f>
        <v/>
      </c>
      <c r="F63" s="10">
        <f>D67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J67/$J$38</f>
        <v/>
      </c>
      <c r="L63" s="14">
        <f>'[1]2024_60-69 ΕΞΟΔΑ+ΟΜ 2'!D23</f>
        <v/>
      </c>
      <c r="M63" s="15">
        <f>L67/$L$43</f>
        <v/>
      </c>
      <c r="N63" s="10">
        <f>L67</f>
        <v/>
      </c>
      <c r="O63" s="15">
        <f>N67/$N$43</f>
        <v/>
      </c>
      <c r="P63" s="10">
        <f>F67-N67</f>
        <v/>
      </c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2'!D24</f>
        <v/>
      </c>
      <c r="E64" s="15">
        <f>D68/$D$43</f>
        <v/>
      </c>
      <c r="F64" s="10">
        <f>D68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J68/$J$38</f>
        <v/>
      </c>
      <c r="L64" s="14">
        <f>'[1]2024_60-69 ΕΞΟΔΑ+ΟΜ 2'!D24</f>
        <v/>
      </c>
      <c r="M64" s="15">
        <f>L68/$L$43</f>
        <v/>
      </c>
      <c r="N64" s="10">
        <f>L68</f>
        <v/>
      </c>
      <c r="O64" s="15">
        <f>N68/$N$43</f>
        <v/>
      </c>
      <c r="P64" s="10">
        <f>F68-N68</f>
        <v/>
      </c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2'!D25</f>
        <v/>
      </c>
      <c r="E65" s="15">
        <f>D69/$D$43</f>
        <v/>
      </c>
      <c r="F65" s="10">
        <f>D69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J69/$J$38</f>
        <v/>
      </c>
      <c r="L65" s="14">
        <f>'[1]2024_60-69 ΕΞΟΔΑ+ΟΜ 2'!D25</f>
        <v/>
      </c>
      <c r="M65" s="15">
        <f>L69/$L$43</f>
        <v/>
      </c>
      <c r="N65" s="10">
        <f>L69</f>
        <v/>
      </c>
      <c r="O65" s="15">
        <f>N69/$N$43</f>
        <v/>
      </c>
      <c r="P65" s="10">
        <f>F69-N69</f>
        <v/>
      </c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2'!D26</f>
        <v/>
      </c>
      <c r="E66" s="15">
        <f>D70/$D$43</f>
        <v/>
      </c>
      <c r="F66" s="10">
        <f>D70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J70/$J$38</f>
        <v/>
      </c>
      <c r="L66" s="14">
        <f>'[1]2024_60-69 ΕΞΟΔΑ+ΟΜ 2'!D26</f>
        <v/>
      </c>
      <c r="M66" s="15">
        <f>L70/$L$43</f>
        <v/>
      </c>
      <c r="N66" s="10">
        <f>L70</f>
        <v/>
      </c>
      <c r="O66" s="15">
        <f>N70/$N$43</f>
        <v/>
      </c>
      <c r="P66" s="10">
        <f>F70-N70</f>
        <v/>
      </c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2'!D27</f>
        <v/>
      </c>
      <c r="E67" s="15">
        <f>D71/$D$43</f>
        <v/>
      </c>
      <c r="F67" s="10">
        <f>D71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J71/$J$38</f>
        <v/>
      </c>
      <c r="L67" s="14">
        <f>'[1]2024_60-69 ΕΞΟΔΑ+ΟΜ 2'!D27</f>
        <v/>
      </c>
      <c r="M67" s="15">
        <f>L71/$L$43</f>
        <v/>
      </c>
      <c r="N67" s="10">
        <f>L71</f>
        <v/>
      </c>
      <c r="O67" s="15">
        <f>N71/$N$43</f>
        <v/>
      </c>
      <c r="P67" s="10">
        <f>F71-N71</f>
        <v/>
      </c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2'!D28</f>
        <v/>
      </c>
      <c r="E68" s="15">
        <f>D72/$D$43</f>
        <v/>
      </c>
      <c r="F68" s="10">
        <f>D72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J72/$J$38</f>
        <v/>
      </c>
      <c r="L68" s="14">
        <f>'[1]2024_60-69 ΕΞΟΔΑ+ΟΜ 2'!D28</f>
        <v/>
      </c>
      <c r="M68" s="15">
        <f>L72/$L$43</f>
        <v/>
      </c>
      <c r="N68" s="10">
        <f>L72</f>
        <v/>
      </c>
      <c r="O68" s="15">
        <f>N72/$N$43</f>
        <v/>
      </c>
      <c r="P68" s="10">
        <f>F72-N72</f>
        <v/>
      </c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2'!D29</f>
        <v/>
      </c>
      <c r="E69" s="15">
        <f>D73/$D$43</f>
        <v/>
      </c>
      <c r="F69" s="10">
        <f>D73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J73/$J$38</f>
        <v/>
      </c>
      <c r="L69" s="14">
        <f>'[1]2024_60-69 ΕΞΟΔΑ+ΟΜ 2'!D29</f>
        <v/>
      </c>
      <c r="M69" s="15">
        <f>L73/$L$43</f>
        <v/>
      </c>
      <c r="N69" s="10">
        <f>L73</f>
        <v/>
      </c>
      <c r="O69" s="15">
        <f>N73/$N$43</f>
        <v/>
      </c>
      <c r="P69" s="10">
        <f>F73-N73</f>
        <v/>
      </c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J74/$J$38</f>
        <v/>
      </c>
      <c r="L70" s="14">
        <f>'[1]2024_60-69 ΕΞΟΔΑ+ΟΜ 2'!D30</f>
        <v/>
      </c>
      <c r="M70" s="15">
        <f>L74/$L$43</f>
        <v/>
      </c>
      <c r="N70" s="10">
        <f>L74</f>
        <v/>
      </c>
      <c r="O70" s="15">
        <f>N74/$N$43</f>
        <v/>
      </c>
      <c r="P70" s="10">
        <f>F74-N74</f>
        <v/>
      </c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2'!D31</f>
        <v/>
      </c>
      <c r="E71" s="15">
        <f>D75/$D$43</f>
        <v/>
      </c>
      <c r="F71" s="10">
        <f>D75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J75/$J$38</f>
        <v/>
      </c>
      <c r="L71" s="14">
        <f>'[1]2024_60-69 ΕΞΟΔΑ+ΟΜ 2'!D31</f>
        <v/>
      </c>
      <c r="M71" s="15">
        <f>L75/$L$43</f>
        <v/>
      </c>
      <c r="N71" s="10">
        <f>L75</f>
        <v/>
      </c>
      <c r="O71" s="15">
        <f>N75/$N$43</f>
        <v/>
      </c>
      <c r="P71" s="10">
        <f>F75-N75</f>
        <v/>
      </c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2'!D32</f>
        <v/>
      </c>
      <c r="E72" s="15">
        <f>D76/$D$43</f>
        <v/>
      </c>
      <c r="F72" s="10">
        <f>D76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J76/$J$38</f>
        <v/>
      </c>
      <c r="L72" s="14">
        <f>'[1]2024_60-69 ΕΞΟΔΑ+ΟΜ 2'!D32</f>
        <v/>
      </c>
      <c r="M72" s="15" t="n"/>
      <c r="N72" s="10">
        <f>L76</f>
        <v/>
      </c>
      <c r="O72" s="15">
        <f>N76/$N$43</f>
        <v/>
      </c>
      <c r="P72" s="10">
        <f>F76-N76</f>
        <v/>
      </c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2'!D33</f>
        <v/>
      </c>
      <c r="E73" s="15">
        <f>D77/$D$43</f>
        <v/>
      </c>
      <c r="F73" s="10">
        <f>D77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J77/$J$38</f>
        <v/>
      </c>
      <c r="L73" s="14">
        <f>'[1]2024_60-69 ΕΞΟΔΑ+ΟΜ 2'!D33</f>
        <v/>
      </c>
      <c r="M73" s="15" t="n"/>
      <c r="N73" s="10">
        <f>L77</f>
        <v/>
      </c>
      <c r="O73" s="15">
        <f>N77/$N$43</f>
        <v/>
      </c>
      <c r="P73" s="10">
        <f>F77-N77</f>
        <v/>
      </c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2'!D3</f>
        <v/>
      </c>
      <c r="E74" s="21" t="n"/>
      <c r="F74" s="7">
        <f>'[1]2026_60-69 ΕΞΟΔΑ+ΟΜ 2'!Q3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 t="n"/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[1]ΑΝΤΙΣΤΟΙΧΙΣΗ!$F$106</f>
        <v/>
      </c>
      <c r="E78" s="192" t="n"/>
      <c r="F78" s="56" t="n"/>
      <c r="G78" s="61">
        <f>[1]ΑΝΤΙΣΤΟΙΧΙΣΗ!$D$34</f>
        <v/>
      </c>
      <c r="H78" s="180">
        <f>[1]ΑΝΤΙΣΤΟΙΧΙΣΗ!$F$106</f>
        <v/>
      </c>
      <c r="I78" s="192" t="n"/>
      <c r="J78" s="56" t="n"/>
      <c r="K78" s="61">
        <f>[1]ΑΝΤΙΣΤΟΙΧΙΣΗ!$D$34</f>
        <v/>
      </c>
      <c r="L78" s="180">
        <f>[1]ΑΝΤΙΣΤΟΙΧΙΣΗ!$F$120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2'!D39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2'!D37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2'!D40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2'!D38</f>
        <v/>
      </c>
      <c r="M82" s="192" t="n"/>
      <c r="N82" s="56" t="n"/>
      <c r="O82" s="15">
        <f>N86/$N$84</f>
        <v/>
      </c>
      <c r="P82" s="27" t="n"/>
      <c r="Q82" s="56" t="n"/>
    </row>
    <row r="83" ht="78.7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2'!D43</f>
        <v/>
      </c>
      <c r="E83" s="15">
        <f>D87/$D$84</f>
        <v/>
      </c>
      <c r="F83" s="79">
        <f>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2'!D41</f>
        <v/>
      </c>
      <c r="M83" s="15">
        <f>L87/$L$84</f>
        <v/>
      </c>
      <c r="N83" s="10">
        <f>L87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2'!D44</f>
        <v/>
      </c>
      <c r="E84" s="15">
        <f>D88/$D$84</f>
        <v/>
      </c>
      <c r="F84" s="79">
        <f>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2'!D42</f>
        <v/>
      </c>
      <c r="M84" s="15">
        <f>L88/$L$84</f>
        <v/>
      </c>
      <c r="N84" s="10">
        <f>L88</f>
        <v/>
      </c>
      <c r="O84" s="15">
        <f>N88/$N$84</f>
        <v/>
      </c>
      <c r="P84" s="27" t="n"/>
      <c r="Q84" s="28">
        <f>SUM(D88:P88)</f>
        <v/>
      </c>
    </row>
    <row r="85" ht="31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2'!D45</f>
        <v/>
      </c>
      <c r="E85" s="15">
        <f>D89/$D$84</f>
        <v/>
      </c>
      <c r="F85" s="79">
        <f>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2'!D43</f>
        <v/>
      </c>
      <c r="M85" s="15">
        <f>L89/$L$84</f>
        <v/>
      </c>
      <c r="N85" s="10">
        <f>L89</f>
        <v/>
      </c>
      <c r="O85" s="15">
        <f>N89/$N$84</f>
        <v/>
      </c>
      <c r="P85" s="80" t="n"/>
      <c r="Q85" s="28">
        <f>SUM(D89:P89)</f>
        <v/>
      </c>
    </row>
    <row r="86" ht="31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2'!D46</f>
        <v/>
      </c>
      <c r="E86" s="15">
        <f>D90/$D$84</f>
        <v/>
      </c>
      <c r="F86" s="79">
        <f>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2'!D44</f>
        <v/>
      </c>
      <c r="M86" s="15">
        <f>L90/$L$84</f>
        <v/>
      </c>
      <c r="N86" s="10">
        <f>L90</f>
        <v/>
      </c>
      <c r="O86" s="15">
        <f>N90/$N$84</f>
        <v/>
      </c>
      <c r="P86" s="80" t="n"/>
      <c r="Q86" s="28">
        <f>SUM(D90:P90)</f>
        <v/>
      </c>
    </row>
    <row r="87" ht="31.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2'!D47</f>
        <v/>
      </c>
      <c r="E87" s="15">
        <f>D91/$D$84</f>
        <v/>
      </c>
      <c r="F87" s="79">
        <f>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2'!D45</f>
        <v/>
      </c>
      <c r="M87" s="15">
        <f>L91/$L$84</f>
        <v/>
      </c>
      <c r="N87" s="10">
        <f>L91</f>
        <v/>
      </c>
      <c r="O87" s="15">
        <f>N91/$N$84</f>
        <v/>
      </c>
      <c r="P87" s="80" t="n"/>
      <c r="Q87" s="28">
        <f>SUM(D91:P91)</f>
        <v/>
      </c>
    </row>
    <row r="88" ht="31.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2'!D48</f>
        <v/>
      </c>
      <c r="E88" s="15">
        <f>D92/$D$84</f>
        <v/>
      </c>
      <c r="F88" s="79">
        <f>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2'!D46</f>
        <v/>
      </c>
      <c r="M88" s="15">
        <f>L92/$L$84</f>
        <v/>
      </c>
      <c r="N88" s="10">
        <f>L92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2'!D49</f>
        <v/>
      </c>
      <c r="E89" s="15">
        <f>D93/$D$84</f>
        <v/>
      </c>
      <c r="F89" s="79">
        <f>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2'!D47</f>
        <v/>
      </c>
      <c r="M89" s="15">
        <f>L93/$L$84</f>
        <v/>
      </c>
      <c r="N89" s="10">
        <f>L93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2'!D50</f>
        <v/>
      </c>
      <c r="E90" s="15">
        <f>D94/$D$84</f>
        <v/>
      </c>
      <c r="F90" s="79">
        <f>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2'!D48</f>
        <v/>
      </c>
      <c r="M90" s="15">
        <f>L94/$L$84</f>
        <v/>
      </c>
      <c r="N90" s="10">
        <f>L94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2'!D51</f>
        <v/>
      </c>
      <c r="E91" s="15">
        <f>D95/$D$84</f>
        <v/>
      </c>
      <c r="F91" s="79">
        <f>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2'!D49</f>
        <v/>
      </c>
      <c r="M91" s="15">
        <f>L95/$L$84</f>
        <v/>
      </c>
      <c r="N91" s="10">
        <f>L95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2'!D52</f>
        <v/>
      </c>
      <c r="E92" s="15">
        <f>D96/$D$84</f>
        <v/>
      </c>
      <c r="F92" s="79">
        <f>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2'!D50</f>
        <v/>
      </c>
      <c r="M92" s="15">
        <f>L96/$L$84</f>
        <v/>
      </c>
      <c r="N92" s="10">
        <f>L96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2'!D53</f>
        <v/>
      </c>
      <c r="E93" s="15">
        <f>D97/$D$84</f>
        <v/>
      </c>
      <c r="F93" s="79">
        <f>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2'!D51</f>
        <v/>
      </c>
      <c r="M93" s="15">
        <f>L97/$L$84</f>
        <v/>
      </c>
      <c r="N93" s="10">
        <f>L97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2'!D54</f>
        <v/>
      </c>
      <c r="E94" s="15">
        <f>D98/$D$84</f>
        <v/>
      </c>
      <c r="F94" s="79">
        <f>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2'!D52</f>
        <v/>
      </c>
      <c r="M94" s="15">
        <f>L98/$L$84</f>
        <v/>
      </c>
      <c r="N94" s="10">
        <f>L98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2'!D55</f>
        <v/>
      </c>
      <c r="E95" s="15">
        <f>D99/$D$84</f>
        <v/>
      </c>
      <c r="F95" s="79">
        <f>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2'!D53</f>
        <v/>
      </c>
      <c r="M95" s="15">
        <f>L99/$L$84</f>
        <v/>
      </c>
      <c r="N95" s="10">
        <f>L99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2'!D56</f>
        <v/>
      </c>
      <c r="E96" s="15">
        <f>D100/$D$84</f>
        <v/>
      </c>
      <c r="F96" s="79">
        <f>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2'!D54</f>
        <v/>
      </c>
      <c r="M96" s="15">
        <f>L100/$L$84</f>
        <v/>
      </c>
      <c r="N96" s="10">
        <f>L100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2'!D57</f>
        <v/>
      </c>
      <c r="E97" s="15">
        <f>D101/$D$84</f>
        <v/>
      </c>
      <c r="F97" s="79">
        <f>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2'!D55</f>
        <v/>
      </c>
      <c r="M97" s="15">
        <f>L101/$L$84</f>
        <v/>
      </c>
      <c r="N97" s="10">
        <f>L101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2'!D58</f>
        <v/>
      </c>
      <c r="E98" s="15">
        <f>D102/$D$84</f>
        <v/>
      </c>
      <c r="F98" s="79">
        <f>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2'!D56</f>
        <v/>
      </c>
      <c r="M98" s="15">
        <f>L102/$L$84</f>
        <v/>
      </c>
      <c r="N98" s="10">
        <f>L102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2'!D59</f>
        <v/>
      </c>
      <c r="E99" s="15">
        <f>D103/$D$84</f>
        <v/>
      </c>
      <c r="F99" s="79">
        <f>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2'!D57</f>
        <v/>
      </c>
      <c r="M99" s="15">
        <f>L103/$L$84</f>
        <v/>
      </c>
      <c r="N99" s="10">
        <f>L103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2'!D60</f>
        <v/>
      </c>
      <c r="E100" s="15">
        <f>D104/$D$84</f>
        <v/>
      </c>
      <c r="F100" s="79">
        <f>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2'!D58</f>
        <v/>
      </c>
      <c r="M100" s="15">
        <f>L104/$L$84</f>
        <v/>
      </c>
      <c r="N100" s="10">
        <f>L104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2'!D61</f>
        <v/>
      </c>
      <c r="E101" s="15">
        <f>D105/$D$84</f>
        <v/>
      </c>
      <c r="F101" s="79">
        <f>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2'!D59</f>
        <v/>
      </c>
      <c r="M101" s="15">
        <f>L105/$L$84</f>
        <v/>
      </c>
      <c r="N101" s="10">
        <f>L105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2'!D36</f>
        <v/>
      </c>
      <c r="E107" s="8" t="n"/>
      <c r="F107" s="7">
        <f>'[1]2026_60-69 ΕΞΟΔΑ+ΟΜ 2'!Q36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[1]ΑΝΤΙΣΤΟΙΧΙΣΗ!$F$106</f>
        <v/>
      </c>
      <c r="E110" s="192" t="n"/>
      <c r="F110" s="56" t="n"/>
      <c r="G110" s="61">
        <f>[1]ΑΝΤΙΣΤΟΙΧΙΣΗ!$D$34</f>
        <v/>
      </c>
      <c r="H110" s="180">
        <f>[1]ΑΝΤΙΣΤΟΙΧΙΣΗ!$F$106</f>
        <v/>
      </c>
      <c r="I110" s="192" t="n"/>
      <c r="J110" s="56" t="n"/>
      <c r="K110" s="61">
        <f>[1]ΑΝΤΙΣΤΟΙΧΙΣΗ!$D$34</f>
        <v/>
      </c>
      <c r="L110" s="180">
        <f>[1]ΑΝΤΙΣΤΟΙΧΙΣΗ!$F$120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'[1]2026_60-69 ΕΞΟΔΑ+ΟΜ 2'!D74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2'!D66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'[1]2026_60-69 ΕΞΟΔΑ+ΟΜ 2'!D75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2'!D67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'[1]2026_60-69 ΕΞΟΔΑ+ΟΜ 2'!D76</f>
        <v/>
      </c>
      <c r="E115" s="15">
        <f>D119/$D$116</f>
        <v/>
      </c>
      <c r="F115" s="10">
        <f>D119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2'!D68</f>
        <v/>
      </c>
      <c r="M115" s="15">
        <f>L119/$L$116</f>
        <v/>
      </c>
      <c r="N115" s="10">
        <f>L119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'[1]2026_60-69 ΕΞΟΔΑ+ΟΜ 2'!D77</f>
        <v/>
      </c>
      <c r="E116" s="15">
        <f>D120/$D$116</f>
        <v/>
      </c>
      <c r="F116" s="10">
        <f>D120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2'!D69</f>
        <v/>
      </c>
      <c r="M116" s="15">
        <f>L120/$L$116</f>
        <v/>
      </c>
      <c r="N116" s="10">
        <f>L120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'[1]2026_60-69 ΕΞΟΔΑ+ΟΜ 2'!D78</f>
        <v/>
      </c>
      <c r="E117" s="15">
        <f>D121/$D$116</f>
        <v/>
      </c>
      <c r="F117" s="10">
        <f>D121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2'!D70</f>
        <v/>
      </c>
      <c r="M117" s="15">
        <f>L121/$L$116</f>
        <v/>
      </c>
      <c r="N117" s="10">
        <f>L121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'[1]2026_60-69 ΕΞΟΔΑ+ΟΜ 2'!D79</f>
        <v/>
      </c>
      <c r="E118" s="15">
        <f>D122/$D$116</f>
        <v/>
      </c>
      <c r="F118" s="10">
        <f>D122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2'!D71</f>
        <v/>
      </c>
      <c r="M118" s="15">
        <f>L122/$L$116</f>
        <v/>
      </c>
      <c r="N118" s="10">
        <f>L122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'[1]2026_60-69 ΕΞΟΔΑ+ΟΜ 2'!D80</f>
        <v/>
      </c>
      <c r="E119" s="15">
        <f>D123/$D$116</f>
        <v/>
      </c>
      <c r="F119" s="10">
        <f>D123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2'!D72</f>
        <v/>
      </c>
      <c r="M119" s="15">
        <f>L123/$L$116</f>
        <v/>
      </c>
      <c r="N119" s="10">
        <f>L123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'[1]2026_60-69 ΕΞΟΔΑ+ΟΜ 2'!D81</f>
        <v/>
      </c>
      <c r="E120" s="15">
        <f>D124/$D$116</f>
        <v/>
      </c>
      <c r="F120" s="10">
        <f>D124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2'!D73</f>
        <v/>
      </c>
      <c r="M120" s="15">
        <f>L124/$L$116</f>
        <v/>
      </c>
      <c r="N120" s="10">
        <f>L124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'[1]2026_60-69 ΕΞΟΔΑ+ΟΜ 2'!D82</f>
        <v/>
      </c>
      <c r="E121" s="15">
        <f>D125/$D$116</f>
        <v/>
      </c>
      <c r="F121" s="10">
        <f>D125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2'!D74</f>
        <v/>
      </c>
      <c r="M121" s="15">
        <f>L125/$L$116</f>
        <v/>
      </c>
      <c r="N121" s="10">
        <f>L125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'[1]2026_60-69 ΕΞΟΔΑ+ΟΜ 2'!D83</f>
        <v/>
      </c>
      <c r="E122" s="15">
        <f>D126/$D$116</f>
        <v/>
      </c>
      <c r="F122" s="10">
        <f>D126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2'!D75</f>
        <v/>
      </c>
      <c r="M122" s="15">
        <f>L126/$L$116</f>
        <v/>
      </c>
      <c r="N122" s="10">
        <f>L126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'[1]2026_60-69 ΕΞΟΔΑ+ΟΜ 2'!D84</f>
        <v/>
      </c>
      <c r="E123" s="15">
        <f>D127/$D$116</f>
        <v/>
      </c>
      <c r="F123" s="10">
        <f>D127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2'!D76</f>
        <v/>
      </c>
      <c r="M123" s="15">
        <f>L127/$L$116</f>
        <v/>
      </c>
      <c r="N123" s="10">
        <f>L127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'[1]2026_60-69 ΕΞΟΔΑ+ΟΜ 2'!D85</f>
        <v/>
      </c>
      <c r="E124" s="15">
        <f>D128/$D$116</f>
        <v/>
      </c>
      <c r="F124" s="10">
        <f>D128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2'!D77</f>
        <v/>
      </c>
      <c r="M124" s="15">
        <f>L128/$L$116</f>
        <v/>
      </c>
      <c r="N124" s="10">
        <f>L128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'[1]2026_60-69 ΕΞΟΔΑ+ΟΜ 2'!D86</f>
        <v/>
      </c>
      <c r="E125" s="15">
        <f>D129/$D$116</f>
        <v/>
      </c>
      <c r="F125" s="10">
        <f>D129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2'!D78</f>
        <v/>
      </c>
      <c r="M125" s="15">
        <f>L129/$L$116</f>
        <v/>
      </c>
      <c r="N125" s="10">
        <f>L129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'[1]2026_60-69 ΕΞΟΔΑ+ΟΜ 2'!D87</f>
        <v/>
      </c>
      <c r="E126" s="15">
        <f>D130/$D$116</f>
        <v/>
      </c>
      <c r="F126" s="10">
        <f>D130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2'!D79</f>
        <v/>
      </c>
      <c r="M126" s="15">
        <f>L130/$L$116</f>
        <v/>
      </c>
      <c r="N126" s="10">
        <f>L130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'[1]2026_60-69 ΕΞΟΔΑ+ΟΜ 2'!D88</f>
        <v/>
      </c>
      <c r="E127" s="15">
        <f>D131/$D$116</f>
        <v/>
      </c>
      <c r="F127" s="10">
        <f>D131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2'!D80</f>
        <v/>
      </c>
      <c r="M127" s="15">
        <f>L131/$L$116</f>
        <v/>
      </c>
      <c r="N127" s="10">
        <f>L131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'[1]2026_60-69 ΕΞΟΔΑ+ΟΜ 2'!D89</f>
        <v/>
      </c>
      <c r="E128" s="15">
        <f>D132/$D$116</f>
        <v/>
      </c>
      <c r="F128" s="10">
        <f>D132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2'!D81</f>
        <v/>
      </c>
      <c r="M128" s="15">
        <f>L132/$L$116</f>
        <v/>
      </c>
      <c r="N128" s="10">
        <f>L132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'[1]2026_60-69 ΕΞΟΔΑ+ΟΜ 2'!D90</f>
        <v/>
      </c>
      <c r="E129" s="15">
        <f>D133/$D$116</f>
        <v/>
      </c>
      <c r="F129" s="10">
        <f>D133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2'!D82</f>
        <v/>
      </c>
      <c r="M129" s="15">
        <f>L133/$L$116</f>
        <v/>
      </c>
      <c r="N129" s="10">
        <f>L133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'[1]2026_60-69 ΕΞΟΔΑ+ΟΜ 2'!D91</f>
        <v/>
      </c>
      <c r="E130" s="15">
        <f>D134/$D$116</f>
        <v/>
      </c>
      <c r="F130" s="10">
        <f>D134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2'!D83</f>
        <v/>
      </c>
      <c r="M130" s="15">
        <f>L134/$L$116</f>
        <v/>
      </c>
      <c r="N130" s="10">
        <f>L134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'[1]2026_60-69 ΕΞΟΔΑ+ΟΜ 2'!D92</f>
        <v/>
      </c>
      <c r="E131" s="15">
        <f>D135/$D$116</f>
        <v/>
      </c>
      <c r="F131" s="10">
        <f>D135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2'!D84</f>
        <v/>
      </c>
      <c r="M131" s="15">
        <f>L135/$L$116</f>
        <v/>
      </c>
      <c r="N131" s="10">
        <f>L135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'[1]2026_60-69 ΕΞΟΔΑ+ΟΜ 2'!D93</f>
        <v/>
      </c>
      <c r="E132" s="15">
        <f>D136/$D$116</f>
        <v/>
      </c>
      <c r="F132" s="10">
        <f>D136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2'!D85</f>
        <v/>
      </c>
      <c r="M132" s="15">
        <f>L136/$L$116</f>
        <v/>
      </c>
      <c r="N132" s="10">
        <f>L136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'[1]2026_60-69 ΕΞΟΔΑ+ΟΜ 2'!D94</f>
        <v/>
      </c>
      <c r="E133" s="15">
        <f>D137/$D$116</f>
        <v/>
      </c>
      <c r="F133" s="10">
        <f>D137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2'!D86</f>
        <v/>
      </c>
      <c r="M133" s="15">
        <f>L137/$L$116</f>
        <v/>
      </c>
      <c r="N133" s="10">
        <f>L137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'[1]2026_60-69 ΕΞΟΔΑ+ΟΜ 2'!D95</f>
        <v/>
      </c>
      <c r="E134" s="15">
        <f>D138/$D$116</f>
        <v/>
      </c>
      <c r="F134" s="10">
        <f>D138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2'!D87</f>
        <v/>
      </c>
      <c r="M134" s="15">
        <f>L138/$L$116</f>
        <v/>
      </c>
      <c r="N134" s="10">
        <f>L138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'[1]2026_60-69 ΕΞΟΔΑ+ΟΜ 2'!D96</f>
        <v/>
      </c>
      <c r="E135" s="15">
        <f>D139/$D$116</f>
        <v/>
      </c>
      <c r="F135" s="10">
        <f>D139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2'!D88</f>
        <v/>
      </c>
      <c r="M135" s="15">
        <f>L139/$L$116</f>
        <v/>
      </c>
      <c r="N135" s="10">
        <f>L139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'[1]2026_60-69 ΕΞΟΔΑ+ΟΜ 2'!D97</f>
        <v/>
      </c>
      <c r="E136" s="15">
        <f>D140/$D$116</f>
        <v/>
      </c>
      <c r="F136" s="10">
        <f>D140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2'!D89</f>
        <v/>
      </c>
      <c r="M136" s="15">
        <f>L140/$L$116</f>
        <v/>
      </c>
      <c r="N136" s="10">
        <f>L140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'[1]2026_60-69 ΕΞΟΔΑ+ΟΜ 2'!D98</f>
        <v/>
      </c>
      <c r="E137" s="15">
        <f>D141/$D$116</f>
        <v/>
      </c>
      <c r="F137" s="10">
        <f>D141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2'!D90</f>
        <v/>
      </c>
      <c r="M137" s="15">
        <f>L141/$L$116</f>
        <v/>
      </c>
      <c r="N137" s="10">
        <f>L141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'[1]2026_60-69 ΕΞΟΔΑ+ΟΜ 2'!D99</f>
        <v/>
      </c>
      <c r="E138" s="15">
        <f>D142/$D$116</f>
        <v/>
      </c>
      <c r="F138" s="10">
        <f>D142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2'!D91</f>
        <v/>
      </c>
      <c r="M138" s="15">
        <f>L142/$L$116</f>
        <v/>
      </c>
      <c r="N138" s="10">
        <f>L142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'[1]2026_60-69 ΕΞΟΔΑ+ΟΜ 2'!D100</f>
        <v/>
      </c>
      <c r="E139" s="15">
        <f>D143/$D$116</f>
        <v/>
      </c>
      <c r="F139" s="10">
        <f>D143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2'!D92</f>
        <v/>
      </c>
      <c r="M139" s="15">
        <f>L143/$L$116</f>
        <v/>
      </c>
      <c r="N139" s="10">
        <f>L143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'[1]2026_60-69 ΕΞΟΔΑ+ΟΜ 2'!D101</f>
        <v/>
      </c>
      <c r="E140" s="15">
        <f>D144/$D$116</f>
        <v/>
      </c>
      <c r="F140" s="10">
        <f>D144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2'!D93</f>
        <v/>
      </c>
      <c r="M140" s="15">
        <f>L144/$L$116</f>
        <v/>
      </c>
      <c r="N140" s="10">
        <f>L144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'[1]2026_60-69 ΕΞΟΔΑ+ΟΜ 2'!D102</f>
        <v/>
      </c>
      <c r="E141" s="15">
        <f>D145/$D$116</f>
        <v/>
      </c>
      <c r="F141" s="10">
        <f>D145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2'!D94</f>
        <v/>
      </c>
      <c r="M141" s="15">
        <f>L145/$L$116</f>
        <v/>
      </c>
      <c r="N141" s="10">
        <f>L145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'[1]2026_60-69 ΕΞΟΔΑ+ΟΜ 2'!D103</f>
        <v/>
      </c>
      <c r="E142" s="15">
        <f>D146/$D$116</f>
        <v/>
      </c>
      <c r="F142" s="10">
        <f>D146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2'!D95</f>
        <v/>
      </c>
      <c r="M142" s="15">
        <f>L146/$L$116</f>
        <v/>
      </c>
      <c r="N142" s="10">
        <f>L146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'[1]2026_60-69 ΕΞΟΔΑ+ΟΜ 2'!D104</f>
        <v/>
      </c>
      <c r="E143" s="15">
        <f>D147/$D$116</f>
        <v/>
      </c>
      <c r="F143" s="10">
        <f>D147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2'!D96</f>
        <v/>
      </c>
      <c r="M143" s="15">
        <f>L147/$L$116</f>
        <v/>
      </c>
      <c r="N143" s="10">
        <f>L147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'[1]2026_60-69 ΕΞΟΔΑ+ΟΜ 2'!D105</f>
        <v/>
      </c>
      <c r="E144" s="15">
        <f>D148/$D$116</f>
        <v/>
      </c>
      <c r="F144" s="10">
        <f>D148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2'!D97</f>
        <v/>
      </c>
      <c r="M144" s="15">
        <f>L148/$L$116</f>
        <v/>
      </c>
      <c r="N144" s="10">
        <f>L148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'[1]2026_60-69 ΕΞΟΔΑ+ΟΜ 2'!D106</f>
        <v/>
      </c>
      <c r="E145" s="15">
        <f>D149/$D$116</f>
        <v/>
      </c>
      <c r="F145" s="10">
        <f>D149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2'!D98</f>
        <v/>
      </c>
      <c r="M145" s="15">
        <f>L149/$L$116</f>
        <v/>
      </c>
      <c r="N145" s="10">
        <f>L149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'[1]2026_60-69 ΕΞΟΔΑ+ΟΜ 2'!D107</f>
        <v/>
      </c>
      <c r="E146" s="15">
        <f>D150/$D$116</f>
        <v/>
      </c>
      <c r="F146" s="10">
        <f>D150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2'!D99</f>
        <v/>
      </c>
      <c r="M146" s="15">
        <f>L150/$L$116</f>
        <v/>
      </c>
      <c r="N146" s="10">
        <f>L150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'[1]2026_60-69 ΕΞΟΔΑ+ΟΜ 2'!D108</f>
        <v/>
      </c>
      <c r="E147" s="15">
        <f>D151/$D$116</f>
        <v/>
      </c>
      <c r="F147" s="10">
        <f>D151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2'!D100</f>
        <v/>
      </c>
      <c r="M147" s="15">
        <f>L151/$L$116</f>
        <v/>
      </c>
      <c r="N147" s="10">
        <f>L151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'[1]2026_60-69 ΕΞΟΔΑ+ΟΜ 2'!D109</f>
        <v/>
      </c>
      <c r="E148" s="15">
        <f>D152/$D$116</f>
        <v/>
      </c>
      <c r="F148" s="10">
        <f>D152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2'!D101</f>
        <v/>
      </c>
      <c r="M148" s="15">
        <f>L152/$L$116</f>
        <v/>
      </c>
      <c r="N148" s="10">
        <f>L152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'[1]2026_60-69 ΕΞΟΔΑ+ΟΜ 2'!D110</f>
        <v/>
      </c>
      <c r="E149" s="15">
        <f>D153/$D$116</f>
        <v/>
      </c>
      <c r="F149" s="10">
        <f>D153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2'!D102</f>
        <v/>
      </c>
      <c r="M149" s="15">
        <f>L153/$L$116</f>
        <v/>
      </c>
      <c r="N149" s="10">
        <f>L153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2'!D73</f>
        <v/>
      </c>
      <c r="E153" s="8" t="n"/>
      <c r="F153" s="7">
        <f>'[1]2026_60-69 ΕΞΟΔΑ+ΟΜ 2'!Q73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>
      <c r="A156" s="181" t="n"/>
      <c r="B156" s="192" t="n"/>
      <c r="C156" s="192" t="n"/>
      <c r="D156" s="192" t="n"/>
      <c r="E156" s="192" t="n"/>
      <c r="F156" s="192" t="n"/>
      <c r="G156" s="192" t="n"/>
      <c r="H156" s="192" t="n"/>
      <c r="I156" s="192" t="n"/>
      <c r="J156" s="192" t="n"/>
      <c r="K156" s="192" t="n"/>
      <c r="L156" s="192" t="n"/>
      <c r="M156" s="192" t="n"/>
      <c r="N156" s="192" t="n"/>
      <c r="O156" s="192" t="n"/>
      <c r="P156" s="192" t="n"/>
      <c r="Q156" s="56" t="n"/>
    </row>
    <row r="157" ht="30" customHeight="1"/>
    <row r="158" ht="30" customHeight="1"/>
    <row r="159" ht="30" customHeight="1"/>
    <row r="160" ht="18" customHeight="1"/>
  </sheetData>
  <mergeCells count="34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P40:Q40"/>
    <mergeCell ref="L114:N114"/>
    <mergeCell ref="L41:N41"/>
    <mergeCell ref="P81:Q81"/>
    <mergeCell ref="L3:N3"/>
    <mergeCell ref="P2:Q2"/>
    <mergeCell ref="L2:O2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D2:G2"/>
    <mergeCell ref="H82:J82"/>
    <mergeCell ref="A160:Q160"/>
    <mergeCell ref="L82:N82"/>
    <mergeCell ref="P3:Q3"/>
    <mergeCell ref="H41:J41"/>
    <mergeCell ref="H2:K2"/>
    <mergeCell ref="H114:J114"/>
    <mergeCell ref="H81:K8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5"/>
  <sheetViews>
    <sheetView topLeftCell="A106" zoomScale="70" zoomScaleNormal="70" workbookViewId="0">
      <selection activeCell="B85" sqref="B85:B110"/>
    </sheetView>
  </sheetViews>
  <sheetFormatPr baseColWidth="8" defaultColWidth="9.140625" defaultRowHeight="12"/>
  <cols>
    <col width="4.7109375" customWidth="1" style="88" min="1" max="1"/>
    <col width="4.7109375" customWidth="1" style="90" min="2" max="2"/>
    <col width="30.7109375" customWidth="1" style="89" min="3" max="3"/>
    <col width="13.85546875" customWidth="1" style="89" min="4" max="4"/>
    <col width="10.85546875" customWidth="1" style="89" min="5" max="5"/>
    <col width="20.140625" bestFit="1" customWidth="1" style="89" min="6" max="6"/>
    <col width="11.7109375" customWidth="1" style="89" min="7" max="7"/>
    <col width="8.85546875" customWidth="1" style="89" min="8" max="9"/>
    <col width="11.42578125" customWidth="1" style="89" min="10" max="10"/>
    <col width="10.7109375" customWidth="1" style="89" min="11" max="11"/>
    <col width="12.7109375" customWidth="1" style="89" min="12" max="12"/>
    <col width="11.7109375" customWidth="1" style="89" min="13" max="13"/>
    <col width="14.5703125" customWidth="1" style="89" min="14" max="14"/>
    <col width="13.28515625" customWidth="1" style="89" min="15" max="16"/>
    <col width="11.42578125" customWidth="1" style="88" min="17" max="18"/>
    <col width="9.140625" customWidth="1" style="88" min="19" max="21"/>
    <col width="33.85546875" customWidth="1" style="88" min="22" max="22"/>
    <col width="9.140625" customWidth="1" style="88" min="23" max="16384"/>
  </cols>
  <sheetData>
    <row r="1" ht="15" customHeight="1">
      <c r="A1" s="187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  <c r="R1" s="155" t="n"/>
    </row>
    <row r="2" ht="41.25" customHeight="1">
      <c r="A2" s="154" t="n">
        <v>1</v>
      </c>
      <c r="B2" s="147" t="n"/>
      <c r="C2" s="147" t="inlineStr">
        <is>
          <t>ΑΝΑΛΥΣΗ ΕΤΟΥΣ 2026</t>
        </is>
      </c>
      <c r="D2" s="184">
        <f>[1]ΑΝΤΙΣΤΟΙΧΙΣΗ!$F$32</f>
        <v/>
      </c>
      <c r="E2" s="192" t="n"/>
      <c r="F2" s="192" t="n"/>
      <c r="G2" s="56" t="n"/>
      <c r="H2" s="184">
        <f>[1]ΑΝΤΙΣΤΟΙΧΙΣΗ!$F$35</f>
        <v/>
      </c>
      <c r="I2" s="192" t="n"/>
      <c r="J2" s="192" t="n"/>
      <c r="K2" s="56" t="n"/>
      <c r="L2" s="184">
        <f>[1]ΑΝΤΙΣΤΟΙΧΙΣΗ!$F$68</f>
        <v/>
      </c>
      <c r="M2" s="192" t="n"/>
      <c r="N2" s="192" t="n"/>
      <c r="O2" s="56" t="n"/>
      <c r="P2" s="185">
        <f>[1]ΑΝΤΙΣΤΟΙΧΙΣΗ!$F$100</f>
        <v/>
      </c>
      <c r="Q2" s="56" t="n"/>
      <c r="R2" s="91" t="n"/>
      <c r="S2" s="91" t="n"/>
      <c r="T2" s="91" t="n"/>
      <c r="U2" s="91" t="n"/>
      <c r="V2" s="91" t="n"/>
    </row>
    <row r="3" ht="16.5" customHeight="1">
      <c r="A3" s="153" t="n">
        <v>2</v>
      </c>
      <c r="B3" s="113" t="n"/>
      <c r="C3" s="118" t="inlineStr">
        <is>
          <t>ΕΙΔΟΣ ΕΣΟΔΩΝ</t>
        </is>
      </c>
      <c r="D3" s="186">
        <f>[1]ΑΝΤΙΣΤΟΙΧΙΣΗ!$F$107</f>
        <v/>
      </c>
      <c r="E3" s="192" t="n"/>
      <c r="F3" s="56" t="n"/>
      <c r="G3" s="117">
        <f>[1]ΑΝΤΙΣΤΟΙΧΙΣΗ!$D$34</f>
        <v/>
      </c>
      <c r="H3" s="186">
        <f>[1]ΑΝΤΙΣΤΟΙΧΙΣΗ!$F$107</f>
        <v/>
      </c>
      <c r="I3" s="192" t="n"/>
      <c r="J3" s="56" t="n"/>
      <c r="K3" s="117">
        <f>[1]ΑΝΤΙΣΤΟΙΧΙΣΗ!$D$34</f>
        <v/>
      </c>
      <c r="L3" s="186">
        <f>[1]ΑΝΤΙΣΤΟΙΧΙΣΗ!$F$121</f>
        <v/>
      </c>
      <c r="M3" s="192" t="n"/>
      <c r="N3" s="56" t="n"/>
      <c r="O3" s="117">
        <f>[1]ΑΝΤΙΣΤΟΙΧΙΣΗ!$D$33</f>
        <v/>
      </c>
      <c r="P3" s="186" t="n"/>
      <c r="Q3" s="56" t="n"/>
      <c r="R3" s="91" t="n"/>
      <c r="S3" s="91" t="n"/>
      <c r="T3" s="91" t="n"/>
      <c r="U3" s="91" t="n"/>
      <c r="V3" s="91" t="n"/>
    </row>
    <row r="4" ht="78.75" customHeight="1">
      <c r="A4" s="115" t="n">
        <v>3</v>
      </c>
      <c r="B4" s="115" t="inlineStr">
        <is>
          <t>Α</t>
        </is>
      </c>
      <c r="C4" s="115" t="inlineStr">
        <is>
          <t xml:space="preserve">Κατηγορία Εσόδου </t>
        </is>
      </c>
      <c r="D4" s="115" t="inlineStr">
        <is>
          <t xml:space="preserve">Εσοδο Μηνός </t>
        </is>
      </c>
      <c r="E4" s="114" t="inlineStr">
        <is>
          <t xml:space="preserve">% Εσοδο Γραμμής/Σύν.Εσ.Μηνός </t>
        </is>
      </c>
      <c r="F4" s="114" t="inlineStr">
        <is>
          <t xml:space="preserve">Προοδευτικό Σύνολο Εσόδων έως σήμερα </t>
        </is>
      </c>
      <c r="G4" s="114" t="inlineStr">
        <is>
          <t xml:space="preserve">% Προοδ.Σύνολο Κατηγ. Εσ.  /Προοδ.Σύν.Εσ. Έως σήμερα  </t>
        </is>
      </c>
      <c r="H4" s="114" t="inlineStr">
        <is>
          <t xml:space="preserve">Εσοδο Μηνός </t>
        </is>
      </c>
      <c r="I4" s="114" t="inlineStr">
        <is>
          <t xml:space="preserve">% Εσοδο Γραμμής /Σύν.Εσ.Μηνός </t>
        </is>
      </c>
      <c r="J4" s="114" t="inlineStr">
        <is>
          <t xml:space="preserve">Προοδευτικό έως σήμερα </t>
        </is>
      </c>
      <c r="K4" s="114" t="inlineStr">
        <is>
          <t xml:space="preserve">% Προοδ.Σύνολο Κατηγ. Εσ.  /Προοδ.Σύν.Εσ. Έως σήμερα  </t>
        </is>
      </c>
      <c r="L4" s="114" t="inlineStr">
        <is>
          <t>Εσοδο Μηνός  2024</t>
        </is>
      </c>
      <c r="M4" s="114" t="inlineStr">
        <is>
          <t xml:space="preserve">% Εσοδο Γραμμής/Σύν.Εσ.Μηνός </t>
        </is>
      </c>
      <c r="N4" s="114" t="inlineStr">
        <is>
          <t xml:space="preserve">Προοδευτικό Σύνολο Εσόδων έως Τρέχοντα μήνα </t>
        </is>
      </c>
      <c r="O4" s="114" t="inlineStr">
        <is>
          <t xml:space="preserve">% Προοδ.Σύνολο Κατηγ. Εσ.  /Προοδ.Σύν.Εσ. Έως σήμερα  </t>
        </is>
      </c>
      <c r="P4" s="114" t="inlineStr">
        <is>
          <t xml:space="preserve">Προοδ. Διαφορά Συν. Πραγμ.Τρ. Έτους - Αντιστ. Προοδ. Σύν. Πραγμ. Προηγ. Έτους </t>
        </is>
      </c>
      <c r="Q4" s="114" t="inlineStr">
        <is>
          <t xml:space="preserve">% Προοδ. Διαφορά Κατηγ. Εσ.  / Προοδ.Σύν.Προυπ. Εσ. Τρέχοντος Έτους </t>
        </is>
      </c>
      <c r="R4" s="91" t="n"/>
      <c r="S4" s="91" t="n"/>
      <c r="T4" s="91" t="n"/>
      <c r="U4" s="91" t="n"/>
      <c r="V4" s="91" t="n"/>
    </row>
    <row r="5" ht="30" customHeight="1">
      <c r="A5" s="152" t="n">
        <v>4</v>
      </c>
      <c r="B5" s="151" t="n"/>
      <c r="C5" s="94" t="inlineStr">
        <is>
          <t xml:space="preserve">Λογιστικό Αποτέλεσμα μηνός </t>
        </is>
      </c>
      <c r="D5" s="149">
        <f>D7-D6</f>
        <v/>
      </c>
      <c r="E5" s="92" t="n"/>
      <c r="F5" s="149">
        <f>F7-F6</f>
        <v/>
      </c>
      <c r="G5" s="92" t="n"/>
      <c r="H5" s="149">
        <f>H159-H6</f>
        <v/>
      </c>
      <c r="I5" s="92" t="n"/>
      <c r="J5" s="149">
        <f>J159-J6</f>
        <v/>
      </c>
      <c r="K5" s="92" t="n"/>
      <c r="L5" s="149">
        <f>L7-L6</f>
        <v/>
      </c>
      <c r="M5" s="92" t="n"/>
      <c r="N5" s="149">
        <f>N7-N6</f>
        <v/>
      </c>
      <c r="O5" s="92" t="n"/>
      <c r="P5" s="149">
        <f>P159-P6</f>
        <v/>
      </c>
      <c r="Q5" s="92" t="n"/>
      <c r="R5" s="91" t="n"/>
      <c r="S5" s="91" t="n"/>
      <c r="T5" s="91" t="n"/>
      <c r="U5" s="91" t="n"/>
      <c r="V5" s="91" t="n"/>
    </row>
    <row r="6" ht="25.5" customHeight="1">
      <c r="A6" s="152" t="n">
        <v>5</v>
      </c>
      <c r="B6" s="151" t="n"/>
      <c r="C6" s="94" t="inlineStr">
        <is>
          <t xml:space="preserve">Σύνολο Εξόδων Μηνός </t>
        </is>
      </c>
      <c r="D6" s="149">
        <f>D43+D84+D116</f>
        <v/>
      </c>
      <c r="E6" s="92" t="n"/>
      <c r="F6" s="149">
        <f>F78+F111+F157</f>
        <v/>
      </c>
      <c r="G6" s="92" t="n"/>
      <c r="H6" s="149">
        <f>H38-H43-H84</f>
        <v/>
      </c>
      <c r="I6" s="92" t="n"/>
      <c r="J6" s="150">
        <f>J38-J43-J84</f>
        <v/>
      </c>
      <c r="K6" s="92" t="n"/>
      <c r="L6" s="149">
        <f>L43+L84+L116</f>
        <v/>
      </c>
      <c r="M6" s="92" t="n"/>
      <c r="N6" s="150">
        <f>N78+N111+N157</f>
        <v/>
      </c>
      <c r="O6" s="92" t="n"/>
      <c r="P6" s="149">
        <f>P38-P43-P84</f>
        <v/>
      </c>
      <c r="Q6" s="92" t="n"/>
      <c r="R6" s="91" t="n"/>
      <c r="S6" s="91" t="n"/>
      <c r="T6" s="91" t="n"/>
      <c r="U6" s="91" t="n"/>
      <c r="V6" s="91" t="n"/>
    </row>
    <row r="7" ht="15.75" customHeight="1">
      <c r="A7" s="112" t="n">
        <v>6</v>
      </c>
      <c r="B7" s="112" t="inlineStr">
        <is>
          <t>Α/Α</t>
        </is>
      </c>
      <c r="C7" s="98" t="inlineStr">
        <is>
          <t xml:space="preserve">Σύνολο Εσόδων  Μηνός </t>
        </is>
      </c>
      <c r="D7" s="97">
        <f>SUM(D8:D37)</f>
        <v/>
      </c>
      <c r="E7" s="96" t="n"/>
      <c r="F7" s="97">
        <f>SUM(F8:F37)</f>
        <v/>
      </c>
      <c r="G7" s="96" t="n"/>
      <c r="H7" s="97">
        <f>SUM(H8:H31)</f>
        <v/>
      </c>
      <c r="I7" s="96" t="n"/>
      <c r="J7" s="97">
        <f>SUM(J8:J31)</f>
        <v/>
      </c>
      <c r="K7" s="96" t="n"/>
      <c r="L7" s="97">
        <f>SUM(L8:L31)</f>
        <v/>
      </c>
      <c r="M7" s="96" t="n"/>
      <c r="N7" s="97">
        <f>L7+'[1]2026 Ιανουάριος'!N7</f>
        <v/>
      </c>
      <c r="O7" s="96" t="n"/>
      <c r="P7" s="97">
        <f>SUM(P8:P31)</f>
        <v/>
      </c>
      <c r="Q7" s="96" t="n"/>
      <c r="R7" s="91" t="n"/>
      <c r="S7" s="91" t="n"/>
      <c r="T7" s="91" t="n"/>
      <c r="U7" s="91" t="n"/>
      <c r="V7" s="91" t="n"/>
    </row>
    <row r="8" ht="18.75" customHeight="1">
      <c r="A8" s="106" t="n">
        <v>7</v>
      </c>
      <c r="B8" s="106" t="n">
        <v>1</v>
      </c>
      <c r="C8" s="111">
        <f>[1]ΑΝΤΙΣΤΟΙΧΙΣΗ!F187</f>
        <v/>
      </c>
      <c r="D8" s="101">
        <f>'[1]2026_ΕΣΟΔΑ'!D2</f>
        <v/>
      </c>
      <c r="E8" s="126">
        <f>D8/$D$7</f>
        <v/>
      </c>
      <c r="F8" s="127">
        <f>'[1]2026 Ιανουάριος'!F8+'2026 Φεβρουάριος'!D8</f>
        <v/>
      </c>
      <c r="G8" s="126">
        <f>F8/$F$7</f>
        <v/>
      </c>
      <c r="H8" s="127" t="n"/>
      <c r="I8" s="126">
        <f>H8/$H$7</f>
        <v/>
      </c>
      <c r="J8" s="127">
        <f>H8+'[1]2026 Ιανουάριος'!J8</f>
        <v/>
      </c>
      <c r="K8" s="126">
        <f>J8/$J$7</f>
        <v/>
      </c>
      <c r="L8" s="148">
        <f>'[1]2024_60-69 ΕΞΟΔΑ+ΟΜ 2'!D114</f>
        <v/>
      </c>
      <c r="M8" s="126">
        <f>L8/$L$7</f>
        <v/>
      </c>
      <c r="N8" s="127">
        <f>L8+'[1]2026 Ιανουάριος'!N8</f>
        <v/>
      </c>
      <c r="O8" s="126">
        <f>N8/$N$7</f>
        <v/>
      </c>
      <c r="P8" s="127">
        <f>F8-N8</f>
        <v/>
      </c>
      <c r="Q8" s="126">
        <f>N8/F8</f>
        <v/>
      </c>
      <c r="R8" s="91" t="n"/>
      <c r="S8" s="91" t="n"/>
      <c r="T8" s="91" t="n"/>
      <c r="U8" s="91" t="n"/>
      <c r="V8" s="91" t="n"/>
    </row>
    <row r="9" ht="16.5" customHeight="1">
      <c r="A9" s="106" t="n">
        <v>8</v>
      </c>
      <c r="B9" s="106" t="n">
        <v>2</v>
      </c>
      <c r="C9" s="111">
        <f>[1]ΑΝΤΙΣΤΟΙΧΙΣΗ!F188</f>
        <v/>
      </c>
      <c r="D9" s="101">
        <f>'[1]2026_ΕΣΟΔΑ'!D3</f>
        <v/>
      </c>
      <c r="E9" s="126">
        <f>D9/$D$7</f>
        <v/>
      </c>
      <c r="F9" s="127">
        <f>'[1]2026 Ιανουάριος'!F9+'2026 Φεβρουάριος'!D9</f>
        <v/>
      </c>
      <c r="G9" s="126">
        <f>F9/$F$7</f>
        <v/>
      </c>
      <c r="H9" s="127" t="n"/>
      <c r="I9" s="126">
        <f>H9/$H$7</f>
        <v/>
      </c>
      <c r="J9" s="127">
        <f>H9+'[1]2026 Ιανουάριος'!J9</f>
        <v/>
      </c>
      <c r="K9" s="126">
        <f>J9/$J$7</f>
        <v/>
      </c>
      <c r="L9" s="148">
        <f>'[1]2024_60-69 ΕΞΟΔΑ+ΟΜ 2'!D115</f>
        <v/>
      </c>
      <c r="M9" s="126">
        <f>L9/$L$7</f>
        <v/>
      </c>
      <c r="N9" s="127">
        <f>L9+'[1]2026 Ιανουάριος'!N9</f>
        <v/>
      </c>
      <c r="O9" s="126">
        <f>N9/$N$7</f>
        <v/>
      </c>
      <c r="P9" s="127">
        <f>F9-N9</f>
        <v/>
      </c>
      <c r="Q9" s="126">
        <f>N9/F9</f>
        <v/>
      </c>
      <c r="R9" s="91" t="n"/>
      <c r="S9" s="91" t="n"/>
      <c r="T9" s="91" t="n"/>
      <c r="U9" s="91" t="n"/>
      <c r="V9" s="91" t="n"/>
    </row>
    <row r="10" ht="16.5" customHeight="1">
      <c r="A10" s="106" t="n">
        <v>9</v>
      </c>
      <c r="B10" s="106" t="n">
        <v>3</v>
      </c>
      <c r="C10" s="111">
        <f>[1]ΑΝΤΙΣΤΟΙΧΙΣΗ!F189</f>
        <v/>
      </c>
      <c r="D10" s="101">
        <f>'[1]2026_ΕΣΟΔΑ'!D4</f>
        <v/>
      </c>
      <c r="E10" s="126">
        <f>D10/$D$7</f>
        <v/>
      </c>
      <c r="F10" s="127">
        <f>'[1]2026 Ιανουάριος'!F10+'2026 Φεβρουάριος'!D10</f>
        <v/>
      </c>
      <c r="G10" s="126">
        <f>F10/$F$7</f>
        <v/>
      </c>
      <c r="H10" s="127" t="n"/>
      <c r="I10" s="126">
        <f>H10/$H$7</f>
        <v/>
      </c>
      <c r="J10" s="127">
        <f>H10+'[1]2026 Ιανουάριος'!J10</f>
        <v/>
      </c>
      <c r="K10" s="126">
        <f>J10/$J$7</f>
        <v/>
      </c>
      <c r="L10" s="148">
        <f>'[1]2024_60-69 ΕΞΟΔΑ+ΟΜ 2'!D116</f>
        <v/>
      </c>
      <c r="M10" s="126">
        <f>L10/$L$7</f>
        <v/>
      </c>
      <c r="N10" s="127">
        <f>L10+'[1]2026 Ιανουάριος'!N10</f>
        <v/>
      </c>
      <c r="O10" s="126">
        <f>N10/$N$7</f>
        <v/>
      </c>
      <c r="P10" s="127">
        <f>F10-N10</f>
        <v/>
      </c>
      <c r="Q10" s="126">
        <f>N10/F10</f>
        <v/>
      </c>
      <c r="R10" s="91" t="n"/>
      <c r="S10" s="91" t="n"/>
      <c r="T10" s="91" t="n"/>
      <c r="U10" s="91" t="n"/>
      <c r="V10" s="91" t="n"/>
    </row>
    <row r="11" ht="14.25" customHeight="1">
      <c r="A11" s="106" t="n">
        <v>10</v>
      </c>
      <c r="B11" s="106" t="n">
        <v>4</v>
      </c>
      <c r="C11" s="111">
        <f>[1]ΑΝΤΙΣΤΟΙΧΙΣΗ!F190</f>
        <v/>
      </c>
      <c r="D11" s="101">
        <f>'[1]2026_ΕΣΟΔΑ'!D5</f>
        <v/>
      </c>
      <c r="E11" s="126">
        <f>D11/$D$7</f>
        <v/>
      </c>
      <c r="F11" s="127">
        <f>'[1]2026 Ιανουάριος'!F11+'2026 Φεβρουάριος'!D11</f>
        <v/>
      </c>
      <c r="G11" s="126">
        <f>F11/$F$7</f>
        <v/>
      </c>
      <c r="H11" s="127" t="n"/>
      <c r="I11" s="126">
        <f>H11/$H$7</f>
        <v/>
      </c>
      <c r="J11" s="127">
        <f>H11+'[1]2026 Ιανουάριος'!J11</f>
        <v/>
      </c>
      <c r="K11" s="126">
        <f>J11/$J$7</f>
        <v/>
      </c>
      <c r="L11" s="148">
        <f>'[1]2024_60-69 ΕΞΟΔΑ+ΟΜ 2'!D117</f>
        <v/>
      </c>
      <c r="M11" s="126">
        <f>L11/$L$7</f>
        <v/>
      </c>
      <c r="N11" s="127">
        <f>L11+'[1]2026 Ιανουάριος'!N11</f>
        <v/>
      </c>
      <c r="O11" s="126">
        <f>N11/$N$7</f>
        <v/>
      </c>
      <c r="P11" s="127">
        <f>F11-N11</f>
        <v/>
      </c>
      <c r="Q11" s="126">
        <f>N11/F11</f>
        <v/>
      </c>
      <c r="R11" s="91" t="n"/>
      <c r="S11" s="91" t="n"/>
      <c r="T11" s="91" t="n"/>
      <c r="U11" s="91" t="n"/>
      <c r="V11" s="91" t="n"/>
    </row>
    <row r="12" ht="17.25" customHeight="1">
      <c r="A12" s="106" t="n">
        <v>11</v>
      </c>
      <c r="B12" s="106" t="n">
        <v>5</v>
      </c>
      <c r="C12" s="111">
        <f>[1]ΑΝΤΙΣΤΟΙΧΙΣΗ!F191</f>
        <v/>
      </c>
      <c r="D12" s="101">
        <f>'[1]2026_ΕΣΟΔΑ'!D6</f>
        <v/>
      </c>
      <c r="E12" s="126">
        <f>D12/$D$7</f>
        <v/>
      </c>
      <c r="F12" s="127">
        <f>'[1]2026 Ιανουάριος'!F12+'2026 Φεβρουάριος'!D12</f>
        <v/>
      </c>
      <c r="G12" s="126">
        <f>F12/$F$7</f>
        <v/>
      </c>
      <c r="H12" s="127" t="n"/>
      <c r="I12" s="126">
        <f>H12/$H$7</f>
        <v/>
      </c>
      <c r="J12" s="127">
        <f>H12+'[1]2026 Ιανουάριος'!J12</f>
        <v/>
      </c>
      <c r="K12" s="126">
        <f>J12/$J$7</f>
        <v/>
      </c>
      <c r="L12" s="148">
        <f>'[1]2024_60-69 ΕΞΟΔΑ+ΟΜ 2'!D118</f>
        <v/>
      </c>
      <c r="M12" s="126">
        <f>L12/$L$7</f>
        <v/>
      </c>
      <c r="N12" s="127">
        <f>L12+'[1]2026 Ιανουάριος'!N12</f>
        <v/>
      </c>
      <c r="O12" s="126">
        <f>N12/$N$7</f>
        <v/>
      </c>
      <c r="P12" s="127">
        <f>F12-N12</f>
        <v/>
      </c>
      <c r="Q12" s="126">
        <f>N12/F12</f>
        <v/>
      </c>
      <c r="R12" s="91" t="n"/>
      <c r="S12" s="91" t="n"/>
      <c r="T12" s="91" t="n"/>
      <c r="U12" s="91" t="n"/>
      <c r="V12" s="91" t="n"/>
    </row>
    <row r="13" ht="31.5" customHeight="1">
      <c r="A13" s="106" t="n">
        <v>12</v>
      </c>
      <c r="B13" s="106" t="n">
        <v>6</v>
      </c>
      <c r="C13" s="111">
        <f>[1]ΑΝΤΙΣΤΟΙΧΙΣΗ!F192</f>
        <v/>
      </c>
      <c r="D13" s="101">
        <f>'[1]2026_ΕΣΟΔΑ'!D7</f>
        <v/>
      </c>
      <c r="E13" s="126">
        <f>D13/$D$7</f>
        <v/>
      </c>
      <c r="F13" s="127">
        <f>'[1]2026 Ιανουάριος'!F13+'2026 Φεβρουάριος'!D13</f>
        <v/>
      </c>
      <c r="G13" s="126">
        <f>F13/$F$7</f>
        <v/>
      </c>
      <c r="H13" s="127" t="n"/>
      <c r="I13" s="126">
        <f>H13/$H$7</f>
        <v/>
      </c>
      <c r="J13" s="127">
        <f>H13+'[1]2026 Ιανουάριος'!J13</f>
        <v/>
      </c>
      <c r="K13" s="126">
        <f>J13/$J$7</f>
        <v/>
      </c>
      <c r="L13" s="148">
        <f>'[1]2024_60-69 ΕΞΟΔΑ+ΟΜ 2'!D119</f>
        <v/>
      </c>
      <c r="M13" s="126">
        <f>L13/$L$7</f>
        <v/>
      </c>
      <c r="N13" s="127">
        <f>L13+'[1]2026 Ιανουάριος'!N13</f>
        <v/>
      </c>
      <c r="O13" s="126">
        <f>N13/$N$7</f>
        <v/>
      </c>
      <c r="P13" s="127">
        <f>F13-N13</f>
        <v/>
      </c>
      <c r="Q13" s="126">
        <f>N13/F13</f>
        <v/>
      </c>
      <c r="R13" s="91" t="n"/>
      <c r="S13" s="91" t="n"/>
      <c r="T13" s="91" t="n"/>
      <c r="U13" s="91" t="n"/>
      <c r="V13" s="91" t="n"/>
    </row>
    <row r="14" ht="32.25" customHeight="1">
      <c r="A14" s="106" t="n">
        <v>13</v>
      </c>
      <c r="B14" s="106" t="n">
        <v>7</v>
      </c>
      <c r="C14" s="111">
        <f>[1]ΑΝΤΙΣΤΟΙΧΙΣΗ!F193</f>
        <v/>
      </c>
      <c r="D14" s="101">
        <f>'[1]2026_ΕΣΟΔΑ'!D8</f>
        <v/>
      </c>
      <c r="E14" s="126">
        <f>D14/$D$7</f>
        <v/>
      </c>
      <c r="F14" s="127">
        <f>'[1]2026 Ιανουάριος'!F14+'2026 Φεβρουάριος'!D14</f>
        <v/>
      </c>
      <c r="G14" s="126">
        <f>F14/$F$7</f>
        <v/>
      </c>
      <c r="H14" s="127" t="n"/>
      <c r="I14" s="126">
        <f>H14/$H$7</f>
        <v/>
      </c>
      <c r="J14" s="127">
        <f>H14+'[1]2026 Ιανουάριος'!J14</f>
        <v/>
      </c>
      <c r="K14" s="126">
        <f>J14/$J$7</f>
        <v/>
      </c>
      <c r="L14" s="148">
        <f>'[1]2024_60-69 ΕΞΟΔΑ+ΟΜ 2'!D120</f>
        <v/>
      </c>
      <c r="M14" s="126">
        <f>L14/$L$7</f>
        <v/>
      </c>
      <c r="N14" s="127">
        <f>L14+'[1]2026 Ιανουάριος'!N14</f>
        <v/>
      </c>
      <c r="O14" s="126">
        <f>N14/$N$7</f>
        <v/>
      </c>
      <c r="P14" s="127">
        <f>F14-N14</f>
        <v/>
      </c>
      <c r="Q14" s="126">
        <f>N14/F14</f>
        <v/>
      </c>
      <c r="R14" s="91" t="n"/>
      <c r="S14" s="91" t="n"/>
      <c r="T14" s="91" t="n"/>
      <c r="U14" s="91" t="n"/>
      <c r="V14" s="91" t="n"/>
    </row>
    <row r="15" ht="30.75" customHeight="1">
      <c r="A15" s="106" t="n">
        <v>14</v>
      </c>
      <c r="B15" s="106" t="n">
        <v>8</v>
      </c>
      <c r="C15" s="111">
        <f>[1]ΑΝΤΙΣΤΟΙΧΙΣΗ!F194</f>
        <v/>
      </c>
      <c r="D15" s="101">
        <f>'[1]2026_ΕΣΟΔΑ'!D9</f>
        <v/>
      </c>
      <c r="E15" s="126">
        <f>D15/$D$7</f>
        <v/>
      </c>
      <c r="F15" s="127">
        <f>'[1]2026 Ιανουάριος'!F15+'2026 Φεβρουάριος'!D15</f>
        <v/>
      </c>
      <c r="G15" s="126">
        <f>F15/$F$7</f>
        <v/>
      </c>
      <c r="H15" s="127" t="n"/>
      <c r="I15" s="126">
        <f>H15/$H$7</f>
        <v/>
      </c>
      <c r="J15" s="127">
        <f>H15+'[1]2026 Ιανουάριος'!J15</f>
        <v/>
      </c>
      <c r="K15" s="126">
        <f>J15/$J$7</f>
        <v/>
      </c>
      <c r="L15" s="148">
        <f>'[1]2024_60-69 ΕΞΟΔΑ+ΟΜ 2'!D121</f>
        <v/>
      </c>
      <c r="M15" s="126">
        <f>L15/$L$7</f>
        <v/>
      </c>
      <c r="N15" s="127">
        <f>L15+'[1]2026 Ιανουάριος'!N15</f>
        <v/>
      </c>
      <c r="O15" s="126">
        <f>N15/$N$7</f>
        <v/>
      </c>
      <c r="P15" s="127">
        <f>F15-N15</f>
        <v/>
      </c>
      <c r="Q15" s="126">
        <f>N15/F15</f>
        <v/>
      </c>
      <c r="R15" s="91" t="n"/>
      <c r="S15" s="91" t="n"/>
      <c r="T15" s="91" t="n"/>
      <c r="U15" s="91" t="n"/>
      <c r="V15" s="91" t="n"/>
    </row>
    <row r="16" ht="29.25" customHeight="1">
      <c r="A16" s="106" t="n">
        <v>15</v>
      </c>
      <c r="B16" s="106" t="n">
        <v>9</v>
      </c>
      <c r="C16" s="111">
        <f>[1]ΑΝΤΙΣΤΟΙΧΙΣΗ!F195</f>
        <v/>
      </c>
      <c r="D16" s="101">
        <f>'[1]2026_ΕΣΟΔΑ'!D10</f>
        <v/>
      </c>
      <c r="E16" s="126">
        <f>D16/$D$7</f>
        <v/>
      </c>
      <c r="F16" s="127">
        <f>'[1]2026 Ιανουάριος'!F16+'2026 Φεβρουάριος'!D16</f>
        <v/>
      </c>
      <c r="G16" s="126">
        <f>F16/$F$7</f>
        <v/>
      </c>
      <c r="H16" s="127" t="n"/>
      <c r="I16" s="126">
        <f>H16/$H$7</f>
        <v/>
      </c>
      <c r="J16" s="127">
        <f>H16+'[1]2026 Ιανουάριος'!J16</f>
        <v/>
      </c>
      <c r="K16" s="126">
        <f>J16/$J$7</f>
        <v/>
      </c>
      <c r="L16" s="148">
        <f>'[1]2024_60-69 ΕΞΟΔΑ+ΟΜ 2'!D122</f>
        <v/>
      </c>
      <c r="M16" s="126">
        <f>L16/$L$7</f>
        <v/>
      </c>
      <c r="N16" s="127">
        <f>L16+'[1]2026 Ιανουάριος'!N16</f>
        <v/>
      </c>
      <c r="O16" s="126">
        <f>N16/$N$7</f>
        <v/>
      </c>
      <c r="P16" s="127">
        <f>F16-N16</f>
        <v/>
      </c>
      <c r="Q16" s="126">
        <f>N16/F16</f>
        <v/>
      </c>
      <c r="R16" s="91" t="n"/>
      <c r="S16" s="91" t="n"/>
      <c r="T16" s="91" t="n"/>
      <c r="U16" s="91" t="n"/>
      <c r="V16" s="91" t="n"/>
    </row>
    <row r="17" ht="34.5" customHeight="1">
      <c r="A17" s="106" t="n">
        <v>16</v>
      </c>
      <c r="B17" s="106" t="n">
        <v>10</v>
      </c>
      <c r="C17" s="111">
        <f>[1]ΑΝΤΙΣΤΟΙΧΙΣΗ!F196</f>
        <v/>
      </c>
      <c r="D17" s="101">
        <f>'[1]2026_ΕΣΟΔΑ'!D11</f>
        <v/>
      </c>
      <c r="E17" s="126">
        <f>D17/$D$7</f>
        <v/>
      </c>
      <c r="F17" s="127">
        <f>'[1]2026 Ιανουάριος'!F17+'2026 Φεβρουάριος'!D17</f>
        <v/>
      </c>
      <c r="G17" s="126">
        <f>F17/$F$7</f>
        <v/>
      </c>
      <c r="H17" s="127" t="n"/>
      <c r="I17" s="126">
        <f>H17/$H$7</f>
        <v/>
      </c>
      <c r="J17" s="127">
        <f>H17+'[1]2026 Ιανουάριος'!J17</f>
        <v/>
      </c>
      <c r="K17" s="126">
        <f>J17/$J$7</f>
        <v/>
      </c>
      <c r="L17" s="148">
        <f>'[1]2024_60-69 ΕΞΟΔΑ+ΟΜ 2'!D123</f>
        <v/>
      </c>
      <c r="M17" s="126">
        <f>L17/$L$7</f>
        <v/>
      </c>
      <c r="N17" s="127">
        <f>L17+'[1]2026 Ιανουάριος'!N17</f>
        <v/>
      </c>
      <c r="O17" s="126">
        <f>N17/$N$7</f>
        <v/>
      </c>
      <c r="P17" s="127">
        <f>F17-N17</f>
        <v/>
      </c>
      <c r="Q17" s="126">
        <f>N17/F17</f>
        <v/>
      </c>
      <c r="R17" s="91" t="n"/>
      <c r="S17" s="91" t="n"/>
      <c r="T17" s="91" t="n"/>
      <c r="U17" s="91" t="n"/>
      <c r="V17" s="91" t="n"/>
    </row>
    <row r="18" ht="27" customHeight="1">
      <c r="A18" s="106" t="n">
        <v>17</v>
      </c>
      <c r="B18" s="106" t="n">
        <v>11</v>
      </c>
      <c r="C18" s="111">
        <f>[1]ΑΝΤΙΣΤΟΙΧΙΣΗ!F197</f>
        <v/>
      </c>
      <c r="D18" s="101">
        <f>'[1]2026_ΕΣΟΔΑ'!D12</f>
        <v/>
      </c>
      <c r="E18" s="126">
        <f>D18/$D$7</f>
        <v/>
      </c>
      <c r="F18" s="127">
        <f>'[1]2026 Ιανουάριος'!F18+'2026 Φεβρουάριος'!D18</f>
        <v/>
      </c>
      <c r="G18" s="126">
        <f>F18/$F$7</f>
        <v/>
      </c>
      <c r="H18" s="127" t="n"/>
      <c r="I18" s="126">
        <f>H18/$H$7</f>
        <v/>
      </c>
      <c r="J18" s="127">
        <f>H18+'[1]2026 Ιανουάριος'!J18</f>
        <v/>
      </c>
      <c r="K18" s="126">
        <f>J18/$J$7</f>
        <v/>
      </c>
      <c r="L18" s="148">
        <f>'[1]2024_60-69 ΕΞΟΔΑ+ΟΜ 2'!D124</f>
        <v/>
      </c>
      <c r="M18" s="126">
        <f>L18/$L$7</f>
        <v/>
      </c>
      <c r="N18" s="127">
        <f>L18+'[1]2026 Ιανουάριος'!N18</f>
        <v/>
      </c>
      <c r="O18" s="126">
        <f>N18/$N$7</f>
        <v/>
      </c>
      <c r="P18" s="127">
        <f>F18-N18</f>
        <v/>
      </c>
      <c r="Q18" s="126">
        <f>N18/F18</f>
        <v/>
      </c>
      <c r="R18" s="91" t="n"/>
      <c r="S18" s="91" t="n"/>
      <c r="T18" s="91" t="n"/>
      <c r="U18" s="91" t="n"/>
      <c r="V18" s="91" t="n"/>
    </row>
    <row r="19" ht="33" customHeight="1">
      <c r="A19" s="106" t="n">
        <v>18</v>
      </c>
      <c r="B19" s="106" t="n">
        <v>12</v>
      </c>
      <c r="C19" s="111">
        <f>[1]ΑΝΤΙΣΤΟΙΧΙΣΗ!F198</f>
        <v/>
      </c>
      <c r="D19" s="101">
        <f>'[1]2026_ΕΣΟΔΑ'!D13</f>
        <v/>
      </c>
      <c r="E19" s="126">
        <f>D19/$D$7</f>
        <v/>
      </c>
      <c r="F19" s="127">
        <f>'[1]2026 Ιανουάριος'!F19+'2026 Φεβρουάριος'!D19</f>
        <v/>
      </c>
      <c r="G19" s="126">
        <f>F19/$F$7</f>
        <v/>
      </c>
      <c r="H19" s="127" t="n"/>
      <c r="I19" s="126">
        <f>H19/$H$7</f>
        <v/>
      </c>
      <c r="J19" s="127">
        <f>H19+'[1]2026 Ιανουάριος'!J19</f>
        <v/>
      </c>
      <c r="K19" s="126">
        <f>J19/$J$7</f>
        <v/>
      </c>
      <c r="L19" s="148">
        <f>'[1]2024_60-69 ΕΞΟΔΑ+ΟΜ 2'!D125</f>
        <v/>
      </c>
      <c r="M19" s="126">
        <f>L19/$L$7</f>
        <v/>
      </c>
      <c r="N19" s="127">
        <f>L19+'[1]2026 Ιανουάριος'!N19</f>
        <v/>
      </c>
      <c r="O19" s="126">
        <f>N19/$N$7</f>
        <v/>
      </c>
      <c r="P19" s="127">
        <f>F19-N19</f>
        <v/>
      </c>
      <c r="Q19" s="126">
        <f>N19/F19</f>
        <v/>
      </c>
      <c r="R19" s="91" t="n"/>
      <c r="S19" s="91" t="n"/>
      <c r="T19" s="91" t="n"/>
      <c r="U19" s="91" t="n"/>
      <c r="V19" s="91" t="n"/>
    </row>
    <row r="20" ht="31.5" customHeight="1">
      <c r="A20" s="106" t="n">
        <v>19</v>
      </c>
      <c r="B20" s="106" t="n">
        <v>13</v>
      </c>
      <c r="C20" s="111">
        <f>[1]ΑΝΤΙΣΤΟΙΧΙΣΗ!F199</f>
        <v/>
      </c>
      <c r="D20" s="101">
        <f>'[1]2026_ΕΣΟΔΑ'!D14</f>
        <v/>
      </c>
      <c r="E20" s="126">
        <f>D20/$D$7</f>
        <v/>
      </c>
      <c r="F20" s="127">
        <f>'[1]2026 Ιανουάριος'!F20+'2026 Φεβρουάριος'!D20</f>
        <v/>
      </c>
      <c r="G20" s="126">
        <f>F20/$F$7</f>
        <v/>
      </c>
      <c r="H20" s="127" t="n"/>
      <c r="I20" s="126">
        <f>H20/$H$7</f>
        <v/>
      </c>
      <c r="J20" s="127">
        <f>H20+'[1]2026 Ιανουάριος'!J20</f>
        <v/>
      </c>
      <c r="K20" s="126">
        <f>J20/$J$7</f>
        <v/>
      </c>
      <c r="L20" s="148">
        <f>'[1]2024_60-69 ΕΞΟΔΑ+ΟΜ 2'!D126</f>
        <v/>
      </c>
      <c r="M20" s="126">
        <f>L20/$L$7</f>
        <v/>
      </c>
      <c r="N20" s="127">
        <f>L20+'[1]2026 Ιανουάριος'!N20</f>
        <v/>
      </c>
      <c r="O20" s="126">
        <f>N20/$N$7</f>
        <v/>
      </c>
      <c r="P20" s="127">
        <f>F20-N20</f>
        <v/>
      </c>
      <c r="Q20" s="126">
        <f>N20/F20</f>
        <v/>
      </c>
      <c r="R20" s="91" t="n"/>
      <c r="S20" s="91" t="n"/>
      <c r="T20" s="91" t="n"/>
      <c r="U20" s="91" t="n"/>
      <c r="V20" s="91" t="n"/>
    </row>
    <row r="21" ht="21" customHeight="1">
      <c r="A21" s="106" t="n">
        <v>20</v>
      </c>
      <c r="B21" s="106" t="n">
        <v>14</v>
      </c>
      <c r="C21" s="111">
        <f>[1]ΑΝΤΙΣΤΟΙΧΙΣΗ!F200</f>
        <v/>
      </c>
      <c r="D21" s="101">
        <f>'[1]2026_ΕΣΟΔΑ'!D15</f>
        <v/>
      </c>
      <c r="E21" s="126">
        <f>D21/$D$7</f>
        <v/>
      </c>
      <c r="F21" s="127">
        <f>'[1]2026 Ιανουάριος'!F21+'2026 Φεβρουάριος'!D21</f>
        <v/>
      </c>
      <c r="G21" s="126">
        <f>F21/$F$7</f>
        <v/>
      </c>
      <c r="H21" s="127" t="n"/>
      <c r="I21" s="126">
        <f>H21/$H$7</f>
        <v/>
      </c>
      <c r="J21" s="127">
        <f>H21+'[1]2026 Ιανουάριος'!J21</f>
        <v/>
      </c>
      <c r="K21" s="126">
        <f>J21/$J$7</f>
        <v/>
      </c>
      <c r="L21" s="148">
        <f>'[1]2024_60-69 ΕΞΟΔΑ+ΟΜ 2'!D127</f>
        <v/>
      </c>
      <c r="M21" s="126">
        <f>L21/$L$7</f>
        <v/>
      </c>
      <c r="N21" s="127">
        <f>L21+'[1]2026 Ιανουάριος'!N21</f>
        <v/>
      </c>
      <c r="O21" s="126">
        <f>N21/$N$7</f>
        <v/>
      </c>
      <c r="P21" s="127">
        <f>F21-N21</f>
        <v/>
      </c>
      <c r="Q21" s="126">
        <f>N21/F21</f>
        <v/>
      </c>
      <c r="R21" s="91" t="n"/>
      <c r="S21" s="91" t="n"/>
      <c r="T21" s="91" t="n"/>
      <c r="U21" s="91" t="n"/>
      <c r="V21" s="91" t="n"/>
    </row>
    <row r="22" ht="18.75" customHeight="1">
      <c r="A22" s="106" t="n">
        <v>21</v>
      </c>
      <c r="B22" s="106" t="n">
        <v>15</v>
      </c>
      <c r="C22" s="111">
        <f>[1]ΑΝΤΙΣΤΟΙΧΙΣΗ!F201</f>
        <v/>
      </c>
      <c r="D22" s="101">
        <f>'[1]2026_ΕΣΟΔΑ'!D16</f>
        <v/>
      </c>
      <c r="E22" s="126">
        <f>D22/$D$7</f>
        <v/>
      </c>
      <c r="F22" s="127">
        <f>'[1]2026 Ιανουάριος'!F22+'2026 Φεβρουάριος'!D22</f>
        <v/>
      </c>
      <c r="G22" s="126">
        <f>F22/$F$7</f>
        <v/>
      </c>
      <c r="H22" s="127" t="n"/>
      <c r="I22" s="126">
        <f>H22/$H$7</f>
        <v/>
      </c>
      <c r="J22" s="127">
        <f>H22+'[1]2026 Ιανουάριος'!J22</f>
        <v/>
      </c>
      <c r="K22" s="126">
        <f>J22/$J$7</f>
        <v/>
      </c>
      <c r="L22" s="148">
        <f>'[1]2024_60-69 ΕΞΟΔΑ+ΟΜ 2'!D128</f>
        <v/>
      </c>
      <c r="M22" s="126">
        <f>L22/$L$7</f>
        <v/>
      </c>
      <c r="N22" s="127">
        <f>L22+'[1]2026 Ιανουάριος'!N22</f>
        <v/>
      </c>
      <c r="O22" s="126">
        <f>N22/$N$7</f>
        <v/>
      </c>
      <c r="P22" s="127">
        <f>F22-N22</f>
        <v/>
      </c>
      <c r="Q22" s="126">
        <f>N22/F22</f>
        <v/>
      </c>
      <c r="R22" s="91" t="n"/>
      <c r="S22" s="91" t="n"/>
      <c r="T22" s="91" t="n"/>
      <c r="U22" s="91" t="n"/>
      <c r="V22" s="91" t="n"/>
    </row>
    <row r="23" ht="31.5" customHeight="1">
      <c r="A23" s="106" t="n">
        <v>22</v>
      </c>
      <c r="B23" s="106" t="n">
        <v>16</v>
      </c>
      <c r="C23" s="111">
        <f>[1]ΑΝΤΙΣΤΟΙΧΙΣΗ!F202</f>
        <v/>
      </c>
      <c r="D23" s="101">
        <f>'[1]2026_ΕΣΟΔΑ'!D17</f>
        <v/>
      </c>
      <c r="E23" s="126">
        <f>D23/$D$7</f>
        <v/>
      </c>
      <c r="F23" s="127">
        <f>'[1]2026 Ιανουάριος'!F23+'2026 Φεβρουάριος'!D23</f>
        <v/>
      </c>
      <c r="G23" s="126">
        <f>F23/$F$7</f>
        <v/>
      </c>
      <c r="H23" s="127" t="n"/>
      <c r="I23" s="126">
        <f>H23/$H$7</f>
        <v/>
      </c>
      <c r="J23" s="127">
        <f>H23+'[1]2026 Ιανουάριος'!J23</f>
        <v/>
      </c>
      <c r="K23" s="126">
        <f>J23/$J$7</f>
        <v/>
      </c>
      <c r="L23" s="148">
        <f>'[1]2024_60-69 ΕΞΟΔΑ+ΟΜ 2'!D129</f>
        <v/>
      </c>
      <c r="M23" s="126">
        <f>L23/$L$7</f>
        <v/>
      </c>
      <c r="N23" s="127">
        <f>L23+'[1]2026 Ιανουάριος'!N23</f>
        <v/>
      </c>
      <c r="O23" s="126">
        <f>N23/$N$7</f>
        <v/>
      </c>
      <c r="P23" s="127">
        <f>F23-N23</f>
        <v/>
      </c>
      <c r="Q23" s="126">
        <f>N23/F23</f>
        <v/>
      </c>
      <c r="R23" s="91" t="n"/>
      <c r="S23" s="91" t="n"/>
      <c r="T23" s="91" t="n"/>
      <c r="U23" s="91" t="n"/>
      <c r="V23" s="91" t="n"/>
    </row>
    <row r="24" ht="31.5" customHeight="1">
      <c r="A24" s="106" t="n">
        <v>23</v>
      </c>
      <c r="B24" s="106" t="n">
        <v>17</v>
      </c>
      <c r="C24" s="111">
        <f>[1]ΑΝΤΙΣΤΟΙΧΙΣΗ!F203</f>
        <v/>
      </c>
      <c r="D24" s="101">
        <f>'[1]2026_ΕΣΟΔΑ'!D18</f>
        <v/>
      </c>
      <c r="E24" s="126">
        <f>D24/$D$7</f>
        <v/>
      </c>
      <c r="F24" s="127">
        <f>'[1]2026 Ιανουάριος'!F24+'2026 Φεβρουάριος'!D24</f>
        <v/>
      </c>
      <c r="G24" s="126">
        <f>F24/$F$7</f>
        <v/>
      </c>
      <c r="H24" s="127">
        <f>[1]ΠΡΟΥΠΟΛΟΓΙΣΜΟΣ_ΕΣΟΔΑ!E225</f>
        <v/>
      </c>
      <c r="I24" s="126">
        <f>H24/$H$7</f>
        <v/>
      </c>
      <c r="J24" s="127">
        <f>H24+'[1]2026 Ιανουάριος'!J24</f>
        <v/>
      </c>
      <c r="K24" s="126">
        <f>J24/$J$7</f>
        <v/>
      </c>
      <c r="L24" s="148">
        <f>'[1]2024_60-69 ΕΞΟΔΑ+ΟΜ 2'!D130</f>
        <v/>
      </c>
      <c r="M24" s="126">
        <f>L24/$L$7</f>
        <v/>
      </c>
      <c r="N24" s="127">
        <f>L24+'[1]2026 Ιανουάριος'!N24</f>
        <v/>
      </c>
      <c r="O24" s="126">
        <f>N24/$N$7</f>
        <v/>
      </c>
      <c r="P24" s="127">
        <f>F24-N24</f>
        <v/>
      </c>
      <c r="Q24" s="126">
        <f>N24/F24</f>
        <v/>
      </c>
      <c r="R24" s="91" t="n"/>
      <c r="S24" s="91" t="n"/>
      <c r="T24" s="91" t="n"/>
      <c r="U24" s="91" t="n"/>
      <c r="V24" s="91" t="n"/>
    </row>
    <row r="25" ht="20.25" customHeight="1">
      <c r="A25" s="106" t="n">
        <v>24</v>
      </c>
      <c r="B25" s="106" t="n">
        <v>18</v>
      </c>
      <c r="C25" s="111">
        <f>[1]ΑΝΤΙΣΤΟΙΧΙΣΗ!F204</f>
        <v/>
      </c>
      <c r="D25" s="101">
        <f>'[1]2026_ΕΣΟΔΑ'!D19</f>
        <v/>
      </c>
      <c r="E25" s="126">
        <f>D25/$D$7</f>
        <v/>
      </c>
      <c r="F25" s="127">
        <f>'[1]2026 Ιανουάριος'!F25+'2026 Φεβρουάριος'!D25</f>
        <v/>
      </c>
      <c r="G25" s="126">
        <f>F25/$F$7</f>
        <v/>
      </c>
      <c r="H25" s="127" t="n"/>
      <c r="I25" s="126">
        <f>H25/$H$7</f>
        <v/>
      </c>
      <c r="J25" s="127">
        <f>H25+'[1]2026 Ιανουάριος'!J25</f>
        <v/>
      </c>
      <c r="K25" s="126">
        <f>J25/$J$7</f>
        <v/>
      </c>
      <c r="L25" s="148">
        <f>'[1]2024_60-69 ΕΞΟΔΑ+ΟΜ 2'!D131</f>
        <v/>
      </c>
      <c r="M25" s="126">
        <f>L25/$L$7</f>
        <v/>
      </c>
      <c r="N25" s="127">
        <f>L25+'[1]2026 Ιανουάριος'!N25</f>
        <v/>
      </c>
      <c r="O25" s="126">
        <f>N25/$N$7</f>
        <v/>
      </c>
      <c r="P25" s="127">
        <f>F25-N25</f>
        <v/>
      </c>
      <c r="Q25" s="126">
        <f>N25/F25</f>
        <v/>
      </c>
      <c r="R25" s="91" t="n"/>
      <c r="S25" s="91" t="n"/>
      <c r="T25" s="91" t="n"/>
      <c r="U25" s="91" t="n"/>
      <c r="V25" s="91" t="n"/>
    </row>
    <row r="26" ht="18.75" customHeight="1">
      <c r="A26" s="106" t="n">
        <v>25</v>
      </c>
      <c r="B26" s="106" t="n">
        <v>19</v>
      </c>
      <c r="C26" s="111">
        <f>[1]ΑΝΤΙΣΤΟΙΧΙΣΗ!F205</f>
        <v/>
      </c>
      <c r="D26" s="101">
        <f>'[1]2026_ΕΣΟΔΑ'!D20</f>
        <v/>
      </c>
      <c r="E26" s="126">
        <f>D26/$D$7</f>
        <v/>
      </c>
      <c r="F26" s="127">
        <f>'[1]2026 Ιανουάριος'!F26+'2026 Φεβρουάριος'!D26</f>
        <v/>
      </c>
      <c r="G26" s="126">
        <f>F26/$F$7</f>
        <v/>
      </c>
      <c r="H26" s="127" t="n"/>
      <c r="I26" s="126">
        <f>H26/$H$7</f>
        <v/>
      </c>
      <c r="J26" s="127">
        <f>H26+'[1]2026 Ιανουάριος'!J26</f>
        <v/>
      </c>
      <c r="K26" s="126">
        <f>J26/$J$7</f>
        <v/>
      </c>
      <c r="L26" s="148">
        <f>'[1]2024_60-69 ΕΞΟΔΑ+ΟΜ 2'!D132</f>
        <v/>
      </c>
      <c r="M26" s="126">
        <f>L26/$L$7</f>
        <v/>
      </c>
      <c r="N26" s="127">
        <f>L26+'[1]2026 Ιανουάριος'!N26</f>
        <v/>
      </c>
      <c r="O26" s="126">
        <f>N26/$N$7</f>
        <v/>
      </c>
      <c r="P26" s="127">
        <f>F26-N26</f>
        <v/>
      </c>
      <c r="Q26" s="126">
        <f>N26/F26</f>
        <v/>
      </c>
      <c r="R26" s="91" t="n"/>
      <c r="S26" s="91" t="n"/>
      <c r="T26" s="91" t="n"/>
      <c r="U26" s="91" t="n"/>
      <c r="V26" s="91" t="n"/>
    </row>
    <row r="27" ht="23.25" customHeight="1">
      <c r="A27" s="106" t="n">
        <v>26</v>
      </c>
      <c r="B27" s="106" t="n">
        <v>20</v>
      </c>
      <c r="C27" s="111">
        <f>[1]ΑΝΤΙΣΤΟΙΧΙΣΗ!F206</f>
        <v/>
      </c>
      <c r="D27" s="101">
        <f>'[1]2026_ΕΣΟΔΑ'!D21</f>
        <v/>
      </c>
      <c r="E27" s="126">
        <f>D27/$D$7</f>
        <v/>
      </c>
      <c r="F27" s="127">
        <f>'[1]2026 Ιανουάριος'!F27+'2026 Φεβρουάριος'!D27</f>
        <v/>
      </c>
      <c r="G27" s="126">
        <f>F27/$F$7</f>
        <v/>
      </c>
      <c r="H27" s="127" t="n"/>
      <c r="I27" s="126">
        <f>H27/$H$7</f>
        <v/>
      </c>
      <c r="J27" s="127">
        <f>H27+'[1]2026 Ιανουάριος'!J27</f>
        <v/>
      </c>
      <c r="K27" s="126">
        <f>J27/$J$7</f>
        <v/>
      </c>
      <c r="L27" s="148">
        <f>'[1]2024_60-69 ΕΞΟΔΑ+ΟΜ 2'!D133</f>
        <v/>
      </c>
      <c r="M27" s="126">
        <f>L27/$L$7</f>
        <v/>
      </c>
      <c r="N27" s="127">
        <f>L27+'[1]2026 Ιανουάριος'!N27</f>
        <v/>
      </c>
      <c r="O27" s="126">
        <f>N27/$N$7</f>
        <v/>
      </c>
      <c r="P27" s="127">
        <f>F27-N27</f>
        <v/>
      </c>
      <c r="Q27" s="126">
        <f>N27/F27</f>
        <v/>
      </c>
      <c r="R27" s="91" t="n"/>
      <c r="S27" s="91" t="n"/>
      <c r="T27" s="91" t="n"/>
      <c r="U27" s="91" t="n"/>
      <c r="V27" s="91" t="n"/>
    </row>
    <row r="28" ht="23.25" customHeight="1">
      <c r="A28" s="106" t="n">
        <v>27</v>
      </c>
      <c r="B28" s="106" t="n">
        <v>21</v>
      </c>
      <c r="C28" s="111">
        <f>[1]ΑΝΤΙΣΤΟΙΧΙΣΗ!F207</f>
        <v/>
      </c>
      <c r="D28" s="101">
        <f>'[1]2026_ΕΣΟΔΑ'!D22</f>
        <v/>
      </c>
      <c r="E28" s="126">
        <f>D28/$D$7</f>
        <v/>
      </c>
      <c r="F28" s="127">
        <f>'[1]2026 Ιανουάριος'!F28+'2026 Φεβρουάριος'!D28</f>
        <v/>
      </c>
      <c r="G28" s="126">
        <f>F28/$F$7</f>
        <v/>
      </c>
      <c r="H28" s="127" t="n"/>
      <c r="I28" s="126">
        <f>H28/$H$7</f>
        <v/>
      </c>
      <c r="J28" s="127">
        <f>H28+'[1]2026 Ιανουάριος'!J28</f>
        <v/>
      </c>
      <c r="K28" s="126">
        <f>J28/$J$7</f>
        <v/>
      </c>
      <c r="L28" s="148">
        <f>'[1]2024_60-69 ΕΞΟΔΑ+ΟΜ 2'!D134</f>
        <v/>
      </c>
      <c r="M28" s="126">
        <f>L28/$L$7</f>
        <v/>
      </c>
      <c r="N28" s="127">
        <f>L28+'[1]2026 Ιανουάριος'!N28</f>
        <v/>
      </c>
      <c r="O28" s="126">
        <f>N28/$N$7</f>
        <v/>
      </c>
      <c r="P28" s="127">
        <f>F28-N28</f>
        <v/>
      </c>
      <c r="Q28" s="126">
        <f>N28/F28</f>
        <v/>
      </c>
      <c r="R28" s="91" t="n"/>
      <c r="S28" s="91" t="n"/>
      <c r="T28" s="91" t="n"/>
      <c r="U28" s="91" t="n"/>
      <c r="V28" s="91" t="n"/>
    </row>
    <row r="29" ht="23.25" customHeight="1">
      <c r="A29" s="106" t="n">
        <v>28</v>
      </c>
      <c r="B29" s="106" t="n">
        <v>22</v>
      </c>
      <c r="C29" s="111">
        <f>[1]ΑΝΤΙΣΤΟΙΧΙΣΗ!F208</f>
        <v/>
      </c>
      <c r="D29" s="101">
        <f>'[1]2026_ΕΣΟΔΑ'!D23</f>
        <v/>
      </c>
      <c r="E29" s="126">
        <f>D29/$D$7</f>
        <v/>
      </c>
      <c r="F29" s="127">
        <f>'[1]2026 Ιανουάριος'!F29+'2026 Φεβρουάριος'!D29</f>
        <v/>
      </c>
      <c r="G29" s="126">
        <f>F29/$F$7</f>
        <v/>
      </c>
      <c r="H29" s="127" t="n"/>
      <c r="I29" s="126">
        <f>H29/$H$7</f>
        <v/>
      </c>
      <c r="J29" s="127">
        <f>H29+'[1]2026 Ιανουάριος'!J29</f>
        <v/>
      </c>
      <c r="K29" s="126">
        <f>J29/$J$7</f>
        <v/>
      </c>
      <c r="L29" s="148">
        <f>'[1]2024_60-69 ΕΞΟΔΑ+ΟΜ 2'!D135</f>
        <v/>
      </c>
      <c r="M29" s="126">
        <f>L29/$L$7</f>
        <v/>
      </c>
      <c r="N29" s="127">
        <f>L29+'[1]2026 Ιανουάριος'!N29</f>
        <v/>
      </c>
      <c r="O29" s="126">
        <f>N29/$N$7</f>
        <v/>
      </c>
      <c r="P29" s="127">
        <f>F29-N29</f>
        <v/>
      </c>
      <c r="Q29" s="126">
        <f>N29/F29</f>
        <v/>
      </c>
      <c r="R29" s="91" t="n"/>
      <c r="S29" s="91" t="n"/>
      <c r="T29" s="91" t="n"/>
      <c r="U29" s="91" t="n"/>
      <c r="V29" s="91" t="n"/>
    </row>
    <row r="30" ht="25.5" customHeight="1">
      <c r="A30" s="106" t="n">
        <v>29</v>
      </c>
      <c r="B30" s="106" t="n">
        <v>23</v>
      </c>
      <c r="C30" s="111">
        <f>[1]ΑΝΤΙΣΤΟΙΧΙΣΗ!F209</f>
        <v/>
      </c>
      <c r="D30" s="101">
        <f>'[1]2026_ΕΣΟΔΑ'!D24</f>
        <v/>
      </c>
      <c r="E30" s="126">
        <f>D30/$D$7</f>
        <v/>
      </c>
      <c r="F30" s="127">
        <f>'[1]2026 Ιανουάριος'!F30+'2026 Φεβρουάριος'!D30</f>
        <v/>
      </c>
      <c r="G30" s="126">
        <f>F30/$F$7</f>
        <v/>
      </c>
      <c r="H30" s="127" t="n"/>
      <c r="I30" s="126">
        <f>H30/$H$7</f>
        <v/>
      </c>
      <c r="J30" s="127">
        <f>H30+'[1]2026 Ιανουάριος'!J30</f>
        <v/>
      </c>
      <c r="K30" s="126">
        <f>J30/$J$7</f>
        <v/>
      </c>
      <c r="L30" s="148">
        <f>'[1]2024_60-69 ΕΞΟΔΑ+ΟΜ 2'!D136</f>
        <v/>
      </c>
      <c r="M30" s="126">
        <f>L30/$L$7</f>
        <v/>
      </c>
      <c r="N30" s="127">
        <f>L30+'[1]2026 Ιανουάριος'!N30</f>
        <v/>
      </c>
      <c r="O30" s="126">
        <f>N30/$N$7</f>
        <v/>
      </c>
      <c r="P30" s="127">
        <f>F30-N30</f>
        <v/>
      </c>
      <c r="Q30" s="126">
        <f>N30/F30</f>
        <v/>
      </c>
      <c r="R30" s="91" t="n"/>
      <c r="S30" s="91" t="n"/>
      <c r="T30" s="91" t="n"/>
      <c r="U30" s="91" t="n"/>
      <c r="V30" s="91" t="n"/>
    </row>
    <row r="31" ht="24" customHeight="1">
      <c r="A31" s="106" t="n">
        <v>30</v>
      </c>
      <c r="B31" s="106" t="n">
        <v>24</v>
      </c>
      <c r="C31" s="111">
        <f>[1]ΑΝΤΙΣΤΟΙΧΙΣΗ!F210</f>
        <v/>
      </c>
      <c r="D31" s="101">
        <f>'[1]2026_ΕΣΟΔΑ'!D25</f>
        <v/>
      </c>
      <c r="E31" s="126">
        <f>D31/$D$7</f>
        <v/>
      </c>
      <c r="F31" s="127">
        <f>'[1]2026 Ιανουάριος'!F31+'2026 Φεβρουάριος'!D31</f>
        <v/>
      </c>
      <c r="G31" s="126">
        <f>F31/$F$7</f>
        <v/>
      </c>
      <c r="H31" s="127" t="n"/>
      <c r="I31" s="126">
        <f>H31/$H$7</f>
        <v/>
      </c>
      <c r="J31" s="127">
        <f>H31+'[1]2026 Ιανουάριος'!J31</f>
        <v/>
      </c>
      <c r="K31" s="126">
        <f>J31/$J$7</f>
        <v/>
      </c>
      <c r="L31" s="148">
        <f>'[1]2024_60-69 ΕΞΟΔΑ+ΟΜ 2'!D137</f>
        <v/>
      </c>
      <c r="M31" s="126">
        <f>L31/$L$7</f>
        <v/>
      </c>
      <c r="N31" s="127">
        <f>L31+'[1]2026 Ιανουάριος'!N31</f>
        <v/>
      </c>
      <c r="O31" s="126">
        <f>N31/$N$7</f>
        <v/>
      </c>
      <c r="P31" s="127">
        <f>F31-N31</f>
        <v/>
      </c>
      <c r="Q31" s="126">
        <f>N31/F31</f>
        <v/>
      </c>
      <c r="R31" s="91" t="n"/>
      <c r="S31" s="91" t="n"/>
      <c r="T31" s="91" t="n"/>
      <c r="U31" s="91" t="n"/>
      <c r="V31" s="91" t="n"/>
    </row>
    <row r="32" ht="24" customHeight="1">
      <c r="A32" s="106" t="n">
        <v>31</v>
      </c>
      <c r="B32" s="106" t="n">
        <v>25</v>
      </c>
      <c r="C32" s="111">
        <f>[1]ΑΝΤΙΣΤΟΙΧΙΣΗ!F211</f>
        <v/>
      </c>
      <c r="D32" s="101">
        <f>'[1]2026_ΕΣΟΔΑ'!D26</f>
        <v/>
      </c>
      <c r="E32" s="126">
        <f>D32/$D$7</f>
        <v/>
      </c>
      <c r="F32" s="127">
        <f>'[1]2026 Ιανουάριος'!F32+'2026 Φεβρουάριος'!D32</f>
        <v/>
      </c>
      <c r="G32" s="126">
        <f>F32/$F$7</f>
        <v/>
      </c>
      <c r="H32" s="127" t="n"/>
      <c r="I32" s="126">
        <f>H32/$H$7</f>
        <v/>
      </c>
      <c r="J32" s="127">
        <f>H32+'[1]2026 Ιανουάριος'!J32</f>
        <v/>
      </c>
      <c r="K32" s="126">
        <f>J32/$J$7</f>
        <v/>
      </c>
      <c r="L32" s="148">
        <f>'[1]2024_60-69 ΕΞΟΔΑ+ΟΜ 2'!D138</f>
        <v/>
      </c>
      <c r="M32" s="126">
        <f>L32/$L$7</f>
        <v/>
      </c>
      <c r="N32" s="127">
        <f>L32+'[1]2026 Ιανουάριος'!N32</f>
        <v/>
      </c>
      <c r="O32" s="126">
        <f>N32/$N$7</f>
        <v/>
      </c>
      <c r="P32" s="127">
        <f>F32-N32</f>
        <v/>
      </c>
      <c r="Q32" s="126">
        <f>N32/F32</f>
        <v/>
      </c>
      <c r="R32" s="91" t="n"/>
      <c r="S32" s="91" t="n"/>
      <c r="T32" s="91" t="n"/>
      <c r="U32" s="91" t="n"/>
      <c r="V32" s="91" t="n"/>
    </row>
    <row r="33" ht="24" customHeight="1">
      <c r="A33" s="106" t="n">
        <v>32</v>
      </c>
      <c r="B33" s="106" t="n">
        <v>26</v>
      </c>
      <c r="C33" s="111">
        <f>[1]ΑΝΤΙΣΤΟΙΧΙΣΗ!F212</f>
        <v/>
      </c>
      <c r="D33" s="101">
        <f>'[1]2026_ΕΣΟΔΑ'!D27</f>
        <v/>
      </c>
      <c r="E33" s="126">
        <f>D33/$D$7</f>
        <v/>
      </c>
      <c r="F33" s="127">
        <f>'[1]2026 Ιανουάριος'!F33+'2026 Φεβρουάριος'!D33</f>
        <v/>
      </c>
      <c r="G33" s="126">
        <f>F33/$F$7</f>
        <v/>
      </c>
      <c r="H33" s="127" t="n"/>
      <c r="I33" s="126">
        <f>H33/$H$7</f>
        <v/>
      </c>
      <c r="J33" s="127">
        <f>H33+'[1]2026 Ιανουάριος'!J33</f>
        <v/>
      </c>
      <c r="K33" s="126">
        <f>J33/$J$7</f>
        <v/>
      </c>
      <c r="L33" s="148">
        <f>'[1]2024_60-69 ΕΞΟΔΑ+ΟΜ 2'!D139</f>
        <v/>
      </c>
      <c r="M33" s="126">
        <f>L33/$L$7</f>
        <v/>
      </c>
      <c r="N33" s="127">
        <f>L33+'[1]2026 Ιανουάριος'!N33</f>
        <v/>
      </c>
      <c r="O33" s="126">
        <f>N33/$N$7</f>
        <v/>
      </c>
      <c r="P33" s="127">
        <f>F33-N33</f>
        <v/>
      </c>
      <c r="Q33" s="126">
        <f>N33/F33</f>
        <v/>
      </c>
      <c r="R33" s="91" t="n"/>
      <c r="S33" s="91" t="n"/>
      <c r="T33" s="91" t="n"/>
      <c r="U33" s="91" t="n"/>
      <c r="V33" s="91" t="n"/>
    </row>
    <row r="34" ht="24" customHeight="1">
      <c r="A34" s="106" t="n">
        <v>33</v>
      </c>
      <c r="B34" s="106" t="n">
        <v>27</v>
      </c>
      <c r="C34" s="111">
        <f>[1]ΑΝΤΙΣΤΟΙΧΙΣΗ!F213</f>
        <v/>
      </c>
      <c r="D34" s="101">
        <f>'[1]2026_ΕΣΟΔΑ'!D28</f>
        <v/>
      </c>
      <c r="E34" s="126">
        <f>D34/$D$7</f>
        <v/>
      </c>
      <c r="F34" s="127">
        <f>'[1]2026 Ιανουάριος'!F34+'2026 Φεβρουάριος'!D34</f>
        <v/>
      </c>
      <c r="G34" s="126">
        <f>F34/$F$7</f>
        <v/>
      </c>
      <c r="H34" s="127" t="n"/>
      <c r="I34" s="126">
        <f>H34/$H$7</f>
        <v/>
      </c>
      <c r="J34" s="127">
        <f>H34+'[1]2026 Ιανουάριος'!J34</f>
        <v/>
      </c>
      <c r="K34" s="126">
        <f>J34/$J$7</f>
        <v/>
      </c>
      <c r="L34" s="148">
        <f>'[1]2024_60-69 ΕΞΟΔΑ+ΟΜ 2'!D140</f>
        <v/>
      </c>
      <c r="M34" s="126">
        <f>L34/$L$7</f>
        <v/>
      </c>
      <c r="N34" s="127">
        <f>L34+'[1]2026 Ιανουάριος'!N34</f>
        <v/>
      </c>
      <c r="O34" s="126">
        <f>N34/$N$7</f>
        <v/>
      </c>
      <c r="P34" s="127">
        <f>F34-N34</f>
        <v/>
      </c>
      <c r="Q34" s="126">
        <f>N34/F34</f>
        <v/>
      </c>
      <c r="R34" s="91" t="n"/>
      <c r="S34" s="91" t="n"/>
      <c r="T34" s="91" t="n"/>
      <c r="U34" s="91" t="n"/>
      <c r="V34" s="91" t="n"/>
    </row>
    <row r="35" ht="24" customHeight="1">
      <c r="A35" s="106" t="n">
        <v>34</v>
      </c>
      <c r="B35" s="106" t="n">
        <v>28</v>
      </c>
      <c r="C35" s="111">
        <f>[1]ΑΝΤΙΣΤΟΙΧΙΣΗ!F214</f>
        <v/>
      </c>
      <c r="D35" s="101">
        <f>'[1]2026_ΕΣΟΔΑ'!D29</f>
        <v/>
      </c>
      <c r="E35" s="126">
        <f>D35/$D$7</f>
        <v/>
      </c>
      <c r="F35" s="127">
        <f>'[1]2026 Ιανουάριος'!F35+'2026 Φεβρουάριος'!D35</f>
        <v/>
      </c>
      <c r="G35" s="126">
        <f>F35/$F$7</f>
        <v/>
      </c>
      <c r="H35" s="127" t="n"/>
      <c r="I35" s="126">
        <f>H35/$H$7</f>
        <v/>
      </c>
      <c r="J35" s="127">
        <f>H35+'[1]2026 Ιανουάριος'!J35</f>
        <v/>
      </c>
      <c r="K35" s="126">
        <f>J35/$J$7</f>
        <v/>
      </c>
      <c r="L35" s="148">
        <f>'[1]2024_60-69 ΕΞΟΔΑ+ΟΜ 2'!D141</f>
        <v/>
      </c>
      <c r="M35" s="126">
        <f>L35/$L$7</f>
        <v/>
      </c>
      <c r="N35" s="127">
        <f>L35+'[1]2026 Ιανουάριος'!N35</f>
        <v/>
      </c>
      <c r="O35" s="126">
        <f>N35/$N$7</f>
        <v/>
      </c>
      <c r="P35" s="127">
        <f>F35-N35</f>
        <v/>
      </c>
      <c r="Q35" s="126">
        <f>N35/F35</f>
        <v/>
      </c>
      <c r="R35" s="91" t="n"/>
      <c r="S35" s="91" t="n"/>
      <c r="T35" s="91" t="n"/>
      <c r="U35" s="91" t="n"/>
      <c r="V35" s="91" t="n"/>
    </row>
    <row r="36" ht="24" customHeight="1">
      <c r="A36" s="106" t="n">
        <v>35</v>
      </c>
      <c r="B36" s="106" t="n">
        <v>29</v>
      </c>
      <c r="C36" s="111">
        <f>[1]ΑΝΤΙΣΤΟΙΧΙΣΗ!F215</f>
        <v/>
      </c>
      <c r="D36" s="101">
        <f>'[1]2026_ΕΣΟΔΑ'!D30</f>
        <v/>
      </c>
      <c r="E36" s="126">
        <f>D36/$D$7</f>
        <v/>
      </c>
      <c r="F36" s="127">
        <f>'[1]2026 Ιανουάριος'!F36+'2026 Φεβρουάριος'!D36</f>
        <v/>
      </c>
      <c r="G36" s="126">
        <f>F36/$F$7</f>
        <v/>
      </c>
      <c r="H36" s="127" t="n"/>
      <c r="I36" s="126">
        <f>H36/$H$7</f>
        <v/>
      </c>
      <c r="J36" s="127">
        <f>H36+'[1]2026 Ιανουάριος'!J36</f>
        <v/>
      </c>
      <c r="K36" s="126">
        <f>J36/$J$7</f>
        <v/>
      </c>
      <c r="L36" s="148">
        <f>'[1]2024_60-69 ΕΞΟΔΑ+ΟΜ 2'!D142</f>
        <v/>
      </c>
      <c r="M36" s="126">
        <f>L36/$L$7</f>
        <v/>
      </c>
      <c r="N36" s="127">
        <f>L36+'[1]2026 Ιανουάριος'!N36</f>
        <v/>
      </c>
      <c r="O36" s="126">
        <f>N36/$N$7</f>
        <v/>
      </c>
      <c r="P36" s="127">
        <f>F36-N36</f>
        <v/>
      </c>
      <c r="Q36" s="126">
        <f>N36/F36</f>
        <v/>
      </c>
      <c r="R36" s="91" t="n"/>
      <c r="S36" s="91" t="n"/>
      <c r="T36" s="91" t="n"/>
      <c r="U36" s="91" t="n"/>
      <c r="V36" s="91" t="n"/>
    </row>
    <row r="37" ht="24" customHeight="1">
      <c r="A37" s="106" t="n">
        <v>36</v>
      </c>
      <c r="B37" s="106" t="n">
        <v>30</v>
      </c>
      <c r="C37" s="111">
        <f>[1]ΑΝΤΙΣΤΟΙΧΙΣΗ!F216</f>
        <v/>
      </c>
      <c r="D37" s="101">
        <f>'[1]2026_ΕΣΟΔΑ'!D31</f>
        <v/>
      </c>
      <c r="E37" s="126">
        <f>D37/$D$7</f>
        <v/>
      </c>
      <c r="F37" s="127">
        <f>'[1]2026 Ιανουάριος'!F37+'2026 Φεβρουάριος'!D37</f>
        <v/>
      </c>
      <c r="G37" s="126">
        <f>F37/$F$7</f>
        <v/>
      </c>
      <c r="H37" s="127" t="n"/>
      <c r="I37" s="126">
        <f>H37/$H$7</f>
        <v/>
      </c>
      <c r="J37" s="127">
        <f>H37+'[1]2026 Ιανουάριος'!J37</f>
        <v/>
      </c>
      <c r="K37" s="126">
        <f>J37/$J$7</f>
        <v/>
      </c>
      <c r="L37" s="148">
        <f>'[1]2024_60-69 ΕΞΟΔΑ+ΟΜ 2'!D143</f>
        <v/>
      </c>
      <c r="M37" s="126">
        <f>L37/$L$7</f>
        <v/>
      </c>
      <c r="N37" s="127">
        <f>L37+'[1]2026 Ιανουάριος'!N37</f>
        <v/>
      </c>
      <c r="O37" s="126">
        <f>N37/$N$7</f>
        <v/>
      </c>
      <c r="P37" s="127">
        <f>F37-N37</f>
        <v/>
      </c>
      <c r="Q37" s="126">
        <f>N37/F37</f>
        <v/>
      </c>
      <c r="R37" s="91" t="n"/>
      <c r="S37" s="91" t="n"/>
      <c r="T37" s="91" t="n"/>
      <c r="U37" s="91" t="n"/>
      <c r="V37" s="91" t="n"/>
    </row>
    <row r="38" ht="15" customHeight="1">
      <c r="A38" s="113" t="n">
        <v>37</v>
      </c>
      <c r="B38" s="113" t="n"/>
      <c r="C38" s="98" t="inlineStr">
        <is>
          <t>ΣΥΝΟΛΟ ΕΣΟΔΩΝ ΜΗΝΟΣ</t>
        </is>
      </c>
      <c r="D38" s="97">
        <f>'[1]2026_ΕΣΟΔΑ'!D32</f>
        <v/>
      </c>
      <c r="E38" s="96" t="n"/>
      <c r="F38" s="97">
        <f>'[1]2026_ΕΣΟΔΑ'!D34</f>
        <v/>
      </c>
      <c r="G38" s="96" t="n"/>
      <c r="H38" s="97">
        <f>SUM(H8:H31)</f>
        <v/>
      </c>
      <c r="I38" s="96" t="n"/>
      <c r="J38" s="97">
        <f>SUM(J8:J31)</f>
        <v/>
      </c>
      <c r="K38" s="96" t="n"/>
      <c r="L38" s="97">
        <f>SUM(L8:L31)</f>
        <v/>
      </c>
      <c r="M38" s="96" t="n"/>
      <c r="N38" s="97">
        <f>SUM(N8:N31)</f>
        <v/>
      </c>
      <c r="O38" s="96" t="n"/>
      <c r="P38" s="97">
        <f>SUM(P8:P31)</f>
        <v/>
      </c>
      <c r="Q38" s="96" t="n"/>
      <c r="R38" s="91" t="n"/>
      <c r="S38" s="91" t="n"/>
      <c r="T38" s="91" t="n"/>
      <c r="U38" s="91" t="n"/>
      <c r="V38" s="91" t="n"/>
    </row>
    <row r="39" ht="29.25" customHeight="1">
      <c r="A39" s="113" t="n">
        <v>38</v>
      </c>
      <c r="B39" s="113" t="n"/>
      <c r="C39" s="98" t="inlineStr">
        <is>
          <t>Ελεγχος Ορθότητας ( πρέπει να είναι 0)</t>
        </is>
      </c>
      <c r="D39" s="97">
        <f>D7-D38</f>
        <v/>
      </c>
      <c r="E39" s="96" t="n"/>
      <c r="F39" s="97">
        <f>F7-F38</f>
        <v/>
      </c>
      <c r="G39" s="96" t="n"/>
      <c r="H39" s="97">
        <f>H7-H38</f>
        <v/>
      </c>
      <c r="I39" s="96" t="n"/>
      <c r="J39" s="97">
        <f>J7-J38</f>
        <v/>
      </c>
      <c r="K39" s="96" t="n"/>
      <c r="L39" s="97">
        <f>L7-L38</f>
        <v/>
      </c>
      <c r="M39" s="96" t="n"/>
      <c r="N39" s="97">
        <f>N7-N38</f>
        <v/>
      </c>
      <c r="O39" s="96" t="n"/>
      <c r="P39" s="97">
        <f>P7-P38</f>
        <v/>
      </c>
      <c r="Q39" s="96" t="n"/>
      <c r="R39" s="91" t="n"/>
      <c r="S39" s="91" t="n"/>
      <c r="T39" s="91" t="n"/>
      <c r="U39" s="91" t="n"/>
      <c r="V39" s="91" t="n"/>
    </row>
    <row r="40" ht="41.25" customHeight="1">
      <c r="A40" s="147" t="n">
        <v>39</v>
      </c>
      <c r="B40" s="147" t="n"/>
      <c r="C40" s="147" t="inlineStr">
        <is>
          <t>ΑΝΑΛΥΣΗ ΕΤΟΥΣ 2026</t>
        </is>
      </c>
      <c r="D40" s="184">
        <f>[1]ΑΝΤΙΣΤΟΙΧΙΣΗ!$F$32</f>
        <v/>
      </c>
      <c r="E40" s="192" t="n"/>
      <c r="F40" s="192" t="n"/>
      <c r="G40" s="56" t="n"/>
      <c r="H40" s="184">
        <f>[1]ΑΝΤΙΣΤΟΙΧΙΣΗ!$F$35</f>
        <v/>
      </c>
      <c r="I40" s="192" t="n"/>
      <c r="J40" s="192" t="n"/>
      <c r="K40" s="56" t="n"/>
      <c r="L40" s="184">
        <f>[1]ΑΝΤΙΣΤΟΙΧΙΣΗ!$F$68</f>
        <v/>
      </c>
      <c r="M40" s="192" t="n"/>
      <c r="N40" s="192" t="n"/>
      <c r="O40" s="56" t="n"/>
      <c r="P40" s="185">
        <f>[1]ΑΝΤΙΣΤΟΙΧΙΣΗ!$F$100</f>
        <v/>
      </c>
      <c r="Q40" s="56" t="n"/>
      <c r="R40" s="91" t="n"/>
      <c r="S40" s="91" t="n"/>
      <c r="T40" s="91" t="n"/>
      <c r="U40" s="91" t="n"/>
      <c r="V40" s="91" t="n"/>
    </row>
    <row r="41" ht="31.5" customHeight="1">
      <c r="A41" s="113" t="n">
        <v>40</v>
      </c>
      <c r="B41" s="113" t="n"/>
      <c r="C41" s="118" t="inlineStr">
        <is>
          <t xml:space="preserve">ΠΕΡΙΟΔΟΣ </t>
        </is>
      </c>
      <c r="D41" s="186">
        <f>[1]ΑΝΤΙΣΤΟΙΧΙΣΗ!$F$107</f>
        <v/>
      </c>
      <c r="E41" s="192" t="n"/>
      <c r="F41" s="56" t="n"/>
      <c r="G41" s="117">
        <f>[1]ΑΝΤΙΣΤΟΙΧΙΣΗ!$D$34</f>
        <v/>
      </c>
      <c r="H41" s="186">
        <f>[1]ΑΝΤΙΣΤΟΙΧΙΣΗ!$F$107</f>
        <v/>
      </c>
      <c r="I41" s="192" t="n"/>
      <c r="J41" s="56" t="n"/>
      <c r="K41" s="117">
        <f>[1]ΑΝΤΙΣΤΟΙΧΙΣΗ!$D$34</f>
        <v/>
      </c>
      <c r="L41" s="186">
        <f>[1]ΑΝΤΙΣΤΟΙΧΙΣΗ!$F$121</f>
        <v/>
      </c>
      <c r="M41" s="192" t="n"/>
      <c r="N41" s="56" t="n"/>
      <c r="O41" s="117">
        <f>[1]ΑΝΤΙΣΤΟΙΧΙΣΗ!$D$33</f>
        <v/>
      </c>
      <c r="P41" s="186" t="n"/>
      <c r="Q41" s="56" t="n"/>
      <c r="R41" s="91" t="n"/>
      <c r="S41" s="91" t="n"/>
      <c r="T41" s="91" t="n"/>
      <c r="U41" s="91" t="n"/>
      <c r="V41" s="91" t="n"/>
    </row>
    <row r="42" ht="72" customHeight="1">
      <c r="A42" s="116" t="n">
        <v>41</v>
      </c>
      <c r="B42" s="116" t="inlineStr">
        <is>
          <t>Β</t>
        </is>
      </c>
      <c r="C42" s="115" t="inlineStr">
        <is>
          <t xml:space="preserve">ΚΑΤΗΓΟΡΙΑ ΕΞΟΔΟΥ </t>
        </is>
      </c>
      <c r="D42" s="115" t="inlineStr">
        <is>
          <t xml:space="preserve">Ποσά </t>
        </is>
      </c>
      <c r="E42" s="114" t="inlineStr">
        <is>
          <t>% Εξοδο Γραμμής /Σύν.Εξόδων μηνός</t>
        </is>
      </c>
      <c r="F42" s="114" t="inlineStr">
        <is>
          <t xml:space="preserve">Προοδ Σύν. Κατηγ. Εξόδων έως Σήμερα </t>
        </is>
      </c>
      <c r="G42" s="114" t="inlineStr">
        <is>
          <t xml:space="preserve">% Προοδ. Σύνολο Κατηγ. Εξ./ Προοδ. Σύνολο Εξόδων Έως σήμερα </t>
        </is>
      </c>
      <c r="H42" s="114" t="inlineStr">
        <is>
          <t xml:space="preserve">Αμ. Κόστ. Υπηρ. Μηνός </t>
        </is>
      </c>
      <c r="I42" s="114" t="inlineStr">
        <is>
          <t>% Εξοδο Γραμμής /Σύν.Εξόδων μηνός</t>
        </is>
      </c>
      <c r="J42" s="114" t="inlineStr">
        <is>
          <t xml:space="preserve">Προοδ Σύν. Κατηγ. Εξόδων έως Σήμερα </t>
        </is>
      </c>
      <c r="K42" s="114" t="inlineStr">
        <is>
          <t xml:space="preserve">% Προοδ. Σύνολο Κατηγ. Εξ./ Προοδ. Σύνολο Εξόδων Έως σήμερα </t>
        </is>
      </c>
      <c r="L42" s="114" t="inlineStr">
        <is>
          <t xml:space="preserve">Αμ. Κόστ. Υπηρ. Μηνός </t>
        </is>
      </c>
      <c r="M42" s="114" t="inlineStr">
        <is>
          <t xml:space="preserve">% Κατηγ.Εξ/Σύν.Αμ.Κο.Υπ.μηνός </t>
        </is>
      </c>
      <c r="N42" s="114" t="inlineStr">
        <is>
          <t xml:space="preserve">Προοδ Σύν. Κατηγ. Εξ έως Σήμερα </t>
        </is>
      </c>
      <c r="O42" s="114" t="inlineStr">
        <is>
          <t xml:space="preserve">% Προοδ. Σύν. Κατηγ. Εξ/ Προοδ. Σύνολο Εξόδων </t>
        </is>
      </c>
      <c r="P42" s="114" t="inlineStr">
        <is>
          <t xml:space="preserve">Προοδ. Διαφορά με Προηγ. Έτος ( Τρέχον Έτος - Προηγ. Έτος) </t>
        </is>
      </c>
      <c r="Q42" s="114" t="inlineStr">
        <is>
          <t xml:space="preserve">% Προοδ.Σύν Κατηγ. Εξ. Πρ. Έτους / Προοδ.Σύν.Εξ. Τρέχοντος Έτους </t>
        </is>
      </c>
      <c r="R42" s="91" t="n"/>
      <c r="S42" s="91" t="n"/>
      <c r="T42" s="91" t="n"/>
      <c r="U42" s="91" t="n"/>
      <c r="V42" s="91" t="n"/>
    </row>
    <row r="43" ht="18" customHeight="1">
      <c r="A43" s="113" t="n">
        <v>42</v>
      </c>
      <c r="B43" s="146" t="inlineStr">
        <is>
          <t>Α/Α</t>
        </is>
      </c>
      <c r="C43" s="98" t="inlineStr">
        <is>
          <t xml:space="preserve">Αμεσο Κόστος Υπηρεσιών </t>
        </is>
      </c>
      <c r="D43" s="97">
        <f>SUM(D44:D77)</f>
        <v/>
      </c>
      <c r="E43" s="96" t="n"/>
      <c r="F43" s="97">
        <f>SUM(F44:F77)</f>
        <v/>
      </c>
      <c r="G43" s="96" t="n"/>
      <c r="H43" s="97">
        <f>SUM(H44:H77)</f>
        <v/>
      </c>
      <c r="I43" s="96" t="n"/>
      <c r="J43" s="97">
        <f>SUM(J44:J77)</f>
        <v/>
      </c>
      <c r="K43" s="96" t="n"/>
      <c r="L43" s="97">
        <f>SUM(L44:L77)</f>
        <v/>
      </c>
      <c r="M43" s="96" t="n"/>
      <c r="N43" s="97">
        <f>SUM(N44:N77)</f>
        <v/>
      </c>
      <c r="O43" s="96" t="n"/>
      <c r="P43" s="97">
        <f>SUM(P44:P77)</f>
        <v/>
      </c>
      <c r="Q43" s="96" t="n"/>
      <c r="R43" s="91" t="n"/>
      <c r="S43" s="91" t="n"/>
      <c r="T43" s="91" t="n"/>
      <c r="U43" s="91" t="n"/>
      <c r="V43" s="91" t="n"/>
    </row>
    <row r="44" ht="28.5" customHeight="1">
      <c r="A44" s="106" t="n">
        <v>43</v>
      </c>
      <c r="B44" s="106" t="n">
        <v>1</v>
      </c>
      <c r="C44" s="111">
        <f>[1]ΑΝΤΙΣΤΟΙΧΙΣΗ!I187</f>
        <v/>
      </c>
      <c r="D44" s="103">
        <f>'[1]2026_60-69 ΕΞΟΔΑ+ΟΜ 2'!E4</f>
        <v/>
      </c>
      <c r="E44" s="102">
        <f>D44/$D$78</f>
        <v/>
      </c>
      <c r="F44" s="101">
        <f>'[1]2026 Ιανουάριος'!F44+'2026 Φεβρουάριος'!D44</f>
        <v/>
      </c>
      <c r="G44" s="102">
        <f>F44/$F$43</f>
        <v/>
      </c>
      <c r="H44" s="103" t="n"/>
      <c r="I44" s="144">
        <f>H44/$H$43</f>
        <v/>
      </c>
      <c r="J44" s="101">
        <f>H44</f>
        <v/>
      </c>
      <c r="K44" s="143">
        <f>J44/$J$38</f>
        <v/>
      </c>
      <c r="L44" s="103">
        <f>'[1]2024_60-69 ΕΞΟΔΑ+ΟΜ 2'!E4</f>
        <v/>
      </c>
      <c r="M44" s="102">
        <f>L44/$L$43</f>
        <v/>
      </c>
      <c r="N44" s="101">
        <f>L44+'[1]2026 Ιανουάριος'!L44</f>
        <v/>
      </c>
      <c r="O44" s="102">
        <f>N44/$N$43</f>
        <v/>
      </c>
      <c r="P44" s="101">
        <f>F44-N44</f>
        <v/>
      </c>
      <c r="Q44" s="102">
        <f>N44/F44</f>
        <v/>
      </c>
      <c r="R44" s="91" t="n"/>
      <c r="S44" s="91" t="n"/>
      <c r="T44" s="91" t="n"/>
      <c r="U44" s="91" t="n"/>
      <c r="V44" s="91" t="n"/>
    </row>
    <row r="45" ht="28.5" customHeight="1">
      <c r="A45" s="106" t="n">
        <v>44</v>
      </c>
      <c r="B45" s="106" t="n">
        <v>2</v>
      </c>
      <c r="C45" s="111">
        <f>[1]ΑΝΤΙΣΤΟΙΧΙΣΗ!I188</f>
        <v/>
      </c>
      <c r="D45" s="103">
        <f>'[1]2026_60-69 ΕΞΟΔΑ+ΟΜ 2'!E5</f>
        <v/>
      </c>
      <c r="E45" s="102">
        <f>D45/$D$78</f>
        <v/>
      </c>
      <c r="F45" s="101">
        <f>'[1]2026 Ιανουάριος'!F45+'2026 Φεβρουάριος'!D45</f>
        <v/>
      </c>
      <c r="G45" s="102">
        <f>F45/$F$43</f>
        <v/>
      </c>
      <c r="H45" s="103" t="n"/>
      <c r="I45" s="144">
        <f>H45/$H$43</f>
        <v/>
      </c>
      <c r="J45" s="101">
        <f>H45</f>
        <v/>
      </c>
      <c r="K45" s="143">
        <f>J45/$J$38</f>
        <v/>
      </c>
      <c r="L45" s="103">
        <f>'[1]2024_60-69 ΕΞΟΔΑ+ΟΜ 2'!E5</f>
        <v/>
      </c>
      <c r="M45" s="102">
        <f>L45/$L$43</f>
        <v/>
      </c>
      <c r="N45" s="101">
        <f>L45+'[1]2026 Ιανουάριος'!L45</f>
        <v/>
      </c>
      <c r="O45" s="102">
        <f>N45/$N$43</f>
        <v/>
      </c>
      <c r="P45" s="101">
        <f>F45-N45</f>
        <v/>
      </c>
      <c r="Q45" s="102">
        <f>N45/F45</f>
        <v/>
      </c>
      <c r="R45" s="91" t="n"/>
      <c r="S45" s="91" t="n"/>
      <c r="T45" s="91" t="n"/>
      <c r="U45" s="91" t="n"/>
      <c r="V45" s="91" t="n"/>
    </row>
    <row r="46" ht="28.5" customHeight="1">
      <c r="A46" s="106" t="n">
        <v>45</v>
      </c>
      <c r="B46" s="106" t="n">
        <v>3</v>
      </c>
      <c r="C46" s="111">
        <f>[1]ΑΝΤΙΣΤΟΙΧΙΣΗ!I189</f>
        <v/>
      </c>
      <c r="D46" s="103">
        <f>'[1]2026_60-69 ΕΞΟΔΑ+ΟΜ 2'!E6</f>
        <v/>
      </c>
      <c r="E46" s="102">
        <f>D46/$D$78</f>
        <v/>
      </c>
      <c r="F46" s="101">
        <f>'[1]2026 Ιανουάριος'!F46+'2026 Φεβρουάριος'!D46</f>
        <v/>
      </c>
      <c r="G46" s="102">
        <f>F46/$F$43</f>
        <v/>
      </c>
      <c r="H46" s="103" t="n"/>
      <c r="I46" s="144">
        <f>H46/$H$43</f>
        <v/>
      </c>
      <c r="J46" s="101">
        <f>H46</f>
        <v/>
      </c>
      <c r="K46" s="143">
        <f>J46/$J$38</f>
        <v/>
      </c>
      <c r="L46" s="103">
        <f>'[1]2024_60-69 ΕΞΟΔΑ+ΟΜ 2'!E6</f>
        <v/>
      </c>
      <c r="M46" s="102">
        <f>L46/$L$43</f>
        <v/>
      </c>
      <c r="N46" s="101">
        <f>L46+'[1]2026 Ιανουάριος'!L46</f>
        <v/>
      </c>
      <c r="O46" s="102">
        <f>N46/$N$43</f>
        <v/>
      </c>
      <c r="P46" s="101">
        <f>F46-N46</f>
        <v/>
      </c>
      <c r="Q46" s="102">
        <f>N46/F46</f>
        <v/>
      </c>
      <c r="R46" s="91" t="n"/>
      <c r="S46" s="91" t="n"/>
      <c r="T46" s="91" t="n"/>
      <c r="U46" s="91" t="n"/>
      <c r="V46" s="91" t="n"/>
    </row>
    <row r="47" ht="28.5" customHeight="1">
      <c r="A47" s="106" t="n">
        <v>48</v>
      </c>
      <c r="B47" s="106" t="n">
        <v>6</v>
      </c>
      <c r="C47" s="110">
        <f>[1]ΑΝΤΙΣΤΟΙΧΙΣΗ!I190</f>
        <v/>
      </c>
      <c r="D47" s="103">
        <f>'[1]2026_60-69 ΕΞΟΔΑ+ΟΜ 2'!E7</f>
        <v/>
      </c>
      <c r="E47" s="102">
        <f>D49/$D$78</f>
        <v/>
      </c>
      <c r="F47" s="101">
        <f>'[1]2026 Ιανουάριος'!F47+'2026 Φεβρουάριος'!D49</f>
        <v/>
      </c>
      <c r="G47" s="102">
        <f>F49/$F$43</f>
        <v/>
      </c>
      <c r="H47" s="103" t="n"/>
      <c r="I47" s="144">
        <f>H49/$H$43</f>
        <v/>
      </c>
      <c r="J47" s="101">
        <f>H49</f>
        <v/>
      </c>
      <c r="K47" s="143">
        <f>J49/$J$38</f>
        <v/>
      </c>
      <c r="L47" s="103">
        <f>'[1]2024_60-69 ΕΞΟΔΑ+ΟΜ 2'!E7</f>
        <v/>
      </c>
      <c r="M47" s="102">
        <f>L49/$L$43</f>
        <v/>
      </c>
      <c r="N47" s="101">
        <f>L49+'[1]2026 Ιανουάριος'!L47</f>
        <v/>
      </c>
      <c r="O47" s="102">
        <f>N49/$N$43</f>
        <v/>
      </c>
      <c r="P47" s="101">
        <f>F49-N49</f>
        <v/>
      </c>
      <c r="Q47" s="102">
        <f>N49/F49</f>
        <v/>
      </c>
      <c r="R47" s="91" t="n"/>
      <c r="S47" s="91" t="n"/>
      <c r="T47" s="91" t="n"/>
      <c r="U47" s="91" t="n"/>
      <c r="V47" s="109" t="n"/>
    </row>
    <row r="48" ht="28.5" customHeight="1">
      <c r="A48" s="106" t="n">
        <v>49</v>
      </c>
      <c r="B48" s="106" t="n">
        <v>7</v>
      </c>
      <c r="C48" s="110">
        <f>[1]ΑΝΤΙΣΤΟΙΧΙΣΗ!I191</f>
        <v/>
      </c>
      <c r="D48" s="103">
        <f>'[1]2026_60-69 ΕΞΟΔΑ+ΟΜ 2'!E8</f>
        <v/>
      </c>
      <c r="E48" s="102">
        <f>D50/$D$78</f>
        <v/>
      </c>
      <c r="F48" s="101">
        <f>'[1]2026 Ιανουάριος'!F48+'2026 Φεβρουάριος'!D50</f>
        <v/>
      </c>
      <c r="G48" s="102">
        <f>F50/$F$43</f>
        <v/>
      </c>
      <c r="H48" s="103" t="n"/>
      <c r="I48" s="144">
        <f>H50/$H$43</f>
        <v/>
      </c>
      <c r="J48" s="101">
        <f>H50</f>
        <v/>
      </c>
      <c r="K48" s="143">
        <f>J50/$J$38</f>
        <v/>
      </c>
      <c r="L48" s="103">
        <f>'[1]2024_60-69 ΕΞΟΔΑ+ΟΜ 2'!E8</f>
        <v/>
      </c>
      <c r="M48" s="102">
        <f>L50/$L$43</f>
        <v/>
      </c>
      <c r="N48" s="101">
        <f>L50+'[1]2026 Ιανουάριος'!L48</f>
        <v/>
      </c>
      <c r="O48" s="102">
        <f>N50/$N$43</f>
        <v/>
      </c>
      <c r="P48" s="101">
        <f>F50-N50</f>
        <v/>
      </c>
      <c r="Q48" s="102">
        <f>N50/F50</f>
        <v/>
      </c>
      <c r="R48" s="91" t="n"/>
      <c r="S48" s="91" t="n"/>
      <c r="T48" s="91" t="n"/>
      <c r="U48" s="91" t="n"/>
      <c r="V48" s="109" t="n"/>
    </row>
    <row r="49" ht="28.5" customHeight="1">
      <c r="A49" s="106" t="n">
        <v>50</v>
      </c>
      <c r="B49" s="106" t="n">
        <v>8</v>
      </c>
      <c r="C49" s="110">
        <f>[1]ΑΝΤΙΣΤΟΙΧΙΣΗ!I192</f>
        <v/>
      </c>
      <c r="D49" s="103">
        <f>'[1]2026_60-69 ΕΞΟΔΑ+ΟΜ 2'!E9</f>
        <v/>
      </c>
      <c r="E49" s="102">
        <f>D51/$D$78</f>
        <v/>
      </c>
      <c r="F49" s="101">
        <f>'[1]2026 Ιανουάριος'!F49+'2026 Φεβρουάριος'!D51</f>
        <v/>
      </c>
      <c r="G49" s="102">
        <f>F51/$F$43</f>
        <v/>
      </c>
      <c r="H49" s="103" t="n"/>
      <c r="I49" s="144">
        <f>H51/$H$43</f>
        <v/>
      </c>
      <c r="J49" s="101">
        <f>H51</f>
        <v/>
      </c>
      <c r="K49" s="143">
        <f>J51/$J$38</f>
        <v/>
      </c>
      <c r="L49" s="103">
        <f>'[1]2024_60-69 ΕΞΟΔΑ+ΟΜ 2'!E9</f>
        <v/>
      </c>
      <c r="M49" s="102">
        <f>L51/$L$43</f>
        <v/>
      </c>
      <c r="N49" s="101">
        <f>L51+'[1]2026 Ιανουάριος'!L49</f>
        <v/>
      </c>
      <c r="O49" s="102">
        <f>N51/$N$43</f>
        <v/>
      </c>
      <c r="P49" s="101">
        <f>F51-N51</f>
        <v/>
      </c>
      <c r="Q49" s="102">
        <f>N51/F51</f>
        <v/>
      </c>
      <c r="R49" s="91" t="n"/>
      <c r="S49" s="91" t="n"/>
      <c r="T49" s="91" t="n"/>
      <c r="U49" s="91" t="n"/>
      <c r="V49" s="109" t="n"/>
    </row>
    <row r="50" ht="28.5" customHeight="1">
      <c r="A50" s="106" t="n">
        <v>53</v>
      </c>
      <c r="B50" s="106" t="n">
        <v>11</v>
      </c>
      <c r="C50" s="132">
        <f>[1]ΑΝΤΙΣΤΟΙΧΙΣΗ!I193</f>
        <v/>
      </c>
      <c r="D50" s="103">
        <f>'[1]2026_60-69 ΕΞΟΔΑ+ΟΜ 2'!E10</f>
        <v/>
      </c>
      <c r="E50" s="102">
        <f>D54/$D$78</f>
        <v/>
      </c>
      <c r="F50" s="101">
        <f>'[1]2026 Ιανουάριος'!F50+'2026 Φεβρουάριος'!D54</f>
        <v/>
      </c>
      <c r="G50" s="102">
        <f>F54/$F$43</f>
        <v/>
      </c>
      <c r="H50" s="103" t="n"/>
      <c r="I50" s="144">
        <f>H54/$H$43</f>
        <v/>
      </c>
      <c r="J50" s="101">
        <f>H54</f>
        <v/>
      </c>
      <c r="K50" s="143">
        <f>J54/$J$38</f>
        <v/>
      </c>
      <c r="L50" s="103">
        <f>'[1]2024_60-69 ΕΞΟΔΑ+ΟΜ 2'!E10</f>
        <v/>
      </c>
      <c r="M50" s="102">
        <f>L54/$L$43</f>
        <v/>
      </c>
      <c r="N50" s="101">
        <f>L54+'[1]2026 Ιανουάριος'!L50</f>
        <v/>
      </c>
      <c r="O50" s="102">
        <f>N54/$N$43</f>
        <v/>
      </c>
      <c r="P50" s="101">
        <f>F54-N54</f>
        <v/>
      </c>
      <c r="Q50" s="102">
        <f>N54/F54</f>
        <v/>
      </c>
      <c r="R50" s="91" t="n"/>
      <c r="S50" s="91" t="n"/>
      <c r="T50" s="91" t="n"/>
      <c r="U50" s="91" t="n"/>
      <c r="V50" s="91" t="n"/>
    </row>
    <row r="51" ht="28.5" customHeight="1">
      <c r="A51" s="106" t="n">
        <v>54</v>
      </c>
      <c r="B51" s="106" t="n">
        <v>12</v>
      </c>
      <c r="C51" s="132">
        <f>[1]ΑΝΤΙΣΤΟΙΧΙΣΗ!I194</f>
        <v/>
      </c>
      <c r="D51" s="103">
        <f>'[1]2026_60-69 ΕΞΟΔΑ+ΟΜ 2'!E11</f>
        <v/>
      </c>
      <c r="E51" s="102">
        <f>D55/$D$78</f>
        <v/>
      </c>
      <c r="F51" s="101">
        <f>'[1]2026 Ιανουάριος'!F51+'2026 Φεβρουάριος'!D55</f>
        <v/>
      </c>
      <c r="G51" s="102">
        <f>F55/$F$43</f>
        <v/>
      </c>
      <c r="H51" s="103" t="n"/>
      <c r="I51" s="144">
        <f>H55/$H$43</f>
        <v/>
      </c>
      <c r="J51" s="101">
        <f>H55</f>
        <v/>
      </c>
      <c r="K51" s="143">
        <f>J55/$J$38</f>
        <v/>
      </c>
      <c r="L51" s="103">
        <f>'[1]2024_60-69 ΕΞΟΔΑ+ΟΜ 2'!E11</f>
        <v/>
      </c>
      <c r="M51" s="102">
        <f>L55/$L$43</f>
        <v/>
      </c>
      <c r="N51" s="101">
        <f>L55+'[1]2026 Ιανουάριος'!L51</f>
        <v/>
      </c>
      <c r="O51" s="102">
        <f>N55/$N$43</f>
        <v/>
      </c>
      <c r="P51" s="101">
        <f>F55-N55</f>
        <v/>
      </c>
      <c r="Q51" s="102">
        <f>N55/F55</f>
        <v/>
      </c>
      <c r="R51" s="91" t="n"/>
      <c r="S51" s="91" t="n"/>
      <c r="T51" s="91" t="n"/>
      <c r="U51" s="91" t="n"/>
      <c r="V51" s="91" t="n"/>
    </row>
    <row r="52" ht="27" customHeight="1">
      <c r="A52" s="106" t="n">
        <v>55</v>
      </c>
      <c r="B52" s="106" t="n">
        <v>13</v>
      </c>
      <c r="C52" s="132">
        <f>[1]ΑΝΤΙΣΤΟΙΧΙΣΗ!I195</f>
        <v/>
      </c>
      <c r="D52" s="103">
        <f>'[1]2026_60-69 ΕΞΟΔΑ+ΟΜ 2'!E12</f>
        <v/>
      </c>
      <c r="E52" s="102">
        <f>D56/$D$78</f>
        <v/>
      </c>
      <c r="F52" s="101">
        <f>'[1]2026 Ιανουάριος'!F52+'2026 Φεβρουάριος'!D56</f>
        <v/>
      </c>
      <c r="G52" s="102">
        <f>F56/$F$43</f>
        <v/>
      </c>
      <c r="H52" s="103" t="n"/>
      <c r="I52" s="144">
        <f>H56/$H$43</f>
        <v/>
      </c>
      <c r="J52" s="101">
        <f>H56</f>
        <v/>
      </c>
      <c r="K52" s="143">
        <f>J56/$J$38</f>
        <v/>
      </c>
      <c r="L52" s="103">
        <f>'[1]2024_60-69 ΕΞΟΔΑ+ΟΜ 2'!E12</f>
        <v/>
      </c>
      <c r="M52" s="102">
        <f>L56/$L$43</f>
        <v/>
      </c>
      <c r="N52" s="101">
        <f>L56+'[1]2026 Ιανουάριος'!L52</f>
        <v/>
      </c>
      <c r="O52" s="102">
        <f>N56/$N$43</f>
        <v/>
      </c>
      <c r="P52" s="101">
        <f>F56-N56</f>
        <v/>
      </c>
      <c r="Q52" s="102">
        <f>N56/F56</f>
        <v/>
      </c>
      <c r="R52" s="91" t="n"/>
      <c r="S52" s="91" t="n"/>
      <c r="T52" s="91" t="n"/>
      <c r="U52" s="91" t="n"/>
      <c r="V52" s="91" t="n"/>
    </row>
    <row r="53" ht="30.75" customHeight="1">
      <c r="A53" s="106" t="n">
        <v>56</v>
      </c>
      <c r="B53" s="106" t="n">
        <v>14</v>
      </c>
      <c r="C53" s="132">
        <f>[1]ΑΝΤΙΣΤΟΙΧΙΣΗ!I196</f>
        <v/>
      </c>
      <c r="D53" s="103">
        <f>'[1]2026_60-69 ΕΞΟΔΑ+ΟΜ 2'!E13</f>
        <v/>
      </c>
      <c r="E53" s="102">
        <f>D57/$D$78</f>
        <v/>
      </c>
      <c r="F53" s="101">
        <f>'[1]2026 Ιανουάριος'!F53+'2026 Φεβρουάριος'!D57</f>
        <v/>
      </c>
      <c r="G53" s="102">
        <f>F57/$F$43</f>
        <v/>
      </c>
      <c r="H53" s="103" t="n"/>
      <c r="I53" s="144">
        <f>H57/$H$43</f>
        <v/>
      </c>
      <c r="J53" s="101">
        <f>H57</f>
        <v/>
      </c>
      <c r="K53" s="143">
        <f>J57/$J$38</f>
        <v/>
      </c>
      <c r="L53" s="103">
        <f>'[1]2024_60-69 ΕΞΟΔΑ+ΟΜ 2'!E13</f>
        <v/>
      </c>
      <c r="M53" s="102">
        <f>L57/$L$43</f>
        <v/>
      </c>
      <c r="N53" s="101">
        <f>L57+'[1]2026 Ιανουάριος'!L53</f>
        <v/>
      </c>
      <c r="O53" s="102">
        <f>N57/$N$43</f>
        <v/>
      </c>
      <c r="P53" s="101">
        <f>F57-N57</f>
        <v/>
      </c>
      <c r="Q53" s="102">
        <f>N57/F57</f>
        <v/>
      </c>
      <c r="R53" s="91" t="n"/>
      <c r="S53" s="91" t="n"/>
      <c r="T53" s="91" t="n"/>
      <c r="U53" s="91" t="n"/>
      <c r="V53" s="91" t="n"/>
    </row>
    <row r="54" ht="15" customHeight="1">
      <c r="A54" s="106" t="n">
        <v>57</v>
      </c>
      <c r="B54" s="106" t="n">
        <v>15</v>
      </c>
      <c r="C54" s="132">
        <f>[1]ΑΝΤΙΣΤΟΙΧΙΣΗ!I197</f>
        <v/>
      </c>
      <c r="D54" s="103">
        <f>'[1]2026_60-69 ΕΞΟΔΑ+ΟΜ 2'!E14</f>
        <v/>
      </c>
      <c r="E54" s="102">
        <f>D58/$D$78</f>
        <v/>
      </c>
      <c r="F54" s="101">
        <f>'[1]2026 Ιανουάριος'!F54+'2026 Φεβρουάριος'!D58</f>
        <v/>
      </c>
      <c r="G54" s="102">
        <f>F58/$F$43</f>
        <v/>
      </c>
      <c r="H54" s="103" t="n"/>
      <c r="I54" s="144">
        <f>H58/$H$43</f>
        <v/>
      </c>
      <c r="J54" s="101">
        <f>H58</f>
        <v/>
      </c>
      <c r="K54" s="143">
        <f>J58/$J$38</f>
        <v/>
      </c>
      <c r="L54" s="103">
        <f>'[1]2024_60-69 ΕΞΟΔΑ+ΟΜ 2'!E14</f>
        <v/>
      </c>
      <c r="M54" s="102">
        <f>L58/$L$43</f>
        <v/>
      </c>
      <c r="N54" s="101">
        <f>L58+'[1]2026 Ιανουάριος'!L54</f>
        <v/>
      </c>
      <c r="O54" s="102">
        <f>N58/$N$43</f>
        <v/>
      </c>
      <c r="P54" s="101">
        <f>F58-N58</f>
        <v/>
      </c>
      <c r="Q54" s="102">
        <f>N58/F58</f>
        <v/>
      </c>
      <c r="R54" s="91" t="n"/>
      <c r="S54" s="91" t="n"/>
      <c r="T54" s="91" t="n"/>
      <c r="U54" s="91" t="n"/>
      <c r="V54" s="91" t="n"/>
    </row>
    <row r="55" ht="15" customHeight="1">
      <c r="A55" s="106" t="n">
        <v>58</v>
      </c>
      <c r="B55" s="106" t="n">
        <v>16</v>
      </c>
      <c r="C55" s="132">
        <f>[1]ΑΝΤΙΣΤΟΙΧΙΣΗ!I198</f>
        <v/>
      </c>
      <c r="D55" s="103">
        <f>'[1]2026_60-69 ΕΞΟΔΑ+ΟΜ 2'!E15</f>
        <v/>
      </c>
      <c r="E55" s="102">
        <f>D59/$D$78</f>
        <v/>
      </c>
      <c r="F55" s="101">
        <f>'[1]2026 Ιανουάριος'!F55+'2026 Φεβρουάριος'!D59</f>
        <v/>
      </c>
      <c r="G55" s="102">
        <f>F59/$F$43</f>
        <v/>
      </c>
      <c r="H55" s="103" t="n"/>
      <c r="I55" s="144">
        <f>H59/$H$43</f>
        <v/>
      </c>
      <c r="J55" s="101" t="n"/>
      <c r="K55" s="143" t="n"/>
      <c r="L55" s="103">
        <f>'[1]2024_60-69 ΕΞΟΔΑ+ΟΜ 2'!E15</f>
        <v/>
      </c>
      <c r="M55" s="102" t="n"/>
      <c r="N55" s="101">
        <f>L59+'[1]2026 Ιανουάριος'!L55</f>
        <v/>
      </c>
      <c r="O55" s="102">
        <f>N59/$N$43</f>
        <v/>
      </c>
      <c r="P55" s="101" t="n"/>
      <c r="Q55" s="102" t="n"/>
      <c r="R55" s="91" t="n"/>
      <c r="S55" s="91" t="n"/>
      <c r="T55" s="91" t="n"/>
      <c r="U55" s="91" t="n"/>
      <c r="V55" s="91" t="n"/>
    </row>
    <row r="56" ht="15" customHeight="1">
      <c r="A56" s="106" t="n">
        <v>59</v>
      </c>
      <c r="B56" s="106" t="n">
        <v>17</v>
      </c>
      <c r="C56" s="132">
        <f>[1]ΑΝΤΙΣΤΟΙΧΙΣΗ!I199</f>
        <v/>
      </c>
      <c r="D56" s="103">
        <f>'[1]2026_60-69 ΕΞΟΔΑ+ΟΜ 2'!E16</f>
        <v/>
      </c>
      <c r="E56" s="102">
        <f>D60/$D$78</f>
        <v/>
      </c>
      <c r="F56" s="101">
        <f>'[1]2026 Ιανουάριος'!F56+'2026 Φεβρουάριος'!D60</f>
        <v/>
      </c>
      <c r="G56" s="102">
        <f>F60/$F$43</f>
        <v/>
      </c>
      <c r="H56" s="103" t="n"/>
      <c r="I56" s="144">
        <f>H60/$H$43</f>
        <v/>
      </c>
      <c r="J56" s="101">
        <f>H60</f>
        <v/>
      </c>
      <c r="K56" s="143">
        <f>J60/$J$38</f>
        <v/>
      </c>
      <c r="L56" s="103">
        <f>'[1]2024_60-69 ΕΞΟΔΑ+ΟΜ 2'!E16</f>
        <v/>
      </c>
      <c r="M56" s="102">
        <f>L60/$L$43</f>
        <v/>
      </c>
      <c r="N56" s="101">
        <f>L60+'[1]2026 Ιανουάριος'!L56</f>
        <v/>
      </c>
      <c r="O56" s="102">
        <f>N60/$N$43</f>
        <v/>
      </c>
      <c r="P56" s="101">
        <f>F60-N60</f>
        <v/>
      </c>
      <c r="Q56" s="102">
        <f>N60/F60</f>
        <v/>
      </c>
      <c r="R56" s="91" t="n"/>
      <c r="S56" s="91" t="n"/>
      <c r="T56" s="91" t="n"/>
      <c r="U56" s="91" t="n"/>
      <c r="V56" s="91" t="n"/>
    </row>
    <row r="57" ht="15" customHeight="1">
      <c r="A57" s="106" t="n">
        <v>60</v>
      </c>
      <c r="B57" s="106" t="n">
        <v>18</v>
      </c>
      <c r="C57" s="132">
        <f>[1]ΑΝΤΙΣΤΟΙΧΙΣΗ!I200</f>
        <v/>
      </c>
      <c r="D57" s="103">
        <f>'[1]2026_60-69 ΕΞΟΔΑ+ΟΜ 2'!E17</f>
        <v/>
      </c>
      <c r="E57" s="102">
        <f>D61/$D$78</f>
        <v/>
      </c>
      <c r="F57" s="101">
        <f>'[1]2026 Ιανουάριος'!F57+'2026 Φεβρουάριος'!D61</f>
        <v/>
      </c>
      <c r="G57" s="102">
        <f>F61/$F$43</f>
        <v/>
      </c>
      <c r="H57" s="103" t="n"/>
      <c r="I57" s="144">
        <f>H61/$H$43</f>
        <v/>
      </c>
      <c r="J57" s="101">
        <f>H61</f>
        <v/>
      </c>
      <c r="K57" s="143">
        <f>J61/$J$38</f>
        <v/>
      </c>
      <c r="L57" s="103">
        <f>'[1]2024_60-69 ΕΞΟΔΑ+ΟΜ 2'!E17</f>
        <v/>
      </c>
      <c r="M57" s="102">
        <f>L61/$L$43</f>
        <v/>
      </c>
      <c r="N57" s="101">
        <f>L61+'[1]2026 Ιανουάριος'!L57</f>
        <v/>
      </c>
      <c r="O57" s="102">
        <f>N61/$N$43</f>
        <v/>
      </c>
      <c r="P57" s="101">
        <f>F61-N61</f>
        <v/>
      </c>
      <c r="Q57" s="102">
        <f>N61/F61</f>
        <v/>
      </c>
      <c r="R57" s="91" t="n"/>
      <c r="S57" s="91" t="n"/>
      <c r="T57" s="91" t="n"/>
      <c r="U57" s="91" t="n"/>
      <c r="V57" s="91" t="n"/>
    </row>
    <row r="58" ht="15" customHeight="1">
      <c r="A58" s="106" t="n">
        <v>61</v>
      </c>
      <c r="B58" s="106" t="n">
        <v>19</v>
      </c>
      <c r="C58" s="132">
        <f>[1]ΑΝΤΙΣΤΟΙΧΙΣΗ!I201</f>
        <v/>
      </c>
      <c r="D58" s="103">
        <f>'[1]2026_60-69 ΕΞΟΔΑ+ΟΜ 2'!E18</f>
        <v/>
      </c>
      <c r="E58" s="102">
        <f>D62/$D$78</f>
        <v/>
      </c>
      <c r="F58" s="101">
        <f>'[1]2026 Ιανουάριος'!F58+'2026 Φεβρουάριος'!D62</f>
        <v/>
      </c>
      <c r="G58" s="102">
        <f>F62/$F$43</f>
        <v/>
      </c>
      <c r="H58" s="103" t="n"/>
      <c r="I58" s="144">
        <f>H62/$H$43</f>
        <v/>
      </c>
      <c r="J58" s="101">
        <f>H62</f>
        <v/>
      </c>
      <c r="K58" s="143">
        <f>J62/$J$38</f>
        <v/>
      </c>
      <c r="L58" s="103">
        <f>'[1]2024_60-69 ΕΞΟΔΑ+ΟΜ 2'!E18</f>
        <v/>
      </c>
      <c r="M58" s="102">
        <f>L62/$L$43</f>
        <v/>
      </c>
      <c r="N58" s="101">
        <f>L62+'[1]2026 Ιανουάριος'!L58</f>
        <v/>
      </c>
      <c r="O58" s="102">
        <f>N62/$N$43</f>
        <v/>
      </c>
      <c r="P58" s="101">
        <f>F62-N62</f>
        <v/>
      </c>
      <c r="Q58" s="102">
        <f>N62/F62</f>
        <v/>
      </c>
      <c r="R58" s="91" t="n"/>
      <c r="S58" s="91" t="n"/>
      <c r="T58" s="91" t="n"/>
      <c r="U58" s="91" t="n"/>
      <c r="V58" s="91" t="n"/>
    </row>
    <row r="59" ht="15" customHeight="1">
      <c r="A59" s="106" t="n">
        <v>62</v>
      </c>
      <c r="B59" s="106" t="n">
        <v>20</v>
      </c>
      <c r="C59" s="132">
        <f>[1]ΑΝΤΙΣΤΟΙΧΙΣΗ!I202</f>
        <v/>
      </c>
      <c r="D59" s="103">
        <f>'[1]2026_60-69 ΕΞΟΔΑ+ΟΜ 2'!E19</f>
        <v/>
      </c>
      <c r="E59" s="102">
        <f>D63/$D$78</f>
        <v/>
      </c>
      <c r="F59" s="101">
        <f>'[1]2026 Ιανουάριος'!F59+'2026 Φεβρουάριος'!D63</f>
        <v/>
      </c>
      <c r="G59" s="102">
        <f>F63/$F$43</f>
        <v/>
      </c>
      <c r="H59" s="103" t="n"/>
      <c r="I59" s="144">
        <f>H63/$H$43</f>
        <v/>
      </c>
      <c r="J59" s="101">
        <f>H63</f>
        <v/>
      </c>
      <c r="K59" s="143">
        <f>J63/$J$38</f>
        <v/>
      </c>
      <c r="L59" s="103">
        <f>'[1]2024_60-69 ΕΞΟΔΑ+ΟΜ 2'!E19</f>
        <v/>
      </c>
      <c r="M59" s="102">
        <f>L63/$L$43</f>
        <v/>
      </c>
      <c r="N59" s="101">
        <f>L63+'[1]2026 Ιανουάριος'!L59</f>
        <v/>
      </c>
      <c r="O59" s="102">
        <f>N63/$N$43</f>
        <v/>
      </c>
      <c r="P59" s="101">
        <f>F63-N63</f>
        <v/>
      </c>
      <c r="Q59" s="102">
        <f>N63/F63</f>
        <v/>
      </c>
      <c r="R59" s="91" t="n"/>
      <c r="S59" s="91" t="n"/>
      <c r="T59" s="91" t="n"/>
      <c r="U59" s="91" t="n"/>
      <c r="V59" s="91" t="n"/>
    </row>
    <row r="60" ht="28.5" customHeight="1">
      <c r="A60" s="106" t="n">
        <v>63</v>
      </c>
      <c r="B60" s="106" t="n">
        <v>21</v>
      </c>
      <c r="C60" s="132">
        <f>[1]ΑΝΤΙΣΤΟΙΧΙΣΗ!I203</f>
        <v/>
      </c>
      <c r="D60" s="103">
        <f>'[1]2026_60-69 ΕΞΟΔΑ+ΟΜ 2'!E20</f>
        <v/>
      </c>
      <c r="E60" s="102">
        <f>D64/$D$78</f>
        <v/>
      </c>
      <c r="F60" s="101">
        <f>'[1]2026 Ιανουάριος'!F60+'2026 Φεβρουάριος'!D64</f>
        <v/>
      </c>
      <c r="G60" s="102">
        <f>F64/$F$43</f>
        <v/>
      </c>
      <c r="H60" s="103" t="n"/>
      <c r="I60" s="144">
        <f>H64/$H$43</f>
        <v/>
      </c>
      <c r="J60" s="101">
        <f>H64</f>
        <v/>
      </c>
      <c r="K60" s="143">
        <f>J64/$J$38</f>
        <v/>
      </c>
      <c r="L60" s="103">
        <f>'[1]2024_60-69 ΕΞΟΔΑ+ΟΜ 2'!E20</f>
        <v/>
      </c>
      <c r="M60" s="102">
        <f>L64/$L$43</f>
        <v/>
      </c>
      <c r="N60" s="101">
        <f>L64+'[1]2026 Ιανουάριος'!L60</f>
        <v/>
      </c>
      <c r="O60" s="102">
        <f>N64/$N$43</f>
        <v/>
      </c>
      <c r="P60" s="101">
        <f>F64-N64</f>
        <v/>
      </c>
      <c r="Q60" s="102">
        <f>N64/F64</f>
        <v/>
      </c>
      <c r="R60" s="91" t="n"/>
      <c r="S60" s="91" t="n"/>
      <c r="T60" s="91" t="n"/>
      <c r="U60" s="91" t="n"/>
      <c r="V60" s="91" t="n"/>
    </row>
    <row r="61" ht="15" customHeight="1">
      <c r="A61" s="106" t="n">
        <v>64</v>
      </c>
      <c r="B61" s="106" t="n">
        <v>22</v>
      </c>
      <c r="C61" s="132">
        <f>[1]ΑΝΤΙΣΤΟΙΧΙΣΗ!I204</f>
        <v/>
      </c>
      <c r="D61" s="103">
        <f>'[1]2026_60-69 ΕΞΟΔΑ+ΟΜ 2'!D184</f>
        <v/>
      </c>
      <c r="E61" s="102">
        <f>D65/$D$78</f>
        <v/>
      </c>
      <c r="F61" s="101">
        <f>'[1]2026 Ιανουάριος'!F61+'2026 Φεβρουάριος'!D65</f>
        <v/>
      </c>
      <c r="G61" s="102">
        <f>F65/$F$43</f>
        <v/>
      </c>
      <c r="H61" s="103" t="n"/>
      <c r="I61" s="144">
        <f>H65/$H$43</f>
        <v/>
      </c>
      <c r="J61" s="101">
        <f>H65</f>
        <v/>
      </c>
      <c r="K61" s="143">
        <f>J65/$J$38</f>
        <v/>
      </c>
      <c r="L61" s="103">
        <f>'[1]2024_60-69 ΕΞΟΔΑ+ΟΜ 2'!E21</f>
        <v/>
      </c>
      <c r="M61" s="102">
        <f>L65/$L$43</f>
        <v/>
      </c>
      <c r="N61" s="101">
        <f>L65+'[1]2026 Ιανουάριος'!L61</f>
        <v/>
      </c>
      <c r="O61" s="102">
        <f>N65/$N$43</f>
        <v/>
      </c>
      <c r="P61" s="101">
        <f>F65-N65</f>
        <v/>
      </c>
      <c r="Q61" s="102">
        <f>N65/F65</f>
        <v/>
      </c>
      <c r="R61" s="91" t="n"/>
      <c r="S61" s="91" t="n"/>
      <c r="T61" s="91" t="n"/>
      <c r="U61" s="91" t="n"/>
      <c r="V61" s="91" t="n"/>
    </row>
    <row r="62" ht="15" customHeight="1">
      <c r="A62" s="106" t="n">
        <v>65</v>
      </c>
      <c r="B62" s="106" t="n">
        <v>23</v>
      </c>
      <c r="C62" s="107">
        <f>[1]ΑΝΤΙΣΤΟΙΧΙΣΗ!I205</f>
        <v/>
      </c>
      <c r="D62" s="103">
        <f>'[1]2026_60-69 ΕΞΟΔΑ+ΟΜ 2'!E22</f>
        <v/>
      </c>
      <c r="E62" s="102">
        <f>D66/$D$78</f>
        <v/>
      </c>
      <c r="F62" s="101">
        <f>'[1]2026 Ιανουάριος'!F62+'2026 Φεβρουάριος'!D66</f>
        <v/>
      </c>
      <c r="G62" s="102">
        <f>F66/$F$43</f>
        <v/>
      </c>
      <c r="H62" s="103" t="n"/>
      <c r="I62" s="144">
        <f>H66/$H$43</f>
        <v/>
      </c>
      <c r="J62" s="101">
        <f>H66</f>
        <v/>
      </c>
      <c r="K62" s="143">
        <f>J66/$J$38</f>
        <v/>
      </c>
      <c r="L62" s="103">
        <f>'[1]2024_60-69 ΕΞΟΔΑ+ΟΜ 2'!E22</f>
        <v/>
      </c>
      <c r="M62" s="102">
        <f>L66/$L$43</f>
        <v/>
      </c>
      <c r="N62" s="101">
        <f>L66+'[1]2026 Ιανουάριος'!L62</f>
        <v/>
      </c>
      <c r="O62" s="102">
        <f>N66/$N$43</f>
        <v/>
      </c>
      <c r="P62" s="101">
        <f>F66-N66</f>
        <v/>
      </c>
      <c r="Q62" s="102">
        <f>N66/F66</f>
        <v/>
      </c>
      <c r="R62" s="91" t="n"/>
      <c r="S62" s="91" t="n"/>
      <c r="T62" s="91" t="n"/>
      <c r="U62" s="91" t="n"/>
      <c r="V62" s="91" t="n"/>
    </row>
    <row r="63" ht="15" customHeight="1">
      <c r="A63" s="106" t="n">
        <v>66</v>
      </c>
      <c r="B63" s="106" t="n">
        <v>24</v>
      </c>
      <c r="C63" s="108">
        <f>[1]ΑΝΤΙΣΤΟΙΧΙΣΗ!I206</f>
        <v/>
      </c>
      <c r="D63" s="103">
        <f>'[1]2026_60-69 ΕΞΟΔΑ+ΟΜ 2'!E23</f>
        <v/>
      </c>
      <c r="E63" s="102">
        <f>D67/$D$78</f>
        <v/>
      </c>
      <c r="F63" s="101">
        <f>'[1]2026 Ιανουάριος'!F63+'2026 Φεβρουάριος'!D67</f>
        <v/>
      </c>
      <c r="G63" s="102">
        <f>F67/$F$43</f>
        <v/>
      </c>
      <c r="H63" s="103" t="n"/>
      <c r="I63" s="144">
        <f>H67/$H$43</f>
        <v/>
      </c>
      <c r="J63" s="101">
        <f>H67</f>
        <v/>
      </c>
      <c r="K63" s="143">
        <f>J67/$J$38</f>
        <v/>
      </c>
      <c r="L63" s="103">
        <f>'[1]2024_60-69 ΕΞΟΔΑ+ΟΜ 2'!E23</f>
        <v/>
      </c>
      <c r="M63" s="102">
        <f>L67/$L$43</f>
        <v/>
      </c>
      <c r="N63" s="101">
        <f>L67+'[1]2026 Ιανουάριος'!L63</f>
        <v/>
      </c>
      <c r="O63" s="102">
        <f>N67/$N$43</f>
        <v/>
      </c>
      <c r="P63" s="101">
        <f>F67-N67</f>
        <v/>
      </c>
      <c r="Q63" s="102">
        <f>N67/F67</f>
        <v/>
      </c>
      <c r="R63" s="91" t="n"/>
      <c r="S63" s="91" t="n"/>
      <c r="T63" s="91" t="n"/>
      <c r="U63" s="91" t="n"/>
      <c r="V63" s="91" t="n"/>
    </row>
    <row r="64" ht="15" customHeight="1">
      <c r="A64" s="106" t="n">
        <v>67</v>
      </c>
      <c r="B64" s="106" t="n">
        <v>25</v>
      </c>
      <c r="C64" s="145">
        <f>[1]ΑΝΤΙΣΤΟΙΧΙΣΗ!I207</f>
        <v/>
      </c>
      <c r="D64" s="103">
        <f>'[1]2026_60-69 ΕΞΟΔΑ+ΟΜ 2'!E24</f>
        <v/>
      </c>
      <c r="E64" s="102">
        <f>D68/$D$78</f>
        <v/>
      </c>
      <c r="F64" s="101">
        <f>'[1]2026 Ιανουάριος'!F64+'2026 Φεβρουάριος'!D68</f>
        <v/>
      </c>
      <c r="G64" s="102">
        <f>F68/$F$43</f>
        <v/>
      </c>
      <c r="H64" s="103" t="n"/>
      <c r="I64" s="144">
        <f>H68/$H$43</f>
        <v/>
      </c>
      <c r="J64" s="101">
        <f>H68</f>
        <v/>
      </c>
      <c r="K64" s="143">
        <f>J68/$J$38</f>
        <v/>
      </c>
      <c r="L64" s="103">
        <f>'[1]2024_60-69 ΕΞΟΔΑ+ΟΜ 2'!E24</f>
        <v/>
      </c>
      <c r="M64" s="102">
        <f>L68/$L$43</f>
        <v/>
      </c>
      <c r="N64" s="101">
        <f>L68+'[1]2026 Ιανουάριος'!L64</f>
        <v/>
      </c>
      <c r="O64" s="102">
        <f>N68/$N$43</f>
        <v/>
      </c>
      <c r="P64" s="101">
        <f>F68-N68</f>
        <v/>
      </c>
      <c r="Q64" s="102">
        <f>N68/F68</f>
        <v/>
      </c>
      <c r="R64" s="91" t="n"/>
      <c r="S64" s="91" t="n"/>
      <c r="T64" s="91" t="n"/>
      <c r="U64" s="91" t="n"/>
      <c r="V64" s="91" t="n"/>
    </row>
    <row r="65" ht="15" customHeight="1">
      <c r="A65" s="106" t="n">
        <v>68</v>
      </c>
      <c r="B65" s="106" t="n">
        <v>26</v>
      </c>
      <c r="C65" s="145">
        <f>[1]ΑΝΤΙΣΤΟΙΧΙΣΗ!I208</f>
        <v/>
      </c>
      <c r="D65" s="103">
        <f>'[1]2026_60-69 ΕΞΟΔΑ+ΟΜ 2'!E25</f>
        <v/>
      </c>
      <c r="E65" s="102">
        <f>D69/$D$78</f>
        <v/>
      </c>
      <c r="F65" s="101">
        <f>'[1]2026 Ιανουάριος'!F65+'2026 Φεβρουάριος'!D69</f>
        <v/>
      </c>
      <c r="G65" s="102">
        <f>F69/$F$43</f>
        <v/>
      </c>
      <c r="H65" s="103" t="n"/>
      <c r="I65" s="144">
        <f>H69/$H$43</f>
        <v/>
      </c>
      <c r="J65" s="101">
        <f>H69</f>
        <v/>
      </c>
      <c r="K65" s="143">
        <f>J69/$J$38</f>
        <v/>
      </c>
      <c r="L65" s="103">
        <f>'[1]2024_60-69 ΕΞΟΔΑ+ΟΜ 2'!E25</f>
        <v/>
      </c>
      <c r="M65" s="102">
        <f>L69/$L$43</f>
        <v/>
      </c>
      <c r="N65" s="101">
        <f>L69+'[1]2026 Ιανουάριος'!L65</f>
        <v/>
      </c>
      <c r="O65" s="102">
        <f>N69/$N$43</f>
        <v/>
      </c>
      <c r="P65" s="101">
        <f>F69-N69</f>
        <v/>
      </c>
      <c r="Q65" s="102">
        <f>N69/F69</f>
        <v/>
      </c>
      <c r="R65" s="91" t="n"/>
      <c r="S65" s="91" t="n"/>
      <c r="T65" s="91" t="n"/>
      <c r="U65" s="91" t="n"/>
      <c r="V65" s="91" t="n"/>
    </row>
    <row r="66" ht="15" customHeight="1">
      <c r="A66" s="106" t="n">
        <v>69</v>
      </c>
      <c r="B66" s="106" t="n">
        <v>27</v>
      </c>
      <c r="C66" s="107">
        <f>[1]ΑΝΤΙΣΤΟΙΧΙΣΗ!I209</f>
        <v/>
      </c>
      <c r="D66" s="103">
        <f>'[1]2026_60-69 ΕΞΟΔΑ+ΟΜ 2'!E26</f>
        <v/>
      </c>
      <c r="E66" s="102">
        <f>D70/$D$78</f>
        <v/>
      </c>
      <c r="F66" s="101">
        <f>'[1]2026 Ιανουάριος'!F66+'2026 Φεβρουάριος'!D70</f>
        <v/>
      </c>
      <c r="G66" s="102">
        <f>F70/$F$43</f>
        <v/>
      </c>
      <c r="H66" s="103" t="n"/>
      <c r="I66" s="144">
        <f>H70/$H$43</f>
        <v/>
      </c>
      <c r="J66" s="101">
        <f>H70</f>
        <v/>
      </c>
      <c r="K66" s="143">
        <f>J70/$J$38</f>
        <v/>
      </c>
      <c r="L66" s="103">
        <f>'[1]2024_60-69 ΕΞΟΔΑ+ΟΜ 2'!E26</f>
        <v/>
      </c>
      <c r="M66" s="102">
        <f>L70/$L$43</f>
        <v/>
      </c>
      <c r="N66" s="101">
        <f>L70+'[1]2026 Ιανουάριος'!L66</f>
        <v/>
      </c>
      <c r="O66" s="102">
        <f>N70/$N$43</f>
        <v/>
      </c>
      <c r="P66" s="101">
        <f>F70-N70</f>
        <v/>
      </c>
      <c r="Q66" s="102">
        <f>N70/F70</f>
        <v/>
      </c>
      <c r="R66" s="91" t="n"/>
      <c r="S66" s="91" t="n"/>
      <c r="T66" s="91" t="n"/>
      <c r="U66" s="91" t="n"/>
      <c r="V66" s="91" t="n"/>
    </row>
    <row r="67" ht="15" customHeight="1">
      <c r="A67" s="106" t="n">
        <v>70</v>
      </c>
      <c r="B67" s="106" t="n">
        <v>28</v>
      </c>
      <c r="C67" s="145">
        <f>[1]ΑΝΤΙΣΤΟΙΧΙΣΗ!I210</f>
        <v/>
      </c>
      <c r="D67" s="103">
        <f>'[1]2026_60-69 ΕΞΟΔΑ+ΟΜ 2'!E27</f>
        <v/>
      </c>
      <c r="E67" s="102">
        <f>D71/$D$78</f>
        <v/>
      </c>
      <c r="F67" s="101">
        <f>'[1]2026 Ιανουάριος'!F67+'2026 Φεβρουάριος'!D71</f>
        <v/>
      </c>
      <c r="G67" s="102">
        <f>F71/$F$43</f>
        <v/>
      </c>
      <c r="H67" s="103" t="n"/>
      <c r="I67" s="144">
        <f>H71/$H$43</f>
        <v/>
      </c>
      <c r="J67" s="101">
        <f>H71</f>
        <v/>
      </c>
      <c r="K67" s="143">
        <f>J71/$J$38</f>
        <v/>
      </c>
      <c r="L67" s="103">
        <f>'[1]2024_60-69 ΕΞΟΔΑ+ΟΜ 2'!E27</f>
        <v/>
      </c>
      <c r="M67" s="102">
        <f>L71/$L$43</f>
        <v/>
      </c>
      <c r="N67" s="101">
        <f>L71+'[1]2026 Ιανουάριος'!L67</f>
        <v/>
      </c>
      <c r="O67" s="102">
        <f>N71/$N$43</f>
        <v/>
      </c>
      <c r="P67" s="101">
        <f>F71-N71</f>
        <v/>
      </c>
      <c r="Q67" s="102">
        <f>N71/F71</f>
        <v/>
      </c>
      <c r="R67" s="91" t="n"/>
      <c r="S67" s="91" t="n"/>
      <c r="T67" s="91" t="n"/>
      <c r="U67" s="91" t="n"/>
      <c r="V67" s="91" t="n"/>
    </row>
    <row r="68" ht="15" customHeight="1">
      <c r="A68" s="106" t="n">
        <v>71</v>
      </c>
      <c r="B68" s="106" t="n">
        <v>29</v>
      </c>
      <c r="C68" s="145">
        <f>[1]ΑΝΤΙΣΤΟΙΧΙΣΗ!I211</f>
        <v/>
      </c>
      <c r="D68" s="103">
        <f>'[1]2026_60-69 ΕΞΟΔΑ+ΟΜ 2'!E28</f>
        <v/>
      </c>
      <c r="E68" s="102">
        <f>D72/$D$78</f>
        <v/>
      </c>
      <c r="F68" s="101">
        <f>'[1]2026 Ιανουάριος'!F68+'2026 Φεβρουάριος'!D72</f>
        <v/>
      </c>
      <c r="G68" s="102">
        <f>F72/$F$43</f>
        <v/>
      </c>
      <c r="H68" s="103" t="n"/>
      <c r="I68" s="144">
        <f>H72/$H$43</f>
        <v/>
      </c>
      <c r="J68" s="101">
        <f>H72</f>
        <v/>
      </c>
      <c r="K68" s="143">
        <f>J72/$J$38</f>
        <v/>
      </c>
      <c r="L68" s="103">
        <f>'[1]2024_60-69 ΕΞΟΔΑ+ΟΜ 2'!E28</f>
        <v/>
      </c>
      <c r="M68" s="102">
        <f>L72/$L$43</f>
        <v/>
      </c>
      <c r="N68" s="101">
        <f>L72+'[1]2026 Ιανουάριος'!L68</f>
        <v/>
      </c>
      <c r="O68" s="102">
        <f>N72/$N$43</f>
        <v/>
      </c>
      <c r="P68" s="101">
        <f>F72-N72</f>
        <v/>
      </c>
      <c r="Q68" s="102">
        <f>N72/F72</f>
        <v/>
      </c>
      <c r="R68" s="91" t="n"/>
      <c r="S68" s="91" t="n"/>
      <c r="T68" s="91" t="n"/>
      <c r="U68" s="91" t="n"/>
      <c r="V68" s="91" t="n"/>
    </row>
    <row r="69" ht="42.75" customHeight="1">
      <c r="A69" s="106" t="n">
        <v>72</v>
      </c>
      <c r="B69" s="106" t="n">
        <v>30</v>
      </c>
      <c r="C69" s="132">
        <f>[1]ΑΝΤΙΣΤΟΙΧΙΣΗ!I212</f>
        <v/>
      </c>
      <c r="D69" s="103">
        <f>'[1]2026_60-69 ΕΞΟΔΑ+ΟΜ 2'!E29</f>
        <v/>
      </c>
      <c r="E69" s="102">
        <f>D73/$D$78</f>
        <v/>
      </c>
      <c r="F69" s="101">
        <f>'[1]2026 Ιανουάριος'!F69+'2026 Φεβρουάριος'!D73</f>
        <v/>
      </c>
      <c r="G69" s="102">
        <f>F73/$F$43</f>
        <v/>
      </c>
      <c r="H69" s="103" t="n"/>
      <c r="I69" s="144">
        <f>H73/$H$43</f>
        <v/>
      </c>
      <c r="J69" s="101">
        <f>H73</f>
        <v/>
      </c>
      <c r="K69" s="143">
        <f>J73/$J$38</f>
        <v/>
      </c>
      <c r="L69" s="103">
        <f>'[1]2024_60-69 ΕΞΟΔΑ+ΟΜ 2'!E29</f>
        <v/>
      </c>
      <c r="M69" s="102">
        <f>L73/$L$43</f>
        <v/>
      </c>
      <c r="N69" s="101">
        <f>L73+'[1]2026 Ιανουάριος'!L69</f>
        <v/>
      </c>
      <c r="O69" s="102">
        <f>N73/$N$43</f>
        <v/>
      </c>
      <c r="P69" s="101">
        <f>F73-N73</f>
        <v/>
      </c>
      <c r="Q69" s="102">
        <f>N73/F73</f>
        <v/>
      </c>
      <c r="R69" s="91" t="n"/>
      <c r="S69" s="91" t="n"/>
      <c r="T69" s="91" t="n"/>
      <c r="U69" s="91" t="n"/>
      <c r="V69" s="91" t="n"/>
    </row>
    <row r="70" ht="15" customHeight="1">
      <c r="A70" s="106" t="n">
        <v>73</v>
      </c>
      <c r="B70" s="106" t="n">
        <v>31</v>
      </c>
      <c r="C70" s="132">
        <f>[1]ΑΝΤΙΣΤΟΙΧΙΣΗ!I213</f>
        <v/>
      </c>
      <c r="D70" s="103" t="n">
        <v>0</v>
      </c>
      <c r="E70" s="102">
        <f>D74/$D$78</f>
        <v/>
      </c>
      <c r="F70" s="101">
        <f>'[1]2026 Ιανουάριος'!F70+'2026 Φεβρουάριος'!D74</f>
        <v/>
      </c>
      <c r="G70" s="102">
        <f>F74/$F$43</f>
        <v/>
      </c>
      <c r="H70" s="103" t="n"/>
      <c r="I70" s="144">
        <f>H74/$H$43</f>
        <v/>
      </c>
      <c r="J70" s="101">
        <f>H74</f>
        <v/>
      </c>
      <c r="K70" s="143">
        <f>J74/$J$38</f>
        <v/>
      </c>
      <c r="L70" s="103">
        <f>'[1]2024_60-69 ΕΞΟΔΑ+ΟΜ 2'!E30</f>
        <v/>
      </c>
      <c r="M70" s="102">
        <f>L74/$L$43</f>
        <v/>
      </c>
      <c r="N70" s="101">
        <f>L74+'[1]2026 Ιανουάριος'!L70</f>
        <v/>
      </c>
      <c r="O70" s="102">
        <f>N74/$N$43</f>
        <v/>
      </c>
      <c r="P70" s="101">
        <f>F74-N74</f>
        <v/>
      </c>
      <c r="Q70" s="102">
        <f>N74/F74</f>
        <v/>
      </c>
      <c r="R70" s="91" t="n"/>
      <c r="S70" s="91" t="n"/>
      <c r="T70" s="91" t="n"/>
      <c r="U70" s="91" t="n"/>
      <c r="V70" s="91" t="n"/>
    </row>
    <row r="71" ht="15" customHeight="1">
      <c r="A71" s="106" t="n">
        <v>74</v>
      </c>
      <c r="B71" s="106" t="n">
        <v>32</v>
      </c>
      <c r="C71" s="145">
        <f>[1]ΑΝΤΙΣΤΟΙΧΙΣΗ!I214</f>
        <v/>
      </c>
      <c r="D71" s="103">
        <f>'[1]2026_60-69 ΕΞΟΔΑ+ΟΜ 2'!E31</f>
        <v/>
      </c>
      <c r="E71" s="102">
        <f>D75/$D$78</f>
        <v/>
      </c>
      <c r="F71" s="101">
        <f>'[1]2026 Ιανουάριος'!F71+'2026 Φεβρουάριος'!D75</f>
        <v/>
      </c>
      <c r="G71" s="102">
        <f>F75/$F$43</f>
        <v/>
      </c>
      <c r="H71" s="103" t="n"/>
      <c r="I71" s="144">
        <f>H75/$H$43</f>
        <v/>
      </c>
      <c r="J71" s="101">
        <f>H75</f>
        <v/>
      </c>
      <c r="K71" s="143">
        <f>J75/$J$38</f>
        <v/>
      </c>
      <c r="L71" s="103">
        <f>'[1]2024_60-69 ΕΞΟΔΑ+ΟΜ 2'!E31</f>
        <v/>
      </c>
      <c r="M71" s="102">
        <f>L75/$L$43</f>
        <v/>
      </c>
      <c r="N71" s="101">
        <f>L75+'[1]2026 Ιανουάριος'!L71</f>
        <v/>
      </c>
      <c r="O71" s="102">
        <f>N75/$N$43</f>
        <v/>
      </c>
      <c r="P71" s="101">
        <f>F75-N75</f>
        <v/>
      </c>
      <c r="Q71" s="102">
        <f>N75/F75</f>
        <v/>
      </c>
      <c r="R71" s="91" t="n"/>
      <c r="S71" s="91" t="n"/>
      <c r="T71" s="91" t="n"/>
      <c r="U71" s="91" t="n"/>
      <c r="V71" s="91" t="n"/>
    </row>
    <row r="72" ht="42.75" customHeight="1">
      <c r="A72" s="106" t="n">
        <v>75</v>
      </c>
      <c r="B72" s="106" t="n">
        <v>33</v>
      </c>
      <c r="C72" s="145">
        <f>[1]ΑΝΤΙΣΤΟΙΧΙΣΗ!I215</f>
        <v/>
      </c>
      <c r="D72" s="103">
        <f>'[1]2026_60-69 ΕΞΟΔΑ+ΟΜ 2'!E32</f>
        <v/>
      </c>
      <c r="E72" s="102">
        <f>D76/$D$78</f>
        <v/>
      </c>
      <c r="F72" s="101">
        <f>'[1]2026 Ιανουάριος'!F72+'2026 Φεβρουάριος'!D76</f>
        <v/>
      </c>
      <c r="G72" s="102">
        <f>F76/$F$43</f>
        <v/>
      </c>
      <c r="H72" s="103" t="n"/>
      <c r="I72" s="144">
        <f>H76/$H$43</f>
        <v/>
      </c>
      <c r="J72" s="101">
        <f>H76</f>
        <v/>
      </c>
      <c r="K72" s="143">
        <f>J76/$J$38</f>
        <v/>
      </c>
      <c r="L72" s="103">
        <f>'[1]2024_60-69 ΕΞΟΔΑ+ΟΜ 2'!E32</f>
        <v/>
      </c>
      <c r="M72" s="102">
        <f>L76/$L$43</f>
        <v/>
      </c>
      <c r="N72" s="101">
        <f>L76+'[1]2026 Ιανουάριος'!L72</f>
        <v/>
      </c>
      <c r="O72" s="102">
        <f>N76/$N$43</f>
        <v/>
      </c>
      <c r="P72" s="101">
        <f>F76-N76</f>
        <v/>
      </c>
      <c r="Q72" s="102">
        <f>N76/F76</f>
        <v/>
      </c>
      <c r="R72" s="91" t="n"/>
      <c r="S72" s="91" t="n"/>
      <c r="T72" s="91" t="n"/>
      <c r="U72" s="91" t="n"/>
      <c r="V72" s="91" t="n"/>
    </row>
    <row r="73" ht="22.5" customHeight="1">
      <c r="A73" s="106" t="n">
        <v>76</v>
      </c>
      <c r="B73" s="106" t="n">
        <v>34</v>
      </c>
      <c r="C73" s="145">
        <f>[1]ΑΝΤΙΣΤΟΙΧΙΣΗ!I216</f>
        <v/>
      </c>
      <c r="D73" s="103">
        <f>'[1]2026_60-69 ΕΞΟΔΑ+ΟΜ 2'!E33</f>
        <v/>
      </c>
      <c r="E73" s="102">
        <f>D77/$D$78</f>
        <v/>
      </c>
      <c r="F73" s="101">
        <f>'[1]2026 Ιανουάριος'!F73+'2026 Φεβρουάριος'!D77</f>
        <v/>
      </c>
      <c r="G73" s="102">
        <f>F77/$F$43</f>
        <v/>
      </c>
      <c r="H73" s="103" t="n"/>
      <c r="I73" s="144">
        <f>H77/$H$43</f>
        <v/>
      </c>
      <c r="J73" s="101">
        <f>H77</f>
        <v/>
      </c>
      <c r="K73" s="143">
        <f>J77/$J$38</f>
        <v/>
      </c>
      <c r="L73" s="103">
        <f>'[1]2024_60-69 ΕΞΟΔΑ+ΟΜ 2'!E33</f>
        <v/>
      </c>
      <c r="M73" s="102">
        <f>L77/$L$43</f>
        <v/>
      </c>
      <c r="N73" s="101">
        <f>L77+'[1]2026 Ιανουάριος'!L73</f>
        <v/>
      </c>
      <c r="O73" s="102">
        <f>N77/$N$43</f>
        <v/>
      </c>
      <c r="P73" s="101">
        <f>F77-N77</f>
        <v/>
      </c>
      <c r="Q73" s="102">
        <f>N77/F77</f>
        <v/>
      </c>
      <c r="R73" s="91" t="n"/>
      <c r="S73" s="91" t="n"/>
      <c r="T73" s="91" t="n"/>
      <c r="U73" s="91" t="n"/>
      <c r="V73" s="91" t="n"/>
    </row>
    <row r="74" ht="36" customHeight="1">
      <c r="A74" s="113" t="n">
        <v>77</v>
      </c>
      <c r="B74" s="113" t="n"/>
      <c r="C74" s="135" t="inlineStr">
        <is>
          <t>ΣΥΝΟΛΟ ΑΜΕΣΟΥ ΚΟΣΤΟΥΣ</t>
        </is>
      </c>
      <c r="D74" s="97">
        <f>'[1]2026_60-69 ΕΞΟΔΑ+ΟΜ 2'!E3</f>
        <v/>
      </c>
      <c r="E74" s="142" t="n"/>
      <c r="F74" s="97">
        <f>'[1]2026_60-69 ΕΞΟΔΑ+ΟΜ 2'!R3</f>
        <v/>
      </c>
      <c r="G74" s="142" t="n"/>
      <c r="H74" s="97">
        <f>SUM(H44:H77)</f>
        <v/>
      </c>
      <c r="I74" s="142" t="n"/>
      <c r="J74" s="97">
        <f>SUM(J44:J77)</f>
        <v/>
      </c>
      <c r="K74" s="142" t="n"/>
      <c r="L74" s="97">
        <f>SUM(L44:L77)</f>
        <v/>
      </c>
      <c r="M74" s="142" t="n"/>
      <c r="N74" s="97">
        <f>SUM(N44:N77)</f>
        <v/>
      </c>
      <c r="O74" s="142" t="n"/>
      <c r="P74" s="97">
        <f>SUM(P44:P77)</f>
        <v/>
      </c>
      <c r="Q74" s="142" t="n"/>
      <c r="R74" s="91" t="n"/>
      <c r="S74" s="91" t="n"/>
      <c r="T74" s="91" t="n"/>
      <c r="U74" s="91" t="n"/>
      <c r="V74" s="91" t="n"/>
    </row>
    <row r="75" ht="36" customHeight="1">
      <c r="A75" s="113" t="n">
        <v>78</v>
      </c>
      <c r="B75" s="113" t="n"/>
      <c r="C75" s="121" t="inlineStr">
        <is>
          <t>Ελεγχος Ορθότητας ( πρέπει να είναι 0)</t>
        </is>
      </c>
      <c r="D75" s="97">
        <f>D43-D78</f>
        <v/>
      </c>
      <c r="E75" s="142" t="n"/>
      <c r="F75" s="97">
        <f>F43-F78</f>
        <v/>
      </c>
      <c r="G75" s="142" t="n"/>
      <c r="H75" s="97">
        <f>H43-H78</f>
        <v/>
      </c>
      <c r="I75" s="142" t="n"/>
      <c r="J75" s="97">
        <f>J43-J78</f>
        <v/>
      </c>
      <c r="K75" s="142" t="n"/>
      <c r="L75" s="97">
        <f>L43-L78</f>
        <v/>
      </c>
      <c r="M75" s="142" t="n"/>
      <c r="N75" s="97">
        <f>N43-N78</f>
        <v/>
      </c>
      <c r="O75" s="142" t="n"/>
      <c r="P75" s="97">
        <f>P43-P78</f>
        <v/>
      </c>
      <c r="Q75" s="142" t="n"/>
      <c r="R75" s="91" t="n"/>
      <c r="S75" s="91" t="n"/>
      <c r="T75" s="91" t="n"/>
      <c r="U75" s="91" t="n"/>
      <c r="V75" s="91" t="n"/>
    </row>
    <row r="76" ht="36" customHeight="1">
      <c r="A76" s="141" t="n">
        <v>79</v>
      </c>
      <c r="B76" s="141" t="n"/>
      <c r="C76" s="140" t="inlineStr">
        <is>
          <t xml:space="preserve">Μεικτό περιθώριο Κέρδους </t>
        </is>
      </c>
      <c r="D76" s="137">
        <f>D38-D78</f>
        <v/>
      </c>
      <c r="E76" s="136" t="n"/>
      <c r="F76" s="137">
        <f>F38-F78</f>
        <v/>
      </c>
      <c r="G76" s="136" t="n"/>
      <c r="H76" s="139">
        <f>H38-H78</f>
        <v/>
      </c>
      <c r="I76" s="136">
        <f>I38-I43</f>
        <v/>
      </c>
      <c r="J76" s="139">
        <f>J38-J78</f>
        <v/>
      </c>
      <c r="K76" s="136" t="n"/>
      <c r="L76" s="138">
        <f>L38-L78</f>
        <v/>
      </c>
      <c r="M76" s="136" t="n"/>
      <c r="N76" s="137">
        <f>N38-N78</f>
        <v/>
      </c>
      <c r="O76" s="136" t="n"/>
      <c r="P76" s="137">
        <f>P38-P78</f>
        <v/>
      </c>
      <c r="Q76" s="136" t="n"/>
      <c r="R76" s="91" t="n"/>
      <c r="S76" s="91" t="n"/>
      <c r="T76" s="91" t="n"/>
      <c r="U76" s="91" t="n"/>
      <c r="V76" s="91" t="n"/>
    </row>
    <row r="77" ht="36" customHeight="1">
      <c r="A77" s="119" t="n">
        <v>80</v>
      </c>
      <c r="B77" s="119" t="n"/>
      <c r="C77" s="119" t="inlineStr">
        <is>
          <t>ΑΝΑΛΥΣΗ ΕΤΟΥΣ 2026</t>
        </is>
      </c>
      <c r="D77" s="184">
        <f>[1]ΑΝΤΙΣΤΟΙΧΙΣΗ!$F$32</f>
        <v/>
      </c>
      <c r="E77" s="192" t="n"/>
      <c r="F77" s="192" t="n"/>
      <c r="G77" s="56" t="n"/>
      <c r="H77" s="184">
        <f>[1]ΑΝΤΙΣΤΟΙΧΙΣΗ!$F$35</f>
        <v/>
      </c>
      <c r="I77" s="192" t="n"/>
      <c r="J77" s="192" t="n"/>
      <c r="K77" s="56" t="n"/>
      <c r="L77" s="184">
        <f>[1]ΑΝΤΙΣΤΟΙΧΙΣΗ!$F$68</f>
        <v/>
      </c>
      <c r="M77" s="192" t="n"/>
      <c r="N77" s="192" t="n"/>
      <c r="O77" s="56" t="n"/>
      <c r="P77" s="185">
        <f>[1]ΑΝΤΙΣΤΟΙΧΙΣΗ!$F$100</f>
        <v/>
      </c>
      <c r="Q77" s="56" t="n"/>
      <c r="R77" s="91" t="n"/>
      <c r="S77" s="91" t="n"/>
      <c r="T77" s="91" t="n"/>
      <c r="U77" s="91" t="n"/>
      <c r="V77" s="91" t="n"/>
    </row>
    <row r="78" ht="36" customHeight="1">
      <c r="A78" s="112" t="n">
        <v>81</v>
      </c>
      <c r="B78" s="112" t="n"/>
      <c r="C78" s="118" t="inlineStr">
        <is>
          <t>ΕΙΔΟΣ ΕΣΟΔΩΝ</t>
        </is>
      </c>
      <c r="D78" s="186">
        <f>[1]ΑΝΤΙΣΤΟΙΧΙΣΗ!$F$107</f>
        <v/>
      </c>
      <c r="E78" s="192" t="n"/>
      <c r="F78" s="56" t="n"/>
      <c r="G78" s="117">
        <f>[1]ΑΝΤΙΣΤΟΙΧΙΣΗ!$D$34</f>
        <v/>
      </c>
      <c r="H78" s="186">
        <f>[1]ΑΝΤΙΣΤΟΙΧΙΣΗ!$F$107</f>
        <v/>
      </c>
      <c r="I78" s="192" t="n"/>
      <c r="J78" s="56" t="n"/>
      <c r="K78" s="117">
        <f>[1]ΑΝΤΙΣΤΟΙΧΙΣΗ!$D$34</f>
        <v/>
      </c>
      <c r="L78" s="186">
        <f>[1]ΑΝΤΙΣΤΟΙΧΙΣΗ!$F$121</f>
        <v/>
      </c>
      <c r="M78" s="192" t="n"/>
      <c r="N78" s="56" t="n"/>
      <c r="O78" s="117">
        <f>[1]ΑΝΤΙΣΤΟΙΧΙΣΗ!$D$33</f>
        <v/>
      </c>
      <c r="P78" s="186" t="n"/>
      <c r="Q78" s="56" t="n"/>
      <c r="R78" s="91" t="n"/>
      <c r="S78" s="91" t="n"/>
      <c r="T78" s="91" t="n"/>
      <c r="U78" s="91" t="n"/>
      <c r="V78" s="91" t="n"/>
    </row>
    <row r="79" ht="24" customHeight="1">
      <c r="A79" s="116" t="n">
        <v>82</v>
      </c>
      <c r="B79" s="116" t="inlineStr">
        <is>
          <t>Γ</t>
        </is>
      </c>
      <c r="C79" s="115" t="inlineStr">
        <is>
          <t xml:space="preserve">Κατηγορία Εξόδου </t>
        </is>
      </c>
      <c r="D79" s="115" t="inlineStr">
        <is>
          <t xml:space="preserve">Εξοδα Sales and Marketing Μηνός </t>
        </is>
      </c>
      <c r="E79" s="114" t="inlineStr">
        <is>
          <t xml:space="preserve">% Κατηγ.Εξ/Σύν.Κδιάθ.μηνός </t>
        </is>
      </c>
      <c r="F79" s="114" t="inlineStr">
        <is>
          <t xml:space="preserve">Προοδευτικό Σύνολο Κατηγ. Εξόδων έως Σήμερα </t>
        </is>
      </c>
      <c r="G79" s="114" t="inlineStr">
        <is>
          <t xml:space="preserve">% Προοδ. Σύν. Κατηγ. Εξ/ Προοδ. Σύνολο Εσόδων </t>
        </is>
      </c>
      <c r="H79" s="114" t="inlineStr">
        <is>
          <t xml:space="preserve">Εξοδα Μηνός </t>
        </is>
      </c>
      <c r="I79" s="114" t="inlineStr">
        <is>
          <t xml:space="preserve">% Κατηγ.Εξ/Σύν.Κδιά .μηνός </t>
        </is>
      </c>
      <c r="J79" s="114" t="inlineStr">
        <is>
          <t xml:space="preserve">Προοδευτικό Σύνολο Κατηγ. Εξόδων έως Σήμερα </t>
        </is>
      </c>
      <c r="K79" s="114" t="inlineStr">
        <is>
          <t xml:space="preserve">% Προοδ. Σύν. Κατηγ. Εξ/ Προοδ. Σύνολο Εσόδων </t>
        </is>
      </c>
      <c r="L79" s="114" t="inlineStr">
        <is>
          <t xml:space="preserve">Εξοδα Μηνός </t>
        </is>
      </c>
      <c r="M79" s="114" t="inlineStr">
        <is>
          <t xml:space="preserve">% Κατηγ.Εξ/Σύν.Κδιά .μηνός </t>
        </is>
      </c>
      <c r="N79" s="114" t="inlineStr">
        <is>
          <t xml:space="preserve">Προοδευτικό Σύνολο Κατηγ. Εξόδων έως Σήμερα </t>
        </is>
      </c>
      <c r="O79" s="114" t="inlineStr">
        <is>
          <t xml:space="preserve">% Προοδ. Σύν. Κατηγ. Εξ/ Προοδ. Σύνολο Εσόδων </t>
        </is>
      </c>
      <c r="P79" s="114" t="inlineStr">
        <is>
          <t xml:space="preserve">Προοδ. Διαφορά με Προηγ. Έτος ( Τρέχον Έτος - Προηγ. Έτος) </t>
        </is>
      </c>
      <c r="Q79" s="114" t="inlineStr">
        <is>
          <t xml:space="preserve">% Προοδ.Σύνολο Κατηγ. Εσ. Πρ. Έτους / Προοδ.Σύν.Εσ. Τρέχοντος Έτους </t>
        </is>
      </c>
      <c r="R79" s="91" t="n"/>
      <c r="S79" s="91" t="n"/>
      <c r="T79" s="91" t="n"/>
      <c r="U79" s="91" t="n"/>
      <c r="V79" s="91" t="n"/>
    </row>
    <row r="80" ht="27.75" customHeight="1">
      <c r="A80" s="112" t="n">
        <v>83</v>
      </c>
      <c r="B80" s="112" t="inlineStr">
        <is>
          <t>Α/Α</t>
        </is>
      </c>
      <c r="C80" s="135" t="inlineStr">
        <is>
          <t>ΚΟΣΤΟΣ Sales - Marketing</t>
        </is>
      </c>
      <c r="D80" s="97">
        <f>SUM(D47:D110)</f>
        <v/>
      </c>
      <c r="E80" s="96" t="n"/>
      <c r="F80" s="97">
        <f>SUM(F47:F110)</f>
        <v/>
      </c>
      <c r="G80" s="96" t="n"/>
      <c r="H80" s="97">
        <f>SUM(H47:H110)</f>
        <v/>
      </c>
      <c r="I80" s="96" t="n"/>
      <c r="J80" s="97">
        <f>SUM(J47:J110)</f>
        <v/>
      </c>
      <c r="K80" s="96" t="n"/>
      <c r="L80" s="97">
        <f>SUM(L47:L110)</f>
        <v/>
      </c>
      <c r="M80" s="96" t="n"/>
      <c r="N80" s="97">
        <f>SUM(N47:N110)</f>
        <v/>
      </c>
      <c r="O80" s="96" t="n"/>
      <c r="P80" s="97">
        <f>SUM(P47:P110)</f>
        <v/>
      </c>
      <c r="Q80" s="96" t="n"/>
      <c r="R80" s="91" t="n"/>
      <c r="S80" s="91" t="n"/>
      <c r="T80" s="91" t="n"/>
      <c r="U80" s="91" t="n"/>
      <c r="V80" s="91" t="n"/>
    </row>
    <row r="81" ht="27.75" customHeight="1">
      <c r="A81" s="106" t="n">
        <v>84</v>
      </c>
      <c r="B81" s="106" t="n">
        <v>1</v>
      </c>
      <c r="C81" s="111">
        <f>[1]ΑΝΤΙΣΤΟΙΧΙΣΗ!L189</f>
        <v/>
      </c>
      <c r="D81" s="125">
        <f>'[1]2026_60-69 ΕΞΟΔΑ+ΟΜ 2'!E39</f>
        <v/>
      </c>
      <c r="E81" s="192" t="n"/>
      <c r="F81" s="192" t="n"/>
      <c r="G81" s="56" t="n"/>
      <c r="H81" s="103" t="n"/>
      <c r="I81" s="192" t="n"/>
      <c r="J81" s="192" t="n"/>
      <c r="K81" s="56" t="n"/>
      <c r="L81" s="125">
        <f>'[1]2024_60-69 ΕΞΟΔΑ+ΟΜ 2'!E37</f>
        <v/>
      </c>
      <c r="M81" s="192" t="n"/>
      <c r="N81" s="192" t="n"/>
      <c r="O81" s="56" t="n"/>
      <c r="P81" s="130" t="n"/>
      <c r="Q81" s="56" t="n"/>
      <c r="R81" s="91" t="n"/>
      <c r="S81" s="91" t="n"/>
      <c r="T81" s="91" t="n"/>
      <c r="U81" s="91" t="n"/>
      <c r="V81" s="91" t="n"/>
    </row>
    <row r="82" ht="15.75" customHeight="1">
      <c r="A82" s="106" t="n">
        <v>85</v>
      </c>
      <c r="B82" s="106" t="n">
        <v>2</v>
      </c>
      <c r="C82" s="111">
        <f>[1]ΑΝΤΙΣΤΟΙΧΙΣΗ!L190</f>
        <v/>
      </c>
      <c r="D82" s="125">
        <f>'[1]2026_60-69 ΕΞΟΔΑ+ΟΜ 2'!E40</f>
        <v/>
      </c>
      <c r="E82" s="192" t="n"/>
      <c r="F82" s="56" t="n"/>
      <c r="G82" s="102">
        <f>F86/$F$84</f>
        <v/>
      </c>
      <c r="H82" s="103" t="n"/>
      <c r="I82" s="192" t="n"/>
      <c r="J82" s="56" t="n"/>
      <c r="K82" s="130">
        <f>J86/$J$84</f>
        <v/>
      </c>
      <c r="L82" s="125">
        <f>'[1]2024_60-69 ΕΞΟΔΑ+ΟΜ 2'!E38</f>
        <v/>
      </c>
      <c r="M82" s="192" t="n"/>
      <c r="N82" s="56" t="n"/>
      <c r="O82" s="102">
        <f>N86/$N$84</f>
        <v/>
      </c>
      <c r="P82" s="130" t="n"/>
      <c r="Q82" s="56" t="n"/>
      <c r="R82" s="91" t="n"/>
      <c r="S82" s="91" t="n"/>
      <c r="T82" s="91" t="n"/>
      <c r="U82" s="91" t="n"/>
      <c r="V82" s="91" t="n"/>
    </row>
    <row r="83" ht="78.75" customHeight="1">
      <c r="A83" s="106" t="n">
        <v>86</v>
      </c>
      <c r="B83" s="106" t="n">
        <v>3</v>
      </c>
      <c r="C83" s="110">
        <f>[1]ΑΝΤΙΣΤΟΙΧΙΣΗ!L193</f>
        <v/>
      </c>
      <c r="D83" s="125">
        <f>'[1]2026_60-69 ΕΞΟΔΑ+ΟΜ 2'!E43</f>
        <v/>
      </c>
      <c r="E83" s="102">
        <f>D87/$D$111</f>
        <v/>
      </c>
      <c r="F83" s="125">
        <f>'[1]2026 Ιανουάριος'!F87+'2026 Φεβρουάριος'!D87</f>
        <v/>
      </c>
      <c r="G83" s="102">
        <f>F87/$F$84</f>
        <v/>
      </c>
      <c r="H83" s="103" t="n"/>
      <c r="I83" s="131">
        <f>H87/$H$84</f>
        <v/>
      </c>
      <c r="J83" s="130" t="n"/>
      <c r="K83" s="130">
        <f>J87/$J$84</f>
        <v/>
      </c>
      <c r="L83" s="125">
        <f>'[1]2024_60-69 ΕΞΟΔΑ+ΟΜ 2'!E41</f>
        <v/>
      </c>
      <c r="M83" s="102">
        <f>L87/$L$84</f>
        <v/>
      </c>
      <c r="N83" s="101">
        <f>L87+'[1]2026 Ιανουάριος'!L87</f>
        <v/>
      </c>
      <c r="O83" s="102">
        <f>N87/$N$84</f>
        <v/>
      </c>
      <c r="P83" s="130" t="n"/>
      <c r="Q83" s="123">
        <f>SUM(D87:P87)</f>
        <v/>
      </c>
      <c r="R83" s="91" t="n"/>
      <c r="S83" s="91" t="n"/>
      <c r="T83" s="91" t="n"/>
      <c r="U83" s="91" t="n"/>
      <c r="V83" s="109" t="n"/>
    </row>
    <row r="84" ht="33.75" customHeight="1">
      <c r="A84" s="106" t="n">
        <v>87</v>
      </c>
      <c r="B84" s="106" t="n">
        <v>4</v>
      </c>
      <c r="C84" s="110">
        <f>[1]ΑΝΤΙΣΤΟΙΧΙΣΗ!L194</f>
        <v/>
      </c>
      <c r="D84" s="125">
        <f>'[1]2026_60-69 ΕΞΟΔΑ+ΟΜ 2'!E44</f>
        <v/>
      </c>
      <c r="E84" s="102">
        <f>D88/$D$111</f>
        <v/>
      </c>
      <c r="F84" s="125">
        <f>'[1]2026 Ιανουάριος'!F88+'2026 Φεβρουάριος'!D88</f>
        <v/>
      </c>
      <c r="G84" s="102">
        <f>F88/$F$84</f>
        <v/>
      </c>
      <c r="H84" s="103" t="n"/>
      <c r="I84" s="131">
        <f>H88/$H$84</f>
        <v/>
      </c>
      <c r="J84" s="130" t="n"/>
      <c r="K84" s="130">
        <f>J88/$J$84</f>
        <v/>
      </c>
      <c r="L84" s="125">
        <f>'[1]2024_60-69 ΕΞΟΔΑ+ΟΜ 2'!E42</f>
        <v/>
      </c>
      <c r="M84" s="102">
        <f>L88/$L$84</f>
        <v/>
      </c>
      <c r="N84" s="101">
        <f>L88+'[1]2026 Ιανουάριος'!L88</f>
        <v/>
      </c>
      <c r="O84" s="102">
        <f>N88/$N$84</f>
        <v/>
      </c>
      <c r="P84" s="130" t="n"/>
      <c r="Q84" s="123">
        <f>SUM(D88:P88)</f>
        <v/>
      </c>
      <c r="R84" s="91" t="n"/>
      <c r="S84" s="91" t="n"/>
      <c r="T84" s="91" t="n"/>
      <c r="U84" s="91" t="n"/>
      <c r="V84" s="109" t="n"/>
    </row>
    <row r="85" ht="28.5" customHeight="1">
      <c r="A85" s="106" t="n">
        <v>88</v>
      </c>
      <c r="B85" s="106" t="n">
        <v>5</v>
      </c>
      <c r="C85" s="107">
        <f>[1]ΑΝΤΙΣΤΟΙΧΙΣΗ!L195</f>
        <v/>
      </c>
      <c r="D85" s="125">
        <f>'[1]2026_60-69 ΕΞΟΔΑ+ΟΜ 2'!E45</f>
        <v/>
      </c>
      <c r="E85" s="102">
        <f>D89/$D$111</f>
        <v/>
      </c>
      <c r="F85" s="125">
        <f>'[1]2026 Ιανουάριος'!F89+'2026 Φεβρουάριος'!D89</f>
        <v/>
      </c>
      <c r="G85" s="102">
        <f>F89/$F$84</f>
        <v/>
      </c>
      <c r="H85" s="134" t="n"/>
      <c r="I85" s="131">
        <f>H89/$H$84</f>
        <v/>
      </c>
      <c r="J85" s="134" t="n"/>
      <c r="K85" s="130">
        <f>J89/$J$84</f>
        <v/>
      </c>
      <c r="L85" s="125">
        <f>'[1]2024_60-69 ΕΞΟΔΑ+ΟΜ 2'!E43</f>
        <v/>
      </c>
      <c r="M85" s="102">
        <f>L89/$L$84</f>
        <v/>
      </c>
      <c r="N85" s="101">
        <f>L89+'[1]2026 Ιανουάριος'!L89</f>
        <v/>
      </c>
      <c r="O85" s="102">
        <f>N89/$N$84</f>
        <v/>
      </c>
      <c r="P85" s="134" t="n"/>
      <c r="Q85" s="123">
        <f>SUM(D89:P89)</f>
        <v/>
      </c>
      <c r="R85" s="91" t="n"/>
      <c r="S85" s="91" t="n"/>
      <c r="T85" s="91" t="n"/>
      <c r="U85" s="91" t="n"/>
      <c r="V85" s="91" t="n"/>
    </row>
    <row r="86" ht="33" customHeight="1">
      <c r="A86" s="106" t="n">
        <v>89</v>
      </c>
      <c r="B86" s="106" t="n">
        <v>6</v>
      </c>
      <c r="C86" s="132">
        <f>[1]ΑΝΤΙΣΤΟΙΧΙΣΗ!L196</f>
        <v/>
      </c>
      <c r="D86" s="125">
        <f>'[1]2026_60-69 ΕΞΟΔΑ+ΟΜ 2'!E46</f>
        <v/>
      </c>
      <c r="E86" s="102">
        <f>D90/$D$111</f>
        <v/>
      </c>
      <c r="F86" s="125">
        <f>'[1]2026 Ιανουάριος'!F90+'2026 Φεβρουάριος'!D90</f>
        <v/>
      </c>
      <c r="G86" s="102">
        <f>F90/$F$84</f>
        <v/>
      </c>
      <c r="H86" s="134" t="n"/>
      <c r="I86" s="131">
        <f>H90/$H$84</f>
        <v/>
      </c>
      <c r="J86" s="134" t="n"/>
      <c r="K86" s="130">
        <f>J90/$J$84</f>
        <v/>
      </c>
      <c r="L86" s="125">
        <f>'[1]2024_60-69 ΕΞΟΔΑ+ΟΜ 2'!E44</f>
        <v/>
      </c>
      <c r="M86" s="102">
        <f>L90/$L$84</f>
        <v/>
      </c>
      <c r="N86" s="101">
        <f>L90+'[1]2026 Ιανουάριος'!L90</f>
        <v/>
      </c>
      <c r="O86" s="102">
        <f>N90/$N$84</f>
        <v/>
      </c>
      <c r="P86" s="134" t="n"/>
      <c r="Q86" s="123">
        <f>SUM(D90:P90)</f>
        <v/>
      </c>
      <c r="R86" s="91" t="n"/>
      <c r="S86" s="91" t="n"/>
      <c r="T86" s="91" t="n"/>
      <c r="U86" s="91" t="n"/>
      <c r="V86" s="91" t="n"/>
    </row>
    <row r="87" ht="24.75" customHeight="1">
      <c r="A87" s="106" t="n">
        <v>90</v>
      </c>
      <c r="B87" s="106" t="n">
        <v>7</v>
      </c>
      <c r="C87" s="132">
        <f>[1]ΑΝΤΙΣΤΟΙΧΙΣΗ!L197</f>
        <v/>
      </c>
      <c r="D87" s="125">
        <f>'[1]2026_60-69 ΕΞΟΔΑ+ΟΜ 2'!E47</f>
        <v/>
      </c>
      <c r="E87" s="102">
        <f>D91/$D$111</f>
        <v/>
      </c>
      <c r="F87" s="125">
        <f>'[1]2026 Ιανουάριος'!F91+'2026 Φεβρουάριος'!D91</f>
        <v/>
      </c>
      <c r="G87" s="102">
        <f>F91/$F$84</f>
        <v/>
      </c>
      <c r="H87" s="134" t="n"/>
      <c r="I87" s="131">
        <f>H91/$H$84</f>
        <v/>
      </c>
      <c r="J87" s="134" t="n"/>
      <c r="K87" s="130">
        <f>J91/$J$84</f>
        <v/>
      </c>
      <c r="L87" s="125">
        <f>'[1]2024_60-69 ΕΞΟΔΑ+ΟΜ 2'!E45</f>
        <v/>
      </c>
      <c r="M87" s="102">
        <f>L91/$L$84</f>
        <v/>
      </c>
      <c r="N87" s="101">
        <f>L91+'[1]2026 Ιανουάριος'!L91</f>
        <v/>
      </c>
      <c r="O87" s="102">
        <f>N91/$N$84</f>
        <v/>
      </c>
      <c r="P87" s="134" t="n"/>
      <c r="Q87" s="123">
        <f>SUM(D91:P91)</f>
        <v/>
      </c>
      <c r="R87" s="91" t="n"/>
      <c r="S87" s="91" t="n"/>
      <c r="T87" s="91" t="n"/>
      <c r="U87" s="91" t="n"/>
      <c r="V87" s="91" t="n"/>
    </row>
    <row r="88" ht="28.5" customHeight="1">
      <c r="A88" s="106" t="n">
        <v>91</v>
      </c>
      <c r="B88" s="106" t="n">
        <v>8</v>
      </c>
      <c r="C88" s="110">
        <f>[1]ΑΝΤΙΣΤΟΙΧΙΣΗ!L198</f>
        <v/>
      </c>
      <c r="D88" s="125">
        <f>'[1]2026_60-69 ΕΞΟΔΑ+ΟΜ 2'!E48</f>
        <v/>
      </c>
      <c r="E88" s="102">
        <f>D92/$D$111</f>
        <v/>
      </c>
      <c r="F88" s="125">
        <f>'[1]2026 Ιανουάριος'!F92+'2026 Φεβρουάριος'!D92</f>
        <v/>
      </c>
      <c r="G88" s="102">
        <f>F92/$F$84</f>
        <v/>
      </c>
      <c r="H88" s="103" t="n"/>
      <c r="I88" s="131">
        <f>H92/$H$84</f>
        <v/>
      </c>
      <c r="J88" s="130" t="n"/>
      <c r="K88" s="130">
        <f>J92/$J$84</f>
        <v/>
      </c>
      <c r="L88" s="125">
        <f>'[1]2024_60-69 ΕΞΟΔΑ+ΟΜ 2'!E46</f>
        <v/>
      </c>
      <c r="M88" s="102">
        <f>L92/$L$84</f>
        <v/>
      </c>
      <c r="N88" s="101">
        <f>L92+'[1]2026 Ιανουάριος'!L92</f>
        <v/>
      </c>
      <c r="O88" s="102">
        <f>N92/$N$84</f>
        <v/>
      </c>
      <c r="P88" s="130" t="n"/>
      <c r="Q88" s="123">
        <f>SUM(D92:P92)</f>
        <v/>
      </c>
      <c r="R88" s="91" t="n"/>
      <c r="S88" s="91" t="n"/>
      <c r="T88" s="91" t="n"/>
      <c r="U88" s="91" t="n"/>
      <c r="V88" s="109" t="n"/>
    </row>
    <row r="89" ht="15" customHeight="1">
      <c r="A89" s="106" t="n">
        <v>92</v>
      </c>
      <c r="B89" s="106" t="n">
        <v>9</v>
      </c>
      <c r="C89" s="132">
        <f>[1]ΑΝΤΙΣΤΟΙΧΙΣΗ!L199</f>
        <v/>
      </c>
      <c r="D89" s="125">
        <f>'[1]2026_60-69 ΕΞΟΔΑ+ΟΜ 2'!E49</f>
        <v/>
      </c>
      <c r="E89" s="102">
        <f>D93/$D$111</f>
        <v/>
      </c>
      <c r="F89" s="125">
        <f>'[1]2026 Ιανουάριος'!F93+'2026 Φεβρουάριος'!D93</f>
        <v/>
      </c>
      <c r="G89" s="102">
        <f>F93/$F$84</f>
        <v/>
      </c>
      <c r="H89" s="103" t="n"/>
      <c r="I89" s="131">
        <f>H93/$H$84</f>
        <v/>
      </c>
      <c r="J89" s="130" t="n"/>
      <c r="K89" s="130">
        <f>J93/$J$84</f>
        <v/>
      </c>
      <c r="L89" s="125">
        <f>'[1]2024_60-69 ΕΞΟΔΑ+ΟΜ 2'!E47</f>
        <v/>
      </c>
      <c r="M89" s="102">
        <f>L93/$L$84</f>
        <v/>
      </c>
      <c r="N89" s="101">
        <f>L93+'[1]2026 Ιανουάριος'!L93</f>
        <v/>
      </c>
      <c r="O89" s="102">
        <f>N93/$N$84</f>
        <v/>
      </c>
      <c r="P89" s="130" t="n"/>
      <c r="Q89" s="123">
        <f>SUM(D93:P93)</f>
        <v/>
      </c>
      <c r="R89" s="91" t="n"/>
      <c r="S89" s="91" t="n"/>
      <c r="T89" s="91" t="n"/>
      <c r="U89" s="91" t="n"/>
      <c r="V89" s="91" t="n"/>
    </row>
    <row r="90" ht="14.25" customHeight="1">
      <c r="A90" s="106" t="n">
        <v>93</v>
      </c>
      <c r="B90" s="106" t="n">
        <v>10</v>
      </c>
      <c r="C90" s="132">
        <f>[1]ΑΝΤΙΣΤΟΙΧΙΣΗ!L200</f>
        <v/>
      </c>
      <c r="D90" s="125">
        <f>'[1]2026_60-69 ΕΞΟΔΑ+ΟΜ 2'!E50</f>
        <v/>
      </c>
      <c r="E90" s="102">
        <f>D94/$D$111</f>
        <v/>
      </c>
      <c r="F90" s="125">
        <f>'[1]2026 Ιανουάριος'!F94+'2026 Φεβρουάριος'!D94</f>
        <v/>
      </c>
      <c r="G90" s="102">
        <f>F94/$F$84</f>
        <v/>
      </c>
      <c r="H90" s="133" t="n"/>
      <c r="I90" s="131">
        <f>H94/$H$84</f>
        <v/>
      </c>
      <c r="J90" s="133" t="n"/>
      <c r="K90" s="130">
        <f>J94/$J$84</f>
        <v/>
      </c>
      <c r="L90" s="125">
        <f>'[1]2024_60-69 ΕΞΟΔΑ+ΟΜ 2'!E48</f>
        <v/>
      </c>
      <c r="M90" s="102">
        <f>L94/$L$84</f>
        <v/>
      </c>
      <c r="N90" s="101">
        <f>L94+'[1]2026 Ιανουάριος'!L94</f>
        <v/>
      </c>
      <c r="O90" s="102">
        <f>N94/$N$84</f>
        <v/>
      </c>
      <c r="P90" s="133" t="n"/>
      <c r="Q90" s="123">
        <f>SUM(D94:P94)</f>
        <v/>
      </c>
      <c r="R90" s="91" t="n"/>
      <c r="S90" s="91" t="n"/>
      <c r="T90" s="91" t="n"/>
      <c r="U90" s="91" t="n"/>
      <c r="V90" s="91" t="n"/>
    </row>
    <row r="91" ht="14.25" customHeight="1">
      <c r="A91" s="106" t="n">
        <v>94</v>
      </c>
      <c r="B91" s="106" t="n">
        <v>11</v>
      </c>
      <c r="C91" s="132">
        <f>[1]ΑΝΤΙΣΤΟΙΧΙΣΗ!L201</f>
        <v/>
      </c>
      <c r="D91" s="125">
        <f>'[1]2026_60-69 ΕΞΟΔΑ+ΟΜ 2'!E51</f>
        <v/>
      </c>
      <c r="E91" s="102">
        <f>D95/$D$111</f>
        <v/>
      </c>
      <c r="F91" s="125">
        <f>'[1]2026 Ιανουάριος'!F95+'2026 Φεβρουάριος'!D95</f>
        <v/>
      </c>
      <c r="G91" s="102">
        <f>F95/$F$84</f>
        <v/>
      </c>
      <c r="H91" s="103" t="n"/>
      <c r="I91" s="131">
        <f>H95/$H$84</f>
        <v/>
      </c>
      <c r="J91" s="130" t="n"/>
      <c r="K91" s="130">
        <f>J95/$J$84</f>
        <v/>
      </c>
      <c r="L91" s="125">
        <f>'[1]2024_60-69 ΕΞΟΔΑ+ΟΜ 2'!E49</f>
        <v/>
      </c>
      <c r="M91" s="102">
        <f>L95/$L$84</f>
        <v/>
      </c>
      <c r="N91" s="101">
        <f>L95+'[1]2026 Ιανουάριος'!L95</f>
        <v/>
      </c>
      <c r="O91" s="102">
        <f>N95/$N$84</f>
        <v/>
      </c>
      <c r="P91" s="130" t="n"/>
      <c r="Q91" s="123">
        <f>SUM(D95:P95)</f>
        <v/>
      </c>
      <c r="R91" s="91" t="n"/>
      <c r="S91" s="91" t="n"/>
      <c r="T91" s="91" t="n"/>
      <c r="U91" s="91" t="n"/>
      <c r="V91" s="91" t="n"/>
    </row>
    <row r="92" ht="24.75" customHeight="1">
      <c r="A92" s="106" t="n">
        <v>95</v>
      </c>
      <c r="B92" s="106" t="n">
        <v>12</v>
      </c>
      <c r="C92" s="132">
        <f>[1]ΑΝΤΙΣΤΟΙΧΙΣΗ!L202</f>
        <v/>
      </c>
      <c r="D92" s="125">
        <f>'[1]2026_60-69 ΕΞΟΔΑ+ΟΜ 2'!E52</f>
        <v/>
      </c>
      <c r="E92" s="102">
        <f>D96/$D$111</f>
        <v/>
      </c>
      <c r="F92" s="125">
        <f>'[1]2026 Ιανουάριος'!F96+'2026 Φεβρουάριος'!D96</f>
        <v/>
      </c>
      <c r="G92" s="102">
        <f>F96/$F$84</f>
        <v/>
      </c>
      <c r="H92" s="103" t="n"/>
      <c r="I92" s="131">
        <f>H96/$H$84</f>
        <v/>
      </c>
      <c r="J92" s="130" t="n"/>
      <c r="K92" s="130">
        <f>J96/$J$84</f>
        <v/>
      </c>
      <c r="L92" s="125">
        <f>'[1]2024_60-69 ΕΞΟΔΑ+ΟΜ 2'!E50</f>
        <v/>
      </c>
      <c r="M92" s="102">
        <f>L96/$L$84</f>
        <v/>
      </c>
      <c r="N92" s="101">
        <f>L96+'[1]2026 Ιανουάριος'!L96</f>
        <v/>
      </c>
      <c r="O92" s="102">
        <f>N96/$N$84</f>
        <v/>
      </c>
      <c r="P92" s="130" t="n"/>
      <c r="Q92" s="123">
        <f>SUM(D96:P96)</f>
        <v/>
      </c>
      <c r="R92" s="91" t="n"/>
      <c r="S92" s="91" t="n"/>
      <c r="T92" s="91" t="n"/>
      <c r="U92" s="91" t="n"/>
      <c r="V92" s="91" t="n"/>
    </row>
    <row r="93" ht="28.5" customHeight="1">
      <c r="A93" s="106" t="n">
        <v>96</v>
      </c>
      <c r="B93" s="106" t="n">
        <v>13</v>
      </c>
      <c r="C93" s="132">
        <f>[1]ΑΝΤΙΣΤΟΙΧΙΣΗ!L203</f>
        <v/>
      </c>
      <c r="D93" s="125">
        <f>'[1]2026_60-69 ΕΞΟΔΑ+ΟΜ 2'!E53</f>
        <v/>
      </c>
      <c r="E93" s="102">
        <f>D97/$D$111</f>
        <v/>
      </c>
      <c r="F93" s="125">
        <f>'[1]2026 Ιανουάριος'!F97+'2026 Φεβρουάριος'!D97</f>
        <v/>
      </c>
      <c r="G93" s="102">
        <f>F97/$F$84</f>
        <v/>
      </c>
      <c r="H93" s="103" t="n"/>
      <c r="I93" s="131">
        <f>H97/$H$84</f>
        <v/>
      </c>
      <c r="J93" s="130" t="n"/>
      <c r="K93" s="130">
        <f>J97/$J$84</f>
        <v/>
      </c>
      <c r="L93" s="125">
        <f>'[1]2024_60-69 ΕΞΟΔΑ+ΟΜ 2'!E51</f>
        <v/>
      </c>
      <c r="M93" s="102">
        <f>L97/$L$84</f>
        <v/>
      </c>
      <c r="N93" s="101">
        <f>L97+'[1]2026 Ιανουάριος'!L97</f>
        <v/>
      </c>
      <c r="O93" s="102">
        <f>N97/$N$84</f>
        <v/>
      </c>
      <c r="P93" s="130" t="n"/>
      <c r="Q93" s="123">
        <f>SUM(D97:P97)</f>
        <v/>
      </c>
      <c r="R93" s="91" t="n"/>
      <c r="S93" s="91" t="n"/>
      <c r="T93" s="91" t="n"/>
      <c r="U93" s="91" t="n"/>
      <c r="V93" s="91" t="n"/>
    </row>
    <row r="94" ht="14.25" customHeight="1">
      <c r="A94" s="106" t="n">
        <v>97</v>
      </c>
      <c r="B94" s="106" t="n">
        <v>14</v>
      </c>
      <c r="C94" s="107">
        <f>[1]ΑΝΤΙΣΤΟΙΧΙΣΗ!L204</f>
        <v/>
      </c>
      <c r="D94" s="125">
        <f>'[1]2026_60-69 ΕΞΟΔΑ+ΟΜ 2'!E54</f>
        <v/>
      </c>
      <c r="E94" s="102">
        <f>D98/$D$111</f>
        <v/>
      </c>
      <c r="F94" s="125">
        <f>'[1]2026 Ιανουάριος'!F98+'2026 Φεβρουάριος'!D98</f>
        <v/>
      </c>
      <c r="G94" s="102">
        <f>F98/$F$84</f>
        <v/>
      </c>
      <c r="H94" s="103" t="n"/>
      <c r="I94" s="131">
        <f>H98/$H$84</f>
        <v/>
      </c>
      <c r="J94" s="130" t="n"/>
      <c r="K94" s="130">
        <f>J98/$J$84</f>
        <v/>
      </c>
      <c r="L94" s="125">
        <f>'[1]2024_60-69 ΕΞΟΔΑ+ΟΜ 2'!E52</f>
        <v/>
      </c>
      <c r="M94" s="102">
        <f>L98/$L$84</f>
        <v/>
      </c>
      <c r="N94" s="101">
        <f>L98+'[1]2026 Ιανουάριος'!L98</f>
        <v/>
      </c>
      <c r="O94" s="102">
        <f>N98/$N$84</f>
        <v/>
      </c>
      <c r="P94" s="130" t="n"/>
      <c r="Q94" s="123">
        <f>SUM(D98:P98)</f>
        <v/>
      </c>
      <c r="R94" s="91" t="n"/>
      <c r="S94" s="91" t="n"/>
      <c r="T94" s="91" t="n"/>
      <c r="U94" s="91" t="n"/>
      <c r="V94" s="91" t="n"/>
    </row>
    <row r="95" ht="15" customHeight="1">
      <c r="A95" s="106" t="n">
        <v>98</v>
      </c>
      <c r="B95" s="106" t="n">
        <v>15</v>
      </c>
      <c r="C95" s="105">
        <f>[1]ΑΝΤΙΣΤΟΙΧΙΣΗ!L205</f>
        <v/>
      </c>
      <c r="D95" s="125">
        <f>'[1]2026_60-69 ΕΞΟΔΑ+ΟΜ 2'!E55</f>
        <v/>
      </c>
      <c r="E95" s="102">
        <f>D99/$D$111</f>
        <v/>
      </c>
      <c r="F95" s="125">
        <f>'[1]2026 Ιανουάριος'!F99+'2026 Φεβρουάριος'!D99</f>
        <v/>
      </c>
      <c r="G95" s="102">
        <f>F99/$F$84</f>
        <v/>
      </c>
      <c r="H95" s="103" t="n"/>
      <c r="I95" s="131">
        <f>H99/$H$84</f>
        <v/>
      </c>
      <c r="J95" s="130" t="n"/>
      <c r="K95" s="130">
        <f>J99/$J$84</f>
        <v/>
      </c>
      <c r="L95" s="125">
        <f>'[1]2024_60-69 ΕΞΟΔΑ+ΟΜ 2'!E53</f>
        <v/>
      </c>
      <c r="M95" s="102">
        <f>L99/$L$84</f>
        <v/>
      </c>
      <c r="N95" s="101">
        <f>L99+'[1]2026 Ιανουάριος'!L99</f>
        <v/>
      </c>
      <c r="O95" s="102">
        <f>N99/$N$84</f>
        <v/>
      </c>
      <c r="P95" s="130" t="n"/>
      <c r="Q95" s="123">
        <f>SUM(D99:P99)</f>
        <v/>
      </c>
      <c r="R95" s="91" t="n"/>
      <c r="S95" s="91" t="n"/>
      <c r="T95" s="91" t="n"/>
      <c r="U95" s="91" t="n"/>
      <c r="V95" s="91" t="n"/>
    </row>
    <row r="96" ht="15" customHeight="1">
      <c r="A96" s="106" t="n">
        <v>99</v>
      </c>
      <c r="B96" s="106" t="n">
        <v>16</v>
      </c>
      <c r="C96" s="105">
        <f>[1]ΑΝΤΙΣΤΟΙΧΙΣΗ!L206</f>
        <v/>
      </c>
      <c r="D96" s="125">
        <f>'[1]2026_60-69 ΕΞΟΔΑ+ΟΜ 2'!E56</f>
        <v/>
      </c>
      <c r="E96" s="102">
        <f>D100/$D$111</f>
        <v/>
      </c>
      <c r="F96" s="125">
        <f>'[1]2026 Ιανουάριος'!F100+'2026 Φεβρουάριος'!D100</f>
        <v/>
      </c>
      <c r="G96" s="102">
        <f>F100/$F$84</f>
        <v/>
      </c>
      <c r="H96" s="103" t="n"/>
      <c r="I96" s="131">
        <f>H100/$H$84</f>
        <v/>
      </c>
      <c r="J96" s="130" t="n"/>
      <c r="K96" s="130">
        <f>J100/$J$84</f>
        <v/>
      </c>
      <c r="L96" s="125">
        <f>'[1]2024_60-69 ΕΞΟΔΑ+ΟΜ 2'!E54</f>
        <v/>
      </c>
      <c r="M96" s="102">
        <f>L100/$L$84</f>
        <v/>
      </c>
      <c r="N96" s="101">
        <f>L100+'[1]2026 Ιανουάριος'!L100</f>
        <v/>
      </c>
      <c r="O96" s="102">
        <f>N100/$N$84</f>
        <v/>
      </c>
      <c r="P96" s="130" t="n"/>
      <c r="Q96" s="123">
        <f>SUM(D100:P100)</f>
        <v/>
      </c>
      <c r="R96" s="91" t="n"/>
      <c r="S96" s="91" t="n"/>
      <c r="T96" s="91" t="n"/>
      <c r="U96" s="91" t="n"/>
      <c r="V96" s="91" t="n"/>
    </row>
    <row r="97" ht="15" customHeight="1">
      <c r="A97" s="106" t="n">
        <v>100</v>
      </c>
      <c r="B97" s="106" t="n">
        <v>17</v>
      </c>
      <c r="C97" s="105">
        <f>[1]ΑΝΤΙΣΤΟΙΧΙΣΗ!L207</f>
        <v/>
      </c>
      <c r="D97" s="125">
        <f>'[1]2026_60-69 ΕΞΟΔΑ+ΟΜ 2'!E57</f>
        <v/>
      </c>
      <c r="E97" s="102">
        <f>D101/$D$111</f>
        <v/>
      </c>
      <c r="F97" s="125">
        <f>'[1]2026 Ιανουάριος'!F101+'2026 Φεβρουάριος'!D101</f>
        <v/>
      </c>
      <c r="G97" s="102">
        <f>F101/$F$84</f>
        <v/>
      </c>
      <c r="H97" s="103" t="n"/>
      <c r="I97" s="131">
        <f>H101/$H$84</f>
        <v/>
      </c>
      <c r="J97" s="130" t="n"/>
      <c r="K97" s="130">
        <f>J101/$J$84</f>
        <v/>
      </c>
      <c r="L97" s="125">
        <f>'[1]2024_60-69 ΕΞΟΔΑ+ΟΜ 2'!E55</f>
        <v/>
      </c>
      <c r="M97" s="102">
        <f>L101/$L$84</f>
        <v/>
      </c>
      <c r="N97" s="101">
        <f>L101+'[1]2026 Ιανουάριος'!L101</f>
        <v/>
      </c>
      <c r="O97" s="102">
        <f>N101/$N$84</f>
        <v/>
      </c>
      <c r="P97" s="130" t="n"/>
      <c r="Q97" s="123">
        <f>SUM(D101:P101)</f>
        <v/>
      </c>
      <c r="R97" s="91" t="n"/>
      <c r="S97" s="91" t="n"/>
      <c r="T97" s="91" t="n"/>
      <c r="U97" s="91" t="n"/>
      <c r="V97" s="91" t="n"/>
    </row>
    <row r="98" ht="15" customHeight="1">
      <c r="A98" s="106" t="n">
        <v>101</v>
      </c>
      <c r="B98" s="106" t="n">
        <v>18</v>
      </c>
      <c r="C98" s="129">
        <f>[1]ΑΝΤΙΣΤΟΙΧΙΣΗ!L208</f>
        <v/>
      </c>
      <c r="D98" s="125">
        <f>'[1]2026_60-69 ΕΞΟΔΑ+ΟΜ 2'!E58</f>
        <v/>
      </c>
      <c r="E98" s="102">
        <f>D102/$D$111</f>
        <v/>
      </c>
      <c r="F98" s="125">
        <f>'[1]2026 Ιανουάριος'!F102+'2026 Φεβρουάριος'!D102</f>
        <v/>
      </c>
      <c r="G98" s="102">
        <f>F102/$F$84</f>
        <v/>
      </c>
      <c r="H98" s="103" t="n"/>
      <c r="I98" s="131">
        <f>H102/$H$84</f>
        <v/>
      </c>
      <c r="J98" s="130" t="n"/>
      <c r="K98" s="130">
        <f>J102/$J$84</f>
        <v/>
      </c>
      <c r="L98" s="125">
        <f>'[1]2024_60-69 ΕΞΟΔΑ+ΟΜ 2'!E56</f>
        <v/>
      </c>
      <c r="M98" s="102">
        <f>L102/$L$84</f>
        <v/>
      </c>
      <c r="N98" s="101">
        <f>L102+'[1]2026 Ιανουάριος'!L102</f>
        <v/>
      </c>
      <c r="O98" s="102">
        <f>N102/$N$84</f>
        <v/>
      </c>
      <c r="P98" s="130" t="n"/>
      <c r="Q98" s="123">
        <f>SUM(D102:P102)</f>
        <v/>
      </c>
      <c r="R98" s="91" t="n"/>
      <c r="S98" s="91" t="n"/>
      <c r="T98" s="91" t="n"/>
      <c r="U98" s="91" t="n"/>
      <c r="V98" s="91" t="n"/>
    </row>
    <row r="99" ht="15" customHeight="1">
      <c r="A99" s="106" t="n">
        <v>102</v>
      </c>
      <c r="B99" s="106" t="n">
        <v>19</v>
      </c>
      <c r="C99" s="107">
        <f>[1]ΑΝΤΙΣΤΟΙΧΙΣΗ!L209</f>
        <v/>
      </c>
      <c r="D99" s="125">
        <f>'[1]2026_60-69 ΕΞΟΔΑ+ΟΜ 2'!E59</f>
        <v/>
      </c>
      <c r="E99" s="102">
        <f>D103/$D$111</f>
        <v/>
      </c>
      <c r="F99" s="125">
        <f>'[1]2026 Ιανουάριος'!F103+'2026 Φεβρουάριος'!D103</f>
        <v/>
      </c>
      <c r="G99" s="102">
        <f>F103/$F$84</f>
        <v/>
      </c>
      <c r="H99" s="103" t="n"/>
      <c r="I99" s="131">
        <f>H103/$H$84</f>
        <v/>
      </c>
      <c r="J99" s="130" t="n"/>
      <c r="K99" s="130">
        <f>J103/$J$84</f>
        <v/>
      </c>
      <c r="L99" s="125">
        <f>'[1]2024_60-69 ΕΞΟΔΑ+ΟΜ 2'!E57</f>
        <v/>
      </c>
      <c r="M99" s="102">
        <f>L103/$L$84</f>
        <v/>
      </c>
      <c r="N99" s="101">
        <f>L103+'[1]2026 Ιανουάριος'!L103</f>
        <v/>
      </c>
      <c r="O99" s="102">
        <f>N103/$N$84</f>
        <v/>
      </c>
      <c r="P99" s="130" t="n"/>
      <c r="Q99" s="123">
        <f>SUM(D103:P103)</f>
        <v/>
      </c>
      <c r="R99" s="91" t="n"/>
      <c r="S99" s="91" t="n"/>
      <c r="T99" s="91" t="n"/>
      <c r="U99" s="91" t="n"/>
      <c r="V99" s="91" t="n"/>
    </row>
    <row r="100" ht="28.5" customHeight="1">
      <c r="A100" s="106" t="n">
        <v>103</v>
      </c>
      <c r="B100" s="106" t="n">
        <v>20</v>
      </c>
      <c r="C100" s="129">
        <f>[1]ΑΝΤΙΣΤΟΙΧΙΣΗ!L210</f>
        <v/>
      </c>
      <c r="D100" s="125">
        <f>'[1]2026_60-69 ΕΞΟΔΑ+ΟΜ 2'!E60</f>
        <v/>
      </c>
      <c r="E100" s="102">
        <f>D104/$D$111</f>
        <v/>
      </c>
      <c r="F100" s="125">
        <f>'[1]2026 Ιανουάριος'!F104+'2026 Φεβρουάριος'!D104</f>
        <v/>
      </c>
      <c r="G100" s="102">
        <f>F104/$F$84</f>
        <v/>
      </c>
      <c r="H100" s="103" t="n"/>
      <c r="I100" s="131">
        <f>H104/$H$84</f>
        <v/>
      </c>
      <c r="J100" s="130" t="n"/>
      <c r="K100" s="130">
        <f>J104/$J$84</f>
        <v/>
      </c>
      <c r="L100" s="125">
        <f>'[1]2024_60-69 ΕΞΟΔΑ+ΟΜ 2'!E58</f>
        <v/>
      </c>
      <c r="M100" s="102">
        <f>L104/$L$84</f>
        <v/>
      </c>
      <c r="N100" s="101">
        <f>L104+'[1]2026 Ιανουάριος'!L104</f>
        <v/>
      </c>
      <c r="O100" s="102">
        <f>N104/$N$84</f>
        <v/>
      </c>
      <c r="P100" s="130" t="n"/>
      <c r="Q100" s="123">
        <f>SUM(D104:P104)</f>
        <v/>
      </c>
      <c r="R100" s="91" t="n"/>
      <c r="S100" s="91" t="n"/>
      <c r="T100" s="91" t="n"/>
      <c r="U100" s="91" t="n"/>
      <c r="V100" s="91" t="n"/>
    </row>
    <row r="101" ht="15" customHeight="1">
      <c r="A101" s="106" t="n">
        <v>104</v>
      </c>
      <c r="B101" s="106" t="n">
        <v>21</v>
      </c>
      <c r="C101" s="129">
        <f>[1]ΑΝΤΙΣΤΟΙΧΙΣΗ!L211</f>
        <v/>
      </c>
      <c r="D101" s="125">
        <f>'[1]2026_60-69 ΕΞΟΔΑ+ΟΜ 2'!E61</f>
        <v/>
      </c>
      <c r="E101" s="102">
        <f>D105/$D$111</f>
        <v/>
      </c>
      <c r="F101" s="125">
        <f>'[1]2026 Ιανουάριος'!F105+'2026 Φεβρουάριος'!D105</f>
        <v/>
      </c>
      <c r="G101" s="102">
        <f>F105/$F$84</f>
        <v/>
      </c>
      <c r="H101" s="103" t="n"/>
      <c r="I101" s="131">
        <f>H105/$H$84</f>
        <v/>
      </c>
      <c r="J101" s="130" t="n"/>
      <c r="K101" s="130">
        <f>J105/$J$84</f>
        <v/>
      </c>
      <c r="L101" s="125">
        <f>'[1]2024_60-69 ΕΞΟΔΑ+ΟΜ 2'!E59</f>
        <v/>
      </c>
      <c r="M101" s="102">
        <f>L105/$L$84</f>
        <v/>
      </c>
      <c r="N101" s="101">
        <f>L105+'[1]2026 Ιανουάριος'!L105</f>
        <v/>
      </c>
      <c r="O101" s="102">
        <f>N105/$N$84</f>
        <v/>
      </c>
      <c r="P101" s="130" t="n"/>
      <c r="Q101" s="123">
        <f>SUM(D105:P105)</f>
        <v/>
      </c>
      <c r="R101" s="91" t="n"/>
      <c r="S101" s="91" t="n"/>
      <c r="T101" s="91" t="n"/>
      <c r="U101" s="91" t="n"/>
      <c r="V101" s="91" t="n"/>
    </row>
    <row r="102" ht="15" customHeight="1">
      <c r="A102" s="106" t="n">
        <v>105</v>
      </c>
      <c r="B102" s="106" t="n">
        <v>22</v>
      </c>
      <c r="C102" s="129">
        <f>[1]ΑΝΤΙΣΤΟΙΧΙΣΗ!L212</f>
        <v/>
      </c>
      <c r="D102" s="125" t="n"/>
      <c r="E102" s="102" t="n"/>
      <c r="F102" s="125" t="n"/>
      <c r="G102" s="102" t="n"/>
      <c r="H102" s="103" t="n"/>
      <c r="I102" s="131" t="n"/>
      <c r="J102" s="130" t="n"/>
      <c r="K102" s="130" t="n"/>
      <c r="L102" s="125" t="n"/>
      <c r="M102" s="102" t="n"/>
      <c r="N102" s="130" t="n"/>
      <c r="O102" s="130" t="n"/>
      <c r="P102" s="130" t="n"/>
      <c r="Q102" s="123" t="n"/>
      <c r="R102" s="91" t="n"/>
      <c r="S102" s="91" t="n"/>
      <c r="T102" s="91" t="n"/>
      <c r="U102" s="91" t="n"/>
      <c r="V102" s="91" t="n"/>
    </row>
    <row r="103" ht="15" customHeight="1">
      <c r="A103" s="106" t="n">
        <v>106</v>
      </c>
      <c r="B103" s="106" t="n">
        <v>23</v>
      </c>
      <c r="C103" s="129">
        <f>[1]ΑΝΤΙΣΤΟΙΧΙΣΗ!L213</f>
        <v/>
      </c>
      <c r="D103" s="125" t="n"/>
      <c r="E103" s="102" t="n"/>
      <c r="F103" s="125" t="n"/>
      <c r="G103" s="102" t="n"/>
      <c r="H103" s="103" t="n"/>
      <c r="I103" s="131" t="n"/>
      <c r="J103" s="130" t="n"/>
      <c r="K103" s="130" t="n"/>
      <c r="L103" s="125" t="n"/>
      <c r="M103" s="102" t="n"/>
      <c r="N103" s="130" t="n"/>
      <c r="O103" s="130" t="n"/>
      <c r="P103" s="130" t="n"/>
      <c r="Q103" s="123" t="n"/>
      <c r="R103" s="91" t="n"/>
      <c r="S103" s="91" t="n"/>
      <c r="T103" s="91" t="n"/>
      <c r="U103" s="91" t="n"/>
      <c r="V103" s="91" t="n"/>
    </row>
    <row r="104" ht="28.5" customHeight="1">
      <c r="A104" s="106" t="n">
        <v>107</v>
      </c>
      <c r="B104" s="106" t="n">
        <v>24</v>
      </c>
      <c r="C104" s="129">
        <f>[1]ΑΝΤΙΣΤΟΙΧΙΣΗ!L214</f>
        <v/>
      </c>
      <c r="D104" s="125" t="n"/>
      <c r="E104" s="102" t="n"/>
      <c r="F104" s="125" t="n"/>
      <c r="G104" s="102" t="n"/>
      <c r="H104" s="103" t="n"/>
      <c r="I104" s="131" t="n"/>
      <c r="J104" s="130" t="n"/>
      <c r="K104" s="130" t="n"/>
      <c r="L104" s="125" t="n"/>
      <c r="M104" s="102" t="n"/>
      <c r="N104" s="130" t="n"/>
      <c r="O104" s="130" t="n"/>
      <c r="P104" s="130" t="n"/>
      <c r="Q104" s="123" t="n"/>
      <c r="R104" s="91" t="n"/>
      <c r="S104" s="91" t="n"/>
      <c r="T104" s="91" t="n"/>
      <c r="U104" s="91" t="n"/>
      <c r="V104" s="91" t="n"/>
    </row>
    <row r="105" ht="28.5" customHeight="1">
      <c r="A105" s="106" t="n">
        <v>108</v>
      </c>
      <c r="B105" s="106" t="n">
        <v>25</v>
      </c>
      <c r="C105" s="129">
        <f>[1]ΑΝΤΙΣΤΟΙΧΙΣΗ!L215</f>
        <v/>
      </c>
      <c r="D105" s="125" t="n"/>
      <c r="E105" s="102" t="n"/>
      <c r="F105" s="125" t="n"/>
      <c r="G105" s="102" t="n"/>
      <c r="H105" s="103" t="n"/>
      <c r="I105" s="127" t="n"/>
      <c r="J105" s="124" t="n"/>
      <c r="K105" s="126" t="n"/>
      <c r="L105" s="125" t="n"/>
      <c r="M105" s="102" t="n"/>
      <c r="N105" s="124" t="n"/>
      <c r="O105" s="124" t="n"/>
      <c r="P105" s="124" t="n"/>
      <c r="Q105" s="123" t="n"/>
      <c r="R105" s="91" t="n"/>
      <c r="S105" s="91" t="n"/>
      <c r="T105" s="91" t="n"/>
      <c r="U105" s="91" t="n"/>
      <c r="V105" s="91" t="n"/>
    </row>
    <row r="106" ht="28.5" customHeight="1">
      <c r="A106" s="106" t="n">
        <v>109</v>
      </c>
      <c r="B106" s="106" t="n">
        <v>26</v>
      </c>
      <c r="C106" s="128">
        <f>[1]ΑΝΤΙΣΤΟΙΧΙΣΗ!L216</f>
        <v/>
      </c>
      <c r="D106" s="125" t="n"/>
      <c r="E106" s="102" t="n"/>
      <c r="F106" s="125" t="n"/>
      <c r="G106" s="102" t="n"/>
      <c r="H106" s="103" t="n"/>
      <c r="I106" s="127" t="n"/>
      <c r="J106" s="124" t="n"/>
      <c r="K106" s="126" t="n"/>
      <c r="L106" s="125" t="n"/>
      <c r="M106" s="102" t="n"/>
      <c r="N106" s="124" t="n"/>
      <c r="O106" s="124" t="n"/>
      <c r="P106" s="124" t="n"/>
      <c r="Q106" s="123" t="n"/>
      <c r="R106" s="91" t="n"/>
      <c r="S106" s="91" t="n"/>
      <c r="T106" s="91" t="n"/>
      <c r="U106" s="91" t="n"/>
      <c r="V106" s="91" t="n"/>
    </row>
    <row r="107" ht="15" customHeight="1">
      <c r="A107" s="113" t="n">
        <v>110</v>
      </c>
      <c r="B107" s="113" t="n"/>
      <c r="C107" s="122" t="inlineStr">
        <is>
          <t>ΣΥΝΟΛΟ ΚΟΣΤΟΥΣ Sales-Marketing ΜΗΝΟΣ</t>
        </is>
      </c>
      <c r="D107" s="97">
        <f>'[1]2026_60-69 ΕΞΟΔΑ+ΟΜ 2'!E36</f>
        <v/>
      </c>
      <c r="E107" s="96" t="n"/>
      <c r="F107" s="97">
        <f>'[1]2026_60-69 ΕΞΟΔΑ+ΟΜ 2'!R36</f>
        <v/>
      </c>
      <c r="G107" s="96" t="n"/>
      <c r="H107" s="97">
        <f>SUM(H47:H110)</f>
        <v/>
      </c>
      <c r="I107" s="96" t="n"/>
      <c r="J107" s="97">
        <f>SUM(J47:J110)</f>
        <v/>
      </c>
      <c r="K107" s="96" t="n"/>
      <c r="L107" s="97">
        <f>SUM(L47:L110)</f>
        <v/>
      </c>
      <c r="M107" s="96" t="n"/>
      <c r="N107" s="97">
        <f>SUM(N47:N110)</f>
        <v/>
      </c>
      <c r="O107" s="96" t="n"/>
      <c r="P107" s="97">
        <f>SUM(P47:P110)</f>
        <v/>
      </c>
      <c r="Q107" s="96" t="n"/>
      <c r="R107" s="91" t="n"/>
      <c r="S107" s="91" t="n"/>
      <c r="T107" s="91" t="n"/>
      <c r="U107" s="91" t="n"/>
      <c r="V107" s="91" t="n"/>
    </row>
    <row r="108" ht="15" customHeight="1">
      <c r="A108" s="113" t="n">
        <v>111</v>
      </c>
      <c r="B108" s="113" t="n"/>
      <c r="C108" s="121" t="inlineStr">
        <is>
          <t>Ελεγχος Ορθότητας ( πρέπει να είναι 0)</t>
        </is>
      </c>
      <c r="D108" s="97">
        <f>D84-D111</f>
        <v/>
      </c>
      <c r="E108" s="96" t="n"/>
      <c r="F108" s="97">
        <f>F84-F111</f>
        <v/>
      </c>
      <c r="G108" s="96" t="n"/>
      <c r="H108" s="97">
        <f>H84-H111</f>
        <v/>
      </c>
      <c r="I108" s="96" t="n"/>
      <c r="J108" s="97">
        <f>J84-J111</f>
        <v/>
      </c>
      <c r="K108" s="96" t="n"/>
      <c r="L108" s="97">
        <f>L84-L111</f>
        <v/>
      </c>
      <c r="M108" s="96" t="n"/>
      <c r="N108" s="97">
        <f>N84-N111</f>
        <v/>
      </c>
      <c r="O108" s="96" t="n"/>
      <c r="P108" s="97">
        <f>P84-P111</f>
        <v/>
      </c>
      <c r="Q108" s="96" t="n"/>
      <c r="R108" s="91" t="n"/>
      <c r="S108" s="91" t="n"/>
      <c r="T108" s="91" t="n"/>
      <c r="U108" s="91" t="n"/>
      <c r="V108" s="91" t="n"/>
    </row>
    <row r="109" ht="15" customHeight="1">
      <c r="A109" s="120" t="n">
        <v>112</v>
      </c>
      <c r="B109" s="120" t="n"/>
      <c r="C109" s="119" t="inlineStr">
        <is>
          <t>ΑΝΑΛΥΣΗ ΕΤΟΥΣ 2026</t>
        </is>
      </c>
      <c r="D109" s="184">
        <f>[1]ΑΝΤΙΣΤΟΙΧΙΣΗ!$F$32</f>
        <v/>
      </c>
      <c r="E109" s="192" t="n"/>
      <c r="F109" s="192" t="n"/>
      <c r="G109" s="56" t="n"/>
      <c r="H109" s="184">
        <f>[1]ΑΝΤΙΣΤΟΙΧΙΣΗ!$F$35</f>
        <v/>
      </c>
      <c r="I109" s="192" t="n"/>
      <c r="J109" s="192" t="n"/>
      <c r="K109" s="56" t="n"/>
      <c r="L109" s="184">
        <f>[1]ΑΝΤΙΣΤΟΙΧΙΣΗ!$F$68</f>
        <v/>
      </c>
      <c r="M109" s="192" t="n"/>
      <c r="N109" s="192" t="n"/>
      <c r="O109" s="56" t="n"/>
      <c r="P109" s="185">
        <f>[1]ΑΝΤΙΣΤΟΙΧΙΣΗ!$F$100</f>
        <v/>
      </c>
      <c r="Q109" s="56" t="n"/>
      <c r="R109" s="91" t="n"/>
      <c r="S109" s="91" t="n"/>
      <c r="T109" s="91" t="n"/>
      <c r="U109" s="91" t="n"/>
      <c r="V109" s="91" t="n"/>
    </row>
    <row r="110" ht="25.5" customHeight="1">
      <c r="A110" s="113" t="n">
        <v>113</v>
      </c>
      <c r="B110" s="112" t="n"/>
      <c r="C110" s="118" t="inlineStr">
        <is>
          <t xml:space="preserve">ΠΕΡΙΟΔΟΣ </t>
        </is>
      </c>
      <c r="D110" s="186">
        <f>[1]ΑΝΤΙΣΤΟΙΧΙΣΗ!$F$107</f>
        <v/>
      </c>
      <c r="E110" s="192" t="n"/>
      <c r="F110" s="56" t="n"/>
      <c r="G110" s="117">
        <f>[1]ΑΝΤΙΣΤΟΙΧΙΣΗ!$D$34</f>
        <v/>
      </c>
      <c r="H110" s="186">
        <f>[1]ΑΝΤΙΣΤΟΙΧΙΣΗ!$F$107</f>
        <v/>
      </c>
      <c r="I110" s="192" t="n"/>
      <c r="J110" s="56" t="n"/>
      <c r="K110" s="117">
        <f>[1]ΑΝΤΙΣΤΟΙΧΙΣΗ!$D$34</f>
        <v/>
      </c>
      <c r="L110" s="186">
        <f>[1]ΑΝΤΙΣΤΟΙΧΙΣΗ!$F$121</f>
        <v/>
      </c>
      <c r="M110" s="192" t="n"/>
      <c r="N110" s="56" t="n"/>
      <c r="O110" s="117">
        <f>[1]ΑΝΤΙΣΤΟΙΧΙΣΗ!$D$33</f>
        <v/>
      </c>
      <c r="P110" s="186" t="n"/>
      <c r="Q110" s="56" t="n"/>
      <c r="R110" s="91" t="n"/>
      <c r="S110" s="91" t="n"/>
      <c r="T110" s="91" t="n"/>
      <c r="U110" s="91" t="n"/>
      <c r="V110" s="91" t="n"/>
    </row>
    <row r="111" ht="31.5" customHeight="1">
      <c r="A111" s="116" t="n">
        <v>114</v>
      </c>
      <c r="B111" s="116" t="inlineStr">
        <is>
          <t>Δ</t>
        </is>
      </c>
      <c r="C111" s="115" t="inlineStr">
        <is>
          <t xml:space="preserve">ΚΑΤΗΓΟΡΙΑ ΕΞΟΔΟΥ </t>
        </is>
      </c>
      <c r="D111" s="115" t="inlineStr">
        <is>
          <t>Ποσά</t>
        </is>
      </c>
      <c r="E111" s="114" t="inlineStr">
        <is>
          <t xml:space="preserve">% Κατηγ.Εξ/Σύν.Κδιάθ.μηνός </t>
        </is>
      </c>
      <c r="F111" s="114" t="inlineStr">
        <is>
          <t xml:space="preserve">Προοδευτικό Σύνολο Κατηγ. Εξόδων έως Σήμερα </t>
        </is>
      </c>
      <c r="G111" s="114" t="inlineStr">
        <is>
          <t xml:space="preserve">% Προοδ. Σύν. Κατηγ. Εξ/ Προοδ. Σύνολο Εξόδων </t>
        </is>
      </c>
      <c r="H111" s="114" t="inlineStr">
        <is>
          <t xml:space="preserve">Εξοδα Μηνός </t>
        </is>
      </c>
      <c r="I111" s="114" t="inlineStr">
        <is>
          <t xml:space="preserve">% Κατηγ.Εξ/Σύν.Κδιά .μηνός </t>
        </is>
      </c>
      <c r="J111" s="114" t="inlineStr">
        <is>
          <t xml:space="preserve">Προοδευτικό Σύνολο Κατηγ. Εξόδων έως Σήμερα </t>
        </is>
      </c>
      <c r="K111" s="114" t="inlineStr">
        <is>
          <t xml:space="preserve">% Προοδ. Σύν. Κατηγ. Εξ/ Προοδ. Σύνολο Εσόδων </t>
        </is>
      </c>
      <c r="L111" s="114" t="inlineStr">
        <is>
          <t xml:space="preserve">Εξοδα Μηνός </t>
        </is>
      </c>
      <c r="M111" s="114" t="inlineStr">
        <is>
          <t xml:space="preserve">% Κατηγ.Εξ/Σύν.Κδιά .μηνός </t>
        </is>
      </c>
      <c r="N111" s="114" t="inlineStr">
        <is>
          <t xml:space="preserve">Προοδευτικό Σύνολο Κατηγ. Εξόδων έως Σήμερα </t>
        </is>
      </c>
      <c r="O111" s="114" t="inlineStr">
        <is>
          <t xml:space="preserve">% Προοδ. Σύν. Κατηγ. Εξ/ Προοδ. Σύνολο Εξόδων </t>
        </is>
      </c>
      <c r="P111" s="114" t="inlineStr">
        <is>
          <t xml:space="preserve">Προοδ. Διαφορά με Προηγ. Έτος ( Τρέχον Έτος - Προηγ. Έτος) </t>
        </is>
      </c>
      <c r="Q111" s="114" t="inlineStr">
        <is>
          <t xml:space="preserve">% Προοδ.Σύνολο Κατηγ. Εσ. Πρ. Έτους / Προοδ.Σύν.Εσ. Τρέχοντος Έτους </t>
        </is>
      </c>
      <c r="R111" s="91" t="n"/>
      <c r="S111" s="91" t="n"/>
      <c r="T111" s="91" t="n"/>
      <c r="U111" s="91" t="n"/>
      <c r="V111" s="91" t="n"/>
    </row>
    <row r="112" ht="24" customHeight="1">
      <c r="A112" s="113" t="n">
        <v>115</v>
      </c>
      <c r="B112" s="112" t="inlineStr">
        <is>
          <t>Α/Α</t>
        </is>
      </c>
      <c r="C112" s="98" t="inlineStr">
        <is>
          <t xml:space="preserve">ΚΟΣΤΟΣ ΔΙΟΙΚΗΣΗΣ ΜΗΝΟΣ </t>
        </is>
      </c>
      <c r="D112" s="97">
        <f>SUM(D117:D156)</f>
        <v/>
      </c>
      <c r="E112" s="96" t="n"/>
      <c r="F112" s="97">
        <f>SUM(F117:F156)</f>
        <v/>
      </c>
      <c r="G112" s="96" t="n"/>
      <c r="H112" s="97">
        <f>SUM(H117:H156)</f>
        <v/>
      </c>
      <c r="I112" s="96" t="n"/>
      <c r="J112" s="97">
        <f>SUM(J117:J156)</f>
        <v/>
      </c>
      <c r="K112" s="96" t="n"/>
      <c r="L112" s="97">
        <f>SUM(L117:L156)</f>
        <v/>
      </c>
      <c r="M112" s="96" t="n"/>
      <c r="N112" s="97">
        <f>SUM(N117:N156)</f>
        <v/>
      </c>
      <c r="O112" s="96" t="n"/>
      <c r="P112" s="97">
        <f>SUM(P117:P156)</f>
        <v/>
      </c>
      <c r="Q112" s="96" t="n"/>
      <c r="R112" s="91" t="n"/>
      <c r="S112" s="91" t="n"/>
      <c r="T112" s="91" t="n"/>
      <c r="U112" s="91" t="n"/>
      <c r="V112" s="91" t="n"/>
    </row>
    <row r="113" ht="15.75" customHeight="1">
      <c r="A113" s="106" t="n">
        <v>116</v>
      </c>
      <c r="B113" s="106" t="n">
        <v>1</v>
      </c>
      <c r="C113" s="111">
        <f>[1]ΑΝΤΙΣΤΟΙΧΙΣΗ!O187</f>
        <v/>
      </c>
      <c r="D113" s="103">
        <f>'[1]2026_60-69 ΕΞΟΔΑ+ΟΜ 2'!E74</f>
        <v/>
      </c>
      <c r="E113" s="192" t="n"/>
      <c r="F113" s="192" t="n"/>
      <c r="G113" s="56" t="n"/>
      <c r="H113" s="103" t="n"/>
      <c r="I113" s="192" t="n"/>
      <c r="J113" s="192" t="n"/>
      <c r="K113" s="56" t="n"/>
      <c r="L113" s="103">
        <f>'[1]2024_60-69 ΕΞΟΔΑ+ΟΜ 2'!E66</f>
        <v/>
      </c>
      <c r="M113" s="192" t="n"/>
      <c r="N113" s="192" t="n"/>
      <c r="O113" s="56" t="n"/>
      <c r="P113" s="101" t="n"/>
      <c r="Q113" s="56" t="n"/>
      <c r="R113" s="91" t="n"/>
      <c r="S113" s="91" t="n"/>
      <c r="T113" s="91" t="n"/>
      <c r="U113" s="91" t="n"/>
      <c r="V113" s="91" t="n"/>
    </row>
    <row r="114" ht="31.5" customHeight="1">
      <c r="A114" s="106" t="n">
        <v>117</v>
      </c>
      <c r="B114" s="106" t="n">
        <v>2</v>
      </c>
      <c r="C114" s="110">
        <f>[1]ΑΝΤΙΣΤΟΙΧΙΣΗ!O188</f>
        <v/>
      </c>
      <c r="D114" s="103">
        <f>'[1]2026_60-69 ΕΞΟΔΑ+ΟΜ 2'!E75</f>
        <v/>
      </c>
      <c r="E114" s="192" t="n"/>
      <c r="F114" s="56" t="n"/>
      <c r="G114" s="102">
        <f>F118/$F$116</f>
        <v/>
      </c>
      <c r="H114" s="103" t="n"/>
      <c r="I114" s="192" t="n"/>
      <c r="J114" s="56" t="n"/>
      <c r="K114" s="101">
        <f>J118/$J$116</f>
        <v/>
      </c>
      <c r="L114" s="103">
        <f>'[1]2024_60-69 ΕΞΟΔΑ+ΟΜ 2'!E67</f>
        <v/>
      </c>
      <c r="M114" s="192" t="n"/>
      <c r="N114" s="56" t="n"/>
      <c r="O114" s="102">
        <f>N118/$N$116</f>
        <v/>
      </c>
      <c r="P114" s="101" t="n"/>
      <c r="Q114" s="56" t="n"/>
      <c r="R114" s="91" t="n"/>
      <c r="S114" s="91" t="n"/>
      <c r="T114" s="91" t="n"/>
      <c r="U114" s="91" t="n"/>
      <c r="V114" s="109" t="n"/>
    </row>
    <row r="115" ht="45" customHeight="1">
      <c r="A115" s="106" t="n">
        <v>118</v>
      </c>
      <c r="B115" s="106" t="n">
        <v>3</v>
      </c>
      <c r="C115" s="105">
        <f>[1]ΑΝΤΙΣΤΟΙΧΙΣΗ!O189</f>
        <v/>
      </c>
      <c r="D115" s="103">
        <f>'[1]2026_60-69 ΕΞΟΔΑ+ΟΜ 2'!E76</f>
        <v/>
      </c>
      <c r="E115" s="102">
        <f>D119/$D$116</f>
        <v/>
      </c>
      <c r="F115" s="101">
        <f>'[1]2026 Ιανουάριος'!F119+'2026 Φεβρουάριος'!D119</f>
        <v/>
      </c>
      <c r="G115" s="102">
        <f>F119/$F$116</f>
        <v/>
      </c>
      <c r="H115" s="103" t="n"/>
      <c r="I115" s="104">
        <f>H119/$H$116</f>
        <v/>
      </c>
      <c r="J115" s="101" t="n"/>
      <c r="K115" s="101">
        <f>J119/$J$116</f>
        <v/>
      </c>
      <c r="L115" s="103">
        <f>'[1]2024_60-69 ΕΞΟΔΑ+ΟΜ 2'!E68</f>
        <v/>
      </c>
      <c r="M115" s="102">
        <f>L119/$L$116</f>
        <v/>
      </c>
      <c r="N115" s="101">
        <f>L119+'[1]2026 Ιανουάριος'!L119</f>
        <v/>
      </c>
      <c r="O115" s="102">
        <f>N119/$N$116</f>
        <v/>
      </c>
      <c r="P115" s="101" t="n"/>
      <c r="Q115" s="100">
        <f>SUM(D119:P119)</f>
        <v/>
      </c>
      <c r="R115" s="91" t="n"/>
      <c r="S115" s="91" t="n"/>
      <c r="T115" s="91" t="n"/>
      <c r="U115" s="91" t="n"/>
      <c r="V115" s="91" t="n"/>
    </row>
    <row r="116" ht="30" customHeight="1">
      <c r="A116" s="106" t="n">
        <v>119</v>
      </c>
      <c r="B116" s="106" t="n">
        <v>4</v>
      </c>
      <c r="C116" s="105">
        <f>[1]ΑΝΤΙΣΤΟΙΧΙΣΗ!O190</f>
        <v/>
      </c>
      <c r="D116" s="103">
        <f>'[1]2026_60-69 ΕΞΟΔΑ+ΟΜ 2'!E77</f>
        <v/>
      </c>
      <c r="E116" s="102">
        <f>D120/$D$116</f>
        <v/>
      </c>
      <c r="F116" s="101">
        <f>'[1]2026 Ιανουάριος'!F120+'2026 Φεβρουάριος'!D120</f>
        <v/>
      </c>
      <c r="G116" s="102">
        <f>F120/$F$116</f>
        <v/>
      </c>
      <c r="H116" s="103" t="n"/>
      <c r="I116" s="104">
        <f>H120/$H$116</f>
        <v/>
      </c>
      <c r="J116" s="101" t="n"/>
      <c r="K116" s="101">
        <f>J120/$J$116</f>
        <v/>
      </c>
      <c r="L116" s="103">
        <f>'[1]2024_60-69 ΕΞΟΔΑ+ΟΜ 2'!E69</f>
        <v/>
      </c>
      <c r="M116" s="102">
        <f>L120/$L$116</f>
        <v/>
      </c>
      <c r="N116" s="101">
        <f>L120+'[1]2026 Ιανουάριος'!L120</f>
        <v/>
      </c>
      <c r="O116" s="102">
        <f>N120/$N$116</f>
        <v/>
      </c>
      <c r="P116" s="101" t="n"/>
      <c r="Q116" s="100">
        <f>SUM(D120:P120)</f>
        <v/>
      </c>
      <c r="R116" s="91" t="n"/>
      <c r="S116" s="91" t="n"/>
      <c r="T116" s="91" t="n"/>
      <c r="U116" s="91" t="n"/>
      <c r="V116" s="91" t="n"/>
    </row>
    <row r="117" ht="15" customHeight="1">
      <c r="A117" s="106" t="n">
        <v>120</v>
      </c>
      <c r="B117" s="106" t="n">
        <v>5</v>
      </c>
      <c r="C117" s="105">
        <f>[1]ΑΝΤΙΣΤΟΙΧΙΣΗ!O191</f>
        <v/>
      </c>
      <c r="D117" s="103">
        <f>'[1]2026_60-69 ΕΞΟΔΑ+ΟΜ 2'!E78</f>
        <v/>
      </c>
      <c r="E117" s="102">
        <f>D121/$D$116</f>
        <v/>
      </c>
      <c r="F117" s="101">
        <f>'[1]2026 Ιανουάριος'!F121+'2026 Φεβρουάριος'!D121</f>
        <v/>
      </c>
      <c r="G117" s="102">
        <f>F121/$F$116</f>
        <v/>
      </c>
      <c r="H117" s="103" t="n"/>
      <c r="I117" s="104">
        <f>H121/$H$116</f>
        <v/>
      </c>
      <c r="J117" s="101" t="n"/>
      <c r="K117" s="101">
        <f>J121/$J$116</f>
        <v/>
      </c>
      <c r="L117" s="103">
        <f>'[1]2024_60-69 ΕΞΟΔΑ+ΟΜ 2'!E70</f>
        <v/>
      </c>
      <c r="M117" s="102">
        <f>L121/$L$116</f>
        <v/>
      </c>
      <c r="N117" s="101">
        <f>L121+'[1]2026 Ιανουάριος'!L121</f>
        <v/>
      </c>
      <c r="O117" s="102">
        <f>N121/$N$116</f>
        <v/>
      </c>
      <c r="P117" s="101" t="n"/>
      <c r="Q117" s="100">
        <f>SUM(D121:P121)</f>
        <v/>
      </c>
      <c r="R117" s="91" t="n"/>
      <c r="S117" s="91" t="n"/>
      <c r="T117" s="91" t="n"/>
      <c r="U117" s="91" t="n"/>
      <c r="V117" s="91" t="n"/>
    </row>
    <row r="118" ht="28.5" customHeight="1">
      <c r="A118" s="106" t="n">
        <v>121</v>
      </c>
      <c r="B118" s="106" t="n">
        <v>6</v>
      </c>
      <c r="C118" s="105">
        <f>[1]ΑΝΤΙΣΤΟΙΧΙΣΗ!O192</f>
        <v/>
      </c>
      <c r="D118" s="103">
        <f>'[1]2026_60-69 ΕΞΟΔΑ+ΟΜ 2'!E79</f>
        <v/>
      </c>
      <c r="E118" s="102">
        <f>D122/$D$116</f>
        <v/>
      </c>
      <c r="F118" s="101">
        <f>'[1]2026 Ιανουάριος'!F122+'2026 Φεβρουάριος'!D122</f>
        <v/>
      </c>
      <c r="G118" s="102">
        <f>F122/$F$116</f>
        <v/>
      </c>
      <c r="H118" s="103" t="n"/>
      <c r="I118" s="104">
        <f>H122/$H$116</f>
        <v/>
      </c>
      <c r="J118" s="101" t="n"/>
      <c r="K118" s="101">
        <f>J122/$J$116</f>
        <v/>
      </c>
      <c r="L118" s="103">
        <f>'[1]2024_60-69 ΕΞΟΔΑ+ΟΜ 2'!E71</f>
        <v/>
      </c>
      <c r="M118" s="102">
        <f>L122/$L$116</f>
        <v/>
      </c>
      <c r="N118" s="101">
        <f>L122+'[1]2026 Ιανουάριος'!L122</f>
        <v/>
      </c>
      <c r="O118" s="102">
        <f>N122/$N$116</f>
        <v/>
      </c>
      <c r="P118" s="101" t="n"/>
      <c r="Q118" s="100">
        <f>SUM(D122:P122)</f>
        <v/>
      </c>
      <c r="R118" s="91" t="n"/>
      <c r="S118" s="91" t="n"/>
      <c r="T118" s="91" t="n"/>
      <c r="U118" s="91" t="n"/>
      <c r="V118" s="91" t="n"/>
    </row>
    <row r="119" ht="15" customHeight="1">
      <c r="A119" s="106" t="n">
        <v>122</v>
      </c>
      <c r="B119" s="106" t="n">
        <v>7</v>
      </c>
      <c r="C119" s="105">
        <f>[1]ΑΝΤΙΣΤΟΙΧΙΣΗ!O193</f>
        <v/>
      </c>
      <c r="D119" s="103">
        <f>'[1]2026_60-69 ΕΞΟΔΑ+ΟΜ 2'!E80</f>
        <v/>
      </c>
      <c r="E119" s="102">
        <f>D123/$D$116</f>
        <v/>
      </c>
      <c r="F119" s="101">
        <f>'[1]2026 Ιανουάριος'!F123+'2026 Φεβρουάριος'!D123</f>
        <v/>
      </c>
      <c r="G119" s="102">
        <f>F123/$F$116</f>
        <v/>
      </c>
      <c r="H119" s="103" t="n"/>
      <c r="I119" s="104">
        <f>H123/$H$116</f>
        <v/>
      </c>
      <c r="J119" s="101" t="n"/>
      <c r="K119" s="101">
        <f>J123/$J$116</f>
        <v/>
      </c>
      <c r="L119" s="103">
        <f>'[1]2024_60-69 ΕΞΟΔΑ+ΟΜ 2'!E72</f>
        <v/>
      </c>
      <c r="M119" s="102">
        <f>L123/$L$116</f>
        <v/>
      </c>
      <c r="N119" s="101">
        <f>L123+'[1]2026 Ιανουάριος'!L123</f>
        <v/>
      </c>
      <c r="O119" s="102">
        <f>N123/$N$116</f>
        <v/>
      </c>
      <c r="P119" s="101" t="n"/>
      <c r="Q119" s="100">
        <f>SUM(D123:P123)</f>
        <v/>
      </c>
      <c r="R119" s="91" t="n"/>
      <c r="S119" s="91" t="n"/>
      <c r="T119" s="91" t="n"/>
      <c r="U119" s="91" t="n"/>
      <c r="V119" s="91" t="n"/>
    </row>
    <row r="120" ht="15" customHeight="1">
      <c r="A120" s="106" t="n">
        <v>123</v>
      </c>
      <c r="B120" s="106" t="n">
        <v>8</v>
      </c>
      <c r="C120" s="105">
        <f>[1]ΑΝΤΙΣΤΟΙΧΙΣΗ!O194</f>
        <v/>
      </c>
      <c r="D120" s="103">
        <f>'[1]2026_60-69 ΕΞΟΔΑ+ΟΜ 2'!E81</f>
        <v/>
      </c>
      <c r="E120" s="102">
        <f>D124/$D$116</f>
        <v/>
      </c>
      <c r="F120" s="101">
        <f>'[1]2026 Ιανουάριος'!F124+'2026 Φεβρουάριος'!D124</f>
        <v/>
      </c>
      <c r="G120" s="102">
        <f>F124/$F$116</f>
        <v/>
      </c>
      <c r="H120" s="103" t="n"/>
      <c r="I120" s="104">
        <f>H124/$H$116</f>
        <v/>
      </c>
      <c r="J120" s="101" t="n"/>
      <c r="K120" s="101">
        <f>J124/$J$116</f>
        <v/>
      </c>
      <c r="L120" s="103">
        <f>'[1]2024_60-69 ΕΞΟΔΑ+ΟΜ 2'!E73</f>
        <v/>
      </c>
      <c r="M120" s="102">
        <f>L124/$L$116</f>
        <v/>
      </c>
      <c r="N120" s="101">
        <f>L124+'[1]2026 Ιανουάριος'!L124</f>
        <v/>
      </c>
      <c r="O120" s="102">
        <f>N124/$N$116</f>
        <v/>
      </c>
      <c r="P120" s="101" t="n"/>
      <c r="Q120" s="100">
        <f>SUM(D124:P124)</f>
        <v/>
      </c>
      <c r="R120" s="91" t="n"/>
      <c r="S120" s="91" t="n"/>
      <c r="T120" s="91" t="n"/>
      <c r="U120" s="91" t="n"/>
      <c r="V120" s="91" t="n"/>
    </row>
    <row r="121" ht="15" customHeight="1">
      <c r="A121" s="106" t="n">
        <v>124</v>
      </c>
      <c r="B121" s="106" t="n">
        <v>9</v>
      </c>
      <c r="C121" s="105">
        <f>[1]ΑΝΤΙΣΤΟΙΧΙΣΗ!O195</f>
        <v/>
      </c>
      <c r="D121" s="103">
        <f>'[1]2026_60-69 ΕΞΟΔΑ+ΟΜ 2'!E82</f>
        <v/>
      </c>
      <c r="E121" s="102">
        <f>D125/$D$116</f>
        <v/>
      </c>
      <c r="F121" s="101">
        <f>'[1]2026 Ιανουάριος'!F125+'2026 Φεβρουάριος'!D125</f>
        <v/>
      </c>
      <c r="G121" s="102">
        <f>F125/$F$116</f>
        <v/>
      </c>
      <c r="H121" s="103" t="n"/>
      <c r="I121" s="104">
        <f>H125/$H$116</f>
        <v/>
      </c>
      <c r="J121" s="101" t="n"/>
      <c r="K121" s="101">
        <f>J125/$J$116</f>
        <v/>
      </c>
      <c r="L121" s="103">
        <f>'[1]2024_60-69 ΕΞΟΔΑ+ΟΜ 2'!E74</f>
        <v/>
      </c>
      <c r="M121" s="102">
        <f>L125/$L$116</f>
        <v/>
      </c>
      <c r="N121" s="101">
        <f>L125+'[1]2026 Ιανουάριος'!L125</f>
        <v/>
      </c>
      <c r="O121" s="102">
        <f>N125/$N$116</f>
        <v/>
      </c>
      <c r="P121" s="101" t="n"/>
      <c r="Q121" s="100">
        <f>SUM(D125:P125)</f>
        <v/>
      </c>
      <c r="R121" s="91" t="n"/>
      <c r="S121" s="91" t="n"/>
      <c r="T121" s="91" t="n"/>
      <c r="U121" s="91" t="n"/>
      <c r="V121" s="91" t="n"/>
    </row>
    <row r="122" ht="15" customHeight="1">
      <c r="A122" s="106" t="n">
        <v>125</v>
      </c>
      <c r="B122" s="106" t="n">
        <v>10</v>
      </c>
      <c r="C122" s="105">
        <f>[1]ΑΝΤΙΣΤΟΙΧΙΣΗ!O196</f>
        <v/>
      </c>
      <c r="D122" s="103">
        <f>'[1]2026_60-69 ΕΞΟΔΑ+ΟΜ 2'!E83</f>
        <v/>
      </c>
      <c r="E122" s="102">
        <f>D126/$D$116</f>
        <v/>
      </c>
      <c r="F122" s="101">
        <f>'[1]2026 Ιανουάριος'!F126+'2026 Φεβρουάριος'!D126</f>
        <v/>
      </c>
      <c r="G122" s="102">
        <f>F126/$F$116</f>
        <v/>
      </c>
      <c r="H122" s="103" t="n"/>
      <c r="I122" s="104">
        <f>H126/$H$116</f>
        <v/>
      </c>
      <c r="J122" s="101" t="n"/>
      <c r="K122" s="101">
        <f>J126/$J$116</f>
        <v/>
      </c>
      <c r="L122" s="103">
        <f>'[1]2024_60-69 ΕΞΟΔΑ+ΟΜ 2'!E75</f>
        <v/>
      </c>
      <c r="M122" s="102">
        <f>L126/$L$116</f>
        <v/>
      </c>
      <c r="N122" s="101">
        <f>L126+'[1]2026 Ιανουάριος'!L126</f>
        <v/>
      </c>
      <c r="O122" s="102">
        <f>N126/$N$116</f>
        <v/>
      </c>
      <c r="P122" s="101" t="n"/>
      <c r="Q122" s="100">
        <f>SUM(D126:P126)</f>
        <v/>
      </c>
      <c r="R122" s="91" t="n"/>
      <c r="S122" s="91" t="n"/>
      <c r="T122" s="91" t="n"/>
      <c r="U122" s="91" t="n"/>
      <c r="V122" s="91" t="n"/>
    </row>
    <row r="123" ht="15" customHeight="1">
      <c r="A123" s="106" t="n">
        <v>126</v>
      </c>
      <c r="B123" s="106" t="n">
        <v>11</v>
      </c>
      <c r="C123" s="105">
        <f>[1]ΑΝΤΙΣΤΟΙΧΙΣΗ!O197</f>
        <v/>
      </c>
      <c r="D123" s="103">
        <f>'[1]2026_60-69 ΕΞΟΔΑ+ΟΜ 2'!E84</f>
        <v/>
      </c>
      <c r="E123" s="102">
        <f>D127/$D$116</f>
        <v/>
      </c>
      <c r="F123" s="101">
        <f>'[1]2026 Ιανουάριος'!F127+'2026 Φεβρουάριος'!D127</f>
        <v/>
      </c>
      <c r="G123" s="102">
        <f>F127/$F$116</f>
        <v/>
      </c>
      <c r="H123" s="103" t="n"/>
      <c r="I123" s="104">
        <f>H127/$H$116</f>
        <v/>
      </c>
      <c r="J123" s="101" t="n"/>
      <c r="K123" s="101">
        <f>J127/$J$116</f>
        <v/>
      </c>
      <c r="L123" s="103">
        <f>'[1]2024_60-69 ΕΞΟΔΑ+ΟΜ 2'!E76</f>
        <v/>
      </c>
      <c r="M123" s="102">
        <f>L127/$L$116</f>
        <v/>
      </c>
      <c r="N123" s="101">
        <f>L127+'[1]2026 Ιανουάριος'!L127</f>
        <v/>
      </c>
      <c r="O123" s="102">
        <f>N127/$N$116</f>
        <v/>
      </c>
      <c r="P123" s="101" t="n"/>
      <c r="Q123" s="100">
        <f>SUM(D127:P127)</f>
        <v/>
      </c>
      <c r="R123" s="91" t="n"/>
      <c r="S123" s="91" t="n"/>
      <c r="T123" s="91" t="n"/>
      <c r="U123" s="91" t="n"/>
      <c r="V123" s="91" t="n"/>
    </row>
    <row r="124" ht="28.5" customHeight="1">
      <c r="A124" s="106" t="n">
        <v>127</v>
      </c>
      <c r="B124" s="106" t="n">
        <v>12</v>
      </c>
      <c r="C124" s="105">
        <f>[1]ΑΝΤΙΣΤΟΙΧΙΣΗ!O198</f>
        <v/>
      </c>
      <c r="D124" s="103">
        <f>'[1]2026_60-69 ΕΞΟΔΑ+ΟΜ 2'!E85</f>
        <v/>
      </c>
      <c r="E124" s="102">
        <f>D128/$D$116</f>
        <v/>
      </c>
      <c r="F124" s="101">
        <f>'[1]2026 Ιανουάριος'!F128+'2026 Φεβρουάριος'!D128</f>
        <v/>
      </c>
      <c r="G124" s="102">
        <f>F128/$F$116</f>
        <v/>
      </c>
      <c r="H124" s="103" t="n"/>
      <c r="I124" s="104">
        <f>H128/$H$116</f>
        <v/>
      </c>
      <c r="J124" s="101" t="n"/>
      <c r="K124" s="101">
        <f>J128/$J$116</f>
        <v/>
      </c>
      <c r="L124" s="103">
        <f>'[1]2024_60-69 ΕΞΟΔΑ+ΟΜ 2'!E77</f>
        <v/>
      </c>
      <c r="M124" s="102">
        <f>L128/$L$116</f>
        <v/>
      </c>
      <c r="N124" s="101">
        <f>L128+'[1]2026 Ιανουάριος'!L128</f>
        <v/>
      </c>
      <c r="O124" s="102">
        <f>N128/$N$116</f>
        <v/>
      </c>
      <c r="P124" s="101" t="n"/>
      <c r="Q124" s="100">
        <f>SUM(D128:P128)</f>
        <v/>
      </c>
      <c r="R124" s="91" t="n"/>
      <c r="S124" s="91" t="n"/>
      <c r="T124" s="91" t="n"/>
      <c r="U124" s="91" t="n"/>
      <c r="V124" s="91" t="n"/>
    </row>
    <row r="125" ht="28.5" customHeight="1">
      <c r="A125" s="106" t="n">
        <v>128</v>
      </c>
      <c r="B125" s="106" t="n">
        <v>13</v>
      </c>
      <c r="C125" s="105">
        <f>[1]ΑΝΤΙΣΤΟΙΧΙΣΗ!O199</f>
        <v/>
      </c>
      <c r="D125" s="103">
        <f>'[1]2026_60-69 ΕΞΟΔΑ+ΟΜ 2'!E86</f>
        <v/>
      </c>
      <c r="E125" s="102">
        <f>D129/$D$116</f>
        <v/>
      </c>
      <c r="F125" s="101">
        <f>'[1]2026 Ιανουάριος'!F129+'2026 Φεβρουάριος'!D129</f>
        <v/>
      </c>
      <c r="G125" s="102">
        <f>F129/$F$116</f>
        <v/>
      </c>
      <c r="H125" s="103" t="n"/>
      <c r="I125" s="104">
        <f>H129/$H$116</f>
        <v/>
      </c>
      <c r="J125" s="101" t="n"/>
      <c r="K125" s="101">
        <f>J129/$J$116</f>
        <v/>
      </c>
      <c r="L125" s="103">
        <f>'[1]2024_60-69 ΕΞΟΔΑ+ΟΜ 2'!E78</f>
        <v/>
      </c>
      <c r="M125" s="102">
        <f>L129/$L$116</f>
        <v/>
      </c>
      <c r="N125" s="101">
        <f>L129+'[1]2026 Ιανουάριος'!L129</f>
        <v/>
      </c>
      <c r="O125" s="102">
        <f>N129/$N$116</f>
        <v/>
      </c>
      <c r="P125" s="101" t="n"/>
      <c r="Q125" s="100">
        <f>SUM(D129:P129)</f>
        <v/>
      </c>
      <c r="R125" s="91" t="n"/>
      <c r="S125" s="91" t="n"/>
      <c r="T125" s="91" t="n"/>
      <c r="U125" s="91" t="n"/>
      <c r="V125" s="91" t="n"/>
    </row>
    <row r="126" ht="28.5" customHeight="1">
      <c r="A126" s="106" t="n">
        <v>129</v>
      </c>
      <c r="B126" s="106" t="n">
        <v>14</v>
      </c>
      <c r="C126" s="105">
        <f>[1]ΑΝΤΙΣΤΟΙΧΙΣΗ!O200</f>
        <v/>
      </c>
      <c r="D126" s="103">
        <f>'[1]2026_60-69 ΕΞΟΔΑ+ΟΜ 2'!E87</f>
        <v/>
      </c>
      <c r="E126" s="102">
        <f>D130/$D$116</f>
        <v/>
      </c>
      <c r="F126" s="101">
        <f>'[1]2026 Ιανουάριος'!F130+'2026 Φεβρουάριος'!D130</f>
        <v/>
      </c>
      <c r="G126" s="102">
        <f>F130/$F$116</f>
        <v/>
      </c>
      <c r="H126" s="103" t="n"/>
      <c r="I126" s="104">
        <f>H130/$H$116</f>
        <v/>
      </c>
      <c r="J126" s="101" t="n"/>
      <c r="K126" s="101">
        <f>J130/$J$116</f>
        <v/>
      </c>
      <c r="L126" s="103">
        <f>'[1]2024_60-69 ΕΞΟΔΑ+ΟΜ 2'!E79</f>
        <v/>
      </c>
      <c r="M126" s="102">
        <f>L130/$L$116</f>
        <v/>
      </c>
      <c r="N126" s="101">
        <f>L130+'[1]2026 Ιανουάριος'!L130</f>
        <v/>
      </c>
      <c r="O126" s="102">
        <f>N130/$N$116</f>
        <v/>
      </c>
      <c r="P126" s="101" t="n"/>
      <c r="Q126" s="100">
        <f>SUM(D130:P130)</f>
        <v/>
      </c>
      <c r="R126" s="91" t="n"/>
      <c r="S126" s="91" t="n"/>
      <c r="T126" s="91" t="n"/>
      <c r="U126" s="91" t="n"/>
      <c r="V126" s="91" t="n"/>
    </row>
    <row r="127" ht="28.5" customHeight="1">
      <c r="A127" s="106" t="n">
        <v>130</v>
      </c>
      <c r="B127" s="106" t="n">
        <v>15</v>
      </c>
      <c r="C127" s="110">
        <f>[1]ΑΝΤΙΣΤΟΙΧΙΣΗ!O201</f>
        <v/>
      </c>
      <c r="D127" s="103">
        <f>'[1]2026_60-69 ΕΞΟΔΑ+ΟΜ 2'!E88</f>
        <v/>
      </c>
      <c r="E127" s="102">
        <f>D131/$D$116</f>
        <v/>
      </c>
      <c r="F127" s="101">
        <f>'[1]2026 Ιανουάριος'!F131+'2026 Φεβρουάριος'!D131</f>
        <v/>
      </c>
      <c r="G127" s="102">
        <f>F131/$F$116</f>
        <v/>
      </c>
      <c r="H127" s="103" t="n"/>
      <c r="I127" s="104">
        <f>H131/$H$116</f>
        <v/>
      </c>
      <c r="J127" s="101" t="n"/>
      <c r="K127" s="101">
        <f>J131/$J$116</f>
        <v/>
      </c>
      <c r="L127" s="103">
        <f>'[1]2024_60-69 ΕΞΟΔΑ+ΟΜ 2'!E80</f>
        <v/>
      </c>
      <c r="M127" s="102">
        <f>L131/$L$116</f>
        <v/>
      </c>
      <c r="N127" s="101">
        <f>L131+'[1]2026 Ιανουάριος'!L131</f>
        <v/>
      </c>
      <c r="O127" s="102">
        <f>N131/$N$116</f>
        <v/>
      </c>
      <c r="P127" s="101" t="n"/>
      <c r="Q127" s="100">
        <f>SUM(D131:P131)</f>
        <v/>
      </c>
      <c r="R127" s="91" t="n"/>
      <c r="S127" s="91" t="n"/>
      <c r="T127" s="91" t="n"/>
      <c r="U127" s="91" t="n"/>
      <c r="V127" s="109" t="n"/>
    </row>
    <row r="128" ht="28.5" customHeight="1">
      <c r="A128" s="106" t="n">
        <v>131</v>
      </c>
      <c r="B128" s="106" t="n">
        <v>16</v>
      </c>
      <c r="C128" s="110">
        <f>[1]ΑΝΤΙΣΤΟΙΧΙΣΗ!O202</f>
        <v/>
      </c>
      <c r="D128" s="103">
        <f>'[1]2026_60-69 ΕΞΟΔΑ+ΟΜ 2'!E89</f>
        <v/>
      </c>
      <c r="E128" s="102">
        <f>D132/$D$116</f>
        <v/>
      </c>
      <c r="F128" s="101">
        <f>'[1]2026 Ιανουάριος'!F132+'2026 Φεβρουάριος'!D132</f>
        <v/>
      </c>
      <c r="G128" s="102">
        <f>F132/$F$116</f>
        <v/>
      </c>
      <c r="H128" s="103" t="n"/>
      <c r="I128" s="104">
        <f>H132/$H$116</f>
        <v/>
      </c>
      <c r="J128" s="101" t="n"/>
      <c r="K128" s="101">
        <f>J132/$J$116</f>
        <v/>
      </c>
      <c r="L128" s="103">
        <f>'[1]2024_60-69 ΕΞΟΔΑ+ΟΜ 2'!E81</f>
        <v/>
      </c>
      <c r="M128" s="102">
        <f>L132/$L$116</f>
        <v/>
      </c>
      <c r="N128" s="101">
        <f>L132+'[1]2026 Ιανουάριος'!L132</f>
        <v/>
      </c>
      <c r="O128" s="102">
        <f>N132/$N$116</f>
        <v/>
      </c>
      <c r="P128" s="101" t="n"/>
      <c r="Q128" s="100">
        <f>SUM(D132:P132)</f>
        <v/>
      </c>
      <c r="R128" s="91" t="n"/>
      <c r="S128" s="91" t="n"/>
      <c r="T128" s="91" t="n"/>
      <c r="U128" s="91" t="n"/>
      <c r="V128" s="109" t="n"/>
    </row>
    <row r="129" ht="28.5" customHeight="1">
      <c r="A129" s="106" t="n">
        <v>132</v>
      </c>
      <c r="B129" s="106" t="n">
        <v>17</v>
      </c>
      <c r="C129" s="110">
        <f>[1]ΑΝΤΙΣΤΟΙΧΙΣΗ!O203</f>
        <v/>
      </c>
      <c r="D129" s="103">
        <f>'[1]2026_60-69 ΕΞΟΔΑ+ΟΜ 2'!E90</f>
        <v/>
      </c>
      <c r="E129" s="102">
        <f>D133/$D$116</f>
        <v/>
      </c>
      <c r="F129" s="101">
        <f>'[1]2026 Ιανουάριος'!F133+'2026 Φεβρουάριος'!D133</f>
        <v/>
      </c>
      <c r="G129" s="102">
        <f>F133/$F$116</f>
        <v/>
      </c>
      <c r="H129" s="103" t="n"/>
      <c r="I129" s="104">
        <f>H133/$H$116</f>
        <v/>
      </c>
      <c r="J129" s="101" t="n"/>
      <c r="K129" s="101">
        <f>J133/$J$116</f>
        <v/>
      </c>
      <c r="L129" s="103">
        <f>'[1]2024_60-69 ΕΞΟΔΑ+ΟΜ 2'!E82</f>
        <v/>
      </c>
      <c r="M129" s="102">
        <f>L133/$L$116</f>
        <v/>
      </c>
      <c r="N129" s="101">
        <f>L133+'[1]2026 Ιανουάριος'!L133</f>
        <v/>
      </c>
      <c r="O129" s="102">
        <f>N133/$N$116</f>
        <v/>
      </c>
      <c r="P129" s="101" t="n"/>
      <c r="Q129" s="100">
        <f>SUM(D133:P133)</f>
        <v/>
      </c>
      <c r="R129" s="91" t="n"/>
      <c r="S129" s="91" t="n"/>
      <c r="T129" s="91" t="n"/>
      <c r="U129" s="91" t="n"/>
      <c r="V129" s="109" t="n"/>
    </row>
    <row r="130" ht="28.5" customHeight="1">
      <c r="A130" s="106" t="n">
        <v>133</v>
      </c>
      <c r="B130" s="106" t="n">
        <v>18</v>
      </c>
      <c r="C130" s="110">
        <f>[1]ΑΝΤΙΣΤΟΙΧΙΣΗ!O204</f>
        <v/>
      </c>
      <c r="D130" s="103">
        <f>'[1]2026_60-69 ΕΞΟΔΑ+ΟΜ 2'!E91</f>
        <v/>
      </c>
      <c r="E130" s="102">
        <f>D134/$D$116</f>
        <v/>
      </c>
      <c r="F130" s="101">
        <f>'[1]2026 Ιανουάριος'!F134+'2026 Φεβρουάριος'!D134</f>
        <v/>
      </c>
      <c r="G130" s="102">
        <f>F134/$F$116</f>
        <v/>
      </c>
      <c r="H130" s="103" t="n"/>
      <c r="I130" s="104">
        <f>H134/$H$116</f>
        <v/>
      </c>
      <c r="J130" s="101" t="n"/>
      <c r="K130" s="101">
        <f>J134/$J$116</f>
        <v/>
      </c>
      <c r="L130" s="103">
        <f>'[1]2024_60-69 ΕΞΟΔΑ+ΟΜ 2'!E83</f>
        <v/>
      </c>
      <c r="M130" s="102">
        <f>L134/$L$116</f>
        <v/>
      </c>
      <c r="N130" s="101">
        <f>L134+'[1]2026 Ιανουάριος'!L134</f>
        <v/>
      </c>
      <c r="O130" s="102">
        <f>N134/$N$116</f>
        <v/>
      </c>
      <c r="P130" s="101" t="n"/>
      <c r="Q130" s="100">
        <f>SUM(D134:P134)</f>
        <v/>
      </c>
      <c r="R130" s="91" t="n"/>
      <c r="S130" s="91" t="n"/>
      <c r="T130" s="91" t="n"/>
      <c r="U130" s="91" t="n"/>
      <c r="V130" s="109" t="n"/>
    </row>
    <row r="131" ht="15" customHeight="1">
      <c r="A131" s="106" t="n">
        <v>134</v>
      </c>
      <c r="B131" s="106" t="n">
        <v>19</v>
      </c>
      <c r="C131" s="108">
        <f>[1]ΑΝΤΙΣΤΟΙΧΙΣΗ!O205</f>
        <v/>
      </c>
      <c r="D131" s="103">
        <f>'[1]2026_60-69 ΕΞΟΔΑ+ΟΜ 2'!E92</f>
        <v/>
      </c>
      <c r="E131" s="102">
        <f>D135/$D$116</f>
        <v/>
      </c>
      <c r="F131" s="101">
        <f>'[1]2026 Ιανουάριος'!F135+'2026 Φεβρουάριος'!D135</f>
        <v/>
      </c>
      <c r="G131" s="102">
        <f>F135/$F$116</f>
        <v/>
      </c>
      <c r="H131" s="103" t="n"/>
      <c r="I131" s="104">
        <f>H135/$H$116</f>
        <v/>
      </c>
      <c r="J131" s="101" t="n"/>
      <c r="K131" s="101">
        <f>J135/$J$116</f>
        <v/>
      </c>
      <c r="L131" s="103">
        <f>'[1]2024_60-69 ΕΞΟΔΑ+ΟΜ 2'!E84</f>
        <v/>
      </c>
      <c r="M131" s="102">
        <f>L135/$L$116</f>
        <v/>
      </c>
      <c r="N131" s="101">
        <f>L135+'[1]2026 Ιανουάριος'!L135</f>
        <v/>
      </c>
      <c r="O131" s="102">
        <f>N135/$N$116</f>
        <v/>
      </c>
      <c r="P131" s="101" t="n"/>
      <c r="Q131" s="100">
        <f>SUM(D135:P135)</f>
        <v/>
      </c>
      <c r="R131" s="91" t="n"/>
      <c r="S131" s="91" t="n"/>
      <c r="T131" s="91" t="n"/>
      <c r="U131" s="91" t="n"/>
      <c r="V131" s="91" t="n"/>
    </row>
    <row r="132" ht="15" customHeight="1">
      <c r="A132" s="106" t="n">
        <v>135</v>
      </c>
      <c r="B132" s="106" t="n">
        <v>20</v>
      </c>
      <c r="C132" s="105">
        <f>[1]ΑΝΤΙΣΤΟΙΧΙΣΗ!O206</f>
        <v/>
      </c>
      <c r="D132" s="103">
        <f>'[1]2026_60-69 ΕΞΟΔΑ+ΟΜ 2'!E93</f>
        <v/>
      </c>
      <c r="E132" s="102">
        <f>D136/$D$116</f>
        <v/>
      </c>
      <c r="F132" s="101">
        <f>'[1]2026 Ιανουάριος'!F136+'2026 Φεβρουάριος'!D136</f>
        <v/>
      </c>
      <c r="G132" s="102">
        <f>F136/$F$116</f>
        <v/>
      </c>
      <c r="H132" s="103" t="n"/>
      <c r="I132" s="104">
        <f>H136/$H$116</f>
        <v/>
      </c>
      <c r="J132" s="101" t="n"/>
      <c r="K132" s="101">
        <f>J136/$J$116</f>
        <v/>
      </c>
      <c r="L132" s="103">
        <f>'[1]2024_60-69 ΕΞΟΔΑ+ΟΜ 2'!E85</f>
        <v/>
      </c>
      <c r="M132" s="102">
        <f>L136/$L$116</f>
        <v/>
      </c>
      <c r="N132" s="101">
        <f>L136+'[1]2026 Ιανουάριος'!L136</f>
        <v/>
      </c>
      <c r="O132" s="102">
        <f>N136/$N$116</f>
        <v/>
      </c>
      <c r="P132" s="101" t="n"/>
      <c r="Q132" s="100">
        <f>SUM(D136:P136)</f>
        <v/>
      </c>
      <c r="R132" s="91" t="n"/>
      <c r="S132" s="91" t="n"/>
      <c r="T132" s="91" t="n"/>
      <c r="U132" s="91" t="n"/>
      <c r="V132" s="91" t="n"/>
    </row>
    <row r="133" ht="15" customHeight="1">
      <c r="A133" s="106" t="n">
        <v>136</v>
      </c>
      <c r="B133" s="106" t="n">
        <v>21</v>
      </c>
      <c r="C133" s="105">
        <f>[1]ΑΝΤΙΣΤΟΙΧΙΣΗ!O207</f>
        <v/>
      </c>
      <c r="D133" s="103">
        <f>'[1]2026_60-69 ΕΞΟΔΑ+ΟΜ 2'!E94</f>
        <v/>
      </c>
      <c r="E133" s="102">
        <f>D137/$D$116</f>
        <v/>
      </c>
      <c r="F133" s="101">
        <f>'[1]2026 Ιανουάριος'!F137+'2026 Φεβρουάριος'!D137</f>
        <v/>
      </c>
      <c r="G133" s="102">
        <f>F137/$F$116</f>
        <v/>
      </c>
      <c r="H133" s="103" t="n"/>
      <c r="I133" s="104">
        <f>H137/$H$116</f>
        <v/>
      </c>
      <c r="J133" s="101" t="n"/>
      <c r="K133" s="101">
        <f>J137/$J$116</f>
        <v/>
      </c>
      <c r="L133" s="103">
        <f>'[1]2024_60-69 ΕΞΟΔΑ+ΟΜ 2'!E86</f>
        <v/>
      </c>
      <c r="M133" s="102">
        <f>L137/$L$116</f>
        <v/>
      </c>
      <c r="N133" s="101">
        <f>L137+'[1]2026 Ιανουάριος'!L137</f>
        <v/>
      </c>
      <c r="O133" s="102">
        <f>N137/$N$116</f>
        <v/>
      </c>
      <c r="P133" s="101" t="n"/>
      <c r="Q133" s="100">
        <f>SUM(D137:P137)</f>
        <v/>
      </c>
      <c r="R133" s="91" t="n"/>
      <c r="S133" s="91" t="n"/>
      <c r="T133" s="91" t="n"/>
      <c r="U133" s="91" t="n"/>
      <c r="V133" s="91" t="n"/>
    </row>
    <row r="134" ht="28.5" customHeight="1">
      <c r="A134" s="106" t="n">
        <v>137</v>
      </c>
      <c r="B134" s="106" t="n">
        <v>22</v>
      </c>
      <c r="C134" s="105">
        <f>[1]ΑΝΤΙΣΤΟΙΧΙΣΗ!O208</f>
        <v/>
      </c>
      <c r="D134" s="103">
        <f>'[1]2026_60-69 ΕΞΟΔΑ+ΟΜ 2'!E95</f>
        <v/>
      </c>
      <c r="E134" s="102">
        <f>D138/$D$116</f>
        <v/>
      </c>
      <c r="F134" s="101">
        <f>'[1]2026 Ιανουάριος'!F138+'2026 Φεβρουάριος'!D138</f>
        <v/>
      </c>
      <c r="G134" s="102">
        <f>F138/$F$116</f>
        <v/>
      </c>
      <c r="H134" s="103" t="n"/>
      <c r="I134" s="104">
        <f>H138/$H$116</f>
        <v/>
      </c>
      <c r="J134" s="101" t="n"/>
      <c r="K134" s="101">
        <f>J138/$J$116</f>
        <v/>
      </c>
      <c r="L134" s="103">
        <f>'[1]2024_60-69 ΕΞΟΔΑ+ΟΜ 2'!E87</f>
        <v/>
      </c>
      <c r="M134" s="102">
        <f>L138/$L$116</f>
        <v/>
      </c>
      <c r="N134" s="101">
        <f>L138+'[1]2026 Ιανουάριος'!L138</f>
        <v/>
      </c>
      <c r="O134" s="102">
        <f>N138/$N$116</f>
        <v/>
      </c>
      <c r="P134" s="101" t="n"/>
      <c r="Q134" s="100">
        <f>SUM(D138:P138)</f>
        <v/>
      </c>
      <c r="R134" s="91" t="n"/>
      <c r="S134" s="91" t="n"/>
      <c r="T134" s="91" t="n"/>
      <c r="U134" s="91" t="n"/>
      <c r="V134" s="91" t="n"/>
    </row>
    <row r="135" ht="15" customHeight="1">
      <c r="A135" s="106" t="n">
        <v>138</v>
      </c>
      <c r="B135" s="106" t="n">
        <v>23</v>
      </c>
      <c r="C135" s="105">
        <f>[1]ΑΝΤΙΣΤΟΙΧΙΣΗ!O209</f>
        <v/>
      </c>
      <c r="D135" s="103">
        <f>'[1]2026_60-69 ΕΞΟΔΑ+ΟΜ 2'!E96</f>
        <v/>
      </c>
      <c r="E135" s="102">
        <f>D139/$D$116</f>
        <v/>
      </c>
      <c r="F135" s="101">
        <f>'[1]2026 Ιανουάριος'!F139+'2026 Φεβρουάριος'!D139</f>
        <v/>
      </c>
      <c r="G135" s="102">
        <f>F139/$F$116</f>
        <v/>
      </c>
      <c r="H135" s="103" t="n"/>
      <c r="I135" s="104">
        <f>H139/$H$116</f>
        <v/>
      </c>
      <c r="J135" s="101" t="n"/>
      <c r="K135" s="101">
        <f>J139/$J$116</f>
        <v/>
      </c>
      <c r="L135" s="103">
        <f>'[1]2024_60-69 ΕΞΟΔΑ+ΟΜ 2'!E88</f>
        <v/>
      </c>
      <c r="M135" s="102">
        <f>L139/$L$116</f>
        <v/>
      </c>
      <c r="N135" s="101">
        <f>L139+'[1]2026 Ιανουάριος'!L139</f>
        <v/>
      </c>
      <c r="O135" s="102">
        <f>N139/$N$116</f>
        <v/>
      </c>
      <c r="P135" s="101" t="n"/>
      <c r="Q135" s="100">
        <f>SUM(D139:P139)</f>
        <v/>
      </c>
      <c r="R135" s="91" t="n"/>
      <c r="S135" s="91" t="n"/>
      <c r="T135" s="91" t="n"/>
      <c r="U135" s="91" t="n"/>
      <c r="V135" s="91" t="n"/>
    </row>
    <row r="136" ht="28.5" customHeight="1">
      <c r="A136" s="106" t="n">
        <v>139</v>
      </c>
      <c r="B136" s="106" t="n">
        <v>24</v>
      </c>
      <c r="C136" s="107">
        <f>[1]ΑΝΤΙΣΤΟΙΧΙΣΗ!O210</f>
        <v/>
      </c>
      <c r="D136" s="103">
        <f>'[1]2026_60-69 ΕΞΟΔΑ+ΟΜ 2'!E97</f>
        <v/>
      </c>
      <c r="E136" s="102">
        <f>D140/$D$116</f>
        <v/>
      </c>
      <c r="F136" s="101">
        <f>'[1]2026 Ιανουάριος'!F140+'2026 Φεβρουάριος'!D140</f>
        <v/>
      </c>
      <c r="G136" s="102">
        <f>F140/$F$116</f>
        <v/>
      </c>
      <c r="H136" s="103" t="n"/>
      <c r="I136" s="104">
        <f>H140/$H$116</f>
        <v/>
      </c>
      <c r="J136" s="101" t="n"/>
      <c r="K136" s="101">
        <f>J140/$J$116</f>
        <v/>
      </c>
      <c r="L136" s="103">
        <f>'[1]2024_60-69 ΕΞΟΔΑ+ΟΜ 2'!E89</f>
        <v/>
      </c>
      <c r="M136" s="102">
        <f>L140/$L$116</f>
        <v/>
      </c>
      <c r="N136" s="101">
        <f>L140+'[1]2026 Ιανουάριος'!L140</f>
        <v/>
      </c>
      <c r="O136" s="102">
        <f>N140/$N$116</f>
        <v/>
      </c>
      <c r="P136" s="101" t="n"/>
      <c r="Q136" s="100">
        <f>SUM(D140:P140)</f>
        <v/>
      </c>
      <c r="R136" s="91" t="n"/>
      <c r="S136" s="91" t="n"/>
      <c r="T136" s="91" t="n"/>
      <c r="U136" s="91" t="n"/>
      <c r="V136" s="91" t="n"/>
    </row>
    <row r="137" ht="15" customHeight="1">
      <c r="A137" s="106" t="n">
        <v>140</v>
      </c>
      <c r="B137" s="106" t="n">
        <v>25</v>
      </c>
      <c r="C137" s="107">
        <f>[1]ΑΝΤΙΣΤΟΙΧΙΣΗ!O211</f>
        <v/>
      </c>
      <c r="D137" s="103">
        <f>'[1]2026_60-69 ΕΞΟΔΑ+ΟΜ 2'!E98</f>
        <v/>
      </c>
      <c r="E137" s="102">
        <f>D141/$D$116</f>
        <v/>
      </c>
      <c r="F137" s="101">
        <f>'[1]2026 Ιανουάριος'!F141+'2026 Φεβρουάριος'!D141</f>
        <v/>
      </c>
      <c r="G137" s="102">
        <f>F141/$F$116</f>
        <v/>
      </c>
      <c r="H137" s="103" t="n"/>
      <c r="I137" s="104">
        <f>H141/$H$116</f>
        <v/>
      </c>
      <c r="J137" s="101" t="n"/>
      <c r="K137" s="101">
        <f>J141/$J$116</f>
        <v/>
      </c>
      <c r="L137" s="103">
        <f>'[1]2024_60-69 ΕΞΟΔΑ+ΟΜ 2'!E90</f>
        <v/>
      </c>
      <c r="M137" s="102">
        <f>L141/$L$116</f>
        <v/>
      </c>
      <c r="N137" s="101">
        <f>L141+'[1]2026 Ιανουάριος'!L141</f>
        <v/>
      </c>
      <c r="O137" s="102">
        <f>N141/$N$116</f>
        <v/>
      </c>
      <c r="P137" s="101" t="n"/>
      <c r="Q137" s="100">
        <f>SUM(D141:P141)</f>
        <v/>
      </c>
      <c r="R137" s="91" t="n"/>
      <c r="S137" s="91" t="n"/>
      <c r="T137" s="91" t="n"/>
      <c r="U137" s="91" t="n"/>
      <c r="V137" s="91" t="n"/>
    </row>
    <row r="138" ht="15" customHeight="1">
      <c r="A138" s="106" t="n">
        <v>141</v>
      </c>
      <c r="B138" s="106" t="n">
        <v>26</v>
      </c>
      <c r="C138" s="105">
        <f>[1]ΑΝΤΙΣΤΟΙΧΙΣΗ!O212</f>
        <v/>
      </c>
      <c r="D138" s="103">
        <f>'[1]2026_60-69 ΕΞΟΔΑ+ΟΜ 2'!E99</f>
        <v/>
      </c>
      <c r="E138" s="102">
        <f>D142/$D$116</f>
        <v/>
      </c>
      <c r="F138" s="101">
        <f>'[1]2026 Ιανουάριος'!F142+'2026 Φεβρουάριος'!D142</f>
        <v/>
      </c>
      <c r="G138" s="102">
        <f>F142/$F$116</f>
        <v/>
      </c>
      <c r="H138" s="103" t="n"/>
      <c r="I138" s="104">
        <f>H142/$H$116</f>
        <v/>
      </c>
      <c r="J138" s="101" t="n"/>
      <c r="K138" s="101">
        <f>J142/$J$116</f>
        <v/>
      </c>
      <c r="L138" s="103">
        <f>'[1]2024_60-69 ΕΞΟΔΑ+ΟΜ 2'!E91</f>
        <v/>
      </c>
      <c r="M138" s="102">
        <f>L142/$L$116</f>
        <v/>
      </c>
      <c r="N138" s="101">
        <f>L142+'[1]2026 Ιανουάριος'!L142</f>
        <v/>
      </c>
      <c r="O138" s="102">
        <f>N142/$N$116</f>
        <v/>
      </c>
      <c r="P138" s="101" t="n"/>
      <c r="Q138" s="100">
        <f>SUM(D142:P142)</f>
        <v/>
      </c>
      <c r="R138" s="91" t="n"/>
      <c r="S138" s="91" t="n"/>
      <c r="T138" s="91" t="n"/>
      <c r="U138" s="91" t="n"/>
      <c r="V138" s="91" t="n"/>
    </row>
    <row r="139" ht="15" customHeight="1">
      <c r="A139" s="106" t="n">
        <v>142</v>
      </c>
      <c r="B139" s="106" t="n">
        <v>27</v>
      </c>
      <c r="C139" s="105">
        <f>[1]ΑΝΤΙΣΤΟΙΧΙΣΗ!O213</f>
        <v/>
      </c>
      <c r="D139" s="103">
        <f>'[1]2026_60-69 ΕΞΟΔΑ+ΟΜ 2'!E100</f>
        <v/>
      </c>
      <c r="E139" s="102">
        <f>D143/$D$116</f>
        <v/>
      </c>
      <c r="F139" s="101">
        <f>'[1]2026 Ιανουάριος'!F143+'2026 Φεβρουάριος'!D143</f>
        <v/>
      </c>
      <c r="G139" s="102">
        <f>F143/$F$116</f>
        <v/>
      </c>
      <c r="H139" s="103" t="n"/>
      <c r="I139" s="104">
        <f>H143/$H$116</f>
        <v/>
      </c>
      <c r="J139" s="101" t="n"/>
      <c r="K139" s="101">
        <f>J143/$J$116</f>
        <v/>
      </c>
      <c r="L139" s="103">
        <f>'[1]2024_60-69 ΕΞΟΔΑ+ΟΜ 2'!E92</f>
        <v/>
      </c>
      <c r="M139" s="102">
        <f>L143/$L$116</f>
        <v/>
      </c>
      <c r="N139" s="101">
        <f>L143+'[1]2026 Ιανουάριος'!L143</f>
        <v/>
      </c>
      <c r="O139" s="102">
        <f>N143/$N$116</f>
        <v/>
      </c>
      <c r="P139" s="101" t="n"/>
      <c r="Q139" s="100">
        <f>SUM(D143:P143)</f>
        <v/>
      </c>
      <c r="R139" s="91" t="n"/>
      <c r="S139" s="91" t="n"/>
      <c r="T139" s="91" t="n"/>
      <c r="U139" s="91" t="n"/>
      <c r="V139" s="91" t="n"/>
    </row>
    <row r="140" ht="15" customHeight="1">
      <c r="A140" s="106" t="n">
        <v>143</v>
      </c>
      <c r="B140" s="106" t="n">
        <v>28</v>
      </c>
      <c r="C140" s="105">
        <f>[1]ΑΝΤΙΣΤΟΙΧΙΣΗ!O214</f>
        <v/>
      </c>
      <c r="D140" s="103">
        <f>'[1]2026_60-69 ΕΞΟΔΑ+ΟΜ 2'!E101</f>
        <v/>
      </c>
      <c r="E140" s="102">
        <f>D144/$D$116</f>
        <v/>
      </c>
      <c r="F140" s="101">
        <f>'[1]2026 Ιανουάριος'!F144+'2026 Φεβρουάριος'!D144</f>
        <v/>
      </c>
      <c r="G140" s="102">
        <f>F144/$F$116</f>
        <v/>
      </c>
      <c r="H140" s="103" t="n"/>
      <c r="I140" s="104">
        <f>H144/$H$116</f>
        <v/>
      </c>
      <c r="J140" s="101" t="n"/>
      <c r="K140" s="101">
        <f>J144/$J$116</f>
        <v/>
      </c>
      <c r="L140" s="103">
        <f>'[1]2024_60-69 ΕΞΟΔΑ+ΟΜ 2'!E93</f>
        <v/>
      </c>
      <c r="M140" s="102">
        <f>L144/$L$116</f>
        <v/>
      </c>
      <c r="N140" s="101">
        <f>L144+'[1]2026 Ιανουάριος'!L144</f>
        <v/>
      </c>
      <c r="O140" s="102">
        <f>N144/$N$116</f>
        <v/>
      </c>
      <c r="P140" s="101" t="n"/>
      <c r="Q140" s="100">
        <f>SUM(D144:P144)</f>
        <v/>
      </c>
      <c r="R140" s="91" t="n"/>
      <c r="S140" s="91" t="n"/>
      <c r="T140" s="91" t="n"/>
      <c r="U140" s="91" t="n"/>
      <c r="V140" s="91" t="n"/>
    </row>
    <row r="141" ht="15" customHeight="1">
      <c r="A141" s="106" t="n">
        <v>144</v>
      </c>
      <c r="B141" s="106" t="n">
        <v>29</v>
      </c>
      <c r="C141" s="105">
        <f>[1]ΑΝΤΙΣΤΟΙΧΙΣΗ!O215</f>
        <v/>
      </c>
      <c r="D141" s="103">
        <f>'[1]2026_60-69 ΕΞΟΔΑ+ΟΜ 2'!E102</f>
        <v/>
      </c>
      <c r="E141" s="102">
        <f>D145/$D$116</f>
        <v/>
      </c>
      <c r="F141" s="101">
        <f>'[1]2026 Ιανουάριος'!F145+'2026 Φεβρουάριος'!D145</f>
        <v/>
      </c>
      <c r="G141" s="102">
        <f>F145/$F$116</f>
        <v/>
      </c>
      <c r="H141" s="103" t="n"/>
      <c r="I141" s="104">
        <f>H145/$H$116</f>
        <v/>
      </c>
      <c r="J141" s="101" t="n"/>
      <c r="K141" s="101">
        <f>J145/$J$116</f>
        <v/>
      </c>
      <c r="L141" s="103">
        <f>'[1]2024_60-69 ΕΞΟΔΑ+ΟΜ 2'!E94</f>
        <v/>
      </c>
      <c r="M141" s="102">
        <f>L145/$L$116</f>
        <v/>
      </c>
      <c r="N141" s="101">
        <f>L145+'[1]2026 Ιανουάριος'!L145</f>
        <v/>
      </c>
      <c r="O141" s="102">
        <f>N145/$N$116</f>
        <v/>
      </c>
      <c r="P141" s="101" t="n"/>
      <c r="Q141" s="100">
        <f>SUM(D145:P145)</f>
        <v/>
      </c>
      <c r="R141" s="91" t="n"/>
      <c r="S141" s="91" t="n"/>
      <c r="T141" s="91" t="n"/>
      <c r="U141" s="91" t="n"/>
      <c r="V141" s="91" t="n"/>
    </row>
    <row r="142" ht="15" customHeight="1">
      <c r="A142" s="106" t="n">
        <v>145</v>
      </c>
      <c r="B142" s="106" t="n">
        <v>30</v>
      </c>
      <c r="C142" s="105">
        <f>[1]ΑΝΤΙΣΤΟΙΧΙΣΗ!O216</f>
        <v/>
      </c>
      <c r="D142" s="103">
        <f>'[1]2026_60-69 ΕΞΟΔΑ+ΟΜ 2'!E103</f>
        <v/>
      </c>
      <c r="E142" s="102">
        <f>D146/$D$116</f>
        <v/>
      </c>
      <c r="F142" s="101">
        <f>'[1]2026 Ιανουάριος'!F146+'2026 Φεβρουάριος'!D146</f>
        <v/>
      </c>
      <c r="G142" s="102">
        <f>F146/$F$116</f>
        <v/>
      </c>
      <c r="H142" s="103" t="n"/>
      <c r="I142" s="104">
        <f>H146/$H$116</f>
        <v/>
      </c>
      <c r="J142" s="101" t="n"/>
      <c r="K142" s="101">
        <f>J146/$J$116</f>
        <v/>
      </c>
      <c r="L142" s="103">
        <f>'[1]2024_60-69 ΕΞΟΔΑ+ΟΜ 2'!E95</f>
        <v/>
      </c>
      <c r="M142" s="102">
        <f>L146/$L$116</f>
        <v/>
      </c>
      <c r="N142" s="101">
        <f>L146+'[1]2026 Ιανουάριος'!L146</f>
        <v/>
      </c>
      <c r="O142" s="102">
        <f>N146/$N$116</f>
        <v/>
      </c>
      <c r="P142" s="101" t="n"/>
      <c r="Q142" s="100">
        <f>SUM(D146:P146)</f>
        <v/>
      </c>
      <c r="R142" s="91" t="n"/>
      <c r="S142" s="91" t="n"/>
      <c r="T142" s="91" t="n"/>
      <c r="U142" s="91" t="n"/>
      <c r="V142" s="91" t="n"/>
    </row>
    <row r="143" ht="57" customHeight="1">
      <c r="A143" s="106" t="n">
        <v>146</v>
      </c>
      <c r="B143" s="106" t="n">
        <v>31</v>
      </c>
      <c r="C143" s="105">
        <f>[1]ΑΝΤΙΣΤΟΙΧΙΣΗ!O217</f>
        <v/>
      </c>
      <c r="D143" s="103">
        <f>'[1]2026_60-69 ΕΞΟΔΑ+ΟΜ 2'!E104</f>
        <v/>
      </c>
      <c r="E143" s="102">
        <f>D147/$D$116</f>
        <v/>
      </c>
      <c r="F143" s="101">
        <f>'[1]2026 Ιανουάριος'!F147+'2026 Φεβρουάριος'!D147</f>
        <v/>
      </c>
      <c r="G143" s="102">
        <f>F147/$F$116</f>
        <v/>
      </c>
      <c r="H143" s="103" t="n"/>
      <c r="I143" s="104">
        <f>H147/$H$116</f>
        <v/>
      </c>
      <c r="J143" s="101" t="n"/>
      <c r="K143" s="101">
        <f>J147/$J$116</f>
        <v/>
      </c>
      <c r="L143" s="103">
        <f>'[1]2024_60-69 ΕΞΟΔΑ+ΟΜ 2'!E96</f>
        <v/>
      </c>
      <c r="M143" s="102">
        <f>L147/$L$116</f>
        <v/>
      </c>
      <c r="N143" s="101">
        <f>L147+'[1]2026 Ιανουάριος'!L147</f>
        <v/>
      </c>
      <c r="O143" s="102">
        <f>N147/$N$116</f>
        <v/>
      </c>
      <c r="P143" s="101" t="n"/>
      <c r="Q143" s="100">
        <f>SUM(D147:P147)</f>
        <v/>
      </c>
      <c r="R143" s="91" t="n"/>
      <c r="S143" s="91" t="n"/>
      <c r="T143" s="91" t="n"/>
      <c r="U143" s="91" t="n"/>
      <c r="V143" s="91" t="n"/>
    </row>
    <row r="144" ht="57" customHeight="1">
      <c r="A144" s="106" t="n">
        <v>147</v>
      </c>
      <c r="B144" s="106" t="n">
        <v>32</v>
      </c>
      <c r="C144" s="105">
        <f>[1]ΑΝΤΙΣΤΟΙΧΙΣΗ!O218</f>
        <v/>
      </c>
      <c r="D144" s="103">
        <f>'[1]2026_60-69 ΕΞΟΔΑ+ΟΜ 2'!E105</f>
        <v/>
      </c>
      <c r="E144" s="102">
        <f>D148/$D$116</f>
        <v/>
      </c>
      <c r="F144" s="101">
        <f>'[1]2026 Ιανουάριος'!F148+'2026 Φεβρουάριος'!D148</f>
        <v/>
      </c>
      <c r="G144" s="102">
        <f>F148/$F$116</f>
        <v/>
      </c>
      <c r="H144" s="103" t="n"/>
      <c r="I144" s="104">
        <f>H148/$H$116</f>
        <v/>
      </c>
      <c r="J144" s="101" t="n"/>
      <c r="K144" s="101">
        <f>J148/$J$116</f>
        <v/>
      </c>
      <c r="L144" s="103">
        <f>'[1]2024_60-69 ΕΞΟΔΑ+ΟΜ 2'!E97</f>
        <v/>
      </c>
      <c r="M144" s="102">
        <f>L148/$L$116</f>
        <v/>
      </c>
      <c r="N144" s="101">
        <f>L148+'[1]2026 Ιανουάριος'!L148</f>
        <v/>
      </c>
      <c r="O144" s="102">
        <f>N148/$N$116</f>
        <v/>
      </c>
      <c r="P144" s="101" t="n"/>
      <c r="Q144" s="100">
        <f>SUM(D148:P148)</f>
        <v/>
      </c>
      <c r="R144" s="91" t="n"/>
      <c r="S144" s="91" t="n"/>
      <c r="T144" s="91" t="n"/>
      <c r="U144" s="91" t="n"/>
      <c r="V144" s="91" t="n"/>
    </row>
    <row r="145" ht="15" customHeight="1">
      <c r="A145" s="106" t="n">
        <v>148</v>
      </c>
      <c r="B145" s="106" t="n">
        <v>33</v>
      </c>
      <c r="C145" s="105">
        <f>[1]ΑΝΤΙΣΤΟΙΧΙΣΗ!O219</f>
        <v/>
      </c>
      <c r="D145" s="103">
        <f>'[1]2026_60-69 ΕΞΟΔΑ+ΟΜ 2'!E106</f>
        <v/>
      </c>
      <c r="E145" s="102">
        <f>D149/$D$116</f>
        <v/>
      </c>
      <c r="F145" s="101">
        <f>'[1]2026 Ιανουάριος'!F149+'2026 Φεβρουάριος'!D149</f>
        <v/>
      </c>
      <c r="G145" s="102">
        <f>F149/$F$116</f>
        <v/>
      </c>
      <c r="H145" s="103" t="n"/>
      <c r="I145" s="104">
        <f>H149/$H$116</f>
        <v/>
      </c>
      <c r="J145" s="101" t="n"/>
      <c r="K145" s="101">
        <f>J149/$J$116</f>
        <v/>
      </c>
      <c r="L145" s="103">
        <f>'[1]2024_60-69 ΕΞΟΔΑ+ΟΜ 2'!E98</f>
        <v/>
      </c>
      <c r="M145" s="102">
        <f>L149/$L$116</f>
        <v/>
      </c>
      <c r="N145" s="101">
        <f>L149+'[1]2026 Ιανουάριος'!L149</f>
        <v/>
      </c>
      <c r="O145" s="102">
        <f>N149/$N$116</f>
        <v/>
      </c>
      <c r="P145" s="101" t="n"/>
      <c r="Q145" s="100">
        <f>SUM(D149:P149)</f>
        <v/>
      </c>
      <c r="R145" s="91" t="n"/>
      <c r="S145" s="91" t="n"/>
      <c r="T145" s="91" t="n"/>
      <c r="U145" s="91" t="n"/>
      <c r="V145" s="91" t="n"/>
    </row>
    <row r="146" ht="15" customHeight="1">
      <c r="A146" s="106" t="n">
        <v>149</v>
      </c>
      <c r="B146" s="106" t="n">
        <v>34</v>
      </c>
      <c r="C146" s="105">
        <f>[1]ΑΝΤΙΣΤΟΙΧΙΣΗ!O220</f>
        <v/>
      </c>
      <c r="D146" s="103">
        <f>'[1]2026_60-69 ΕΞΟΔΑ+ΟΜ 2'!E107</f>
        <v/>
      </c>
      <c r="E146" s="102">
        <f>D150/$D$116</f>
        <v/>
      </c>
      <c r="F146" s="101">
        <f>'[1]2026 Ιανουάριος'!F150+'2026 Φεβρουάριος'!D150</f>
        <v/>
      </c>
      <c r="G146" s="102">
        <f>F150/$F$116</f>
        <v/>
      </c>
      <c r="H146" s="103" t="n"/>
      <c r="I146" s="104">
        <f>H150/$H$116</f>
        <v/>
      </c>
      <c r="J146" s="101" t="n"/>
      <c r="K146" s="101">
        <f>J150/$J$116</f>
        <v/>
      </c>
      <c r="L146" s="103">
        <f>'[1]2024_60-69 ΕΞΟΔΑ+ΟΜ 2'!E99</f>
        <v/>
      </c>
      <c r="M146" s="102">
        <f>L150/$L$116</f>
        <v/>
      </c>
      <c r="N146" s="101">
        <f>L150+'[1]2026 Ιανουάριος'!L150</f>
        <v/>
      </c>
      <c r="O146" s="102">
        <f>N150/$N$116</f>
        <v/>
      </c>
      <c r="P146" s="101" t="n"/>
      <c r="Q146" s="100">
        <f>SUM(D150:P150)</f>
        <v/>
      </c>
      <c r="R146" s="91" t="n"/>
      <c r="S146" s="91" t="n"/>
      <c r="T146" s="91" t="n"/>
      <c r="U146" s="91" t="n"/>
      <c r="V146" s="91" t="n"/>
    </row>
    <row r="147" ht="15" customHeight="1">
      <c r="A147" s="106" t="n">
        <v>150</v>
      </c>
      <c r="B147" s="106" t="n">
        <v>35</v>
      </c>
      <c r="C147" s="105">
        <f>[1]ΑΝΤΙΣΤΟΙΧΙΣΗ!O221</f>
        <v/>
      </c>
      <c r="D147" s="103">
        <f>'[1]2026_60-69 ΕΞΟΔΑ+ΟΜ 2'!E108</f>
        <v/>
      </c>
      <c r="E147" s="102">
        <f>D151/$D$116</f>
        <v/>
      </c>
      <c r="F147" s="101">
        <f>'[1]2026 Ιανουάριος'!F151+'2026 Φεβρουάριος'!D151</f>
        <v/>
      </c>
      <c r="G147" s="102">
        <f>F151/$F$116</f>
        <v/>
      </c>
      <c r="H147" s="103" t="n"/>
      <c r="I147" s="104">
        <f>H151/$H$116</f>
        <v/>
      </c>
      <c r="J147" s="101" t="n"/>
      <c r="K147" s="101">
        <f>J151/$J$116</f>
        <v/>
      </c>
      <c r="L147" s="103">
        <f>'[1]2024_60-69 ΕΞΟΔΑ+ΟΜ 2'!E100</f>
        <v/>
      </c>
      <c r="M147" s="102">
        <f>L151/$L$116</f>
        <v/>
      </c>
      <c r="N147" s="101">
        <f>L151+'[1]2026 Ιανουάριος'!L151</f>
        <v/>
      </c>
      <c r="O147" s="102">
        <f>N151/$N$116</f>
        <v/>
      </c>
      <c r="P147" s="101" t="n"/>
      <c r="Q147" s="100">
        <f>SUM(D151:P151)</f>
        <v/>
      </c>
      <c r="R147" s="91" t="n"/>
      <c r="S147" s="91" t="n"/>
      <c r="T147" s="91" t="n"/>
      <c r="U147" s="91" t="n"/>
      <c r="V147" s="91" t="n"/>
    </row>
    <row r="148" ht="15" customHeight="1">
      <c r="A148" s="106" t="n">
        <v>151</v>
      </c>
      <c r="B148" s="106" t="n">
        <v>36</v>
      </c>
      <c r="C148" s="105">
        <f>[1]ΑΝΤΙΣΤΟΙΧΙΣΗ!O222</f>
        <v/>
      </c>
      <c r="D148" s="103">
        <f>'[1]2026_60-69 ΕΞΟΔΑ+ΟΜ 2'!E109</f>
        <v/>
      </c>
      <c r="E148" s="102">
        <f>D152/$D$116</f>
        <v/>
      </c>
      <c r="F148" s="101">
        <f>'[1]2026 Ιανουάριος'!F152+'2026 Φεβρουάριος'!D152</f>
        <v/>
      </c>
      <c r="G148" s="102">
        <f>F152/$F$116</f>
        <v/>
      </c>
      <c r="H148" s="103" t="n"/>
      <c r="I148" s="104">
        <f>H152/$H$116</f>
        <v/>
      </c>
      <c r="J148" s="101" t="n"/>
      <c r="K148" s="101">
        <f>J152/$J$116</f>
        <v/>
      </c>
      <c r="L148" s="103">
        <f>'[1]2024_60-69 ΕΞΟΔΑ+ΟΜ 2'!E101</f>
        <v/>
      </c>
      <c r="M148" s="102">
        <f>L152/$L$116</f>
        <v/>
      </c>
      <c r="N148" s="101">
        <f>L152+'[1]2026 Ιανουάριος'!L152</f>
        <v/>
      </c>
      <c r="O148" s="102">
        <f>N152/$N$116</f>
        <v/>
      </c>
      <c r="P148" s="101" t="n"/>
      <c r="Q148" s="100">
        <f>SUM(D152:P152)</f>
        <v/>
      </c>
      <c r="R148" s="91" t="n"/>
      <c r="S148" s="91" t="n"/>
      <c r="T148" s="91" t="n"/>
      <c r="U148" s="91" t="n"/>
      <c r="V148" s="91" t="n"/>
    </row>
    <row r="149" ht="15" customHeight="1">
      <c r="A149" s="106" t="n">
        <v>152</v>
      </c>
      <c r="B149" s="106" t="n">
        <v>37</v>
      </c>
      <c r="C149" s="105">
        <f>[1]ΑΝΤΙΣΤΟΙΧΙΣΗ!O223</f>
        <v/>
      </c>
      <c r="D149" s="103">
        <f>'[1]2026_60-69 ΕΞΟΔΑ+ΟΜ 2'!E110</f>
        <v/>
      </c>
      <c r="E149" s="102">
        <f>D153/$D$116</f>
        <v/>
      </c>
      <c r="F149" s="101">
        <f>'[1]2026 Ιανουάριος'!F153+'2026 Φεβρουάριος'!D153</f>
        <v/>
      </c>
      <c r="G149" s="102">
        <f>F153/$F$116</f>
        <v/>
      </c>
      <c r="H149" s="103" t="n"/>
      <c r="I149" s="104">
        <f>H153/$H$116</f>
        <v/>
      </c>
      <c r="J149" s="101" t="n"/>
      <c r="K149" s="101">
        <f>J153/$J$116</f>
        <v/>
      </c>
      <c r="L149" s="103">
        <f>'[1]2024_60-69 ΕΞΟΔΑ+ΟΜ 2'!E102</f>
        <v/>
      </c>
      <c r="M149" s="102">
        <f>L153/$L$116</f>
        <v/>
      </c>
      <c r="N149" s="101">
        <f>L153+'[1]2026 Ιανουάριος'!L153</f>
        <v/>
      </c>
      <c r="O149" s="102">
        <f>N153/$N$116</f>
        <v/>
      </c>
      <c r="P149" s="101" t="n"/>
      <c r="Q149" s="100">
        <f>SUM(D153:P153)</f>
        <v/>
      </c>
      <c r="R149" s="91" t="n"/>
      <c r="S149" s="91" t="n"/>
      <c r="T149" s="91" t="n"/>
      <c r="U149" s="91" t="n"/>
      <c r="V149" s="91" t="n"/>
    </row>
    <row r="150" ht="15" customHeight="1">
      <c r="A150" s="106" t="n">
        <v>153</v>
      </c>
      <c r="B150" s="106" t="n">
        <v>38</v>
      </c>
      <c r="C150" s="105">
        <f>[1]ΑΝΤΙΣΤΟΙΧΙΣΗ!O224</f>
        <v/>
      </c>
      <c r="D150" s="103" t="n"/>
      <c r="E150" s="102" t="n"/>
      <c r="F150" s="101" t="n"/>
      <c r="G150" s="102" t="n"/>
      <c r="H150" s="103" t="n"/>
      <c r="I150" s="104" t="n"/>
      <c r="J150" s="101" t="n"/>
      <c r="K150" s="101" t="n"/>
      <c r="L150" s="103" t="n"/>
      <c r="M150" s="102" t="n"/>
      <c r="N150" s="101" t="n"/>
      <c r="O150" s="102" t="n"/>
      <c r="P150" s="101" t="n"/>
      <c r="Q150" s="100" t="n"/>
      <c r="R150" s="91" t="n"/>
      <c r="S150" s="91" t="n"/>
      <c r="T150" s="91" t="n"/>
      <c r="U150" s="91" t="n"/>
      <c r="V150" s="91" t="n"/>
    </row>
    <row r="151" ht="15" customHeight="1">
      <c r="A151" s="106" t="n">
        <v>154</v>
      </c>
      <c r="B151" s="106" t="n">
        <v>39</v>
      </c>
      <c r="C151" s="105">
        <f>[1]ΑΝΤΙΣΤΟΙΧΙΣΗ!O225</f>
        <v/>
      </c>
      <c r="D151" s="103" t="n"/>
      <c r="E151" s="102" t="n"/>
      <c r="F151" s="101" t="n"/>
      <c r="G151" s="102" t="n"/>
      <c r="H151" s="103" t="n"/>
      <c r="I151" s="104" t="n"/>
      <c r="J151" s="101" t="n"/>
      <c r="K151" s="101" t="n"/>
      <c r="L151" s="103" t="n"/>
      <c r="M151" s="102" t="n"/>
      <c r="N151" s="101" t="n"/>
      <c r="O151" s="102" t="n"/>
      <c r="P151" s="101" t="n"/>
      <c r="Q151" s="100" t="n"/>
      <c r="R151" s="91" t="n"/>
      <c r="S151" s="91" t="n"/>
      <c r="T151" s="91" t="n"/>
      <c r="U151" s="91" t="n"/>
      <c r="V151" s="91" t="n"/>
    </row>
    <row r="152" ht="15" customHeight="1">
      <c r="A152" s="106" t="n">
        <v>155</v>
      </c>
      <c r="B152" s="106" t="n">
        <v>40</v>
      </c>
      <c r="C152" s="105">
        <f>[1]ΑΝΤΙΣΤΟΙΧΙΣΗ!O226</f>
        <v/>
      </c>
      <c r="D152" s="103" t="n"/>
      <c r="E152" s="102" t="n"/>
      <c r="F152" s="101" t="n"/>
      <c r="G152" s="102" t="n"/>
      <c r="H152" s="103" t="n"/>
      <c r="I152" s="104" t="n"/>
      <c r="J152" s="101" t="n"/>
      <c r="K152" s="101" t="n"/>
      <c r="L152" s="103" t="n"/>
      <c r="M152" s="102" t="n"/>
      <c r="N152" s="101" t="n"/>
      <c r="O152" s="102" t="n"/>
      <c r="P152" s="101" t="n"/>
      <c r="Q152" s="100" t="n"/>
      <c r="R152" s="91" t="n"/>
      <c r="S152" s="91" t="n"/>
      <c r="T152" s="91" t="n"/>
      <c r="U152" s="91" t="n"/>
      <c r="V152" s="91" t="n"/>
    </row>
    <row r="153" ht="42.75" customHeight="1">
      <c r="A153" s="99" t="n"/>
      <c r="B153" s="99" t="n"/>
      <c r="C153" s="98" t="inlineStr">
        <is>
          <t xml:space="preserve">ΣΥΝΟΛΟ ΔΙΟΙΚΗΤΙΚΟΥ ΚΟΣΤΟΥΣ ΜΗΝΟΣ </t>
        </is>
      </c>
      <c r="D153" s="97">
        <f>'[1]2026_60-69 ΕΞΟΔΑ+ΟΜ 2'!E73</f>
        <v/>
      </c>
      <c r="E153" s="96" t="n"/>
      <c r="F153" s="97">
        <f>'[1]2026_60-69 ΕΞΟΔΑ+ΟΜ 2'!R73</f>
        <v/>
      </c>
      <c r="G153" s="96" t="n"/>
      <c r="H153" s="97">
        <f>SUM(H117:H156)</f>
        <v/>
      </c>
      <c r="I153" s="96" t="n"/>
      <c r="J153" s="97">
        <f>SUM(J117:J156)</f>
        <v/>
      </c>
      <c r="K153" s="96" t="n"/>
      <c r="L153" s="97">
        <f>SUM(L117:L156)</f>
        <v/>
      </c>
      <c r="M153" s="96" t="n"/>
      <c r="N153" s="97">
        <f>SUM(N117:N156)</f>
        <v/>
      </c>
      <c r="O153" s="96" t="n"/>
      <c r="P153" s="97">
        <f>SUM(P117:P156)</f>
        <v/>
      </c>
      <c r="Q153" s="96" t="n"/>
      <c r="R153" s="91" t="n"/>
      <c r="S153" s="91" t="n"/>
      <c r="T153" s="91" t="n"/>
      <c r="U153" s="91" t="n"/>
      <c r="V153" s="91" t="n"/>
    </row>
    <row r="154" ht="15" customHeight="1">
      <c r="A154" s="99" t="n"/>
      <c r="B154" s="99" t="n"/>
      <c r="C154" s="98" t="inlineStr">
        <is>
          <t>Ελεγχος Ορθότητας ( πρέπει να είναι 0)</t>
        </is>
      </c>
      <c r="D154" s="97">
        <f>D116-D157</f>
        <v/>
      </c>
      <c r="E154" s="96" t="n"/>
      <c r="F154" s="97">
        <f>F116-F157</f>
        <v/>
      </c>
      <c r="G154" s="96" t="n"/>
      <c r="H154" s="97">
        <f>H116-H157</f>
        <v/>
      </c>
      <c r="I154" s="96" t="n"/>
      <c r="J154" s="97">
        <f>J116-J157</f>
        <v/>
      </c>
      <c r="K154" s="96" t="n"/>
      <c r="L154" s="97">
        <f>L116-L157</f>
        <v/>
      </c>
      <c r="M154" s="96" t="n"/>
      <c r="N154" s="97">
        <f>N116-N157</f>
        <v/>
      </c>
      <c r="O154" s="96" t="n"/>
      <c r="P154" s="97">
        <f>P116-P157</f>
        <v/>
      </c>
      <c r="Q154" s="96" t="n"/>
      <c r="R154" s="91" t="n"/>
      <c r="S154" s="91" t="n"/>
      <c r="T154" s="91" t="n"/>
      <c r="U154" s="91" t="n"/>
      <c r="V154" s="91" t="n"/>
    </row>
    <row r="155" ht="15" customHeight="1">
      <c r="A155" s="95" t="n"/>
      <c r="B155" s="95" t="n"/>
      <c r="C155" s="94" t="inlineStr">
        <is>
          <t xml:space="preserve">Λογιστικό Αποτέλεσμα μηνός </t>
        </is>
      </c>
      <c r="D155" s="93">
        <f>D7-D78-D111-D157</f>
        <v/>
      </c>
      <c r="E155" s="92" t="n"/>
      <c r="F155" s="93">
        <f>F7-F78-F111-F157</f>
        <v/>
      </c>
      <c r="G155" s="92" t="n"/>
      <c r="H155" s="93">
        <f>H7-H78-H111-H157</f>
        <v/>
      </c>
      <c r="I155" s="92" t="n"/>
      <c r="J155" s="93">
        <f>J7-J78-J111-J157</f>
        <v/>
      </c>
      <c r="K155" s="92" t="n"/>
      <c r="L155" s="93">
        <f>L7-L78-L111-L157</f>
        <v/>
      </c>
      <c r="M155" s="92" t="n"/>
      <c r="N155" s="93">
        <f>N7-N78-N111-N157</f>
        <v/>
      </c>
      <c r="O155" s="92" t="n"/>
      <c r="P155" s="93" t="n"/>
      <c r="Q155" s="92" t="n"/>
      <c r="R155" s="91" t="n"/>
      <c r="S155" s="91" t="n"/>
      <c r="T155" s="91" t="n"/>
      <c r="U155" s="91" t="n"/>
      <c r="V155" s="91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P40:Q40"/>
    <mergeCell ref="L114:N114"/>
    <mergeCell ref="L41:N41"/>
    <mergeCell ref="P81:Q81"/>
    <mergeCell ref="L3:N3"/>
    <mergeCell ref="P2:Q2"/>
    <mergeCell ref="L2:O2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D2:G2"/>
    <mergeCell ref="H82:J82"/>
    <mergeCell ref="L82:N82"/>
    <mergeCell ref="P3:Q3"/>
    <mergeCell ref="H41:J41"/>
    <mergeCell ref="H2:K2"/>
    <mergeCell ref="H114:J114"/>
    <mergeCell ref="H81:K8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5" zoomScale="85" zoomScaleNormal="85" workbookViewId="0">
      <selection activeCell="B111" sqref="B111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[1]ΑΝΤΙΣΤΟΙΧΙΣΗ!$F$108</f>
        <v/>
      </c>
      <c r="E3" s="192" t="n"/>
      <c r="F3" s="56" t="n"/>
      <c r="G3" s="61">
        <f>[1]ΑΝΤΙΣΤΟΙΧΙΣΗ!$D$34</f>
        <v/>
      </c>
      <c r="H3" s="180">
        <f>[1]ΑΝΤΙΣΤΟΙΧΙΣΗ!$F$108</f>
        <v/>
      </c>
      <c r="I3" s="192" t="n"/>
      <c r="J3" s="56" t="n"/>
      <c r="K3" s="61">
        <f>[1]ΑΝΤΙΣΤΟΙΧΙΣΗ!$D$34</f>
        <v/>
      </c>
      <c r="L3" s="180">
        <f>[1]ΑΝΤΙΣΤΟΙΧΙΣΗ!$F$122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L7+'[1]2026 Φεβρουάριος'!N7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'[1]2026_ΕΣΟΔΑ'!E2</f>
        <v/>
      </c>
      <c r="E8" s="11">
        <f>D8/$D$7</f>
        <v/>
      </c>
      <c r="F8" s="12">
        <f>D8+'[1]2026 Φεβρουάριος'!F8</f>
        <v/>
      </c>
      <c r="G8" s="11">
        <f>F8/$F$7</f>
        <v/>
      </c>
      <c r="H8" s="12" t="n"/>
      <c r="I8" s="11">
        <f>H8/$H$7</f>
        <v/>
      </c>
      <c r="J8" s="12">
        <f>H8+'[1]2026 Φεβρουάριος'!J8</f>
        <v/>
      </c>
      <c r="K8" s="11">
        <f>J8/$J$7</f>
        <v/>
      </c>
      <c r="L8" s="68">
        <f>'[1]2024_60-69 ΕΞΟΔΑ+ΟΜ 2'!E114</f>
        <v/>
      </c>
      <c r="M8" s="11">
        <f>L8/$L$7</f>
        <v/>
      </c>
      <c r="N8" s="12">
        <f>L8+'[1]2026 Φεβρουάριος'!N8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'[1]2026_ΕΣΟΔΑ'!E3</f>
        <v/>
      </c>
      <c r="E9" s="11">
        <f>D9/$D$7</f>
        <v/>
      </c>
      <c r="F9" s="12">
        <f>D9+'[1]2026 Φεβρουάριος'!F9</f>
        <v/>
      </c>
      <c r="G9" s="11">
        <f>F9/$F$7</f>
        <v/>
      </c>
      <c r="H9" s="12" t="n"/>
      <c r="I9" s="11">
        <f>H9/$H$7</f>
        <v/>
      </c>
      <c r="J9" s="12">
        <f>H9+'[1]2026 Φεβρουάριος'!J9</f>
        <v/>
      </c>
      <c r="K9" s="11">
        <f>J9/$J$7</f>
        <v/>
      </c>
      <c r="L9" s="68">
        <f>'[1]2024_60-69 ΕΞΟΔΑ+ΟΜ 2'!E115</f>
        <v/>
      </c>
      <c r="M9" s="11">
        <f>L9/$L$7</f>
        <v/>
      </c>
      <c r="N9" s="12">
        <f>L9+'[1]2026 Φεβρουάριος'!N9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'[1]2026_ΕΣΟΔΑ'!E4</f>
        <v/>
      </c>
      <c r="E10" s="11">
        <f>D10/$D$7</f>
        <v/>
      </c>
      <c r="F10" s="12">
        <f>D10+'[1]2026 Φεβρουάριος'!F10</f>
        <v/>
      </c>
      <c r="G10" s="11">
        <f>F10/$F$7</f>
        <v/>
      </c>
      <c r="H10" s="12" t="n"/>
      <c r="I10" s="11">
        <f>H10/$H$7</f>
        <v/>
      </c>
      <c r="J10" s="12">
        <f>H10+'[1]2026 Φεβρουάριος'!J10</f>
        <v/>
      </c>
      <c r="K10" s="11">
        <f>J10/$J$7</f>
        <v/>
      </c>
      <c r="L10" s="68">
        <f>'[1]2024_60-69 ΕΞΟΔΑ+ΟΜ 2'!E116</f>
        <v/>
      </c>
      <c r="M10" s="11">
        <f>L10/$L$7</f>
        <v/>
      </c>
      <c r="N10" s="12">
        <f>L10+'[1]2026 Φεβρουάριος'!N10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'[1]2026_ΕΣΟΔΑ'!E5</f>
        <v/>
      </c>
      <c r="E11" s="11">
        <f>D11/$D$7</f>
        <v/>
      </c>
      <c r="F11" s="12">
        <f>D11+'[1]2026 Φεβρουάριος'!F11</f>
        <v/>
      </c>
      <c r="G11" s="11">
        <f>F11/$F$7</f>
        <v/>
      </c>
      <c r="H11" s="12" t="n"/>
      <c r="I11" s="11">
        <f>H11/$H$7</f>
        <v/>
      </c>
      <c r="J11" s="12">
        <f>H11+'[1]2026 Φεβρουάριος'!J11</f>
        <v/>
      </c>
      <c r="K11" s="11">
        <f>J11/$J$7</f>
        <v/>
      </c>
      <c r="L11" s="68">
        <f>'[1]2024_60-69 ΕΞΟΔΑ+ΟΜ 2'!E117</f>
        <v/>
      </c>
      <c r="M11" s="11">
        <f>L11/$L$7</f>
        <v/>
      </c>
      <c r="N11" s="12">
        <f>L11+'[1]2026 Φεβρουάριος'!N11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'[1]2026_ΕΣΟΔΑ'!E6</f>
        <v/>
      </c>
      <c r="E12" s="11">
        <f>D12/$D$7</f>
        <v/>
      </c>
      <c r="F12" s="12">
        <f>D12+'[1]2026 Φεβρουάριος'!F12</f>
        <v/>
      </c>
      <c r="G12" s="11">
        <f>F12/$F$7</f>
        <v/>
      </c>
      <c r="H12" s="12" t="n"/>
      <c r="I12" s="11">
        <f>H12/$H$7</f>
        <v/>
      </c>
      <c r="J12" s="12">
        <f>H12+'[1]2026 Φεβρουάριος'!J12</f>
        <v/>
      </c>
      <c r="K12" s="11">
        <f>J12/$J$7</f>
        <v/>
      </c>
      <c r="L12" s="68">
        <f>'[1]2024_60-69 ΕΞΟΔΑ+ΟΜ 2'!E118</f>
        <v/>
      </c>
      <c r="M12" s="11">
        <f>L12/$L$7</f>
        <v/>
      </c>
      <c r="N12" s="12">
        <f>L12+'[1]2026 Φεβρουάριος'!N12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'[1]2026_ΕΣΟΔΑ'!E7</f>
        <v/>
      </c>
      <c r="E13" s="11">
        <f>D13/$D$7</f>
        <v/>
      </c>
      <c r="F13" s="12">
        <f>D13+'[1]2026 Φεβρουάριος'!F13</f>
        <v/>
      </c>
      <c r="G13" s="11">
        <f>F13/$F$7</f>
        <v/>
      </c>
      <c r="H13" s="12" t="n"/>
      <c r="I13" s="11">
        <f>H13/$H$7</f>
        <v/>
      </c>
      <c r="J13" s="12">
        <f>H13+'[1]2026 Φεβρουάριος'!J13</f>
        <v/>
      </c>
      <c r="K13" s="11">
        <f>J13/$J$7</f>
        <v/>
      </c>
      <c r="L13" s="68">
        <f>'[1]2024_60-69 ΕΞΟΔΑ+ΟΜ 2'!E119</f>
        <v/>
      </c>
      <c r="M13" s="11">
        <f>L13/$L$7</f>
        <v/>
      </c>
      <c r="N13" s="12">
        <f>L13+'[1]2026 Φεβρουάριος'!N13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'[1]2026_ΕΣΟΔΑ'!E8</f>
        <v/>
      </c>
      <c r="E14" s="11">
        <f>D14/$D$7</f>
        <v/>
      </c>
      <c r="F14" s="12">
        <f>D14+'[1]2026 Φεβρουάριος'!F14</f>
        <v/>
      </c>
      <c r="G14" s="11">
        <f>F14/$F$7</f>
        <v/>
      </c>
      <c r="H14" s="12" t="n"/>
      <c r="I14" s="11">
        <f>H14/$H$7</f>
        <v/>
      </c>
      <c r="J14" s="12">
        <f>H14+'[1]2026 Φεβρουάριος'!J14</f>
        <v/>
      </c>
      <c r="K14" s="11">
        <f>J14/$J$7</f>
        <v/>
      </c>
      <c r="L14" s="68">
        <f>'[1]2024_60-69 ΕΞΟΔΑ+ΟΜ 2'!E120</f>
        <v/>
      </c>
      <c r="M14" s="11">
        <f>L14/$L$7</f>
        <v/>
      </c>
      <c r="N14" s="12">
        <f>L14+'[1]2026 Φεβρουάριος'!N14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'[1]2026_ΕΣΟΔΑ'!E9</f>
        <v/>
      </c>
      <c r="E15" s="11">
        <f>D15/$D$7</f>
        <v/>
      </c>
      <c r="F15" s="12">
        <f>D15+'[1]2026 Φεβρουάριος'!F15</f>
        <v/>
      </c>
      <c r="G15" s="11">
        <f>F15/$F$7</f>
        <v/>
      </c>
      <c r="H15" s="12" t="n"/>
      <c r="I15" s="11">
        <f>H15/$H$7</f>
        <v/>
      </c>
      <c r="J15" s="12">
        <f>H15+'[1]2026 Φεβρουάριος'!J15</f>
        <v/>
      </c>
      <c r="K15" s="11">
        <f>J15/$J$7</f>
        <v/>
      </c>
      <c r="L15" s="68">
        <f>'[1]2024_60-69 ΕΞΟΔΑ+ΟΜ 2'!E121</f>
        <v/>
      </c>
      <c r="M15" s="11">
        <f>L15/$L$7</f>
        <v/>
      </c>
      <c r="N15" s="12">
        <f>L15+'[1]2026 Φεβρουάριος'!N15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'[1]2026_ΕΣΟΔΑ'!E10</f>
        <v/>
      </c>
      <c r="E16" s="11">
        <f>D16/$D$7</f>
        <v/>
      </c>
      <c r="F16" s="12">
        <f>D16+'[1]2026 Φεβρουάριος'!F16</f>
        <v/>
      </c>
      <c r="G16" s="11">
        <f>F16/$F$7</f>
        <v/>
      </c>
      <c r="H16" s="12" t="n"/>
      <c r="I16" s="11">
        <f>H16/$H$7</f>
        <v/>
      </c>
      <c r="J16" s="12">
        <f>H16+'[1]2026 Φεβρουάριος'!J16</f>
        <v/>
      </c>
      <c r="K16" s="11">
        <f>J16/$J$7</f>
        <v/>
      </c>
      <c r="L16" s="68">
        <f>'[1]2024_60-69 ΕΞΟΔΑ+ΟΜ 2'!E122</f>
        <v/>
      </c>
      <c r="M16" s="11">
        <f>L16/$L$7</f>
        <v/>
      </c>
      <c r="N16" s="12">
        <f>L16+'[1]2026 Φεβρουάριος'!N16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'[1]2026_ΕΣΟΔΑ'!E11</f>
        <v/>
      </c>
      <c r="E17" s="11">
        <f>D17/$D$7</f>
        <v/>
      </c>
      <c r="F17" s="12">
        <f>D17+'[1]2026 Φεβρουάριος'!F17</f>
        <v/>
      </c>
      <c r="G17" s="11">
        <f>F17/$F$7</f>
        <v/>
      </c>
      <c r="H17" s="12" t="n"/>
      <c r="I17" s="11">
        <f>H17/$H$7</f>
        <v/>
      </c>
      <c r="J17" s="12">
        <f>H17+'[1]2026 Φεβρουάριος'!J17</f>
        <v/>
      </c>
      <c r="K17" s="11">
        <f>J17/$J$7</f>
        <v/>
      </c>
      <c r="L17" s="68">
        <f>'[1]2024_60-69 ΕΞΟΔΑ+ΟΜ 2'!E123</f>
        <v/>
      </c>
      <c r="M17" s="11">
        <f>L17/$L$7</f>
        <v/>
      </c>
      <c r="N17" s="12">
        <f>L17+'[1]2026 Φεβρουάριος'!N17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'[1]2026_ΕΣΟΔΑ'!E12</f>
        <v/>
      </c>
      <c r="E18" s="11">
        <f>D18/$D$7</f>
        <v/>
      </c>
      <c r="F18" s="12">
        <f>D18+'[1]2026 Φεβρουάριος'!F18</f>
        <v/>
      </c>
      <c r="G18" s="11">
        <f>F18/$F$7</f>
        <v/>
      </c>
      <c r="H18" s="12" t="n"/>
      <c r="I18" s="11">
        <f>H18/$H$7</f>
        <v/>
      </c>
      <c r="J18" s="12">
        <f>H18+'[1]2026 Φεβρουάριος'!J18</f>
        <v/>
      </c>
      <c r="K18" s="11">
        <f>J18/$J$7</f>
        <v/>
      </c>
      <c r="L18" s="68">
        <f>'[1]2024_60-69 ΕΞΟΔΑ+ΟΜ 2'!E124</f>
        <v/>
      </c>
      <c r="M18" s="11">
        <f>L18/$L$7</f>
        <v/>
      </c>
      <c r="N18" s="12">
        <f>L18+'[1]2026 Φεβρουάριος'!N18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'[1]2026_ΕΣΟΔΑ'!E13</f>
        <v/>
      </c>
      <c r="E19" s="11">
        <f>D19/$D$7</f>
        <v/>
      </c>
      <c r="F19" s="12">
        <f>D19+'[1]2026 Φεβρουάριος'!F19</f>
        <v/>
      </c>
      <c r="G19" s="11">
        <f>F19/$F$7</f>
        <v/>
      </c>
      <c r="H19" s="12" t="n"/>
      <c r="I19" s="11">
        <f>H19/$H$7</f>
        <v/>
      </c>
      <c r="J19" s="12">
        <f>H19+'[1]2026 Φεβρουάριος'!J19</f>
        <v/>
      </c>
      <c r="K19" s="11">
        <f>J19/$J$7</f>
        <v/>
      </c>
      <c r="L19" s="68">
        <f>'[1]2024_60-69 ΕΞΟΔΑ+ΟΜ 2'!E125</f>
        <v/>
      </c>
      <c r="M19" s="11">
        <f>L19/$L$7</f>
        <v/>
      </c>
      <c r="N19" s="12">
        <f>L19+'[1]2026 Φεβρουάριος'!N19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'[1]2026_ΕΣΟΔΑ'!E14</f>
        <v/>
      </c>
      <c r="E20" s="11">
        <f>D20/$D$7</f>
        <v/>
      </c>
      <c r="F20" s="12">
        <f>D20+'[1]2026 Φεβρουάριος'!F20</f>
        <v/>
      </c>
      <c r="G20" s="11">
        <f>F20/$F$7</f>
        <v/>
      </c>
      <c r="H20" s="12" t="n"/>
      <c r="I20" s="11">
        <f>H20/$H$7</f>
        <v/>
      </c>
      <c r="J20" s="12">
        <f>H20+'[1]2026 Φεβρουάριος'!J20</f>
        <v/>
      </c>
      <c r="K20" s="11">
        <f>J20/$J$7</f>
        <v/>
      </c>
      <c r="L20" s="68">
        <f>'[1]2024_60-69 ΕΞΟΔΑ+ΟΜ 2'!E126</f>
        <v/>
      </c>
      <c r="M20" s="11">
        <f>L20/$L$7</f>
        <v/>
      </c>
      <c r="N20" s="12">
        <f>L20+'[1]2026 Φεβρουάριος'!N20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'[1]2026_ΕΣΟΔΑ'!E15</f>
        <v/>
      </c>
      <c r="E21" s="11">
        <f>D21/$D$7</f>
        <v/>
      </c>
      <c r="F21" s="12">
        <f>D21+'[1]2026 Φεβρουάριος'!F21</f>
        <v/>
      </c>
      <c r="G21" s="11">
        <f>F21/$F$7</f>
        <v/>
      </c>
      <c r="H21" s="12" t="n"/>
      <c r="I21" s="11">
        <f>H21/$H$7</f>
        <v/>
      </c>
      <c r="J21" s="12">
        <f>H21+'[1]2026 Φεβρουάριος'!J21</f>
        <v/>
      </c>
      <c r="K21" s="11">
        <f>J21/$J$7</f>
        <v/>
      </c>
      <c r="L21" s="68">
        <f>'[1]2024_60-69 ΕΞΟΔΑ+ΟΜ 2'!E127</f>
        <v/>
      </c>
      <c r="M21" s="11">
        <f>L21/$L$7</f>
        <v/>
      </c>
      <c r="N21" s="12">
        <f>L21+'[1]2026 Φεβρουάριος'!N21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'[1]2026_ΕΣΟΔΑ'!E16</f>
        <v/>
      </c>
      <c r="E22" s="11">
        <f>D22/$D$7</f>
        <v/>
      </c>
      <c r="F22" s="12">
        <f>D22+'[1]2026 Φεβρουάριος'!F22</f>
        <v/>
      </c>
      <c r="G22" s="11">
        <f>F22/$F$7</f>
        <v/>
      </c>
      <c r="H22" s="12" t="n"/>
      <c r="I22" s="11">
        <f>H22/$H$7</f>
        <v/>
      </c>
      <c r="J22" s="12">
        <f>H22+'[1]2026 Φεβρουάριος'!J22</f>
        <v/>
      </c>
      <c r="K22" s="11">
        <f>J22/$J$7</f>
        <v/>
      </c>
      <c r="L22" s="68">
        <f>'[1]2024_60-69 ΕΞΟΔΑ+ΟΜ 2'!E128</f>
        <v/>
      </c>
      <c r="M22" s="11">
        <f>L22/$L$7</f>
        <v/>
      </c>
      <c r="N22" s="12">
        <f>L22+'[1]2026 Φεβρουάριος'!N22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'[1]2026_ΕΣΟΔΑ'!E17</f>
        <v/>
      </c>
      <c r="E23" s="11">
        <f>D23/$D$7</f>
        <v/>
      </c>
      <c r="F23" s="12">
        <f>D23+'[1]2026 Φεβρουάριος'!F23</f>
        <v/>
      </c>
      <c r="G23" s="11">
        <f>F23/$F$7</f>
        <v/>
      </c>
      <c r="H23" s="12" t="n"/>
      <c r="I23" s="11">
        <f>H23/$H$7</f>
        <v/>
      </c>
      <c r="J23" s="12">
        <f>H23+'[1]2026 Φεβρουάριος'!J23</f>
        <v/>
      </c>
      <c r="K23" s="11">
        <f>J23/$J$7</f>
        <v/>
      </c>
      <c r="L23" s="68">
        <f>'[1]2024_60-69 ΕΞΟΔΑ+ΟΜ 2'!E129</f>
        <v/>
      </c>
      <c r="M23" s="11">
        <f>L23/$L$7</f>
        <v/>
      </c>
      <c r="N23" s="12">
        <f>L23+'[1]2026 Φεβρουάριος'!N23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'[1]2026_ΕΣΟΔΑ'!E18</f>
        <v/>
      </c>
      <c r="E24" s="11">
        <f>D24/$D$7</f>
        <v/>
      </c>
      <c r="F24" s="12">
        <f>D24+'[1]2026 Φεβρουάριος'!F24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Φεβρουάριος'!J24</f>
        <v/>
      </c>
      <c r="K24" s="11">
        <f>J24/$J$7</f>
        <v/>
      </c>
      <c r="L24" s="68">
        <f>'[1]2024_60-69 ΕΞΟΔΑ+ΟΜ 2'!E130</f>
        <v/>
      </c>
      <c r="M24" s="11">
        <f>L24/$L$7</f>
        <v/>
      </c>
      <c r="N24" s="12">
        <f>L24+'[1]2026 Φεβρουάριος'!N24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'[1]2026_ΕΣΟΔΑ'!E19</f>
        <v/>
      </c>
      <c r="E25" s="11">
        <f>D25/$D$7</f>
        <v/>
      </c>
      <c r="F25" s="12">
        <f>D25+'[1]2026 Φεβρουάριος'!F25</f>
        <v/>
      </c>
      <c r="G25" s="11">
        <f>F25/$F$7</f>
        <v/>
      </c>
      <c r="H25" s="12" t="n"/>
      <c r="I25" s="11">
        <f>H25/$H$7</f>
        <v/>
      </c>
      <c r="J25" s="12">
        <f>H25+'[1]2026 Φεβρουάριος'!J25</f>
        <v/>
      </c>
      <c r="K25" s="11">
        <f>J25/$J$7</f>
        <v/>
      </c>
      <c r="L25" s="68">
        <f>'[1]2024_60-69 ΕΞΟΔΑ+ΟΜ 2'!E131</f>
        <v/>
      </c>
      <c r="M25" s="11">
        <f>L25/$L$7</f>
        <v/>
      </c>
      <c r="N25" s="12">
        <f>L25+'[1]2026 Φεβρουάριος'!N25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'[1]2026_ΕΣΟΔΑ'!E20</f>
        <v/>
      </c>
      <c r="E26" s="11">
        <f>D26/$D$7</f>
        <v/>
      </c>
      <c r="F26" s="12">
        <f>D26+'[1]2026 Φεβρουάριος'!F26</f>
        <v/>
      </c>
      <c r="G26" s="11">
        <f>F26/$F$7</f>
        <v/>
      </c>
      <c r="H26" s="12" t="n"/>
      <c r="I26" s="11">
        <f>H26/$H$7</f>
        <v/>
      </c>
      <c r="J26" s="12">
        <f>H26+'[1]2026 Φεβρουάριος'!J26</f>
        <v/>
      </c>
      <c r="K26" s="11">
        <f>J26/$J$7</f>
        <v/>
      </c>
      <c r="L26" s="68">
        <f>'[1]2024_60-69 ΕΞΟΔΑ+ΟΜ 2'!E132</f>
        <v/>
      </c>
      <c r="M26" s="11">
        <f>L26/$L$7</f>
        <v/>
      </c>
      <c r="N26" s="12">
        <f>L26+'[1]2026 Φεβρουάριος'!N26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'[1]2026_ΕΣΟΔΑ'!E21</f>
        <v/>
      </c>
      <c r="E27" s="11">
        <f>D27/$D$7</f>
        <v/>
      </c>
      <c r="F27" s="12">
        <f>D27+'[1]2026 Φεβρουάριος'!F27</f>
        <v/>
      </c>
      <c r="G27" s="11">
        <f>F27/$F$7</f>
        <v/>
      </c>
      <c r="H27" s="12" t="n"/>
      <c r="I27" s="11">
        <f>H27/$H$7</f>
        <v/>
      </c>
      <c r="J27" s="12">
        <f>H27+'[1]2026 Φεβρουάριος'!J27</f>
        <v/>
      </c>
      <c r="K27" s="11">
        <f>J27/$J$7</f>
        <v/>
      </c>
      <c r="L27" s="68">
        <f>'[1]2024_60-69 ΕΞΟΔΑ+ΟΜ 2'!E133</f>
        <v/>
      </c>
      <c r="M27" s="11">
        <f>L27/$L$7</f>
        <v/>
      </c>
      <c r="N27" s="12">
        <f>L27+'[1]2026 Φεβρουάριος'!N27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'[1]2026_ΕΣΟΔΑ'!E22</f>
        <v/>
      </c>
      <c r="E28" s="11">
        <f>D28/$D$7</f>
        <v/>
      </c>
      <c r="F28" s="12">
        <f>D28+'[1]2026 Φεβρουάριος'!F28</f>
        <v/>
      </c>
      <c r="G28" s="11">
        <f>F28/$F$7</f>
        <v/>
      </c>
      <c r="H28" s="12" t="n"/>
      <c r="I28" s="11">
        <f>H28/$H$7</f>
        <v/>
      </c>
      <c r="J28" s="12">
        <f>H28+'[1]2026 Φεβρουάριος'!J28</f>
        <v/>
      </c>
      <c r="K28" s="11">
        <f>J28/$J$7</f>
        <v/>
      </c>
      <c r="L28" s="68">
        <f>'[1]2024_60-69 ΕΞΟΔΑ+ΟΜ 2'!E134</f>
        <v/>
      </c>
      <c r="M28" s="11">
        <f>L28/$L$7</f>
        <v/>
      </c>
      <c r="N28" s="12">
        <f>L28+'[1]2026 Φεβρουάριος'!N28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'[1]2026_ΕΣΟΔΑ'!E23</f>
        <v/>
      </c>
      <c r="E29" s="11">
        <f>D29/$D$7</f>
        <v/>
      </c>
      <c r="F29" s="12">
        <f>D29+'[1]2026 Φεβρουάριος'!F29</f>
        <v/>
      </c>
      <c r="G29" s="11">
        <f>F29/$F$7</f>
        <v/>
      </c>
      <c r="H29" s="12" t="n"/>
      <c r="I29" s="11">
        <f>H29/$H$7</f>
        <v/>
      </c>
      <c r="J29" s="12">
        <f>H29+'[1]2026 Φεβρουάριος'!J29</f>
        <v/>
      </c>
      <c r="K29" s="11">
        <f>J29/$J$7</f>
        <v/>
      </c>
      <c r="L29" s="68">
        <f>'[1]2024_60-69 ΕΞΟΔΑ+ΟΜ 2'!E135</f>
        <v/>
      </c>
      <c r="M29" s="11">
        <f>L29/$L$7</f>
        <v/>
      </c>
      <c r="N29" s="12">
        <f>L29+'[1]2026 Φεβρουάριος'!N29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'[1]2026_ΕΣΟΔΑ'!E24</f>
        <v/>
      </c>
      <c r="E30" s="11">
        <f>D30/$D$7</f>
        <v/>
      </c>
      <c r="F30" s="12">
        <f>D30+'[1]2026 Φεβρουάριος'!F30</f>
        <v/>
      </c>
      <c r="G30" s="11">
        <f>F30/$F$7</f>
        <v/>
      </c>
      <c r="H30" s="12" t="n"/>
      <c r="I30" s="11">
        <f>H30/$H$7</f>
        <v/>
      </c>
      <c r="J30" s="12">
        <f>H30+'[1]2026 Φεβρουάριος'!J30</f>
        <v/>
      </c>
      <c r="K30" s="11">
        <f>J30/$J$7</f>
        <v/>
      </c>
      <c r="L30" s="68">
        <f>'[1]2024_60-69 ΕΞΟΔΑ+ΟΜ 2'!E136</f>
        <v/>
      </c>
      <c r="M30" s="11">
        <f>L30/$L$7</f>
        <v/>
      </c>
      <c r="N30" s="12">
        <f>L30+'[1]2026 Φεβρουάριος'!N30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'[1]2026_ΕΣΟΔΑ'!E25</f>
        <v/>
      </c>
      <c r="E31" s="11">
        <f>D31/$D$7</f>
        <v/>
      </c>
      <c r="F31" s="12">
        <f>D31+'[1]2026 Φεβρουάριος'!F31</f>
        <v/>
      </c>
      <c r="G31" s="11">
        <f>F31/$F$7</f>
        <v/>
      </c>
      <c r="H31" s="12" t="n"/>
      <c r="I31" s="11">
        <f>H31/$H$7</f>
        <v/>
      </c>
      <c r="J31" s="12">
        <f>H31+'[1]2026 Φεβρουάριος'!J31</f>
        <v/>
      </c>
      <c r="K31" s="11">
        <f>J31/$J$7</f>
        <v/>
      </c>
      <c r="L31" s="68">
        <f>'[1]2024_60-69 ΕΞΟΔΑ+ΟΜ 2'!E137</f>
        <v/>
      </c>
      <c r="M31" s="11">
        <f>L31/$L$7</f>
        <v/>
      </c>
      <c r="N31" s="12">
        <f>L31+'[1]2026 Φεβρουάριος'!N31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'[1]2026_ΕΣΟΔΑ'!E26</f>
        <v/>
      </c>
      <c r="E32" s="11">
        <f>D32/$D$7</f>
        <v/>
      </c>
      <c r="F32" s="12">
        <f>D32+'[1]2026 Φεβρουάριος'!F32</f>
        <v/>
      </c>
      <c r="G32" s="11">
        <f>F32/$F$7</f>
        <v/>
      </c>
      <c r="H32" s="12" t="n"/>
      <c r="I32" s="11">
        <f>H32/$H$7</f>
        <v/>
      </c>
      <c r="J32" s="12">
        <f>H32+'[1]2026 Φεβρουάριος'!J32</f>
        <v/>
      </c>
      <c r="K32" s="11">
        <f>J32/$J$7</f>
        <v/>
      </c>
      <c r="L32" s="68">
        <f>'[1]2024_60-69 ΕΞΟΔΑ+ΟΜ 2'!E138</f>
        <v/>
      </c>
      <c r="M32" s="11">
        <f>L32/$L$7</f>
        <v/>
      </c>
      <c r="N32" s="12">
        <f>L32+'[1]2026 Φεβρουάριος'!N32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'[1]2026_ΕΣΟΔΑ'!E27</f>
        <v/>
      </c>
      <c r="E33" s="11">
        <f>D33/$D$7</f>
        <v/>
      </c>
      <c r="F33" s="12">
        <f>D33+'[1]2026 Φεβρουάριος'!F33</f>
        <v/>
      </c>
      <c r="G33" s="11">
        <f>F33/$F$7</f>
        <v/>
      </c>
      <c r="H33" s="12" t="n"/>
      <c r="I33" s="11">
        <f>H33/$H$7</f>
        <v/>
      </c>
      <c r="J33" s="12">
        <f>H33+'[1]2026 Φεβρουάριος'!J33</f>
        <v/>
      </c>
      <c r="K33" s="11">
        <f>J33/$J$7</f>
        <v/>
      </c>
      <c r="L33" s="68">
        <f>'[1]2024_60-69 ΕΞΟΔΑ+ΟΜ 2'!E139</f>
        <v/>
      </c>
      <c r="M33" s="11">
        <f>L33/$L$7</f>
        <v/>
      </c>
      <c r="N33" s="12">
        <f>L33+'[1]2026 Φεβρουάριος'!N33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'[1]2026_ΕΣΟΔΑ'!E28</f>
        <v/>
      </c>
      <c r="E34" s="11">
        <f>D34/$D$7</f>
        <v/>
      </c>
      <c r="F34" s="12">
        <f>D34+'[1]2026 Φεβρουάριος'!F34</f>
        <v/>
      </c>
      <c r="G34" s="11">
        <f>F34/$F$7</f>
        <v/>
      </c>
      <c r="H34" s="12" t="n"/>
      <c r="I34" s="11">
        <f>H34/$H$7</f>
        <v/>
      </c>
      <c r="J34" s="12">
        <f>H34+'[1]2026 Φεβρουάριος'!J34</f>
        <v/>
      </c>
      <c r="K34" s="11">
        <f>J34/$J$7</f>
        <v/>
      </c>
      <c r="L34" s="68">
        <f>'[1]2024_60-69 ΕΞΟΔΑ+ΟΜ 2'!E140</f>
        <v/>
      </c>
      <c r="M34" s="11">
        <f>L34/$L$7</f>
        <v/>
      </c>
      <c r="N34" s="12">
        <f>L34+'[1]2026 Φεβρουάριος'!N34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'[1]2026_ΕΣΟΔΑ'!E29</f>
        <v/>
      </c>
      <c r="E35" s="11">
        <f>D35/$D$7</f>
        <v/>
      </c>
      <c r="F35" s="12">
        <f>D35+'[1]2026 Φεβρουάριος'!F35</f>
        <v/>
      </c>
      <c r="G35" s="11">
        <f>F35/$F$7</f>
        <v/>
      </c>
      <c r="H35" s="12" t="n"/>
      <c r="I35" s="11">
        <f>H35/$H$7</f>
        <v/>
      </c>
      <c r="J35" s="12">
        <f>H35+'[1]2026 Φεβρουάριος'!J35</f>
        <v/>
      </c>
      <c r="K35" s="11">
        <f>J35/$J$7</f>
        <v/>
      </c>
      <c r="L35" s="68">
        <f>'[1]2024_60-69 ΕΞΟΔΑ+ΟΜ 2'!E141</f>
        <v/>
      </c>
      <c r="M35" s="11">
        <f>L35/$L$7</f>
        <v/>
      </c>
      <c r="N35" s="12">
        <f>L35+'[1]2026 Φεβρουάριος'!N35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'[1]2026_ΕΣΟΔΑ'!E30</f>
        <v/>
      </c>
      <c r="E36" s="11">
        <f>D36/$D$7</f>
        <v/>
      </c>
      <c r="F36" s="12">
        <f>D36+'[1]2026 Φεβρουάριος'!F36</f>
        <v/>
      </c>
      <c r="G36" s="11">
        <f>F36/$F$7</f>
        <v/>
      </c>
      <c r="H36" s="12" t="n"/>
      <c r="I36" s="11">
        <f>H36/$H$7</f>
        <v/>
      </c>
      <c r="J36" s="12">
        <f>H36+'[1]2026 Φεβρουάριος'!J36</f>
        <v/>
      </c>
      <c r="K36" s="11">
        <f>J36/$J$7</f>
        <v/>
      </c>
      <c r="L36" s="68">
        <f>'[1]2024_60-69 ΕΞΟΔΑ+ΟΜ 2'!E142</f>
        <v/>
      </c>
      <c r="M36" s="11">
        <f>L36/$L$7</f>
        <v/>
      </c>
      <c r="N36" s="12">
        <f>L36+'[1]2026 Φεβρουάριος'!N36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'[1]2026_ΕΣΟΔΑ'!E31</f>
        <v/>
      </c>
      <c r="E37" s="11">
        <f>D37/$D$7</f>
        <v/>
      </c>
      <c r="F37" s="12">
        <f>D37+'[1]2026 Φεβρουάριος'!F37</f>
        <v/>
      </c>
      <c r="G37" s="11">
        <f>F37/$F$7</f>
        <v/>
      </c>
      <c r="H37" s="12" t="n"/>
      <c r="I37" s="11">
        <f>H37/$H$7</f>
        <v/>
      </c>
      <c r="J37" s="12">
        <f>H37+'[1]2026 Φεβρουάριος'!J37</f>
        <v/>
      </c>
      <c r="K37" s="11">
        <f>J37/$J$7</f>
        <v/>
      </c>
      <c r="L37" s="68">
        <f>'[1]2024_60-69 ΕΞΟΔΑ+ΟΜ 2'!E143</f>
        <v/>
      </c>
      <c r="M37" s="11">
        <f>L37/$L$7</f>
        <v/>
      </c>
      <c r="N37" s="12">
        <f>L37+'[1]2026 Φεβρουάριος'!N37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'[1]2026_ΕΣΟΔΑ'!E32</f>
        <v/>
      </c>
      <c r="E38" s="8" t="n"/>
      <c r="F38" s="7">
        <f>'[1]2026_ΕΣΟΔΑ'!E34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[1]ΑΝΤΙΣΤΟΙΧΙΣΗ!$F$108</f>
        <v/>
      </c>
      <c r="E41" s="192" t="n"/>
      <c r="F41" s="56" t="n"/>
      <c r="G41" s="61">
        <f>[1]ΑΝΤΙΣΤΟΙΧΙΣΗ!$D$34</f>
        <v/>
      </c>
      <c r="H41" s="180">
        <f>[1]ΑΝΤΙΣΤΟΙΧΙΣΗ!$F$108</f>
        <v/>
      </c>
      <c r="I41" s="192" t="n"/>
      <c r="J41" s="56" t="n"/>
      <c r="K41" s="61">
        <f>[1]ΑΝΤΙΣΤΟΙΧΙΣΗ!$D$34</f>
        <v/>
      </c>
      <c r="L41" s="180">
        <f>[1]ΑΝΤΙΣΤΟΙΧΙΣΗ!$F$122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inlineStr">
        <is>
          <t xml:space="preserve">Αμ. Κόστ. Υπηρ. Μηνός </t>
        </is>
      </c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1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2'!F4</f>
        <v/>
      </c>
      <c r="E44" s="15">
        <f>D44/$D$43</f>
        <v/>
      </c>
      <c r="F44" s="10">
        <f>'[1]2026 Φεβρουάριος'!F44+'[1]2026 Μάρτιος'!D44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J44/$J$38</f>
        <v/>
      </c>
      <c r="L44" s="14">
        <f>'[1]2024_60-69 ΕΞΟΔΑ+ΟΜ 2'!F4</f>
        <v/>
      </c>
      <c r="M44" s="15">
        <f>L44/$L$43</f>
        <v/>
      </c>
      <c r="N44" s="10">
        <f>L44+'[1]2026 Φεβρουάριος'!N44</f>
        <v/>
      </c>
      <c r="O44" s="15">
        <f>N44/$N$43</f>
        <v/>
      </c>
      <c r="P44" s="10">
        <f>F44-N44</f>
        <v/>
      </c>
      <c r="Q44" s="15">
        <f>N44/F44</f>
        <v/>
      </c>
    </row>
    <row r="45" ht="1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2'!F5</f>
        <v/>
      </c>
      <c r="E45" s="15">
        <f>D45/$D$43</f>
        <v/>
      </c>
      <c r="F45" s="10">
        <f>'[1]2026 Φεβρουάριος'!F45+'[1]2026 Μάρτιος'!D45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J45/$J$38</f>
        <v/>
      </c>
      <c r="L45" s="14">
        <f>'[1]2024_60-69 ΕΞΟΔΑ+ΟΜ 2'!F5</f>
        <v/>
      </c>
      <c r="M45" s="15">
        <f>L45/$L$43</f>
        <v/>
      </c>
      <c r="N45" s="10">
        <f>L45+'[1]2026 Φεβρουάριος'!N45</f>
        <v/>
      </c>
      <c r="O45" s="15">
        <f>N45/$N$43</f>
        <v/>
      </c>
      <c r="P45" s="10" t="n"/>
      <c r="Q45" s="15">
        <f>N45/F45</f>
        <v/>
      </c>
    </row>
    <row r="46" ht="1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2'!F6</f>
        <v/>
      </c>
      <c r="E46" s="15">
        <f>D46/$D$43</f>
        <v/>
      </c>
      <c r="F46" s="10">
        <f>'[1]2026 Φεβρουάριος'!F46+'[1]2026 Μάρτιος'!D46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J46/$J$38</f>
        <v/>
      </c>
      <c r="L46" s="14">
        <f>'[1]2024_60-69 ΕΞΟΔΑ+ΟΜ 2'!F6</f>
        <v/>
      </c>
      <c r="M46" s="15">
        <f>L46/$L$43</f>
        <v/>
      </c>
      <c r="N46" s="10">
        <f>L46+'[1]2026 Φεβρουάριος'!N46</f>
        <v/>
      </c>
      <c r="O46" s="15">
        <f>N46/$N$43</f>
        <v/>
      </c>
      <c r="P46" s="10" t="n"/>
      <c r="Q46" s="15">
        <f>N46/F46</f>
        <v/>
      </c>
    </row>
    <row r="47" ht="37.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2'!F7</f>
        <v/>
      </c>
      <c r="E47" s="15">
        <f>D49/$D$43</f>
        <v/>
      </c>
      <c r="F47" s="10">
        <f>'[1]2026 Φεβρουάριος'!F47+'[1]2026 Μάρτιος'!D47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J49/$J$38</f>
        <v/>
      </c>
      <c r="L47" s="14">
        <f>'[1]2024_60-69 ΕΞΟΔΑ+ΟΜ 2'!F7</f>
        <v/>
      </c>
      <c r="M47" s="15">
        <f>L49/$L$43</f>
        <v/>
      </c>
      <c r="N47" s="10">
        <f>L49+'[1]2026 Φεβρουάριος'!N47</f>
        <v/>
      </c>
      <c r="O47" s="15">
        <f>N49/$N$43</f>
        <v/>
      </c>
      <c r="P47" s="10" t="n"/>
      <c r="Q47" s="15">
        <f>N49/F49</f>
        <v/>
      </c>
    </row>
    <row r="48" ht="37.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2'!F8</f>
        <v/>
      </c>
      <c r="E48" s="15">
        <f>D50/$D$43</f>
        <v/>
      </c>
      <c r="F48" s="10">
        <f>'[1]2026 Φεβρουάριος'!F48+'[1]2026 Μάρτιος'!D48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J50/$J$38</f>
        <v/>
      </c>
      <c r="L48" s="14">
        <f>'[1]2024_60-69 ΕΞΟΔΑ+ΟΜ 2'!F8</f>
        <v/>
      </c>
      <c r="M48" s="15">
        <f>L50/$L$43</f>
        <v/>
      </c>
      <c r="N48" s="10">
        <f>L50+'[1]2026 Φεβρουάριος'!N48</f>
        <v/>
      </c>
      <c r="O48" s="15">
        <f>N50/$N$43</f>
        <v/>
      </c>
      <c r="P48" s="10" t="n"/>
      <c r="Q48" s="15">
        <f>N50/F50</f>
        <v/>
      </c>
    </row>
    <row r="49" ht="1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2'!F9</f>
        <v/>
      </c>
      <c r="E49" s="15">
        <f>D51/$D$43</f>
        <v/>
      </c>
      <c r="F49" s="10">
        <f>'[1]2026 Φεβρουάριος'!F49+'[1]2026 Μάρτιος'!D49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J51/$J$38</f>
        <v/>
      </c>
      <c r="L49" s="14">
        <f>'[1]2024_60-69 ΕΞΟΔΑ+ΟΜ 2'!F9</f>
        <v/>
      </c>
      <c r="M49" s="15">
        <f>L51/$L$43</f>
        <v/>
      </c>
      <c r="N49" s="10">
        <f>L51+'[1]2026 Φεβρουάριος'!N49</f>
        <v/>
      </c>
      <c r="O49" s="15">
        <f>N51/$N$43</f>
        <v/>
      </c>
      <c r="P49" s="10" t="n"/>
      <c r="Q49" s="15">
        <f>N51/F51</f>
        <v/>
      </c>
    </row>
    <row r="50" ht="1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2'!F10</f>
        <v/>
      </c>
      <c r="E50" s="15">
        <f>D54/$D$43</f>
        <v/>
      </c>
      <c r="F50" s="10">
        <f>'[1]2026 Φεβρουάριος'!F50+'[1]2026 Μάρτιος'!D50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J54/$J$38</f>
        <v/>
      </c>
      <c r="L50" s="14">
        <f>'[1]2024_60-69 ΕΞΟΔΑ+ΟΜ 2'!F10</f>
        <v/>
      </c>
      <c r="M50" s="15">
        <f>L54/$L$43</f>
        <v/>
      </c>
      <c r="N50" s="10">
        <f>L54+'[1]2026 Φεβρουάριος'!N50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2'!F11</f>
        <v/>
      </c>
      <c r="E51" s="15">
        <f>D55/$D$43</f>
        <v/>
      </c>
      <c r="F51" s="10">
        <f>'[1]2026 Φεβρουάριος'!F51+'[1]2026 Μάρτιος'!D51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J55/$J$38</f>
        <v/>
      </c>
      <c r="L51" s="14">
        <f>'[1]2024_60-69 ΕΞΟΔΑ+ΟΜ 2'!F11</f>
        <v/>
      </c>
      <c r="M51" s="15">
        <f>L55/$L$43</f>
        <v/>
      </c>
      <c r="N51" s="10">
        <f>L55+'[1]2026 Φεβρουάριος'!N51</f>
        <v/>
      </c>
      <c r="O51" s="15">
        <f>N55/$N$43</f>
        <v/>
      </c>
      <c r="P51" s="10" t="n"/>
      <c r="Q51" s="15">
        <f>N55/F55</f>
        <v/>
      </c>
    </row>
    <row r="52" ht="37.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2'!F12</f>
        <v/>
      </c>
      <c r="E52" s="15">
        <f>D56/$D$43</f>
        <v/>
      </c>
      <c r="F52" s="10">
        <f>'[1]2026 Φεβρουάριος'!F52+'[1]2026 Μάρτιος'!D52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J56/$J$38</f>
        <v/>
      </c>
      <c r="L52" s="14">
        <f>'[1]2024_60-69 ΕΞΟΔΑ+ΟΜ 2'!F12</f>
        <v/>
      </c>
      <c r="M52" s="15">
        <f>L56/$L$43</f>
        <v/>
      </c>
      <c r="N52" s="10">
        <f>L56+'[1]2026 Φεβρουάριος'!N52</f>
        <v/>
      </c>
      <c r="O52" s="15">
        <f>N56/$N$43</f>
        <v/>
      </c>
      <c r="P52" s="10" t="n"/>
      <c r="Q52" s="15">
        <f>N56/F56</f>
        <v/>
      </c>
    </row>
    <row r="53" ht="37.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2'!F13</f>
        <v/>
      </c>
      <c r="E53" s="15">
        <f>D57/$D$43</f>
        <v/>
      </c>
      <c r="F53" s="10">
        <f>'[1]2026 Φεβρουάριος'!F53+'[1]2026 Μάρτιος'!D53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J57/$J$38</f>
        <v/>
      </c>
      <c r="L53" s="14">
        <f>'[1]2024_60-69 ΕΞΟΔΑ+ΟΜ 2'!F13</f>
        <v/>
      </c>
      <c r="M53" s="15">
        <f>L57/$L$43</f>
        <v/>
      </c>
      <c r="N53" s="10">
        <f>L57+'[1]2026 Φεβρουάριος'!N53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2'!F14</f>
        <v/>
      </c>
      <c r="E54" s="15">
        <f>D58/$D$43</f>
        <v/>
      </c>
      <c r="F54" s="10">
        <f>'[1]2026 Φεβρουάριος'!F54+'[1]2026 Μάρτιος'!D54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J58/$J$38</f>
        <v/>
      </c>
      <c r="L54" s="14">
        <f>'[1]2024_60-69 ΕΞΟΔΑ+ΟΜ 2'!F14</f>
        <v/>
      </c>
      <c r="M54" s="15">
        <f>L58/$L$43</f>
        <v/>
      </c>
      <c r="N54" s="10">
        <f>L58+'[1]2026 Φεβρουάριος'!N54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2'!F15</f>
        <v/>
      </c>
      <c r="E55" s="15">
        <f>D59/$D$43</f>
        <v/>
      </c>
      <c r="F55" s="10">
        <f>'[1]2026 Φεβρουάριος'!F55+'[1]2026 Μάρτιος'!D55</f>
        <v/>
      </c>
      <c r="G55" s="15">
        <f>F59/$F$43</f>
        <v/>
      </c>
      <c r="H55" s="14" t="n"/>
      <c r="I55" s="16">
        <f>H59/$H$43</f>
        <v/>
      </c>
      <c r="J55" s="10" t="n"/>
      <c r="K55" s="17" t="n"/>
      <c r="L55" s="14">
        <f>'[1]2024_60-69 ΕΞΟΔΑ+ΟΜ 2'!F15</f>
        <v/>
      </c>
      <c r="M55" s="15" t="n"/>
      <c r="N55" s="10">
        <f>L59+'[1]2026 Φεβρουάριος'!N55</f>
        <v/>
      </c>
      <c r="O55" s="15">
        <f>N59/$N$43</f>
        <v/>
      </c>
      <c r="P55" s="10" t="n"/>
      <c r="Q55" s="15" t="n"/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2'!F16</f>
        <v/>
      </c>
      <c r="E56" s="15">
        <f>D60/$D$43</f>
        <v/>
      </c>
      <c r="F56" s="10">
        <f>'[1]2026 Φεβρουάριος'!F56+'[1]2026 Μάρτιος'!D56</f>
        <v/>
      </c>
      <c r="G56" s="15">
        <f>F60/$F$43</f>
        <v/>
      </c>
      <c r="H56" s="14" t="n"/>
      <c r="I56" s="16">
        <f>H60/$H$43</f>
        <v/>
      </c>
      <c r="J56" s="10">
        <f>H60</f>
        <v/>
      </c>
      <c r="K56" s="17">
        <f>J60/$J$38</f>
        <v/>
      </c>
      <c r="L56" s="14">
        <f>'[1]2024_60-69 ΕΞΟΔΑ+ΟΜ 2'!F16</f>
        <v/>
      </c>
      <c r="M56" s="15">
        <f>L60/$L$43</f>
        <v/>
      </c>
      <c r="N56" s="10">
        <f>L60+'[1]2026 Φεβρουάριος'!N56</f>
        <v/>
      </c>
      <c r="O56" s="15">
        <f>N60/$N$43</f>
        <v/>
      </c>
      <c r="P56" s="10" t="n"/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2'!F17</f>
        <v/>
      </c>
      <c r="E57" s="15">
        <f>D61/$D$43</f>
        <v/>
      </c>
      <c r="F57" s="10">
        <f>'[1]2026 Φεβρουάριος'!F57+'[1]2026 Μάρτιος'!D57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J61/$J$38</f>
        <v/>
      </c>
      <c r="L57" s="14">
        <f>'[1]2024_60-69 ΕΞΟΔΑ+ΟΜ 2'!F17</f>
        <v/>
      </c>
      <c r="M57" s="15">
        <f>L61/$L$43</f>
        <v/>
      </c>
      <c r="N57" s="10">
        <f>L61+'[1]2026 Φεβρουάριος'!N57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2'!F18</f>
        <v/>
      </c>
      <c r="E58" s="15">
        <f>D62/$D$43</f>
        <v/>
      </c>
      <c r="F58" s="10">
        <f>'[1]2026 Φεβρουάριος'!F58+'[1]2026 Μάρτιος'!D58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J62/$J$38</f>
        <v/>
      </c>
      <c r="L58" s="14">
        <f>'[1]2024_60-69 ΕΞΟΔΑ+ΟΜ 2'!F18</f>
        <v/>
      </c>
      <c r="M58" s="15">
        <f>L62/$L$43</f>
        <v/>
      </c>
      <c r="N58" s="10">
        <f>L62+'[1]2026 Φεβρουάριος'!N58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2'!F19</f>
        <v/>
      </c>
      <c r="E59" s="15">
        <f>D63/$D$43</f>
        <v/>
      </c>
      <c r="F59" s="10">
        <f>'[1]2026 Φεβρουάριος'!F59+'[1]2026 Μάρτιος'!D59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J63/$J$38</f>
        <v/>
      </c>
      <c r="L59" s="14">
        <f>'[1]2024_60-69 ΕΞΟΔΑ+ΟΜ 2'!F19</f>
        <v/>
      </c>
      <c r="M59" s="15">
        <f>L63/$L$43</f>
        <v/>
      </c>
      <c r="N59" s="10">
        <f>L63+'[1]2026 Φεβρουάριος'!N59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2'!F20</f>
        <v/>
      </c>
      <c r="E60" s="15">
        <f>D64/$D$43</f>
        <v/>
      </c>
      <c r="F60" s="10">
        <f>'[1]2026 Φεβρουάριος'!F60+'[1]2026 Μάρτιος'!D60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J64/$J$38</f>
        <v/>
      </c>
      <c r="L60" s="14">
        <f>'[1]2024_60-69 ΕΞΟΔΑ+ΟΜ 2'!F20</f>
        <v/>
      </c>
      <c r="M60" s="15">
        <f>L64/$L$43</f>
        <v/>
      </c>
      <c r="N60" s="10">
        <f>L64+'[1]2026 Φεβρουάριος'!N60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2'!D184</f>
        <v/>
      </c>
      <c r="E61" s="15">
        <f>D65/$D$43</f>
        <v/>
      </c>
      <c r="F61" s="10">
        <f>'[1]2026 Φεβρουάριος'!F61+'[1]2026 Μάρτιος'!D61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J65/$J$38</f>
        <v/>
      </c>
      <c r="L61" s="14">
        <f>'[1]2024_60-69 ΕΞΟΔΑ+ΟΜ 2'!F21</f>
        <v/>
      </c>
      <c r="M61" s="15">
        <f>L65/$L$43</f>
        <v/>
      </c>
      <c r="N61" s="10">
        <f>L65+'[1]2026 Φεβρουάριος'!N61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2'!F22</f>
        <v/>
      </c>
      <c r="E62" s="15">
        <f>D66/$D$43</f>
        <v/>
      </c>
      <c r="F62" s="10">
        <f>'[1]2026 Φεβρουάριος'!F62+'[1]2026 Μάρτιος'!D62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J66/$J$38</f>
        <v/>
      </c>
      <c r="L62" s="14">
        <f>'[1]2024_60-69 ΕΞΟΔΑ+ΟΜ 2'!F22</f>
        <v/>
      </c>
      <c r="M62" s="15">
        <f>L66/$L$43</f>
        <v/>
      </c>
      <c r="N62" s="10">
        <f>L66+'[1]2026 Φεβρουάριος'!N62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2'!F23</f>
        <v/>
      </c>
      <c r="E63" s="15">
        <f>D67/$D$43</f>
        <v/>
      </c>
      <c r="F63" s="10">
        <f>'[1]2026 Φεβρουάριος'!F63+'[1]2026 Μάρτιος'!D63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J67/$J$38</f>
        <v/>
      </c>
      <c r="L63" s="14">
        <f>'[1]2024_60-69 ΕΞΟΔΑ+ΟΜ 2'!F23</f>
        <v/>
      </c>
      <c r="M63" s="15">
        <f>L67/$L$43</f>
        <v/>
      </c>
      <c r="N63" s="10">
        <f>L67+'[1]2026 Φεβρουάριος'!N63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2'!F24</f>
        <v/>
      </c>
      <c r="E64" s="15">
        <f>D68/$D$43</f>
        <v/>
      </c>
      <c r="F64" s="10">
        <f>'[1]2026 Φεβρουάριος'!F64+'[1]2026 Μάρτιος'!D64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J68/$J$38</f>
        <v/>
      </c>
      <c r="L64" s="14">
        <f>'[1]2024_60-69 ΕΞΟΔΑ+ΟΜ 2'!F24</f>
        <v/>
      </c>
      <c r="M64" s="15">
        <f>L68/$L$43</f>
        <v/>
      </c>
      <c r="N64" s="10">
        <f>L68+'[1]2026 Φεβρουάριος'!N64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2'!F25</f>
        <v/>
      </c>
      <c r="E65" s="15">
        <f>D69/$D$43</f>
        <v/>
      </c>
      <c r="F65" s="10">
        <f>'[1]2026 Φεβρουάριος'!F65+'[1]2026 Μάρτιος'!D65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J69/$J$38</f>
        <v/>
      </c>
      <c r="L65" s="14">
        <f>'[1]2024_60-69 ΕΞΟΔΑ+ΟΜ 2'!F25</f>
        <v/>
      </c>
      <c r="M65" s="15">
        <f>L69/$L$43</f>
        <v/>
      </c>
      <c r="N65" s="10">
        <f>L69+'[1]2026 Φεβρουάριος'!N65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2'!F26</f>
        <v/>
      </c>
      <c r="E66" s="15">
        <f>D70/$D$43</f>
        <v/>
      </c>
      <c r="F66" s="10">
        <f>'[1]2026 Φεβρουάριος'!F66+'[1]2026 Μάρτιος'!D66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J70/$J$38</f>
        <v/>
      </c>
      <c r="L66" s="14">
        <f>'[1]2024_60-69 ΕΞΟΔΑ+ΟΜ 2'!F26</f>
        <v/>
      </c>
      <c r="M66" s="15">
        <f>L70/$L$43</f>
        <v/>
      </c>
      <c r="N66" s="10">
        <f>L70+'[1]2026 Φεβρουάριος'!N66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2'!F27</f>
        <v/>
      </c>
      <c r="E67" s="15">
        <f>D71/$D$43</f>
        <v/>
      </c>
      <c r="F67" s="10">
        <f>'[1]2026 Φεβρουάριος'!F67+'[1]2026 Μάρτιος'!D67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J71/$J$38</f>
        <v/>
      </c>
      <c r="L67" s="14">
        <f>'[1]2024_60-69 ΕΞΟΔΑ+ΟΜ 2'!F27</f>
        <v/>
      </c>
      <c r="M67" s="15">
        <f>L71/$L$43</f>
        <v/>
      </c>
      <c r="N67" s="10">
        <f>L71+'[1]2026 Φεβρουάριος'!N67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2'!F28</f>
        <v/>
      </c>
      <c r="E68" s="15">
        <f>D72/$D$43</f>
        <v/>
      </c>
      <c r="F68" s="10">
        <f>'[1]2026 Φεβρουάριος'!F68+'[1]2026 Μάρτιος'!D68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J72/$J$38</f>
        <v/>
      </c>
      <c r="L68" s="14">
        <f>'[1]2024_60-69 ΕΞΟΔΑ+ΟΜ 2'!F28</f>
        <v/>
      </c>
      <c r="M68" s="15">
        <f>L72/$L$43</f>
        <v/>
      </c>
      <c r="N68" s="10">
        <f>L72+'[1]2026 Φεβρουάριος'!N68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2'!F29</f>
        <v/>
      </c>
      <c r="E69" s="15">
        <f>D73/$D$43</f>
        <v/>
      </c>
      <c r="F69" s="10">
        <f>'[1]2026 Φεβρουάριος'!F69+'[1]2026 Μάρτιος'!D69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J73/$J$38</f>
        <v/>
      </c>
      <c r="L69" s="14">
        <f>'[1]2024_60-69 ΕΞΟΔΑ+ΟΜ 2'!F29</f>
        <v/>
      </c>
      <c r="M69" s="15">
        <f>L73/$L$43</f>
        <v/>
      </c>
      <c r="N69" s="10">
        <f>L73+'[1]2026 Φεβρουάριος'!N69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'[1]2026 Φεβρουάριος'!F70+'[1]2026 Μάρτιος'!D70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J74/$J$38</f>
        <v/>
      </c>
      <c r="L70" s="14">
        <f>'[1]2024_60-69 ΕΞΟΔΑ+ΟΜ 2'!F30</f>
        <v/>
      </c>
      <c r="M70" s="15">
        <f>L74/$L$43</f>
        <v/>
      </c>
      <c r="N70" s="10">
        <f>L74+'[1]2026 Φεβρουάριος'!N70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2'!F31</f>
        <v/>
      </c>
      <c r="E71" s="15">
        <f>D75/$D$43</f>
        <v/>
      </c>
      <c r="F71" s="10">
        <f>'[1]2026 Φεβρουάριος'!F71+'[1]2026 Μάρτιος'!D71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J75/$J$38</f>
        <v/>
      </c>
      <c r="L71" s="14">
        <f>'[1]2024_60-69 ΕΞΟΔΑ+ΟΜ 2'!F31</f>
        <v/>
      </c>
      <c r="M71" s="15">
        <f>L75/$L$43</f>
        <v/>
      </c>
      <c r="N71" s="10">
        <f>L75+'[1]2026 Φεβρουάριος'!N71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2'!F32</f>
        <v/>
      </c>
      <c r="E72" s="15">
        <f>D76/$D$43</f>
        <v/>
      </c>
      <c r="F72" s="10">
        <f>'[1]2026 Φεβρουάριος'!F72+'[1]2026 Μάρτιος'!D72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J76/$J$38</f>
        <v/>
      </c>
      <c r="L72" s="14">
        <f>'[1]2024_60-69 ΕΞΟΔΑ+ΟΜ 2'!F32</f>
        <v/>
      </c>
      <c r="M72" s="15">
        <f>L76/$L$43</f>
        <v/>
      </c>
      <c r="N72" s="10">
        <f>L76+'[1]2026 Φεβρουάριος'!N72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2'!F33</f>
        <v/>
      </c>
      <c r="E73" s="15">
        <f>D77/$D$43</f>
        <v/>
      </c>
      <c r="F73" s="10">
        <f>'[1]2026 Φεβρουάριος'!F73+'[1]2026 Μάρτιος'!D73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J77/$J$38</f>
        <v/>
      </c>
      <c r="L73" s="14">
        <f>'[1]2024_60-69 ΕΞΟΔΑ+ΟΜ 2'!F33</f>
        <v/>
      </c>
      <c r="M73" s="15">
        <f>L77/$L$43</f>
        <v/>
      </c>
      <c r="N73" s="10">
        <f>L77+'[1]2026 Φεβρουάριος'!N73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2'!F3</f>
        <v/>
      </c>
      <c r="E74" s="21" t="n"/>
      <c r="F74" s="7">
        <f>'[1]2026_60-69 ΕΞΟΔΑ+ΟΜ 2'!S3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I38-I43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[1]ΑΝΤΙΣΤΟΙΧΙΣΗ!$F$108</f>
        <v/>
      </c>
      <c r="E78" s="192" t="n"/>
      <c r="F78" s="56" t="n"/>
      <c r="G78" s="61">
        <f>[1]ΑΝΤΙΣΤΟΙΧΙΣΗ!$D$34</f>
        <v/>
      </c>
      <c r="H78" s="180">
        <f>[1]ΑΝΤΙΣΤΟΙΧΙΣΗ!$F$108</f>
        <v/>
      </c>
      <c r="I78" s="192" t="n"/>
      <c r="J78" s="56" t="n"/>
      <c r="K78" s="61">
        <f>[1]ΑΝΤΙΣΤΟΙΧΙΣΗ!$D$34</f>
        <v/>
      </c>
      <c r="L78" s="180">
        <f>[1]ΑΝΤΙΣΤΟΙΧΙΣΗ!$F$122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2'!F39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2'!F37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2'!F40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2'!F38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2'!F43</f>
        <v/>
      </c>
      <c r="E83" s="15">
        <f>D87/$D$84</f>
        <v/>
      </c>
      <c r="F83" s="79">
        <f>'[1]2026 Φεβρουάριος'!F87+'[1]2026 Μάρτιος'!D87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2'!F41</f>
        <v/>
      </c>
      <c r="M83" s="15">
        <f>L87/$L$84</f>
        <v/>
      </c>
      <c r="N83" s="10">
        <f>L87+'[1]2026 Φεβρουάριος'!N87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2'!F44</f>
        <v/>
      </c>
      <c r="E84" s="15">
        <f>D88/$D$84</f>
        <v/>
      </c>
      <c r="F84" s="79">
        <f>'[1]2026 Φεβρουάριος'!F88+'[1]2026 Μάρτιος'!D88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2'!F42</f>
        <v/>
      </c>
      <c r="M84" s="15">
        <f>L88/$L$84</f>
        <v/>
      </c>
      <c r="N84" s="10">
        <f>L88+'[1]2026 Φεβρουάριος'!N88</f>
        <v/>
      </c>
      <c r="O84" s="15">
        <f>N88/$N$84</f>
        <v/>
      </c>
      <c r="P84" s="27" t="n"/>
      <c r="Q84" s="28">
        <f>SUM(D88:P88)</f>
        <v/>
      </c>
    </row>
    <row r="85" ht="37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2'!F45</f>
        <v/>
      </c>
      <c r="E85" s="15">
        <f>D89/$D$84</f>
        <v/>
      </c>
      <c r="F85" s="79">
        <f>'[1]2026 Φεβρουάριος'!F89+'[1]2026 Μάρτιος'!D89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2'!F43</f>
        <v/>
      </c>
      <c r="M85" s="15">
        <f>L89/$L$84</f>
        <v/>
      </c>
      <c r="N85" s="10">
        <f>L89+'[1]2026 Φεβρουάριος'!N89</f>
        <v/>
      </c>
      <c r="O85" s="15">
        <f>N89/$N$84</f>
        <v/>
      </c>
      <c r="P85" s="80" t="n"/>
      <c r="Q85" s="28">
        <f>SUM(D89:P89)</f>
        <v/>
      </c>
    </row>
    <row r="86" ht="37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2'!F46</f>
        <v/>
      </c>
      <c r="E86" s="15">
        <f>D90/$D$84</f>
        <v/>
      </c>
      <c r="F86" s="79">
        <f>'[1]2026 Φεβρουάριος'!F90+'[1]2026 Μάρτιος'!D90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2'!F44</f>
        <v/>
      </c>
      <c r="M86" s="15">
        <f>L90/$L$84</f>
        <v/>
      </c>
      <c r="N86" s="10">
        <f>L90+'[1]2026 Φεβρουάριος'!N90</f>
        <v/>
      </c>
      <c r="O86" s="15">
        <f>N90/$N$84</f>
        <v/>
      </c>
      <c r="P86" s="80" t="n"/>
      <c r="Q86" s="28">
        <f>SUM(D90:P90)</f>
        <v/>
      </c>
    </row>
    <row r="87" ht="37.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2'!F47</f>
        <v/>
      </c>
      <c r="E87" s="15">
        <f>D91/$D$84</f>
        <v/>
      </c>
      <c r="F87" s="79">
        <f>'[1]2026 Φεβρουάριος'!F91+'[1]2026 Μάρτιος'!D91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2'!F45</f>
        <v/>
      </c>
      <c r="M87" s="15">
        <f>L91/$L$84</f>
        <v/>
      </c>
      <c r="N87" s="10">
        <f>L91+'[1]2026 Φεβρουάριος'!N91</f>
        <v/>
      </c>
      <c r="O87" s="15">
        <f>N91/$N$84</f>
        <v/>
      </c>
      <c r="P87" s="80" t="n"/>
      <c r="Q87" s="28">
        <f>SUM(D91:P91)</f>
        <v/>
      </c>
    </row>
    <row r="88" ht="1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2'!F48</f>
        <v/>
      </c>
      <c r="E88" s="15">
        <f>D92/$D$84</f>
        <v/>
      </c>
      <c r="F88" s="79">
        <f>'[1]2026 Φεβρουάριος'!F92+'[1]2026 Μάρτιος'!D92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2'!F46</f>
        <v/>
      </c>
      <c r="M88" s="15">
        <f>L92/$L$84</f>
        <v/>
      </c>
      <c r="N88" s="10">
        <f>L92+'[1]2026 Φεβρουάριος'!N92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2'!F49</f>
        <v/>
      </c>
      <c r="E89" s="15">
        <f>D93/$D$84</f>
        <v/>
      </c>
      <c r="F89" s="79">
        <f>'[1]2026 Φεβρουάριος'!F93+'[1]2026 Μάρτιος'!D93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2'!F47</f>
        <v/>
      </c>
      <c r="M89" s="15">
        <f>L93/$L$84</f>
        <v/>
      </c>
      <c r="N89" s="10">
        <f>L93+'[1]2026 Φεβρουάριος'!N93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2'!F50</f>
        <v/>
      </c>
      <c r="E90" s="15">
        <f>D94/$D$84</f>
        <v/>
      </c>
      <c r="F90" s="79">
        <f>'[1]2026 Φεβρουάριος'!F94+'[1]2026 Μάρτιος'!D94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2'!F48</f>
        <v/>
      </c>
      <c r="M90" s="15">
        <f>L94/$L$84</f>
        <v/>
      </c>
      <c r="N90" s="10">
        <f>L94+'[1]2026 Φεβρουάριος'!N94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2'!F51</f>
        <v/>
      </c>
      <c r="E91" s="15">
        <f>D95/$D$84</f>
        <v/>
      </c>
      <c r="F91" s="79">
        <f>'[1]2026 Φεβρουάριος'!F95+'[1]2026 Μάρτιος'!D95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2'!F49</f>
        <v/>
      </c>
      <c r="M91" s="15">
        <f>L95/$L$84</f>
        <v/>
      </c>
      <c r="N91" s="10">
        <f>L95+'[1]2026 Φεβρουάριος'!N95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2'!F52</f>
        <v/>
      </c>
      <c r="E92" s="15">
        <f>D96/$D$84</f>
        <v/>
      </c>
      <c r="F92" s="79">
        <f>'[1]2026 Φεβρουάριος'!F96+'[1]2026 Μάρτιος'!D96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2'!F50</f>
        <v/>
      </c>
      <c r="M92" s="15">
        <f>L96/$L$84</f>
        <v/>
      </c>
      <c r="N92" s="10">
        <f>L96+'[1]2026 Φεβρουάριος'!N96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2'!F53</f>
        <v/>
      </c>
      <c r="E93" s="15">
        <f>D97/$D$84</f>
        <v/>
      </c>
      <c r="F93" s="79">
        <f>'[1]2026 Φεβρουάριος'!F97+'[1]2026 Μάρτιος'!D97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2'!F51</f>
        <v/>
      </c>
      <c r="M93" s="15">
        <f>L97/$L$84</f>
        <v/>
      </c>
      <c r="N93" s="10">
        <f>L97+'[1]2026 Φεβρουάριος'!N97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2'!F54</f>
        <v/>
      </c>
      <c r="E94" s="15">
        <f>D98/$D$84</f>
        <v/>
      </c>
      <c r="F94" s="79">
        <f>'[1]2026 Φεβρουάριος'!F98+'[1]2026 Μάρτιος'!D98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2'!F52</f>
        <v/>
      </c>
      <c r="M94" s="15">
        <f>L98/$L$84</f>
        <v/>
      </c>
      <c r="N94" s="10">
        <f>L98+'[1]2026 Φεβρουάριος'!N98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2'!F55</f>
        <v/>
      </c>
      <c r="E95" s="15">
        <f>D99/$D$84</f>
        <v/>
      </c>
      <c r="F95" s="79">
        <f>'[1]2026 Φεβρουάριος'!F99+'[1]2026 Μάρτιος'!D99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2'!F53</f>
        <v/>
      </c>
      <c r="M95" s="15">
        <f>L99/$L$84</f>
        <v/>
      </c>
      <c r="N95" s="10">
        <f>L99+'[1]2026 Φεβρουάριος'!N99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2'!F56</f>
        <v/>
      </c>
      <c r="E96" s="15">
        <f>D100/$D$84</f>
        <v/>
      </c>
      <c r="F96" s="79">
        <f>'[1]2026 Φεβρουάριος'!F100+'[1]2026 Μάρτιος'!D100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2'!F54</f>
        <v/>
      </c>
      <c r="M96" s="15">
        <f>L100/$L$84</f>
        <v/>
      </c>
      <c r="N96" s="10">
        <f>L100+'[1]2026 Φεβρουάριος'!N100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2'!F57</f>
        <v/>
      </c>
      <c r="E97" s="15">
        <f>D101/$D$84</f>
        <v/>
      </c>
      <c r="F97" s="79">
        <f>'[1]2026 Φεβρουάριος'!F101+'[1]2026 Μάρτιος'!D101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2'!F55</f>
        <v/>
      </c>
      <c r="M97" s="15">
        <f>L101/$L$84</f>
        <v/>
      </c>
      <c r="N97" s="10">
        <f>L101+'[1]2026 Φεβρουάριος'!N101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2'!F58</f>
        <v/>
      </c>
      <c r="E98" s="15">
        <f>D102/$D$84</f>
        <v/>
      </c>
      <c r="F98" s="79">
        <f>'[1]2026 Φεβρουάριος'!F102+'[1]2026 Μάρτιος'!D102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2'!F56</f>
        <v/>
      </c>
      <c r="M98" s="15">
        <f>L102/$L$84</f>
        <v/>
      </c>
      <c r="N98" s="10">
        <f>L102+'[1]2026 Φεβρουάριος'!N102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2'!F59</f>
        <v/>
      </c>
      <c r="E99" s="15">
        <f>D103/$D$84</f>
        <v/>
      </c>
      <c r="F99" s="79">
        <f>'[1]2026 Φεβρουάριος'!F103+'[1]2026 Μάρτιος'!D103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2'!F57</f>
        <v/>
      </c>
      <c r="M99" s="15">
        <f>L103/$L$84</f>
        <v/>
      </c>
      <c r="N99" s="10">
        <f>L103+'[1]2026 Φεβρουάριος'!N103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2'!F60</f>
        <v/>
      </c>
      <c r="E100" s="15">
        <f>D104/$D$84</f>
        <v/>
      </c>
      <c r="F100" s="79">
        <f>'[1]2026 Φεβρουάριος'!F104+'[1]2026 Μάρτιος'!D104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2'!F58</f>
        <v/>
      </c>
      <c r="M100" s="15">
        <f>L104/$L$84</f>
        <v/>
      </c>
      <c r="N100" s="10">
        <f>L104+'[1]2026 Φεβρουάριος'!N104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2'!F61</f>
        <v/>
      </c>
      <c r="E101" s="15">
        <f>D105/$D$84</f>
        <v/>
      </c>
      <c r="F101" s="79">
        <f>'[1]2026 Φεβρουάριος'!F105+'[1]2026 Μάρτιος'!D105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2'!F59</f>
        <v/>
      </c>
      <c r="M101" s="15">
        <f>L105/$L$84</f>
        <v/>
      </c>
      <c r="N101" s="10">
        <f>L105+'[1]2026 Φεβρουάριος'!N105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2'!F36</f>
        <v/>
      </c>
      <c r="E107" s="8" t="n"/>
      <c r="F107" s="7">
        <f>'[1]2026_60-69 ΕΞΟΔΑ+ΟΜ 2'!S36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[1]ΑΝΤΙΣΤΟΙΧΙΣΗ!$F$108</f>
        <v/>
      </c>
      <c r="E110" s="192" t="n"/>
      <c r="F110" s="56" t="n"/>
      <c r="G110" s="61">
        <f>[1]ΑΝΤΙΣΤΟΙΧΙΣΗ!$D$34</f>
        <v/>
      </c>
      <c r="H110" s="180">
        <f>[1]ΑΝΤΙΣΤΟΙΧΙΣΗ!$F$108</f>
        <v/>
      </c>
      <c r="I110" s="192" t="n"/>
      <c r="J110" s="56" t="n"/>
      <c r="K110" s="61">
        <f>[1]ΑΝΤΙΣΤΟΙΧΙΣΗ!$D$34</f>
        <v/>
      </c>
      <c r="L110" s="180">
        <f>[1]ΑΝΤΙΣΤΟΙΧΙΣΗ!$F$122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'[1]2026_60-69 ΕΞΟΔΑ+ΟΜ 2'!F74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2'!F66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'[1]2026_60-69 ΕΞΟΔΑ+ΟΜ 2'!F75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2'!F67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'[1]2026_60-69 ΕΞΟΔΑ+ΟΜ 2'!F76</f>
        <v/>
      </c>
      <c r="E115" s="15">
        <f>D119/$D$116</f>
        <v/>
      </c>
      <c r="F115" s="10">
        <f>D119+'[1]2026 Φεβρουάριος'!F119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2'!F68</f>
        <v/>
      </c>
      <c r="M115" s="15">
        <f>L119/$L$116</f>
        <v/>
      </c>
      <c r="N115" s="10">
        <f>L119+'[1]2026 Φεβρουάριος'!N119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'[1]2026_60-69 ΕΞΟΔΑ+ΟΜ 2'!F77</f>
        <v/>
      </c>
      <c r="E116" s="15">
        <f>D120/$D$116</f>
        <v/>
      </c>
      <c r="F116" s="10">
        <f>D120+'[1]2026 Φεβρουάριος'!F120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2'!F69</f>
        <v/>
      </c>
      <c r="M116" s="15">
        <f>L120/$L$116</f>
        <v/>
      </c>
      <c r="N116" s="10">
        <f>L120+'[1]2026 Φεβρουάριος'!N120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'[1]2026_60-69 ΕΞΟΔΑ+ΟΜ 2'!F78</f>
        <v/>
      </c>
      <c r="E117" s="15">
        <f>D121/$D$116</f>
        <v/>
      </c>
      <c r="F117" s="10">
        <f>D121+'[1]2026 Φεβρουάριος'!F121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2'!F70</f>
        <v/>
      </c>
      <c r="M117" s="15">
        <f>L121/$L$116</f>
        <v/>
      </c>
      <c r="N117" s="10">
        <f>L121+'[1]2026 Φεβρουάριος'!N121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'[1]2026_60-69 ΕΞΟΔΑ+ΟΜ 2'!F79</f>
        <v/>
      </c>
      <c r="E118" s="15">
        <f>D122/$D$116</f>
        <v/>
      </c>
      <c r="F118" s="10">
        <f>D122+'[1]2026 Φεβρουάριος'!F122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2'!F71</f>
        <v/>
      </c>
      <c r="M118" s="15">
        <f>L122/$L$116</f>
        <v/>
      </c>
      <c r="N118" s="10">
        <f>L122+'[1]2026 Φεβρουάριος'!N122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'[1]2026_60-69 ΕΞΟΔΑ+ΟΜ 2'!F80</f>
        <v/>
      </c>
      <c r="E119" s="15">
        <f>D123/$D$116</f>
        <v/>
      </c>
      <c r="F119" s="10">
        <f>D123+'[1]2026 Φεβρουάριος'!F123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2'!F72</f>
        <v/>
      </c>
      <c r="M119" s="15">
        <f>L123/$L$116</f>
        <v/>
      </c>
      <c r="N119" s="10">
        <f>L123+'[1]2026 Φεβρουάριος'!N123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'[1]2026_60-69 ΕΞΟΔΑ+ΟΜ 2'!F81</f>
        <v/>
      </c>
      <c r="E120" s="15">
        <f>D124/$D$116</f>
        <v/>
      </c>
      <c r="F120" s="10">
        <f>D124+'[1]2026 Φεβρουάριος'!F124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2'!F73</f>
        <v/>
      </c>
      <c r="M120" s="15">
        <f>L124/$L$116</f>
        <v/>
      </c>
      <c r="N120" s="10">
        <f>L124+'[1]2026 Φεβρουάριος'!N124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'[1]2026_60-69 ΕΞΟΔΑ+ΟΜ 2'!F82</f>
        <v/>
      </c>
      <c r="E121" s="15">
        <f>D125/$D$116</f>
        <v/>
      </c>
      <c r="F121" s="10">
        <f>D125+'[1]2026 Φεβρουάριος'!F125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2'!F74</f>
        <v/>
      </c>
      <c r="M121" s="15">
        <f>L125/$L$116</f>
        <v/>
      </c>
      <c r="N121" s="10">
        <f>L125+'[1]2026 Φεβρουάριος'!N125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'[1]2026_60-69 ΕΞΟΔΑ+ΟΜ 2'!F83</f>
        <v/>
      </c>
      <c r="E122" s="15">
        <f>D126/$D$116</f>
        <v/>
      </c>
      <c r="F122" s="10">
        <f>D126+'[1]2026 Φεβρουάριος'!F126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2'!F75</f>
        <v/>
      </c>
      <c r="M122" s="15">
        <f>L126/$L$116</f>
        <v/>
      </c>
      <c r="N122" s="10">
        <f>L126+'[1]2026 Φεβρουάριος'!N126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'[1]2026_60-69 ΕΞΟΔΑ+ΟΜ 2'!F84</f>
        <v/>
      </c>
      <c r="E123" s="15">
        <f>D127/$D$116</f>
        <v/>
      </c>
      <c r="F123" s="10">
        <f>D127+'[1]2026 Φεβρουάριος'!F127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2'!F76</f>
        <v/>
      </c>
      <c r="M123" s="15">
        <f>L127/$L$116</f>
        <v/>
      </c>
      <c r="N123" s="10">
        <f>L127+'[1]2026 Φεβρουάριος'!N127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'[1]2026_60-69 ΕΞΟΔΑ+ΟΜ 2'!F85</f>
        <v/>
      </c>
      <c r="E124" s="15">
        <f>D128/$D$116</f>
        <v/>
      </c>
      <c r="F124" s="10">
        <f>D128+'[1]2026 Φεβρουάριος'!F128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2'!F77</f>
        <v/>
      </c>
      <c r="M124" s="15">
        <f>L128/$L$116</f>
        <v/>
      </c>
      <c r="N124" s="10">
        <f>L128+'[1]2026 Φεβρουάριος'!N128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'[1]2026_60-69 ΕΞΟΔΑ+ΟΜ 2'!F86</f>
        <v/>
      </c>
      <c r="E125" s="15">
        <f>D129/$D$116</f>
        <v/>
      </c>
      <c r="F125" s="10">
        <f>D129+'[1]2026 Φεβρουάριος'!F129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2'!F78</f>
        <v/>
      </c>
      <c r="M125" s="15">
        <f>L129/$L$116</f>
        <v/>
      </c>
      <c r="N125" s="10">
        <f>L129+'[1]2026 Φεβρουάριος'!N129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'[1]2026_60-69 ΕΞΟΔΑ+ΟΜ 2'!F87</f>
        <v/>
      </c>
      <c r="E126" s="15">
        <f>D130/$D$116</f>
        <v/>
      </c>
      <c r="F126" s="10">
        <f>D130+'[1]2026 Φεβρουάριος'!F130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2'!F79</f>
        <v/>
      </c>
      <c r="M126" s="15">
        <f>L130/$L$116</f>
        <v/>
      </c>
      <c r="N126" s="10">
        <f>L130+'[1]2026 Φεβρουάριος'!N130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'[1]2026_60-69 ΕΞΟΔΑ+ΟΜ 2'!F88</f>
        <v/>
      </c>
      <c r="E127" s="15">
        <f>D131/$D$116</f>
        <v/>
      </c>
      <c r="F127" s="10">
        <f>D131+'[1]2026 Φεβρουάριος'!F131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2'!F80</f>
        <v/>
      </c>
      <c r="M127" s="15">
        <f>L131/$L$116</f>
        <v/>
      </c>
      <c r="N127" s="10">
        <f>L131+'[1]2026 Φεβρουάριος'!N131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'[1]2026_60-69 ΕΞΟΔΑ+ΟΜ 2'!F89</f>
        <v/>
      </c>
      <c r="E128" s="15">
        <f>D132/$D$116</f>
        <v/>
      </c>
      <c r="F128" s="10">
        <f>D132+'[1]2026 Φεβρουάριος'!F132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2'!F81</f>
        <v/>
      </c>
      <c r="M128" s="15">
        <f>L132/$L$116</f>
        <v/>
      </c>
      <c r="N128" s="10">
        <f>L132+'[1]2026 Φεβρουάριος'!N132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'[1]2026_60-69 ΕΞΟΔΑ+ΟΜ 2'!F90</f>
        <v/>
      </c>
      <c r="E129" s="15">
        <f>D133/$D$116</f>
        <v/>
      </c>
      <c r="F129" s="10">
        <f>D133+'[1]2026 Φεβρουάριος'!F133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2'!F82</f>
        <v/>
      </c>
      <c r="M129" s="15">
        <f>L133/$L$116</f>
        <v/>
      </c>
      <c r="N129" s="10">
        <f>L133+'[1]2026 Φεβρουάριος'!N133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'[1]2026_60-69 ΕΞΟΔΑ+ΟΜ 2'!F91</f>
        <v/>
      </c>
      <c r="E130" s="15">
        <f>D134/$D$116</f>
        <v/>
      </c>
      <c r="F130" s="10">
        <f>D134+'[1]2026 Φεβρουάριος'!F134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2'!F83</f>
        <v/>
      </c>
      <c r="M130" s="15">
        <f>L134/$L$116</f>
        <v/>
      </c>
      <c r="N130" s="10">
        <f>L134+'[1]2026 Φεβρουάριος'!N134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'[1]2026_60-69 ΕΞΟΔΑ+ΟΜ 2'!F92</f>
        <v/>
      </c>
      <c r="E131" s="15">
        <f>D135/$D$116</f>
        <v/>
      </c>
      <c r="F131" s="10">
        <f>D135+'[1]2026 Φεβρουάριος'!F135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2'!F84</f>
        <v/>
      </c>
      <c r="M131" s="15">
        <f>L135/$L$116</f>
        <v/>
      </c>
      <c r="N131" s="10">
        <f>L135+'[1]2026 Φεβρουάριος'!N135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'[1]2026_60-69 ΕΞΟΔΑ+ΟΜ 2'!F93</f>
        <v/>
      </c>
      <c r="E132" s="15">
        <f>D136/$D$116</f>
        <v/>
      </c>
      <c r="F132" s="10">
        <f>D136+'[1]2026 Φεβρουάριος'!F136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2'!F85</f>
        <v/>
      </c>
      <c r="M132" s="15">
        <f>L136/$L$116</f>
        <v/>
      </c>
      <c r="N132" s="10">
        <f>L136+'[1]2026 Φεβρουάριος'!N136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'[1]2026_60-69 ΕΞΟΔΑ+ΟΜ 2'!F94</f>
        <v/>
      </c>
      <c r="E133" s="15">
        <f>D137/$D$116</f>
        <v/>
      </c>
      <c r="F133" s="10">
        <f>D137+'[1]2026 Φεβρουάριος'!F137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2'!F86</f>
        <v/>
      </c>
      <c r="M133" s="15">
        <f>L137/$L$116</f>
        <v/>
      </c>
      <c r="N133" s="10">
        <f>L137+'[1]2026 Φεβρουάριος'!N137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'[1]2026_60-69 ΕΞΟΔΑ+ΟΜ 2'!F95</f>
        <v/>
      </c>
      <c r="E134" s="15">
        <f>D138/$D$116</f>
        <v/>
      </c>
      <c r="F134" s="10">
        <f>D138+'[1]2026 Φεβρουάριος'!F138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2'!F87</f>
        <v/>
      </c>
      <c r="M134" s="15">
        <f>L138/$L$116</f>
        <v/>
      </c>
      <c r="N134" s="10">
        <f>L138+'[1]2026 Φεβρουάριος'!N138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'[1]2026_60-69 ΕΞΟΔΑ+ΟΜ 2'!F96</f>
        <v/>
      </c>
      <c r="E135" s="15">
        <f>D139/$D$116</f>
        <v/>
      </c>
      <c r="F135" s="10">
        <f>D139+'[1]2026 Φεβρουάριος'!F139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2'!F88</f>
        <v/>
      </c>
      <c r="M135" s="15">
        <f>L139/$L$116</f>
        <v/>
      </c>
      <c r="N135" s="10">
        <f>L139+'[1]2026 Φεβρουάριος'!N139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'[1]2026_60-69 ΕΞΟΔΑ+ΟΜ 2'!F97</f>
        <v/>
      </c>
      <c r="E136" s="15">
        <f>D140/$D$116</f>
        <v/>
      </c>
      <c r="F136" s="10">
        <f>D140+'[1]2026 Φεβρουάριος'!F140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2'!F89</f>
        <v/>
      </c>
      <c r="M136" s="15">
        <f>L140/$L$116</f>
        <v/>
      </c>
      <c r="N136" s="10">
        <f>L140+'[1]2026 Φεβρουάριος'!N140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'[1]2026_60-69 ΕΞΟΔΑ+ΟΜ 2'!F98</f>
        <v/>
      </c>
      <c r="E137" s="15">
        <f>D141/$D$116</f>
        <v/>
      </c>
      <c r="F137" s="10">
        <f>D141+'[1]2026 Φεβρουάριος'!F141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2'!F90</f>
        <v/>
      </c>
      <c r="M137" s="15">
        <f>L141/$L$116</f>
        <v/>
      </c>
      <c r="N137" s="10">
        <f>L141+'[1]2026 Φεβρουάριος'!N141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'[1]2026_60-69 ΕΞΟΔΑ+ΟΜ 2'!F99</f>
        <v/>
      </c>
      <c r="E138" s="15">
        <f>D142/$D$116</f>
        <v/>
      </c>
      <c r="F138" s="10">
        <f>D142+'[1]2026 Φεβρουάριος'!F142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2'!F91</f>
        <v/>
      </c>
      <c r="M138" s="15">
        <f>L142/$L$116</f>
        <v/>
      </c>
      <c r="N138" s="10">
        <f>L142+'[1]2026 Φεβρουάριος'!N142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'[1]2026_60-69 ΕΞΟΔΑ+ΟΜ 2'!F100</f>
        <v/>
      </c>
      <c r="E139" s="15">
        <f>D143/$D$116</f>
        <v/>
      </c>
      <c r="F139" s="10">
        <f>D143+'[1]2026 Φεβρουάριος'!F143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2'!F92</f>
        <v/>
      </c>
      <c r="M139" s="15">
        <f>L143/$L$116</f>
        <v/>
      </c>
      <c r="N139" s="10">
        <f>L143+'[1]2026 Φεβρουάριος'!N143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'[1]2026_60-69 ΕΞΟΔΑ+ΟΜ 2'!F101</f>
        <v/>
      </c>
      <c r="E140" s="15">
        <f>D144/$D$116</f>
        <v/>
      </c>
      <c r="F140" s="10">
        <f>D144+'[1]2026 Φεβρουάριος'!F144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2'!F93</f>
        <v/>
      </c>
      <c r="M140" s="15">
        <f>L144/$L$116</f>
        <v/>
      </c>
      <c r="N140" s="10">
        <f>L144+'[1]2026 Φεβρουάριος'!N144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'[1]2026_60-69 ΕΞΟΔΑ+ΟΜ 2'!F102</f>
        <v/>
      </c>
      <c r="E141" s="15">
        <f>D145/$D$116</f>
        <v/>
      </c>
      <c r="F141" s="10">
        <f>D145+'[1]2026 Φεβρουάριος'!F145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2'!F94</f>
        <v/>
      </c>
      <c r="M141" s="15">
        <f>L145/$L$116</f>
        <v/>
      </c>
      <c r="N141" s="10">
        <f>L145+'[1]2026 Φεβρουάριος'!N145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'[1]2026_60-69 ΕΞΟΔΑ+ΟΜ 2'!F103</f>
        <v/>
      </c>
      <c r="E142" s="15">
        <f>D146/$D$116</f>
        <v/>
      </c>
      <c r="F142" s="10">
        <f>D146+'[1]2026 Φεβρουάριος'!F146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2'!F95</f>
        <v/>
      </c>
      <c r="M142" s="15">
        <f>L146/$L$116</f>
        <v/>
      </c>
      <c r="N142" s="10">
        <f>L146+'[1]2026 Φεβρουάριος'!N146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'[1]2026_60-69 ΕΞΟΔΑ+ΟΜ 2'!F104</f>
        <v/>
      </c>
      <c r="E143" s="15">
        <f>D147/$D$116</f>
        <v/>
      </c>
      <c r="F143" s="10">
        <f>D147+'[1]2026 Φεβρουάριος'!F147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2'!F96</f>
        <v/>
      </c>
      <c r="M143" s="15">
        <f>L147/$L$116</f>
        <v/>
      </c>
      <c r="N143" s="10">
        <f>L147+'[1]2026 Φεβρουάριος'!N147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'[1]2026_60-69 ΕΞΟΔΑ+ΟΜ 2'!F105</f>
        <v/>
      </c>
      <c r="E144" s="15">
        <f>D148/$D$116</f>
        <v/>
      </c>
      <c r="F144" s="10">
        <f>D148+'[1]2026 Φεβρουάριος'!F148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2'!F97</f>
        <v/>
      </c>
      <c r="M144" s="15">
        <f>L148/$L$116</f>
        <v/>
      </c>
      <c r="N144" s="10">
        <f>L148+'[1]2026 Φεβρουάριος'!N148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'[1]2026_60-69 ΕΞΟΔΑ+ΟΜ 2'!F106</f>
        <v/>
      </c>
      <c r="E145" s="15">
        <f>D149/$D$116</f>
        <v/>
      </c>
      <c r="F145" s="10">
        <f>D149+'[1]2026 Φεβρουάριος'!F149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2'!F98</f>
        <v/>
      </c>
      <c r="M145" s="15">
        <f>L149/$L$116</f>
        <v/>
      </c>
      <c r="N145" s="10">
        <f>L149+'[1]2026 Φεβρουάριος'!N149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'[1]2026_60-69 ΕΞΟΔΑ+ΟΜ 2'!F107</f>
        <v/>
      </c>
      <c r="E146" s="15">
        <f>D150/$D$116</f>
        <v/>
      </c>
      <c r="F146" s="10">
        <f>D150+'[1]2026 Φεβρουάριος'!F150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2'!F99</f>
        <v/>
      </c>
      <c r="M146" s="15">
        <f>L150/$L$116</f>
        <v/>
      </c>
      <c r="N146" s="10">
        <f>L150+'[1]2026 Φεβρουάριος'!N150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'[1]2026_60-69 ΕΞΟΔΑ+ΟΜ 2'!F108</f>
        <v/>
      </c>
      <c r="E147" s="15">
        <f>D151/$D$116</f>
        <v/>
      </c>
      <c r="F147" s="10">
        <f>D151+'[1]2026 Φεβρουάριος'!F151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2'!F100</f>
        <v/>
      </c>
      <c r="M147" s="15">
        <f>L151/$L$116</f>
        <v/>
      </c>
      <c r="N147" s="10">
        <f>L151+'[1]2026 Φεβρουάριος'!N151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'[1]2026_60-69 ΕΞΟΔΑ+ΟΜ 2'!F109</f>
        <v/>
      </c>
      <c r="E148" s="15">
        <f>D152/$D$116</f>
        <v/>
      </c>
      <c r="F148" s="10">
        <f>D152+'[1]2026 Φεβρουάριος'!F152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2'!F101</f>
        <v/>
      </c>
      <c r="M148" s="15">
        <f>L152/$L$116</f>
        <v/>
      </c>
      <c r="N148" s="10">
        <f>L152+'[1]2026 Φεβρουάριος'!N152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'[1]2026_60-69 ΕΞΟΔΑ+ΟΜ 2'!F110</f>
        <v/>
      </c>
      <c r="E149" s="15">
        <f>D153/$D$116</f>
        <v/>
      </c>
      <c r="F149" s="10">
        <f>D153+'[1]2026 Φεβρουάριος'!F153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2'!F102</f>
        <v/>
      </c>
      <c r="M149" s="15">
        <f>L153/$L$116</f>
        <v/>
      </c>
      <c r="N149" s="10">
        <f>L153+'[1]2026 Φεβρουάριος'!N153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2'!F73</f>
        <v/>
      </c>
      <c r="E153" s="8" t="n"/>
      <c r="F153" s="7">
        <f>'[1]2026_60-69 ΕΞΟΔΑ+ΟΜ 2'!S73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101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[1]ΑΝΤΙΣΤΟΙΧΙΣΗ!$F$109</f>
        <v/>
      </c>
      <c r="E3" s="192" t="n"/>
      <c r="F3" s="56" t="n"/>
      <c r="G3" s="61">
        <f>[1]ΑΝΤΙΣΤΟΙΧΙΣΗ!$D$34</f>
        <v/>
      </c>
      <c r="H3" s="180">
        <f>[1]ΑΝΤΙΣΤΟΙΧΙΣΗ!$F$109</f>
        <v/>
      </c>
      <c r="I3" s="192" t="n"/>
      <c r="J3" s="56" t="n"/>
      <c r="K3" s="61">
        <f>[1]ΑΝΤΙΣΤΟΙΧΙΣΗ!$D$34</f>
        <v/>
      </c>
      <c r="L3" s="180">
        <f>[1]ΑΝΤΙΣΤΟΙΧΙΣΗ!$F$123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L7+'[1]2026 Μάρτιος'!N7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'[1]2026_ΕΣΟΔΑ'!F2</f>
        <v/>
      </c>
      <c r="E8" s="11">
        <f>D8/$D$7</f>
        <v/>
      </c>
      <c r="F8" s="12">
        <f>D8+'[1]2026 Μάρτιος'!F8</f>
        <v/>
      </c>
      <c r="G8" s="11">
        <f>F8/$F$7</f>
        <v/>
      </c>
      <c r="H8" s="12" t="n"/>
      <c r="I8" s="11">
        <f>H8/$H$7</f>
        <v/>
      </c>
      <c r="J8" s="12">
        <f>H8+'[1]2026 Μάρτιος'!J8</f>
        <v/>
      </c>
      <c r="K8" s="11">
        <f>J8/$J$7</f>
        <v/>
      </c>
      <c r="L8" s="68">
        <f>'[1]2024_60-69 ΕΞΟΔΑ+ΟΜ 2'!F114</f>
        <v/>
      </c>
      <c r="M8" s="11">
        <f>L8/$L$7</f>
        <v/>
      </c>
      <c r="N8" s="12">
        <f>L8+'[1]2026 Μάρτιος'!N8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'[1]2026_ΕΣΟΔΑ'!F3</f>
        <v/>
      </c>
      <c r="E9" s="11">
        <f>D9/$D$7</f>
        <v/>
      </c>
      <c r="F9" s="12">
        <f>D9+'[1]2026 Μάρτιος'!F9</f>
        <v/>
      </c>
      <c r="G9" s="11">
        <f>F9/$F$7</f>
        <v/>
      </c>
      <c r="H9" s="12" t="n"/>
      <c r="I9" s="11">
        <f>H9/$H$7</f>
        <v/>
      </c>
      <c r="J9" s="12">
        <f>H9+'[1]2026 Μάρτιος'!J9</f>
        <v/>
      </c>
      <c r="K9" s="11">
        <f>J9/$J$7</f>
        <v/>
      </c>
      <c r="L9" s="68">
        <f>'[1]2024_60-69 ΕΞΟΔΑ+ΟΜ 2'!F115</f>
        <v/>
      </c>
      <c r="M9" s="11">
        <f>L9/$L$7</f>
        <v/>
      </c>
      <c r="N9" s="12">
        <f>L9+'[1]2026 Μάρτιος'!N9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'[1]2026_ΕΣΟΔΑ'!F4</f>
        <v/>
      </c>
      <c r="E10" s="11">
        <f>D10/$D$7</f>
        <v/>
      </c>
      <c r="F10" s="12">
        <f>D10+'[1]2026 Μάρτιος'!F10</f>
        <v/>
      </c>
      <c r="G10" s="11">
        <f>F10/$F$7</f>
        <v/>
      </c>
      <c r="H10" s="12" t="n"/>
      <c r="I10" s="11">
        <f>H10/$H$7</f>
        <v/>
      </c>
      <c r="J10" s="12">
        <f>H10+'[1]2026 Μάρτιος'!J10</f>
        <v/>
      </c>
      <c r="K10" s="11">
        <f>J10/$J$7</f>
        <v/>
      </c>
      <c r="L10" s="68">
        <f>'[1]2024_60-69 ΕΞΟΔΑ+ΟΜ 2'!F116</f>
        <v/>
      </c>
      <c r="M10" s="11">
        <f>L10/$L$7</f>
        <v/>
      </c>
      <c r="N10" s="12">
        <f>L10+'[1]2026 Μάρτιος'!N10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'[1]2026_ΕΣΟΔΑ'!F5</f>
        <v/>
      </c>
      <c r="E11" s="11">
        <f>D11/$D$7</f>
        <v/>
      </c>
      <c r="F11" s="12">
        <f>D11+'[1]2026 Μάρτιος'!F11</f>
        <v/>
      </c>
      <c r="G11" s="11">
        <f>F11/$F$7</f>
        <v/>
      </c>
      <c r="H11" s="12" t="n"/>
      <c r="I11" s="11">
        <f>H11/$H$7</f>
        <v/>
      </c>
      <c r="J11" s="12">
        <f>H11+'[1]2026 Μάρτιος'!J11</f>
        <v/>
      </c>
      <c r="K11" s="11">
        <f>J11/$J$7</f>
        <v/>
      </c>
      <c r="L11" s="68">
        <f>'[1]2024_60-69 ΕΞΟΔΑ+ΟΜ 2'!F117</f>
        <v/>
      </c>
      <c r="M11" s="11">
        <f>L11/$L$7</f>
        <v/>
      </c>
      <c r="N11" s="12">
        <f>L11+'[1]2026 Μάρτιος'!N11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'[1]2026_ΕΣΟΔΑ'!F6</f>
        <v/>
      </c>
      <c r="E12" s="11">
        <f>D12/$D$7</f>
        <v/>
      </c>
      <c r="F12" s="12">
        <f>D12+'[1]2026 Μάρτιος'!F12</f>
        <v/>
      </c>
      <c r="G12" s="11">
        <f>F12/$F$7</f>
        <v/>
      </c>
      <c r="H12" s="12" t="n"/>
      <c r="I12" s="11">
        <f>H12/$H$7</f>
        <v/>
      </c>
      <c r="J12" s="12">
        <f>H12+'[1]2026 Μάρτιος'!J12</f>
        <v/>
      </c>
      <c r="K12" s="11">
        <f>J12/$J$7</f>
        <v/>
      </c>
      <c r="L12" s="68">
        <f>'[1]2024_60-69 ΕΞΟΔΑ+ΟΜ 2'!F118</f>
        <v/>
      </c>
      <c r="M12" s="11">
        <f>L12/$L$7</f>
        <v/>
      </c>
      <c r="N12" s="12">
        <f>L12+'[1]2026 Μάρτιος'!N12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'[1]2026_ΕΣΟΔΑ'!F7</f>
        <v/>
      </c>
      <c r="E13" s="11">
        <f>D13/$D$7</f>
        <v/>
      </c>
      <c r="F13" s="12">
        <f>D13+'[1]2026 Μάρτιος'!F13</f>
        <v/>
      </c>
      <c r="G13" s="11">
        <f>F13/$F$7</f>
        <v/>
      </c>
      <c r="H13" s="12" t="n"/>
      <c r="I13" s="11">
        <f>H13/$H$7</f>
        <v/>
      </c>
      <c r="J13" s="12">
        <f>H13+'[1]2026 Μάρτιος'!J13</f>
        <v/>
      </c>
      <c r="K13" s="11">
        <f>J13/$J$7</f>
        <v/>
      </c>
      <c r="L13" s="68">
        <f>'[1]2024_60-69 ΕΞΟΔΑ+ΟΜ 2'!F119</f>
        <v/>
      </c>
      <c r="M13" s="11">
        <f>L13/$L$7</f>
        <v/>
      </c>
      <c r="N13" s="12">
        <f>L13+'[1]2026 Μάρτιος'!N13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'[1]2026_ΕΣΟΔΑ'!F8</f>
        <v/>
      </c>
      <c r="E14" s="11">
        <f>D14/$D$7</f>
        <v/>
      </c>
      <c r="F14" s="12">
        <f>D14+'[1]2026 Μάρτιος'!F14</f>
        <v/>
      </c>
      <c r="G14" s="11">
        <f>F14/$F$7</f>
        <v/>
      </c>
      <c r="H14" s="12" t="n"/>
      <c r="I14" s="11">
        <f>H14/$H$7</f>
        <v/>
      </c>
      <c r="J14" s="12">
        <f>H14+'[1]2026 Μάρτιος'!J14</f>
        <v/>
      </c>
      <c r="K14" s="11">
        <f>J14/$J$7</f>
        <v/>
      </c>
      <c r="L14" s="68">
        <f>'[1]2024_60-69 ΕΞΟΔΑ+ΟΜ 2'!F120</f>
        <v/>
      </c>
      <c r="M14" s="11">
        <f>L14/$L$7</f>
        <v/>
      </c>
      <c r="N14" s="12">
        <f>L14+'[1]2026 Μάρτιος'!N14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'[1]2026_ΕΣΟΔΑ'!F9</f>
        <v/>
      </c>
      <c r="E15" s="11">
        <f>D15/$D$7</f>
        <v/>
      </c>
      <c r="F15" s="12">
        <f>D15+'[1]2026 Μάρτιος'!F15</f>
        <v/>
      </c>
      <c r="G15" s="11">
        <f>F15/$F$7</f>
        <v/>
      </c>
      <c r="H15" s="12" t="n"/>
      <c r="I15" s="11">
        <f>H15/$H$7</f>
        <v/>
      </c>
      <c r="J15" s="12">
        <f>H15+'[1]2026 Μάρτιος'!J15</f>
        <v/>
      </c>
      <c r="K15" s="11">
        <f>J15/$J$7</f>
        <v/>
      </c>
      <c r="L15" s="68">
        <f>'[1]2024_60-69 ΕΞΟΔΑ+ΟΜ 2'!F121</f>
        <v/>
      </c>
      <c r="M15" s="11">
        <f>L15/$L$7</f>
        <v/>
      </c>
      <c r="N15" s="12">
        <f>L15+'[1]2026 Μάρτιος'!N15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'[1]2026_ΕΣΟΔΑ'!F10</f>
        <v/>
      </c>
      <c r="E16" s="11">
        <f>D16/$D$7</f>
        <v/>
      </c>
      <c r="F16" s="12">
        <f>D16+'[1]2026 Μάρτιος'!F16</f>
        <v/>
      </c>
      <c r="G16" s="11">
        <f>F16/$F$7</f>
        <v/>
      </c>
      <c r="H16" s="12" t="n"/>
      <c r="I16" s="11">
        <f>H16/$H$7</f>
        <v/>
      </c>
      <c r="J16" s="12">
        <f>H16+'[1]2026 Μάρτιος'!J16</f>
        <v/>
      </c>
      <c r="K16" s="11">
        <f>J16/$J$7</f>
        <v/>
      </c>
      <c r="L16" s="68">
        <f>'[1]2024_60-69 ΕΞΟΔΑ+ΟΜ 2'!F122</f>
        <v/>
      </c>
      <c r="M16" s="11">
        <f>L16/$L$7</f>
        <v/>
      </c>
      <c r="N16" s="12">
        <f>L16+'[1]2026 Μάρτιος'!N16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'[1]2026_ΕΣΟΔΑ'!F11</f>
        <v/>
      </c>
      <c r="E17" s="11">
        <f>D17/$D$7</f>
        <v/>
      </c>
      <c r="F17" s="12">
        <f>D17+'[1]2026 Μάρτιος'!F17</f>
        <v/>
      </c>
      <c r="G17" s="11">
        <f>F17/$F$7</f>
        <v/>
      </c>
      <c r="H17" s="12" t="n"/>
      <c r="I17" s="11">
        <f>H17/$H$7</f>
        <v/>
      </c>
      <c r="J17" s="12">
        <f>H17+'[1]2026 Μάρτιος'!J17</f>
        <v/>
      </c>
      <c r="K17" s="11">
        <f>J17/$J$7</f>
        <v/>
      </c>
      <c r="L17" s="68">
        <f>'[1]2024_60-69 ΕΞΟΔΑ+ΟΜ 2'!F123</f>
        <v/>
      </c>
      <c r="M17" s="11">
        <f>L17/$L$7</f>
        <v/>
      </c>
      <c r="N17" s="12">
        <f>L17+'[1]2026 Μάρτιος'!N17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'[1]2026_ΕΣΟΔΑ'!F12</f>
        <v/>
      </c>
      <c r="E18" s="11">
        <f>D18/$D$7</f>
        <v/>
      </c>
      <c r="F18" s="12">
        <f>D18+'[1]2026 Μάρτιος'!F18</f>
        <v/>
      </c>
      <c r="G18" s="11">
        <f>F18/$F$7</f>
        <v/>
      </c>
      <c r="H18" s="12" t="n"/>
      <c r="I18" s="11">
        <f>H18/$H$7</f>
        <v/>
      </c>
      <c r="J18" s="12">
        <f>H18+'[1]2026 Μάρτιος'!J18</f>
        <v/>
      </c>
      <c r="K18" s="11">
        <f>J18/$J$7</f>
        <v/>
      </c>
      <c r="L18" s="68">
        <f>'[1]2024_60-69 ΕΞΟΔΑ+ΟΜ 2'!F124</f>
        <v/>
      </c>
      <c r="M18" s="11">
        <f>L18/$L$7</f>
        <v/>
      </c>
      <c r="N18" s="12">
        <f>L18+'[1]2026 Μάρτιος'!N18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'[1]2026_ΕΣΟΔΑ'!F13</f>
        <v/>
      </c>
      <c r="E19" s="11">
        <f>D19/$D$7</f>
        <v/>
      </c>
      <c r="F19" s="12">
        <f>D19+'[1]2026 Μάρτιος'!F19</f>
        <v/>
      </c>
      <c r="G19" s="11">
        <f>F19/$F$7</f>
        <v/>
      </c>
      <c r="H19" s="12" t="n"/>
      <c r="I19" s="11">
        <f>H19/$H$7</f>
        <v/>
      </c>
      <c r="J19" s="12">
        <f>H19+'[1]2026 Μάρτιος'!J19</f>
        <v/>
      </c>
      <c r="K19" s="11">
        <f>J19/$J$7</f>
        <v/>
      </c>
      <c r="L19" s="68">
        <f>'[1]2024_60-69 ΕΞΟΔΑ+ΟΜ 2'!F125</f>
        <v/>
      </c>
      <c r="M19" s="11">
        <f>L19/$L$7</f>
        <v/>
      </c>
      <c r="N19" s="12">
        <f>L19+'[1]2026 Μάρτιος'!N19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'[1]2026_ΕΣΟΔΑ'!F14</f>
        <v/>
      </c>
      <c r="E20" s="11">
        <f>D20/$D$7</f>
        <v/>
      </c>
      <c r="F20" s="12">
        <f>D20+'[1]2026 Μάρτιος'!F20</f>
        <v/>
      </c>
      <c r="G20" s="11">
        <f>F20/$F$7</f>
        <v/>
      </c>
      <c r="H20" s="12" t="n"/>
      <c r="I20" s="11">
        <f>H20/$H$7</f>
        <v/>
      </c>
      <c r="J20" s="12">
        <f>H20+'[1]2026 Μάρτιος'!J20</f>
        <v/>
      </c>
      <c r="K20" s="11">
        <f>J20/$J$7</f>
        <v/>
      </c>
      <c r="L20" s="68">
        <f>'[1]2024_60-69 ΕΞΟΔΑ+ΟΜ 2'!F126</f>
        <v/>
      </c>
      <c r="M20" s="11">
        <f>L20/$L$7</f>
        <v/>
      </c>
      <c r="N20" s="12">
        <f>L20+'[1]2026 Μάρτιος'!N20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'[1]2026_ΕΣΟΔΑ'!F15</f>
        <v/>
      </c>
      <c r="E21" s="11">
        <f>D21/$D$7</f>
        <v/>
      </c>
      <c r="F21" s="12">
        <f>D21+'[1]2026 Μάρτιος'!F21</f>
        <v/>
      </c>
      <c r="G21" s="11">
        <f>F21/$F$7</f>
        <v/>
      </c>
      <c r="H21" s="12" t="n"/>
      <c r="I21" s="11">
        <f>H21/$H$7</f>
        <v/>
      </c>
      <c r="J21" s="12">
        <f>H21+'[1]2026 Μάρτιος'!J21</f>
        <v/>
      </c>
      <c r="K21" s="11">
        <f>J21/$J$7</f>
        <v/>
      </c>
      <c r="L21" s="68">
        <f>'[1]2024_60-69 ΕΞΟΔΑ+ΟΜ 2'!F127</f>
        <v/>
      </c>
      <c r="M21" s="11">
        <f>L21/$L$7</f>
        <v/>
      </c>
      <c r="N21" s="12">
        <f>L21+'[1]2026 Μάρτιος'!N21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'[1]2026_ΕΣΟΔΑ'!F16</f>
        <v/>
      </c>
      <c r="E22" s="11">
        <f>D22/$D$7</f>
        <v/>
      </c>
      <c r="F22" s="12">
        <f>D22+'[1]2026 Μάρτιος'!F22</f>
        <v/>
      </c>
      <c r="G22" s="11">
        <f>F22/$F$7</f>
        <v/>
      </c>
      <c r="H22" s="12" t="n"/>
      <c r="I22" s="11">
        <f>H22/$H$7</f>
        <v/>
      </c>
      <c r="J22" s="12">
        <f>H22+'[1]2026 Μάρτιος'!J22</f>
        <v/>
      </c>
      <c r="K22" s="11">
        <f>J22/$J$7</f>
        <v/>
      </c>
      <c r="L22" s="68">
        <f>'[1]2024_60-69 ΕΞΟΔΑ+ΟΜ 2'!F128</f>
        <v/>
      </c>
      <c r="M22" s="11">
        <f>L22/$L$7</f>
        <v/>
      </c>
      <c r="N22" s="12">
        <f>L22+'[1]2026 Μάρτιος'!N22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'[1]2026_ΕΣΟΔΑ'!F17</f>
        <v/>
      </c>
      <c r="E23" s="11">
        <f>D23/$D$7</f>
        <v/>
      </c>
      <c r="F23" s="12">
        <f>D23+'[1]2026 Μάρτιος'!F23</f>
        <v/>
      </c>
      <c r="G23" s="11">
        <f>F23/$F$7</f>
        <v/>
      </c>
      <c r="H23" s="12" t="n"/>
      <c r="I23" s="11">
        <f>H23/$H$7</f>
        <v/>
      </c>
      <c r="J23" s="12">
        <f>H23+'[1]2026 Μάρτιος'!J23</f>
        <v/>
      </c>
      <c r="K23" s="11">
        <f>J23/$J$7</f>
        <v/>
      </c>
      <c r="L23" s="68">
        <f>'[1]2024_60-69 ΕΞΟΔΑ+ΟΜ 2'!F129</f>
        <v/>
      </c>
      <c r="M23" s="11">
        <f>L23/$L$7</f>
        <v/>
      </c>
      <c r="N23" s="12">
        <f>L23+'[1]2026 Μάρτιος'!N23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'[1]2026_ΕΣΟΔΑ'!F18</f>
        <v/>
      </c>
      <c r="E24" s="11">
        <f>D24/$D$7</f>
        <v/>
      </c>
      <c r="F24" s="12">
        <f>D24+'[1]2026 Μάρτιος'!F24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Μάρτιος'!J24</f>
        <v/>
      </c>
      <c r="K24" s="11">
        <f>J24/$J$7</f>
        <v/>
      </c>
      <c r="L24" s="68">
        <f>'[1]2024_60-69 ΕΞΟΔΑ+ΟΜ 2'!F130</f>
        <v/>
      </c>
      <c r="M24" s="11">
        <f>L24/$L$7</f>
        <v/>
      </c>
      <c r="N24" s="12">
        <f>L24+'[1]2026 Μάρτιος'!N24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'[1]2026_ΕΣΟΔΑ'!F19</f>
        <v/>
      </c>
      <c r="E25" s="11">
        <f>D25/$D$7</f>
        <v/>
      </c>
      <c r="F25" s="12">
        <f>D25+'[1]2026 Μάρτιος'!F25</f>
        <v/>
      </c>
      <c r="G25" s="11">
        <f>F25/$F$7</f>
        <v/>
      </c>
      <c r="H25" s="12" t="n"/>
      <c r="I25" s="11">
        <f>H25/$H$7</f>
        <v/>
      </c>
      <c r="J25" s="12">
        <f>H25+'[1]2026 Μάρτιος'!J25</f>
        <v/>
      </c>
      <c r="K25" s="11">
        <f>J25/$J$7</f>
        <v/>
      </c>
      <c r="L25" s="68">
        <f>'[1]2024_60-69 ΕΞΟΔΑ+ΟΜ 2'!F131</f>
        <v/>
      </c>
      <c r="M25" s="11">
        <f>L25/$L$7</f>
        <v/>
      </c>
      <c r="N25" s="12">
        <f>L25+'[1]2026 Μάρτιος'!N25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'[1]2026_ΕΣΟΔΑ'!F20</f>
        <v/>
      </c>
      <c r="E26" s="11">
        <f>D26/$D$7</f>
        <v/>
      </c>
      <c r="F26" s="12">
        <f>D26+'[1]2026 Μάρτιος'!F26</f>
        <v/>
      </c>
      <c r="G26" s="11">
        <f>F26/$F$7</f>
        <v/>
      </c>
      <c r="H26" s="12" t="n"/>
      <c r="I26" s="11">
        <f>H26/$H$7</f>
        <v/>
      </c>
      <c r="J26" s="12">
        <f>H26+'[1]2026 Μάρτιος'!J26</f>
        <v/>
      </c>
      <c r="K26" s="11">
        <f>J26/$J$7</f>
        <v/>
      </c>
      <c r="L26" s="68">
        <f>'[1]2024_60-69 ΕΞΟΔΑ+ΟΜ 2'!F132</f>
        <v/>
      </c>
      <c r="M26" s="11">
        <f>L26/$L$7</f>
        <v/>
      </c>
      <c r="N26" s="12">
        <f>L26+'[1]2026 Μάρτιος'!N26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'[1]2026_ΕΣΟΔΑ'!F21</f>
        <v/>
      </c>
      <c r="E27" s="11">
        <f>D27/$D$7</f>
        <v/>
      </c>
      <c r="F27" s="12">
        <f>D27+'[1]2026 Μάρτιος'!F27</f>
        <v/>
      </c>
      <c r="G27" s="11">
        <f>F27/$F$7</f>
        <v/>
      </c>
      <c r="H27" s="12" t="n"/>
      <c r="I27" s="11">
        <f>H27/$H$7</f>
        <v/>
      </c>
      <c r="J27" s="12">
        <f>H27+'[1]2026 Μάρτιος'!J27</f>
        <v/>
      </c>
      <c r="K27" s="11">
        <f>J27/$J$7</f>
        <v/>
      </c>
      <c r="L27" s="68">
        <f>'[1]2024_60-69 ΕΞΟΔΑ+ΟΜ 2'!F133</f>
        <v/>
      </c>
      <c r="M27" s="11">
        <f>L27/$L$7</f>
        <v/>
      </c>
      <c r="N27" s="12">
        <f>L27+'[1]2026 Μάρτιος'!N27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'[1]2026_ΕΣΟΔΑ'!F22</f>
        <v/>
      </c>
      <c r="E28" s="11">
        <f>D28/$D$7</f>
        <v/>
      </c>
      <c r="F28" s="12">
        <f>D28+'[1]2026 Μάρτιος'!F28</f>
        <v/>
      </c>
      <c r="G28" s="11">
        <f>F28/$F$7</f>
        <v/>
      </c>
      <c r="H28" s="12" t="n"/>
      <c r="I28" s="11">
        <f>H28/$H$7</f>
        <v/>
      </c>
      <c r="J28" s="12">
        <f>H28+'[1]2026 Μάρτιος'!J28</f>
        <v/>
      </c>
      <c r="K28" s="11">
        <f>J28/$J$7</f>
        <v/>
      </c>
      <c r="L28" s="68">
        <f>'[1]2024_60-69 ΕΞΟΔΑ+ΟΜ 2'!F134</f>
        <v/>
      </c>
      <c r="M28" s="11">
        <f>L28/$L$7</f>
        <v/>
      </c>
      <c r="N28" s="12">
        <f>L28+'[1]2026 Μάρτιος'!N28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'[1]2026_ΕΣΟΔΑ'!F23</f>
        <v/>
      </c>
      <c r="E29" s="11">
        <f>D29/$D$7</f>
        <v/>
      </c>
      <c r="F29" s="12">
        <f>D29+'[1]2026 Μάρτιος'!F29</f>
        <v/>
      </c>
      <c r="G29" s="11">
        <f>F29/$F$7</f>
        <v/>
      </c>
      <c r="H29" s="12" t="n"/>
      <c r="I29" s="11">
        <f>H29/$H$7</f>
        <v/>
      </c>
      <c r="J29" s="12">
        <f>H29+'[1]2026 Μάρτιος'!J29</f>
        <v/>
      </c>
      <c r="K29" s="11">
        <f>J29/$J$7</f>
        <v/>
      </c>
      <c r="L29" s="68">
        <f>'[1]2024_60-69 ΕΞΟΔΑ+ΟΜ 2'!F135</f>
        <v/>
      </c>
      <c r="M29" s="11">
        <f>L29/$L$7</f>
        <v/>
      </c>
      <c r="N29" s="12">
        <f>L29+'[1]2026 Μάρτιος'!N29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'[1]2026_ΕΣΟΔΑ'!F24</f>
        <v/>
      </c>
      <c r="E30" s="11">
        <f>D30/$D$7</f>
        <v/>
      </c>
      <c r="F30" s="12">
        <f>D30+'[1]2026 Μάρτιος'!F30</f>
        <v/>
      </c>
      <c r="G30" s="11">
        <f>F30/$F$7</f>
        <v/>
      </c>
      <c r="H30" s="12" t="n"/>
      <c r="I30" s="11">
        <f>H30/$H$7</f>
        <v/>
      </c>
      <c r="J30" s="12">
        <f>H30+'[1]2026 Μάρτιος'!J30</f>
        <v/>
      </c>
      <c r="K30" s="11">
        <f>J30/$J$7</f>
        <v/>
      </c>
      <c r="L30" s="68">
        <f>'[1]2024_60-69 ΕΞΟΔΑ+ΟΜ 2'!F136</f>
        <v/>
      </c>
      <c r="M30" s="11">
        <f>L30/$L$7</f>
        <v/>
      </c>
      <c r="N30" s="12">
        <f>L30+'[1]2026 Μάρτιος'!N30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'[1]2026_ΕΣΟΔΑ'!F25</f>
        <v/>
      </c>
      <c r="E31" s="11">
        <f>D31/$D$7</f>
        <v/>
      </c>
      <c r="F31" s="12">
        <f>D31+'[1]2026 Μάρτιος'!F31</f>
        <v/>
      </c>
      <c r="G31" s="11">
        <f>F31/$F$7</f>
        <v/>
      </c>
      <c r="H31" s="12" t="n"/>
      <c r="I31" s="11">
        <f>H31/$H$7</f>
        <v/>
      </c>
      <c r="J31" s="12">
        <f>H31+'[1]2026 Μάρτιος'!J31</f>
        <v/>
      </c>
      <c r="K31" s="11">
        <f>J31/$J$7</f>
        <v/>
      </c>
      <c r="L31" s="68">
        <f>'[1]2024_60-69 ΕΞΟΔΑ+ΟΜ 2'!F137</f>
        <v/>
      </c>
      <c r="M31" s="11">
        <f>L31/$L$7</f>
        <v/>
      </c>
      <c r="N31" s="12">
        <f>L31+'[1]2026 Μάρτιος'!N31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'[1]2026_ΕΣΟΔΑ'!F26</f>
        <v/>
      </c>
      <c r="E32" s="11">
        <f>D32/$D$7</f>
        <v/>
      </c>
      <c r="F32" s="12">
        <f>D32+'[1]2026 Μάρτιος'!F32</f>
        <v/>
      </c>
      <c r="G32" s="11">
        <f>F32/$F$7</f>
        <v/>
      </c>
      <c r="H32" s="12" t="n"/>
      <c r="I32" s="11">
        <f>H32/$H$7</f>
        <v/>
      </c>
      <c r="J32" s="12">
        <f>H32+'[1]2026 Μάρτιος'!J32</f>
        <v/>
      </c>
      <c r="K32" s="11">
        <f>J32/$J$7</f>
        <v/>
      </c>
      <c r="L32" s="68">
        <f>'[1]2024_60-69 ΕΞΟΔΑ+ΟΜ 2'!F138</f>
        <v/>
      </c>
      <c r="M32" s="11">
        <f>L32/$L$7</f>
        <v/>
      </c>
      <c r="N32" s="12">
        <f>L32+'[1]2026 Μάρτιος'!N32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'[1]2026_ΕΣΟΔΑ'!F27</f>
        <v/>
      </c>
      <c r="E33" s="11">
        <f>D33/$D$7</f>
        <v/>
      </c>
      <c r="F33" s="12">
        <f>D33+'[1]2026 Μάρτιος'!F33</f>
        <v/>
      </c>
      <c r="G33" s="11">
        <f>F33/$F$7</f>
        <v/>
      </c>
      <c r="H33" s="12" t="n"/>
      <c r="I33" s="11">
        <f>H33/$H$7</f>
        <v/>
      </c>
      <c r="J33" s="12">
        <f>H33+'[1]2026 Μάρτιος'!J33</f>
        <v/>
      </c>
      <c r="K33" s="11">
        <f>J33/$J$7</f>
        <v/>
      </c>
      <c r="L33" s="68">
        <f>'[1]2024_60-69 ΕΞΟΔΑ+ΟΜ 2'!F139</f>
        <v/>
      </c>
      <c r="M33" s="11">
        <f>L33/$L$7</f>
        <v/>
      </c>
      <c r="N33" s="12">
        <f>L33+'[1]2026 Μάρτιος'!N33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'[1]2026_ΕΣΟΔΑ'!F28</f>
        <v/>
      </c>
      <c r="E34" s="11">
        <f>D34/$D$7</f>
        <v/>
      </c>
      <c r="F34" s="12">
        <f>D34+'[1]2026 Μάρτιος'!F34</f>
        <v/>
      </c>
      <c r="G34" s="11">
        <f>F34/$F$7</f>
        <v/>
      </c>
      <c r="H34" s="12" t="n"/>
      <c r="I34" s="11">
        <f>H34/$H$7</f>
        <v/>
      </c>
      <c r="J34" s="12">
        <f>H34+'[1]2026 Μάρτιος'!J34</f>
        <v/>
      </c>
      <c r="K34" s="11">
        <f>J34/$J$7</f>
        <v/>
      </c>
      <c r="L34" s="68">
        <f>'[1]2024_60-69 ΕΞΟΔΑ+ΟΜ 2'!F140</f>
        <v/>
      </c>
      <c r="M34" s="11">
        <f>L34/$L$7</f>
        <v/>
      </c>
      <c r="N34" s="12">
        <f>L34+'[1]2026 Μάρτιος'!N34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'[1]2026_ΕΣΟΔΑ'!F29</f>
        <v/>
      </c>
      <c r="E35" s="11">
        <f>D35/$D$7</f>
        <v/>
      </c>
      <c r="F35" s="12">
        <f>D35+'[1]2026 Μάρτιος'!F35</f>
        <v/>
      </c>
      <c r="G35" s="11">
        <f>F35/$F$7</f>
        <v/>
      </c>
      <c r="H35" s="12" t="n"/>
      <c r="I35" s="11">
        <f>H35/$H$7</f>
        <v/>
      </c>
      <c r="J35" s="12">
        <f>H35+'[1]2026 Μάρτιος'!J35</f>
        <v/>
      </c>
      <c r="K35" s="11">
        <f>J35/$J$7</f>
        <v/>
      </c>
      <c r="L35" s="68">
        <f>'[1]2024_60-69 ΕΞΟΔΑ+ΟΜ 2'!F141</f>
        <v/>
      </c>
      <c r="M35" s="11">
        <f>L35/$L$7</f>
        <v/>
      </c>
      <c r="N35" s="12">
        <f>L35+'[1]2026 Μάρτιος'!N35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'[1]2026_ΕΣΟΔΑ'!F30</f>
        <v/>
      </c>
      <c r="E36" s="11">
        <f>D36/$D$7</f>
        <v/>
      </c>
      <c r="F36" s="12">
        <f>D36+'[1]2026 Μάρτιος'!F36</f>
        <v/>
      </c>
      <c r="G36" s="11">
        <f>F36/$F$7</f>
        <v/>
      </c>
      <c r="H36" s="12" t="n"/>
      <c r="I36" s="11">
        <f>H36/$H$7</f>
        <v/>
      </c>
      <c r="J36" s="12">
        <f>H36+'[1]2026 Μάρτιος'!J36</f>
        <v/>
      </c>
      <c r="K36" s="11">
        <f>J36/$J$7</f>
        <v/>
      </c>
      <c r="L36" s="68">
        <f>'[1]2024_60-69 ΕΞΟΔΑ+ΟΜ 2'!F142</f>
        <v/>
      </c>
      <c r="M36" s="11">
        <f>L36/$L$7</f>
        <v/>
      </c>
      <c r="N36" s="12">
        <f>L36+'[1]2026 Μάρτιος'!N36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'[1]2026_ΕΣΟΔΑ'!F31</f>
        <v/>
      </c>
      <c r="E37" s="11">
        <f>D37/$D$7</f>
        <v/>
      </c>
      <c r="F37" s="12">
        <f>D37+'[1]2026 Μάρτιος'!F37</f>
        <v/>
      </c>
      <c r="G37" s="11">
        <f>F37/$F$7</f>
        <v/>
      </c>
      <c r="H37" s="12" t="n"/>
      <c r="I37" s="11">
        <f>H37/$H$7</f>
        <v/>
      </c>
      <c r="J37" s="12">
        <f>H37+'[1]2026 Μάρτιος'!J37</f>
        <v/>
      </c>
      <c r="K37" s="11">
        <f>J37/$J$7</f>
        <v/>
      </c>
      <c r="L37" s="68">
        <f>'[1]2024_60-69 ΕΞΟΔΑ+ΟΜ 2'!F143</f>
        <v/>
      </c>
      <c r="M37" s="11">
        <f>L37/$L$7</f>
        <v/>
      </c>
      <c r="N37" s="12">
        <f>L37+'[1]2026 Μάρτιος'!N37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'[1]2026_ΕΣΟΔΑ'!F32</f>
        <v/>
      </c>
      <c r="E38" s="8" t="n"/>
      <c r="F38" s="7">
        <f>'[1]2026_ΕΣΟΔΑ'!F34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[1]ΑΝΤΙΣΤΟΙΧΙΣΗ!$F$109</f>
        <v/>
      </c>
      <c r="E41" s="192" t="n"/>
      <c r="F41" s="56" t="n"/>
      <c r="G41" s="61">
        <f>[1]ΑΝΤΙΣΤΟΙΧΙΣΗ!$D$34</f>
        <v/>
      </c>
      <c r="H41" s="180">
        <f>[1]ΑΝΤΙΣΤΟΙΧΙΣΗ!$F$109</f>
        <v/>
      </c>
      <c r="I41" s="192" t="n"/>
      <c r="J41" s="56" t="n"/>
      <c r="K41" s="61">
        <f>[1]ΑΝΤΙΣΤΟΙΧΙΣΗ!$D$34</f>
        <v/>
      </c>
      <c r="L41" s="180">
        <f>[1]ΑΝΤΙΣΤΟΙΧΙΣΗ!$F$123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1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2'!G4</f>
        <v/>
      </c>
      <c r="E44" s="15">
        <f>D44/$D$43</f>
        <v/>
      </c>
      <c r="F44" s="10">
        <f>D44+'[1]2026 Μάρτιος'!F44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2'!G4</f>
        <v/>
      </c>
      <c r="M44" s="15">
        <f>L44/$L$43</f>
        <v/>
      </c>
      <c r="N44" s="10">
        <f>L44+'[1]2026 Μάρτιος'!N44</f>
        <v/>
      </c>
      <c r="O44" s="15">
        <f>N44/$N$43</f>
        <v/>
      </c>
      <c r="P44" s="10" t="n"/>
      <c r="Q44" s="15" t="n"/>
    </row>
    <row r="45" ht="1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2'!G5</f>
        <v/>
      </c>
      <c r="E45" s="15">
        <f>D45/$D$43</f>
        <v/>
      </c>
      <c r="F45" s="10">
        <f>D45+'[1]2026 Μάρτιος'!F45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2'!G5</f>
        <v/>
      </c>
      <c r="M45" s="15">
        <f>L45/$L$43</f>
        <v/>
      </c>
      <c r="N45" s="10">
        <f>L45+'[1]2026 Μάρτιος'!N45</f>
        <v/>
      </c>
      <c r="O45" s="15">
        <f>N45/$N$43</f>
        <v/>
      </c>
      <c r="P45" s="10" t="n"/>
      <c r="Q45" s="15">
        <f>N45/F45</f>
        <v/>
      </c>
    </row>
    <row r="46" ht="1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2'!G6</f>
        <v/>
      </c>
      <c r="E46" s="15">
        <f>D46/$D$43</f>
        <v/>
      </c>
      <c r="F46" s="10">
        <f>D46+'[1]2026 Μάρτιος'!F46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2'!G6</f>
        <v/>
      </c>
      <c r="M46" s="15">
        <f>L46/$L$43</f>
        <v/>
      </c>
      <c r="N46" s="10">
        <f>L46+'[1]2026 Μάρτιος'!N46</f>
        <v/>
      </c>
      <c r="O46" s="15">
        <f>N46/$N$43</f>
        <v/>
      </c>
      <c r="P46" s="10" t="n"/>
      <c r="Q46" s="15">
        <f>N46/F46</f>
        <v/>
      </c>
    </row>
    <row r="47" ht="1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2'!G7</f>
        <v/>
      </c>
      <c r="E47" s="15">
        <f>D49/$D$43</f>
        <v/>
      </c>
      <c r="F47" s="10">
        <f>D49+'[1]2026 Μάρτιος'!F47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2'!G7</f>
        <v/>
      </c>
      <c r="M47" s="15">
        <f>L49/$L$43</f>
        <v/>
      </c>
      <c r="N47" s="10">
        <f>L49+'[1]2026 Μάρτιος'!N47</f>
        <v/>
      </c>
      <c r="O47" s="15">
        <f>N49/$N$43</f>
        <v/>
      </c>
      <c r="P47" s="10" t="n"/>
      <c r="Q47" s="15">
        <f>N49/F49</f>
        <v/>
      </c>
    </row>
    <row r="48" ht="1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2'!G8</f>
        <v/>
      </c>
      <c r="E48" s="15">
        <f>D50/$D$43</f>
        <v/>
      </c>
      <c r="F48" s="10">
        <f>D50+'[1]2026 Μάρτιος'!F48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2'!G8</f>
        <v/>
      </c>
      <c r="M48" s="15">
        <f>L50/$L$43</f>
        <v/>
      </c>
      <c r="N48" s="10">
        <f>L50+'[1]2026 Μάρτιος'!N48</f>
        <v/>
      </c>
      <c r="O48" s="15">
        <f>N50/$N$43</f>
        <v/>
      </c>
      <c r="P48" s="10" t="n"/>
      <c r="Q48" s="15">
        <f>N50/F50</f>
        <v/>
      </c>
    </row>
    <row r="49" ht="1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2'!G9</f>
        <v/>
      </c>
      <c r="E49" s="15">
        <f>D51/$D$43</f>
        <v/>
      </c>
      <c r="F49" s="10">
        <f>D51+'[1]2026 Μάρτιος'!F49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2'!G9</f>
        <v/>
      </c>
      <c r="M49" s="15">
        <f>L51/$L$43</f>
        <v/>
      </c>
      <c r="N49" s="10">
        <f>L51+'[1]2026 Μάρτιος'!N49</f>
        <v/>
      </c>
      <c r="O49" s="15">
        <f>N51/$N$43</f>
        <v/>
      </c>
      <c r="P49" s="10" t="n"/>
      <c r="Q49" s="15">
        <f>N51/F51</f>
        <v/>
      </c>
    </row>
    <row r="50" ht="1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2'!G10</f>
        <v/>
      </c>
      <c r="E50" s="15">
        <f>D54/$D$43</f>
        <v/>
      </c>
      <c r="F50" s="10">
        <f>D54+'[1]2026 Μάρτιος'!F50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2'!G10</f>
        <v/>
      </c>
      <c r="M50" s="15">
        <f>L54/$L$43</f>
        <v/>
      </c>
      <c r="N50" s="10">
        <f>L54+'[1]2026 Μάρτιος'!N50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2'!G11</f>
        <v/>
      </c>
      <c r="E51" s="15">
        <f>D55/$D$43</f>
        <v/>
      </c>
      <c r="F51" s="10">
        <f>D55+'[1]2026 Μάρτιος'!F51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2'!G11</f>
        <v/>
      </c>
      <c r="M51" s="15">
        <f>L55/$L$43</f>
        <v/>
      </c>
      <c r="N51" s="10">
        <f>L55+'[1]2026 Μάρτιος'!N51</f>
        <v/>
      </c>
      <c r="O51" s="15">
        <f>N55/$N$43</f>
        <v/>
      </c>
      <c r="P51" s="10" t="n"/>
      <c r="Q51" s="15">
        <f>N55/F55</f>
        <v/>
      </c>
    </row>
    <row r="52" ht="20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2'!G12</f>
        <v/>
      </c>
      <c r="E52" s="15">
        <f>D56/$D$43</f>
        <v/>
      </c>
      <c r="F52" s="10">
        <f>D56+'[1]2026 Μάρτιος'!F52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2'!G12</f>
        <v/>
      </c>
      <c r="M52" s="15">
        <f>L56/$L$43</f>
        <v/>
      </c>
      <c r="N52" s="10">
        <f>L56+'[1]2026 Μάρτιος'!N52</f>
        <v/>
      </c>
      <c r="O52" s="15">
        <f>N56/$N$43</f>
        <v/>
      </c>
      <c r="P52" s="10" t="n"/>
      <c r="Q52" s="15">
        <f>N56/F56</f>
        <v/>
      </c>
    </row>
    <row r="53" ht="20.2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2'!G13</f>
        <v/>
      </c>
      <c r="E53" s="15">
        <f>D57/$D$43</f>
        <v/>
      </c>
      <c r="F53" s="10">
        <f>D57+'[1]2026 Μάρτιος'!F53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2'!G13</f>
        <v/>
      </c>
      <c r="M53" s="15">
        <f>L57/$L$43</f>
        <v/>
      </c>
      <c r="N53" s="10">
        <f>L57+'[1]2026 Μάρτιος'!N53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2'!G14</f>
        <v/>
      </c>
      <c r="E54" s="15">
        <f>D58/$D$43</f>
        <v/>
      </c>
      <c r="F54" s="10">
        <f>D58+'[1]2026 Μάρτιος'!F54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2'!G14</f>
        <v/>
      </c>
      <c r="M54" s="15">
        <f>L58/$L$43</f>
        <v/>
      </c>
      <c r="N54" s="10">
        <f>L58+'[1]2026 Μάρτιος'!N54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2'!G15</f>
        <v/>
      </c>
      <c r="E55" s="15">
        <f>D59/$D$43</f>
        <v/>
      </c>
      <c r="F55" s="10">
        <f>D59+'[1]2026 Μάρτιος'!F55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2'!G15</f>
        <v/>
      </c>
      <c r="M55" s="15">
        <f>L59/$L$43</f>
        <v/>
      </c>
      <c r="N55" s="10">
        <f>L59+'[1]2026 Μάρτιος'!N55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2'!G16</f>
        <v/>
      </c>
      <c r="E56" s="15">
        <f>D60/$D$43</f>
        <v/>
      </c>
      <c r="F56" s="10">
        <f>D60+'[1]2026 Μάρτιος'!F56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2'!G16</f>
        <v/>
      </c>
      <c r="M56" s="15">
        <f>L60/$L$43</f>
        <v/>
      </c>
      <c r="N56" s="10">
        <f>L60+'[1]2026 Μάρτιος'!N56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2'!G17</f>
        <v/>
      </c>
      <c r="E57" s="15">
        <f>D61/$D$43</f>
        <v/>
      </c>
      <c r="F57" s="10">
        <f>D61+'[1]2026 Μάρτιος'!F57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2'!G17</f>
        <v/>
      </c>
      <c r="M57" s="15">
        <f>L61/$L$43</f>
        <v/>
      </c>
      <c r="N57" s="10">
        <f>L61+'[1]2026 Μάρτιος'!N57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2'!G18</f>
        <v/>
      </c>
      <c r="E58" s="15">
        <f>D62/$D$43</f>
        <v/>
      </c>
      <c r="F58" s="10">
        <f>D62+'[1]2026 Μάρτιος'!F58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2'!G18</f>
        <v/>
      </c>
      <c r="M58" s="15">
        <f>L62/$L$43</f>
        <v/>
      </c>
      <c r="N58" s="10">
        <f>L62+'[1]2026 Μάρτιος'!N58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2'!G19</f>
        <v/>
      </c>
      <c r="E59" s="15">
        <f>D63/$D$43</f>
        <v/>
      </c>
      <c r="F59" s="10">
        <f>D63+'[1]2026 Μάρτιος'!F59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2'!G19</f>
        <v/>
      </c>
      <c r="M59" s="15">
        <f>L63/$L$43</f>
        <v/>
      </c>
      <c r="N59" s="10">
        <f>L63+'[1]2026 Μάρτιος'!N59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2'!G20</f>
        <v/>
      </c>
      <c r="E60" s="15">
        <f>D64/$D$43</f>
        <v/>
      </c>
      <c r="F60" s="10">
        <f>D64+'[1]2026 Μάρτιος'!F60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2'!G20</f>
        <v/>
      </c>
      <c r="M60" s="15">
        <f>L64/$L$43</f>
        <v/>
      </c>
      <c r="N60" s="10">
        <f>L64+'[1]2026 Μάρτιος'!N60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2'!G21</f>
        <v/>
      </c>
      <c r="E61" s="15">
        <f>D65/$D$43</f>
        <v/>
      </c>
      <c r="F61" s="10">
        <f>D65+'[1]2026 Μάρτιος'!F61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2'!G21</f>
        <v/>
      </c>
      <c r="M61" s="15">
        <f>L65/$L$43</f>
        <v/>
      </c>
      <c r="N61" s="10">
        <f>L65+'[1]2026 Μάρτιος'!N61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2'!G22</f>
        <v/>
      </c>
      <c r="E62" s="15">
        <f>D66/$D$43</f>
        <v/>
      </c>
      <c r="F62" s="10">
        <f>D66+'[1]2026 Μάρτιος'!F62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2'!G22</f>
        <v/>
      </c>
      <c r="M62" s="15">
        <f>L66/$L$43</f>
        <v/>
      </c>
      <c r="N62" s="10">
        <f>L66+'[1]2026 Μάρτιος'!N62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2'!G23</f>
        <v/>
      </c>
      <c r="E63" s="15">
        <f>D67/$D$43</f>
        <v/>
      </c>
      <c r="F63" s="10">
        <f>D67+'[1]2026 Μάρτιος'!F63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2'!G23</f>
        <v/>
      </c>
      <c r="M63" s="15">
        <f>L67/$L$43</f>
        <v/>
      </c>
      <c r="N63" s="10">
        <f>L67+'[1]2026 Μάρτιος'!N63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2'!G24</f>
        <v/>
      </c>
      <c r="E64" s="15">
        <f>D68/$D$43</f>
        <v/>
      </c>
      <c r="F64" s="10">
        <f>D68+'[1]2026 Μάρτιος'!F64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2'!G24</f>
        <v/>
      </c>
      <c r="M64" s="15">
        <f>L68/$L$43</f>
        <v/>
      </c>
      <c r="N64" s="10">
        <f>L68+'[1]2026 Μάρτιος'!N64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2'!G25</f>
        <v/>
      </c>
      <c r="E65" s="15">
        <f>D69/$D$43</f>
        <v/>
      </c>
      <c r="F65" s="10">
        <f>D69+'[1]2026 Μάρτιος'!F65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2'!G25</f>
        <v/>
      </c>
      <c r="M65" s="15">
        <f>L69/$L$43</f>
        <v/>
      </c>
      <c r="N65" s="10">
        <f>L69+'[1]2026 Μάρτιος'!N65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2'!G26</f>
        <v/>
      </c>
      <c r="E66" s="15">
        <f>D70/$D$43</f>
        <v/>
      </c>
      <c r="F66" s="10">
        <f>D70+'[1]2026 Μάρτιος'!F66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2'!G26</f>
        <v/>
      </c>
      <c r="M66" s="15">
        <f>L70/$L$43</f>
        <v/>
      </c>
      <c r="N66" s="10">
        <f>L70+'[1]2026 Μάρτιος'!N66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2'!G27</f>
        <v/>
      </c>
      <c r="E67" s="15">
        <f>D71/$D$43</f>
        <v/>
      </c>
      <c r="F67" s="10">
        <f>D71+'[1]2026 Μάρτιος'!F67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2'!G27</f>
        <v/>
      </c>
      <c r="M67" s="15">
        <f>L71/$L$43</f>
        <v/>
      </c>
      <c r="N67" s="10">
        <f>L71+'[1]2026 Μάρτιος'!N67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2'!G28</f>
        <v/>
      </c>
      <c r="E68" s="15">
        <f>D72/$D$43</f>
        <v/>
      </c>
      <c r="F68" s="10">
        <f>D72+'[1]2026 Μάρτιος'!F68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2'!G28</f>
        <v/>
      </c>
      <c r="M68" s="15">
        <f>L72/$L$43</f>
        <v/>
      </c>
      <c r="N68" s="10">
        <f>L72+'[1]2026 Μάρτιος'!N68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2'!G29</f>
        <v/>
      </c>
      <c r="E69" s="15">
        <f>D73/$D$43</f>
        <v/>
      </c>
      <c r="F69" s="10">
        <f>D73+'[1]2026 Μάρτιος'!F69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2'!G29</f>
        <v/>
      </c>
      <c r="M69" s="15">
        <f>L73/$L$43</f>
        <v/>
      </c>
      <c r="N69" s="10">
        <f>L73+'[1]2026 Μάρτιος'!N69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D74+'[1]2026 Μάρτιος'!F70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2'!G30</f>
        <v/>
      </c>
      <c r="M70" s="15">
        <f>L74/$L$43</f>
        <v/>
      </c>
      <c r="N70" s="10">
        <f>L74+'[1]2026 Μάρτιος'!N70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2'!G31</f>
        <v/>
      </c>
      <c r="E71" s="15">
        <f>D75/$D$43</f>
        <v/>
      </c>
      <c r="F71" s="10">
        <f>D75+'[1]2026 Μάρτιος'!F71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2'!G31</f>
        <v/>
      </c>
      <c r="M71" s="15">
        <f>L75/$L$43</f>
        <v/>
      </c>
      <c r="N71" s="10">
        <f>L75+'[1]2026 Μάρτιος'!N71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2'!G32</f>
        <v/>
      </c>
      <c r="E72" s="15">
        <f>D76/$D$43</f>
        <v/>
      </c>
      <c r="F72" s="10">
        <f>D76+'[1]2026 Μάρτιος'!F72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2'!G32</f>
        <v/>
      </c>
      <c r="M72" s="15">
        <f>L76/$L$43</f>
        <v/>
      </c>
      <c r="N72" s="10">
        <f>L76+'[1]2026 Μάρτιος'!N72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2'!G33</f>
        <v/>
      </c>
      <c r="E73" s="15">
        <f>D77/$D$43</f>
        <v/>
      </c>
      <c r="F73" s="10">
        <f>D77+'[1]2026 Μάρτιος'!F73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2'!G33</f>
        <v/>
      </c>
      <c r="M73" s="15">
        <f>L77/$L$43</f>
        <v/>
      </c>
      <c r="N73" s="10">
        <f>L77+'[1]2026 Μάρτιος'!N73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2'!G3</f>
        <v/>
      </c>
      <c r="E74" s="21" t="n"/>
      <c r="F74" s="7">
        <f>D78+'[1]2026 Μάρτιος'!F74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[1]ΑΝΤΙΣΤΟΙΧΙΣΗ!$F$109</f>
        <v/>
      </c>
      <c r="E78" s="192" t="n"/>
      <c r="F78" s="56" t="n"/>
      <c r="G78" s="61">
        <f>[1]ΑΝΤΙΣΤΟΙΧΙΣΗ!$D$34</f>
        <v/>
      </c>
      <c r="H78" s="180">
        <f>[1]ΑΝΤΙΣΤΟΙΧΙΣΗ!$F$109</f>
        <v/>
      </c>
      <c r="I78" s="192" t="n"/>
      <c r="J78" s="56" t="n"/>
      <c r="K78" s="61">
        <f>[1]ΑΝΤΙΣΤΟΙΧΙΣΗ!$D$34</f>
        <v/>
      </c>
      <c r="L78" s="180">
        <f>[1]ΑΝΤΙΣΤΟΙΧΙΣΗ!$F$123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2'!G39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 t="n">
        <v>2128.84</v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2'!G40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 t="n">
        <v>0</v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2'!G43</f>
        <v/>
      </c>
      <c r="E83" s="15">
        <f>D87/$D$111</f>
        <v/>
      </c>
      <c r="F83" s="79">
        <f>D87+'[1]2026 Μάρτιος'!F87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 t="n">
        <v>427.49</v>
      </c>
      <c r="M83" s="15">
        <f>L87/$L$84</f>
        <v/>
      </c>
      <c r="N83" s="10">
        <f>L87+'[1]2026 Μάρτιος'!N87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2'!G44</f>
        <v/>
      </c>
      <c r="E84" s="15">
        <f>D88/$D$111</f>
        <v/>
      </c>
      <c r="F84" s="79">
        <f>D88+'[1]2026 Μάρτιος'!F88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 t="n">
        <v>0</v>
      </c>
      <c r="M84" s="15">
        <f>L88/$L$84</f>
        <v/>
      </c>
      <c r="N84" s="10">
        <f>L88+'[1]2026 Μάρτιος'!N88</f>
        <v/>
      </c>
      <c r="O84" s="15">
        <f>N88/$N$84</f>
        <v/>
      </c>
      <c r="P84" s="27" t="n"/>
      <c r="Q84" s="28">
        <f>SUM(D88:P88)</f>
        <v/>
      </c>
    </row>
    <row r="85" ht="24.7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2'!G45</f>
        <v/>
      </c>
      <c r="E85" s="15">
        <f>D89/$D$111</f>
        <v/>
      </c>
      <c r="F85" s="79">
        <f>D89+'[1]2026 Μάρτιος'!F89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 t="n">
        <v>0</v>
      </c>
      <c r="M85" s="15">
        <f>L89/$L$84</f>
        <v/>
      </c>
      <c r="N85" s="10">
        <f>L89+'[1]2026 Μάρτιος'!N89</f>
        <v/>
      </c>
      <c r="O85" s="15">
        <f>N89/$N$84</f>
        <v/>
      </c>
      <c r="P85" s="80" t="n"/>
      <c r="Q85" s="28">
        <f>SUM(D89:P89)</f>
        <v/>
      </c>
    </row>
    <row r="86" ht="20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2'!G46</f>
        <v/>
      </c>
      <c r="E86" s="15">
        <f>D90/$D$111</f>
        <v/>
      </c>
      <c r="F86" s="79">
        <f>D90+'[1]2026 Μάρτιος'!F90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 t="n">
        <v>0</v>
      </c>
      <c r="M86" s="15">
        <f>L90/$L$84</f>
        <v/>
      </c>
      <c r="N86" s="10">
        <f>L90+'[1]2026 Μάρτιος'!N90</f>
        <v/>
      </c>
      <c r="O86" s="15">
        <f>N90/$N$84</f>
        <v/>
      </c>
      <c r="P86" s="80" t="n"/>
      <c r="Q86" s="28">
        <f>SUM(D90:P90)</f>
        <v/>
      </c>
    </row>
    <row r="87" ht="20.2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2'!G47</f>
        <v/>
      </c>
      <c r="E87" s="15">
        <f>D91/$D$111</f>
        <v/>
      </c>
      <c r="F87" s="79">
        <f>D91+'[1]2026 Μάρτιος'!F91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 t="n">
        <v>0</v>
      </c>
      <c r="M87" s="15">
        <f>L91/$L$84</f>
        <v/>
      </c>
      <c r="N87" s="10">
        <f>L91+'[1]2026 Μάρτιος'!N91</f>
        <v/>
      </c>
      <c r="O87" s="15">
        <f>N91/$N$84</f>
        <v/>
      </c>
      <c r="P87" s="80" t="n"/>
      <c r="Q87" s="28">
        <f>SUM(D91:P91)</f>
        <v/>
      </c>
    </row>
    <row r="88" ht="20.2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2'!G48</f>
        <v/>
      </c>
      <c r="E88" s="15">
        <f>D92/$D$111</f>
        <v/>
      </c>
      <c r="F88" s="79">
        <f>D92+'[1]2026 Μάρτιος'!F92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 t="n">
        <v>0</v>
      </c>
      <c r="M88" s="15">
        <f>L92/$L$84</f>
        <v/>
      </c>
      <c r="N88" s="10">
        <f>L92+'[1]2026 Μάρτιος'!N92</f>
        <v/>
      </c>
      <c r="O88" s="15">
        <f>N92/$N$84</f>
        <v/>
      </c>
      <c r="P88" s="27" t="n"/>
      <c r="Q88" s="28">
        <f>SUM(D92:P92)</f>
        <v/>
      </c>
    </row>
    <row r="89" ht="20.2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2'!G49</f>
        <v/>
      </c>
      <c r="E89" s="15">
        <f>D93/$D$111</f>
        <v/>
      </c>
      <c r="F89" s="79">
        <f>D93+'[1]2026 Μάρτιος'!F93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 t="n">
        <v>0</v>
      </c>
      <c r="M89" s="15">
        <f>L93/$L$84</f>
        <v/>
      </c>
      <c r="N89" s="10">
        <f>L93+'[1]2026 Μάρτιος'!N93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2'!G50</f>
        <v/>
      </c>
      <c r="E90" s="15">
        <f>D94/$D$111</f>
        <v/>
      </c>
      <c r="F90" s="79">
        <f>D94+'[1]2026 Μάρτιος'!F94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 t="n">
        <v>0</v>
      </c>
      <c r="M90" s="15">
        <f>L94/$L$84</f>
        <v/>
      </c>
      <c r="N90" s="10">
        <f>L94+'[1]2026 Μάρτιος'!N94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2'!G51</f>
        <v/>
      </c>
      <c r="E91" s="15">
        <f>D95/$D$111</f>
        <v/>
      </c>
      <c r="F91" s="79">
        <f>D95+'[1]2026 Μάρτιος'!F95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 t="n">
        <v>0</v>
      </c>
      <c r="M91" s="15">
        <f>L95/$L$84</f>
        <v/>
      </c>
      <c r="N91" s="10">
        <f>L95+'[1]2026 Μάρτιος'!N95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2'!G52</f>
        <v/>
      </c>
      <c r="E92" s="15">
        <f>D96/$D$111</f>
        <v/>
      </c>
      <c r="F92" s="79">
        <f>D96+'[1]2026 Μάρτιος'!F96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 t="n">
        <v>0</v>
      </c>
      <c r="M92" s="15">
        <f>L96/$L$84</f>
        <v/>
      </c>
      <c r="N92" s="10">
        <f>L96+'[1]2026 Μάρτιος'!N96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2'!G53</f>
        <v/>
      </c>
      <c r="E93" s="15">
        <f>D97/$D$111</f>
        <v/>
      </c>
      <c r="F93" s="79">
        <f>D97+'[1]2026 Μάρτιος'!F97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 t="n">
        <v>0</v>
      </c>
      <c r="M93" s="15">
        <f>L97/$L$84</f>
        <v/>
      </c>
      <c r="N93" s="10">
        <f>L97+'[1]2026 Μάρτιος'!N97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2'!G54</f>
        <v/>
      </c>
      <c r="E94" s="15">
        <f>D98/$D$111</f>
        <v/>
      </c>
      <c r="F94" s="79">
        <f>D98+'[1]2026 Μάρτιος'!F98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 t="n">
        <v>0</v>
      </c>
      <c r="M94" s="15">
        <f>L98/$L$84</f>
        <v/>
      </c>
      <c r="N94" s="10">
        <f>L98+'[1]2026 Μάρτιος'!N98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2'!G55</f>
        <v/>
      </c>
      <c r="E95" s="15">
        <f>D99/$D$111</f>
        <v/>
      </c>
      <c r="F95" s="79">
        <f>D99+'[1]2026 Μάρτιος'!F99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 t="n">
        <v>37.19</v>
      </c>
      <c r="M95" s="15">
        <f>L99/$L$84</f>
        <v/>
      </c>
      <c r="N95" s="10">
        <f>L99+'[1]2026 Μάρτιος'!N99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2'!G56</f>
        <v/>
      </c>
      <c r="E96" s="15">
        <f>D100/$D$111</f>
        <v/>
      </c>
      <c r="F96" s="79">
        <f>D100+'[1]2026 Μάρτιος'!F100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 t="n">
        <v>645.52</v>
      </c>
      <c r="M96" s="15">
        <f>L100/$L$84</f>
        <v/>
      </c>
      <c r="N96" s="10">
        <f>L100+'[1]2026 Μάρτιος'!N100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2'!G57</f>
        <v/>
      </c>
      <c r="E97" s="15">
        <f>D101/$D$111</f>
        <v/>
      </c>
      <c r="F97" s="79">
        <f>D101+'[1]2026 Μάρτιος'!F101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 t="n">
        <v>0</v>
      </c>
      <c r="M97" s="15">
        <f>L101/$L$84</f>
        <v/>
      </c>
      <c r="N97" s="10">
        <f>L101+'[1]2026 Μάρτιος'!N101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2'!G58</f>
        <v/>
      </c>
      <c r="E98" s="15">
        <f>D102/$D$111</f>
        <v/>
      </c>
      <c r="F98" s="79">
        <f>D102+'[1]2026 Μάρτιος'!F102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 t="n">
        <v>0</v>
      </c>
      <c r="M98" s="15">
        <f>L102/$L$84</f>
        <v/>
      </c>
      <c r="N98" s="10">
        <f>L102+'[1]2026 Μάρτιος'!N102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2'!G59</f>
        <v/>
      </c>
      <c r="E99" s="15">
        <f>D103/$D$111</f>
        <v/>
      </c>
      <c r="F99" s="79">
        <f>D103+'[1]2026 Μάρτιος'!F103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 t="n">
        <v>1000</v>
      </c>
      <c r="M99" s="15">
        <f>L103/$L$84</f>
        <v/>
      </c>
      <c r="N99" s="10">
        <f>L103+'[1]2026 Μάρτιος'!N103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2'!G60</f>
        <v/>
      </c>
      <c r="E100" s="15">
        <f>D104/$D$111</f>
        <v/>
      </c>
      <c r="F100" s="79">
        <f>D104+'[1]2026 Μάρτιος'!F104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 t="n">
        <v>0</v>
      </c>
      <c r="M100" s="15">
        <f>L104/$L$84</f>
        <v/>
      </c>
      <c r="N100" s="10">
        <f>L104+'[1]2026 Μάρτιος'!N104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2'!G61</f>
        <v/>
      </c>
      <c r="E101" s="15">
        <f>D105/$D$111</f>
        <v/>
      </c>
      <c r="F101" s="79">
        <f>D105+'[1]2026 Μάρτιος'!F105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 t="n">
        <v>0</v>
      </c>
      <c r="M101" s="15">
        <f>L105/$L$84</f>
        <v/>
      </c>
      <c r="N101" s="10">
        <f>L105+'[1]2026 Μάρτιος'!N105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2'!G36</f>
        <v/>
      </c>
      <c r="E107" s="8" t="n"/>
      <c r="F107" s="7">
        <f>D111+'[1]2026 Μάρτιος'!F111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[1]ΑΝΤΙΣΤΟΙΧΙΣΗ!$F$109</f>
        <v/>
      </c>
      <c r="E110" s="192" t="n"/>
      <c r="F110" s="56" t="n"/>
      <c r="G110" s="61">
        <f>[1]ΑΝΤΙΣΤΟΙΧΙΣΗ!$D$34</f>
        <v/>
      </c>
      <c r="H110" s="180">
        <f>[1]ΑΝΤΙΣΤΟΙΧΙΣΗ!$F$109</f>
        <v/>
      </c>
      <c r="I110" s="192" t="n"/>
      <c r="J110" s="56" t="n"/>
      <c r="K110" s="61">
        <f>[1]ΑΝΤΙΣΤΟΙΧΙΣΗ!$D$34</f>
        <v/>
      </c>
      <c r="L110" s="180">
        <f>[1]ΑΝΤΙΣΤΟΙΧΙΣΗ!$F$123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'[1]2026_60-69 ΕΞΟΔΑ+ΟΜ 2'!G74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2'!G66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'[1]2026_60-69 ΕΞΟΔΑ+ΟΜ 2'!G75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2'!G67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'[1]2026_60-69 ΕΞΟΔΑ+ΟΜ 2'!G76</f>
        <v/>
      </c>
      <c r="E115" s="15">
        <f>D119/$D$116</f>
        <v/>
      </c>
      <c r="F115" s="10">
        <f>D119+'[1]2026 Μάρτιος'!F119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2'!G68</f>
        <v/>
      </c>
      <c r="M115" s="15">
        <f>L119/$L$116</f>
        <v/>
      </c>
      <c r="N115" s="10">
        <f>L119+'[1]2026 Μάρτιος'!N119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'[1]2026_60-69 ΕΞΟΔΑ+ΟΜ 2'!G77</f>
        <v/>
      </c>
      <c r="E116" s="15">
        <f>D120/$D$116</f>
        <v/>
      </c>
      <c r="F116" s="10">
        <f>D120+'[1]2026 Μάρτιος'!F120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2'!G69</f>
        <v/>
      </c>
      <c r="M116" s="15">
        <f>L120/$L$116</f>
        <v/>
      </c>
      <c r="N116" s="10">
        <f>L120+'[1]2026 Μάρτιος'!N120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'[1]2026_60-69 ΕΞΟΔΑ+ΟΜ 2'!G78</f>
        <v/>
      </c>
      <c r="E117" s="15">
        <f>D121/$D$116</f>
        <v/>
      </c>
      <c r="F117" s="10">
        <f>D121+'[1]2026 Μάρτιος'!F121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2'!G70</f>
        <v/>
      </c>
      <c r="M117" s="15">
        <f>L121/$L$116</f>
        <v/>
      </c>
      <c r="N117" s="10">
        <f>L121+'[1]2026 Μάρτιος'!N121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'[1]2026_60-69 ΕΞΟΔΑ+ΟΜ 2'!G79</f>
        <v/>
      </c>
      <c r="E118" s="15">
        <f>D122/$D$116</f>
        <v/>
      </c>
      <c r="F118" s="10">
        <f>D122+'[1]2026 Μάρτιος'!F122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2'!G71</f>
        <v/>
      </c>
      <c r="M118" s="15">
        <f>L122/$L$116</f>
        <v/>
      </c>
      <c r="N118" s="10">
        <f>L122+'[1]2026 Μάρτιος'!N122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'[1]2026_60-69 ΕΞΟΔΑ+ΟΜ 2'!G80</f>
        <v/>
      </c>
      <c r="E119" s="15">
        <f>D123/$D$116</f>
        <v/>
      </c>
      <c r="F119" s="10">
        <f>D123+'[1]2026 Μάρτιος'!F123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2'!G72</f>
        <v/>
      </c>
      <c r="M119" s="15">
        <f>L123/$L$116</f>
        <v/>
      </c>
      <c r="N119" s="10">
        <f>L123+'[1]2026 Μάρτιος'!N123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'[1]2026_60-69 ΕΞΟΔΑ+ΟΜ 2'!G81</f>
        <v/>
      </c>
      <c r="E120" s="15">
        <f>D124/$D$116</f>
        <v/>
      </c>
      <c r="F120" s="10">
        <f>D124+'[1]2026 Μάρτιος'!F124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2'!G73</f>
        <v/>
      </c>
      <c r="M120" s="15">
        <f>L124/$L$116</f>
        <v/>
      </c>
      <c r="N120" s="10">
        <f>L124+'[1]2026 Μάρτιος'!N124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'[1]2026_60-69 ΕΞΟΔΑ+ΟΜ 2'!G82</f>
        <v/>
      </c>
      <c r="E121" s="15">
        <f>D125/$D$116</f>
        <v/>
      </c>
      <c r="F121" s="10">
        <f>D125+'[1]2026 Μάρτιος'!F125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2'!G74</f>
        <v/>
      </c>
      <c r="M121" s="15">
        <f>L125/$L$116</f>
        <v/>
      </c>
      <c r="N121" s="10">
        <f>L125+'[1]2026 Μάρτιος'!N125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'[1]2026_60-69 ΕΞΟΔΑ+ΟΜ 2'!G83</f>
        <v/>
      </c>
      <c r="E122" s="15">
        <f>D126/$D$116</f>
        <v/>
      </c>
      <c r="F122" s="10">
        <f>D126+'[1]2026 Μάρτιος'!F126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2'!G75</f>
        <v/>
      </c>
      <c r="M122" s="15">
        <f>L126/$L$116</f>
        <v/>
      </c>
      <c r="N122" s="10">
        <f>L126+'[1]2026 Μάρτιος'!N126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'[1]2026_60-69 ΕΞΟΔΑ+ΟΜ 2'!G84</f>
        <v/>
      </c>
      <c r="E123" s="15">
        <f>D127/$D$116</f>
        <v/>
      </c>
      <c r="F123" s="10">
        <f>D127+'[1]2026 Μάρτιος'!F127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2'!G76</f>
        <v/>
      </c>
      <c r="M123" s="15">
        <f>L127/$L$116</f>
        <v/>
      </c>
      <c r="N123" s="10">
        <f>L127+'[1]2026 Μάρτιος'!N127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'[1]2026_60-69 ΕΞΟΔΑ+ΟΜ 2'!G85</f>
        <v/>
      </c>
      <c r="E124" s="15">
        <f>D128/$D$116</f>
        <v/>
      </c>
      <c r="F124" s="10">
        <f>D128+'[1]2026 Μάρτιος'!F128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2'!G77</f>
        <v/>
      </c>
      <c r="M124" s="15">
        <f>L128/$L$116</f>
        <v/>
      </c>
      <c r="N124" s="10">
        <f>L128+'[1]2026 Μάρτιος'!N128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'[1]2026_60-69 ΕΞΟΔΑ+ΟΜ 2'!G86</f>
        <v/>
      </c>
      <c r="E125" s="15">
        <f>D129/$D$116</f>
        <v/>
      </c>
      <c r="F125" s="10">
        <f>D129+'[1]2026 Μάρτιος'!F129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2'!G78</f>
        <v/>
      </c>
      <c r="M125" s="15">
        <f>L129/$L$116</f>
        <v/>
      </c>
      <c r="N125" s="10">
        <f>L129+'[1]2026 Μάρτιος'!N129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'[1]2026_60-69 ΕΞΟΔΑ+ΟΜ 2'!G87</f>
        <v/>
      </c>
      <c r="E126" s="15">
        <f>D130/$D$116</f>
        <v/>
      </c>
      <c r="F126" s="10">
        <f>D130+'[1]2026 Μάρτιος'!F130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2'!G79</f>
        <v/>
      </c>
      <c r="M126" s="15">
        <f>L130/$L$116</f>
        <v/>
      </c>
      <c r="N126" s="10">
        <f>L130+'[1]2026 Μάρτιος'!N130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'[1]2026_60-69 ΕΞΟΔΑ+ΟΜ 2'!G88</f>
        <v/>
      </c>
      <c r="E127" s="15">
        <f>D131/$D$116</f>
        <v/>
      </c>
      <c r="F127" s="10">
        <f>D131+'[1]2026 Μάρτιος'!F131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2'!G80</f>
        <v/>
      </c>
      <c r="M127" s="15">
        <f>L131/$L$116</f>
        <v/>
      </c>
      <c r="N127" s="10">
        <f>L131+'[1]2026 Μάρτιος'!N131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'[1]2026_60-69 ΕΞΟΔΑ+ΟΜ 2'!G89</f>
        <v/>
      </c>
      <c r="E128" s="15">
        <f>D132/$D$116</f>
        <v/>
      </c>
      <c r="F128" s="10">
        <f>D132+'[1]2026 Μάρτιος'!F132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2'!G81</f>
        <v/>
      </c>
      <c r="M128" s="15">
        <f>L132/$L$116</f>
        <v/>
      </c>
      <c r="N128" s="10">
        <f>L132+'[1]2026 Μάρτιος'!N132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'[1]2026_60-69 ΕΞΟΔΑ+ΟΜ 2'!G90</f>
        <v/>
      </c>
      <c r="E129" s="15">
        <f>D133/$D$116</f>
        <v/>
      </c>
      <c r="F129" s="10">
        <f>D133+'[1]2026 Μάρτιος'!F133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2'!G82</f>
        <v/>
      </c>
      <c r="M129" s="15">
        <f>L133/$L$116</f>
        <v/>
      </c>
      <c r="N129" s="10">
        <f>L133+'[1]2026 Μάρτιος'!N133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'[1]2026_60-69 ΕΞΟΔΑ+ΟΜ 2'!G91</f>
        <v/>
      </c>
      <c r="E130" s="15">
        <f>D134/$D$116</f>
        <v/>
      </c>
      <c r="F130" s="10">
        <f>D134+'[1]2026 Μάρτιος'!F134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2'!G83</f>
        <v/>
      </c>
      <c r="M130" s="15">
        <f>L134/$L$116</f>
        <v/>
      </c>
      <c r="N130" s="10">
        <f>L134+'[1]2026 Μάρτιος'!N134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'[1]2026_60-69 ΕΞΟΔΑ+ΟΜ 2'!G92</f>
        <v/>
      </c>
      <c r="E131" s="15">
        <f>D135/$D$116</f>
        <v/>
      </c>
      <c r="F131" s="10">
        <f>D135+'[1]2026 Μάρτιος'!F135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2'!G84</f>
        <v/>
      </c>
      <c r="M131" s="15">
        <f>L135/$L$116</f>
        <v/>
      </c>
      <c r="N131" s="10">
        <f>L135+'[1]2026 Μάρτιος'!N135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'[1]2026_60-69 ΕΞΟΔΑ+ΟΜ 2'!G93</f>
        <v/>
      </c>
      <c r="E132" s="15">
        <f>D136/$D$116</f>
        <v/>
      </c>
      <c r="F132" s="10">
        <f>D136+'[1]2026 Μάρτιος'!F136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2'!G85</f>
        <v/>
      </c>
      <c r="M132" s="15">
        <f>L136/$L$116</f>
        <v/>
      </c>
      <c r="N132" s="10">
        <f>L136+'[1]2026 Μάρτιος'!N136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'[1]2026_60-69 ΕΞΟΔΑ+ΟΜ 2'!G94</f>
        <v/>
      </c>
      <c r="E133" s="15">
        <f>D137/$D$116</f>
        <v/>
      </c>
      <c r="F133" s="10">
        <f>D137+'[1]2026 Μάρτιος'!F137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2'!G86</f>
        <v/>
      </c>
      <c r="M133" s="15">
        <f>L137/$L$116</f>
        <v/>
      </c>
      <c r="N133" s="10">
        <f>L137+'[1]2026 Μάρτιος'!N137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'[1]2026_60-69 ΕΞΟΔΑ+ΟΜ 2'!G95</f>
        <v/>
      </c>
      <c r="E134" s="15">
        <f>D138/$D$116</f>
        <v/>
      </c>
      <c r="F134" s="10">
        <f>D138+'[1]2026 Μάρτιος'!F138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2'!G87</f>
        <v/>
      </c>
      <c r="M134" s="15">
        <f>L138/$L$116</f>
        <v/>
      </c>
      <c r="N134" s="10">
        <f>L138+'[1]2026 Μάρτιος'!N138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'[1]2026_60-69 ΕΞΟΔΑ+ΟΜ 2'!G96</f>
        <v/>
      </c>
      <c r="E135" s="15">
        <f>D139/$D$116</f>
        <v/>
      </c>
      <c r="F135" s="10">
        <f>D139+'[1]2026 Μάρτιος'!F139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2'!G88</f>
        <v/>
      </c>
      <c r="M135" s="15">
        <f>L139/$L$116</f>
        <v/>
      </c>
      <c r="N135" s="10">
        <f>L139+'[1]2026 Μάρτιος'!N139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'[1]2026_60-69 ΕΞΟΔΑ+ΟΜ 2'!G97</f>
        <v/>
      </c>
      <c r="E136" s="15">
        <f>D140/$D$116</f>
        <v/>
      </c>
      <c r="F136" s="10">
        <f>D140+'[1]2026 Μάρτιος'!F140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2'!G89</f>
        <v/>
      </c>
      <c r="M136" s="15">
        <f>L140/$L$116</f>
        <v/>
      </c>
      <c r="N136" s="10">
        <f>L140+'[1]2026 Μάρτιος'!N140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'[1]2026_60-69 ΕΞΟΔΑ+ΟΜ 2'!G98</f>
        <v/>
      </c>
      <c r="E137" s="15">
        <f>D141/$D$116</f>
        <v/>
      </c>
      <c r="F137" s="10">
        <f>D141+'[1]2026 Μάρτιος'!F141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2'!G90</f>
        <v/>
      </c>
      <c r="M137" s="15">
        <f>L141/$L$116</f>
        <v/>
      </c>
      <c r="N137" s="10">
        <f>L141+'[1]2026 Μάρτιος'!N141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'[1]2026_60-69 ΕΞΟΔΑ+ΟΜ 2'!G99</f>
        <v/>
      </c>
      <c r="E138" s="15">
        <f>D142/$D$116</f>
        <v/>
      </c>
      <c r="F138" s="10">
        <f>D142+'[1]2026 Μάρτιος'!F142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2'!G91</f>
        <v/>
      </c>
      <c r="M138" s="15">
        <f>L142/$L$116</f>
        <v/>
      </c>
      <c r="N138" s="10">
        <f>L142+'[1]2026 Μάρτιος'!N142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'[1]2026_60-69 ΕΞΟΔΑ+ΟΜ 2'!G100</f>
        <v/>
      </c>
      <c r="E139" s="15">
        <f>D143/$D$116</f>
        <v/>
      </c>
      <c r="F139" s="10">
        <f>D143+'[1]2026 Μάρτιος'!F143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2'!G92</f>
        <v/>
      </c>
      <c r="M139" s="15">
        <f>L143/$L$116</f>
        <v/>
      </c>
      <c r="N139" s="10">
        <f>L143+'[1]2026 Μάρτιος'!N143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'[1]2026_60-69 ΕΞΟΔΑ+ΟΜ 2'!G101</f>
        <v/>
      </c>
      <c r="E140" s="15">
        <f>D144/$D$116</f>
        <v/>
      </c>
      <c r="F140" s="10">
        <f>D144+'[1]2026 Μάρτιος'!F144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2'!G93</f>
        <v/>
      </c>
      <c r="M140" s="15">
        <f>L144/$L$116</f>
        <v/>
      </c>
      <c r="N140" s="10">
        <f>L144+'[1]2026 Μάρτιος'!N144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'[1]2026_60-69 ΕΞΟΔΑ+ΟΜ 2'!G102</f>
        <v/>
      </c>
      <c r="E141" s="15">
        <f>D145/$D$116</f>
        <v/>
      </c>
      <c r="F141" s="10">
        <f>D145+'[1]2026 Μάρτιος'!F145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2'!G94</f>
        <v/>
      </c>
      <c r="M141" s="15">
        <f>L145/$L$116</f>
        <v/>
      </c>
      <c r="N141" s="10">
        <f>L145+'[1]2026 Μάρτιος'!N145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'[1]2026_60-69 ΕΞΟΔΑ+ΟΜ 2'!G103</f>
        <v/>
      </c>
      <c r="E142" s="15">
        <f>D146/$D$116</f>
        <v/>
      </c>
      <c r="F142" s="10">
        <f>D146+'[1]2026 Μάρτιος'!F146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2'!G95</f>
        <v/>
      </c>
      <c r="M142" s="15">
        <f>L146/$L$116</f>
        <v/>
      </c>
      <c r="N142" s="10">
        <f>L146+'[1]2026 Μάρτιος'!N146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'[1]2026_60-69 ΕΞΟΔΑ+ΟΜ 2'!G104</f>
        <v/>
      </c>
      <c r="E143" s="15">
        <f>D147/$D$116</f>
        <v/>
      </c>
      <c r="F143" s="10">
        <f>D147+'[1]2026 Μάρτιος'!F147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2'!G96</f>
        <v/>
      </c>
      <c r="M143" s="15">
        <f>L147/$L$116</f>
        <v/>
      </c>
      <c r="N143" s="10">
        <f>L147+'[1]2026 Μάρτιος'!N147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'[1]2026_60-69 ΕΞΟΔΑ+ΟΜ 2'!G105</f>
        <v/>
      </c>
      <c r="E144" s="15">
        <f>D148/$D$116</f>
        <v/>
      </c>
      <c r="F144" s="10">
        <f>D148+'[1]2026 Μάρτιος'!F148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2'!G97</f>
        <v/>
      </c>
      <c r="M144" s="15">
        <f>L148/$L$116</f>
        <v/>
      </c>
      <c r="N144" s="10">
        <f>L148+'[1]2026 Μάρτιος'!N148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'[1]2026_60-69 ΕΞΟΔΑ+ΟΜ 2'!G106</f>
        <v/>
      </c>
      <c r="E145" s="15">
        <f>D149/$D$116</f>
        <v/>
      </c>
      <c r="F145" s="10">
        <f>D149+'[1]2026 Μάρτιος'!F149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2'!G98</f>
        <v/>
      </c>
      <c r="M145" s="15">
        <f>L149/$L$116</f>
        <v/>
      </c>
      <c r="N145" s="10">
        <f>L149+'[1]2026 Μάρτιος'!N149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'[1]2026_60-69 ΕΞΟΔΑ+ΟΜ 2'!G107</f>
        <v/>
      </c>
      <c r="E146" s="15">
        <f>D150/$D$116</f>
        <v/>
      </c>
      <c r="F146" s="10">
        <f>D150+'[1]2026 Μάρτιος'!F150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2'!G99</f>
        <v/>
      </c>
      <c r="M146" s="15">
        <f>L150/$L$116</f>
        <v/>
      </c>
      <c r="N146" s="10">
        <f>L150+'[1]2026 Μάρτιος'!N150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'[1]2026_60-69 ΕΞΟΔΑ+ΟΜ 2'!G108</f>
        <v/>
      </c>
      <c r="E147" s="15">
        <f>D151/$D$116</f>
        <v/>
      </c>
      <c r="F147" s="10">
        <f>D151+'[1]2026 Μάρτιος'!F151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2'!G100</f>
        <v/>
      </c>
      <c r="M147" s="15">
        <f>L151/$L$116</f>
        <v/>
      </c>
      <c r="N147" s="10">
        <f>L151+'[1]2026 Μάρτιος'!N151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'[1]2026_60-69 ΕΞΟΔΑ+ΟΜ 2'!G109</f>
        <v/>
      </c>
      <c r="E148" s="15">
        <f>D152/$D$116</f>
        <v/>
      </c>
      <c r="F148" s="10">
        <f>D152+'[1]2026 Μάρτιος'!F152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2'!G101</f>
        <v/>
      </c>
      <c r="M148" s="15">
        <f>L152/$L$116</f>
        <v/>
      </c>
      <c r="N148" s="10">
        <f>L152+'[1]2026 Μάρτιος'!N152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'[1]2026_60-69 ΕΞΟΔΑ+ΟΜ 2'!G110</f>
        <v/>
      </c>
      <c r="E149" s="15">
        <f>D153/$D$116</f>
        <v/>
      </c>
      <c r="F149" s="10">
        <f>D153+'[1]2026 Μάρτιος'!F153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2'!G102</f>
        <v/>
      </c>
      <c r="M149" s="15">
        <f>L153/$L$116</f>
        <v/>
      </c>
      <c r="N149" s="10">
        <f>L153+'[1]2026 Μάρτιος'!N153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2'!G73</f>
        <v/>
      </c>
      <c r="E153" s="8" t="n"/>
      <c r="F153" s="7">
        <f>D157+'[1]2026 Μάρτιος'!F157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0" workbookViewId="0">
      <selection activeCell="D106" sqref="D106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[1]ΑΝΤΙΣΤΟΙΧΙΣΗ!$F$110</f>
        <v/>
      </c>
      <c r="E3" s="192" t="n"/>
      <c r="F3" s="56" t="n"/>
      <c r="G3" s="61">
        <f>[1]ΑΝΤΙΣΤΟΙΧΙΣΗ!$D$34</f>
        <v/>
      </c>
      <c r="H3" s="180">
        <f>[1]ΑΝΤΙΣΤΟΙΧΙΣΗ!$F$110</f>
        <v/>
      </c>
      <c r="I3" s="192" t="n"/>
      <c r="J3" s="56" t="n"/>
      <c r="K3" s="61">
        <f>[1]ΑΝΤΙΣΤΟΙΧΙΣΗ!$D$34</f>
        <v/>
      </c>
      <c r="L3" s="180">
        <f>[1]ΑΝΤΙΣΤΟΙΧΙΣΗ!$F$124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L7+'[1]2026 Απρίλιος'!N7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'[1]2026_ΕΣΟΔΑ'!G2</f>
        <v/>
      </c>
      <c r="E8" s="11">
        <f>D8/$D$7</f>
        <v/>
      </c>
      <c r="F8" s="12">
        <f>D8+'[1]2026 Απρίλιος'!F8</f>
        <v/>
      </c>
      <c r="G8" s="11">
        <f>F8/$F$7</f>
        <v/>
      </c>
      <c r="H8" s="12" t="n"/>
      <c r="I8" s="11">
        <f>H8/$H$7</f>
        <v/>
      </c>
      <c r="J8" s="12">
        <f>H8+'[1]2026 Απρίλιος'!J8</f>
        <v/>
      </c>
      <c r="K8" s="11">
        <f>J8/$J$7</f>
        <v/>
      </c>
      <c r="L8" s="68">
        <f>'[1]2024_60-69 ΕΞΟΔΑ+ΟΜ 2'!G114</f>
        <v/>
      </c>
      <c r="M8" s="11">
        <f>L8/$L$7</f>
        <v/>
      </c>
      <c r="N8" s="12">
        <f>L8+'[1]2026 Απρίλιος'!N8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'[1]2026_ΕΣΟΔΑ'!G3</f>
        <v/>
      </c>
      <c r="E9" s="11">
        <f>D9/$D$7</f>
        <v/>
      </c>
      <c r="F9" s="12">
        <f>D9+'[1]2026 Απρίλιος'!F9</f>
        <v/>
      </c>
      <c r="G9" s="11">
        <f>F9/$F$7</f>
        <v/>
      </c>
      <c r="H9" s="12" t="n"/>
      <c r="I9" s="11">
        <f>H9/$H$7</f>
        <v/>
      </c>
      <c r="J9" s="12">
        <f>H9+'[1]2026 Απρίλιος'!J9</f>
        <v/>
      </c>
      <c r="K9" s="11">
        <f>J9/$J$7</f>
        <v/>
      </c>
      <c r="L9" s="68">
        <f>'[1]2024_60-69 ΕΞΟΔΑ+ΟΜ 2'!G115</f>
        <v/>
      </c>
      <c r="M9" s="11">
        <f>L9/$L$7</f>
        <v/>
      </c>
      <c r="N9" s="12">
        <f>L9+'[1]2026 Απρίλιος'!N9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'[1]2026_ΕΣΟΔΑ'!G4</f>
        <v/>
      </c>
      <c r="E10" s="11">
        <f>D10/$D$7</f>
        <v/>
      </c>
      <c r="F10" s="12">
        <f>D10+'[1]2026 Απρίλιος'!F10</f>
        <v/>
      </c>
      <c r="G10" s="11">
        <f>F10/$F$7</f>
        <v/>
      </c>
      <c r="H10" s="12" t="n"/>
      <c r="I10" s="11">
        <f>H10/$H$7</f>
        <v/>
      </c>
      <c r="J10" s="12">
        <f>H10+'[1]2026 Απρίλιος'!J10</f>
        <v/>
      </c>
      <c r="K10" s="11">
        <f>J10/$J$7</f>
        <v/>
      </c>
      <c r="L10" s="68">
        <f>'[1]2024_60-69 ΕΞΟΔΑ+ΟΜ 2'!G116</f>
        <v/>
      </c>
      <c r="M10" s="11">
        <f>L10/$L$7</f>
        <v/>
      </c>
      <c r="N10" s="12">
        <f>L10+'[1]2026 Απρίλιος'!N10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'[1]2026_ΕΣΟΔΑ'!G5</f>
        <v/>
      </c>
      <c r="E11" s="11">
        <f>D11/$D$7</f>
        <v/>
      </c>
      <c r="F11" s="12">
        <f>D11+'[1]2026 Απρίλιος'!F11</f>
        <v/>
      </c>
      <c r="G11" s="11">
        <f>F11/$F$7</f>
        <v/>
      </c>
      <c r="H11" s="12" t="n"/>
      <c r="I11" s="11">
        <f>H11/$H$7</f>
        <v/>
      </c>
      <c r="J11" s="12">
        <f>H11+'[1]2026 Απρίλιος'!J11</f>
        <v/>
      </c>
      <c r="K11" s="11">
        <f>J11/$J$7</f>
        <v/>
      </c>
      <c r="L11" s="68">
        <f>'[1]2024_60-69 ΕΞΟΔΑ+ΟΜ 2'!G117</f>
        <v/>
      </c>
      <c r="M11" s="11">
        <f>L11/$L$7</f>
        <v/>
      </c>
      <c r="N11" s="12">
        <f>L11+'[1]2026 Απρίλιος'!N11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'[1]2026_ΕΣΟΔΑ'!G6</f>
        <v/>
      </c>
      <c r="E12" s="11">
        <f>D12/$D$7</f>
        <v/>
      </c>
      <c r="F12" s="12">
        <f>D12+'[1]2026 Απρίλιος'!F12</f>
        <v/>
      </c>
      <c r="G12" s="11">
        <f>F12/$F$7</f>
        <v/>
      </c>
      <c r="H12" s="12" t="n"/>
      <c r="I12" s="11">
        <f>H12/$H$7</f>
        <v/>
      </c>
      <c r="J12" s="12">
        <f>H12+'[1]2026 Απρίλιος'!J12</f>
        <v/>
      </c>
      <c r="K12" s="11">
        <f>J12/$J$7</f>
        <v/>
      </c>
      <c r="L12" s="68">
        <f>'[1]2024_60-69 ΕΞΟΔΑ+ΟΜ 2'!G118</f>
        <v/>
      </c>
      <c r="M12" s="11">
        <f>L12/$L$7</f>
        <v/>
      </c>
      <c r="N12" s="12">
        <f>L12+'[1]2026 Απρίλιος'!N12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'[1]2026_ΕΣΟΔΑ'!G7</f>
        <v/>
      </c>
      <c r="E13" s="11">
        <f>D13/$D$7</f>
        <v/>
      </c>
      <c r="F13" s="12">
        <f>D13+'[1]2026 Απρίλιος'!F13</f>
        <v/>
      </c>
      <c r="G13" s="11">
        <f>F13/$F$7</f>
        <v/>
      </c>
      <c r="H13" s="12" t="n"/>
      <c r="I13" s="11">
        <f>H13/$H$7</f>
        <v/>
      </c>
      <c r="J13" s="12">
        <f>H13+'[1]2026 Απρίλιος'!J13</f>
        <v/>
      </c>
      <c r="K13" s="11">
        <f>J13/$J$7</f>
        <v/>
      </c>
      <c r="L13" s="68">
        <f>'[1]2024_60-69 ΕΞΟΔΑ+ΟΜ 2'!G119</f>
        <v/>
      </c>
      <c r="M13" s="11">
        <f>L13/$L$7</f>
        <v/>
      </c>
      <c r="N13" s="12">
        <f>L13+'[1]2026 Απρίλιος'!N13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'[1]2026_ΕΣΟΔΑ'!G8</f>
        <v/>
      </c>
      <c r="E14" s="11">
        <f>D14/$D$7</f>
        <v/>
      </c>
      <c r="F14" s="12">
        <f>D14+'[1]2026 Απρίλιος'!F14</f>
        <v/>
      </c>
      <c r="G14" s="11">
        <f>F14/$F$7</f>
        <v/>
      </c>
      <c r="H14" s="12" t="n"/>
      <c r="I14" s="11">
        <f>H14/$H$7</f>
        <v/>
      </c>
      <c r="J14" s="12">
        <f>H14+'[1]2026 Απρίλιος'!J14</f>
        <v/>
      </c>
      <c r="K14" s="11">
        <f>J14/$J$7</f>
        <v/>
      </c>
      <c r="L14" s="68">
        <f>'[1]2024_60-69 ΕΞΟΔΑ+ΟΜ 2'!G120</f>
        <v/>
      </c>
      <c r="M14" s="11">
        <f>L14/$L$7</f>
        <v/>
      </c>
      <c r="N14" s="12">
        <f>L14+'[1]2026 Απρίλιος'!N14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'[1]2026_ΕΣΟΔΑ'!G9</f>
        <v/>
      </c>
      <c r="E15" s="11">
        <f>D15/$D$7</f>
        <v/>
      </c>
      <c r="F15" s="12">
        <f>D15+'[1]2026 Απρίλιος'!F15</f>
        <v/>
      </c>
      <c r="G15" s="11">
        <f>F15/$F$7</f>
        <v/>
      </c>
      <c r="H15" s="12" t="n"/>
      <c r="I15" s="11">
        <f>H15/$H$7</f>
        <v/>
      </c>
      <c r="J15" s="12">
        <f>H15+'[1]2026 Απρίλιος'!J15</f>
        <v/>
      </c>
      <c r="K15" s="11">
        <f>J15/$J$7</f>
        <v/>
      </c>
      <c r="L15" s="68">
        <f>'[1]2024_60-69 ΕΞΟΔΑ+ΟΜ 2'!G121</f>
        <v/>
      </c>
      <c r="M15" s="11">
        <f>L15/$L$7</f>
        <v/>
      </c>
      <c r="N15" s="12">
        <f>L15+'[1]2026 Απρίλιος'!N15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'[1]2026_ΕΣΟΔΑ'!G10</f>
        <v/>
      </c>
      <c r="E16" s="11">
        <f>D16/$D$7</f>
        <v/>
      </c>
      <c r="F16" s="12">
        <f>D16+'[1]2026 Απρίλιος'!F16</f>
        <v/>
      </c>
      <c r="G16" s="11">
        <f>F16/$F$7</f>
        <v/>
      </c>
      <c r="H16" s="12" t="n"/>
      <c r="I16" s="11">
        <f>H16/$H$7</f>
        <v/>
      </c>
      <c r="J16" s="12">
        <f>H16+'[1]2026 Απρίλιος'!J16</f>
        <v/>
      </c>
      <c r="K16" s="11">
        <f>J16/$J$7</f>
        <v/>
      </c>
      <c r="L16" s="68">
        <f>'[1]2024_60-69 ΕΞΟΔΑ+ΟΜ 2'!G122</f>
        <v/>
      </c>
      <c r="M16" s="11">
        <f>L16/$L$7</f>
        <v/>
      </c>
      <c r="N16" s="12">
        <f>L16+'[1]2026 Απρίλιος'!N16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'[1]2026_ΕΣΟΔΑ'!G11</f>
        <v/>
      </c>
      <c r="E17" s="11">
        <f>D17/$D$7</f>
        <v/>
      </c>
      <c r="F17" s="12">
        <f>D17+'[1]2026 Απρίλιος'!F17</f>
        <v/>
      </c>
      <c r="G17" s="11">
        <f>F17/$F$7</f>
        <v/>
      </c>
      <c r="H17" s="12" t="n"/>
      <c r="I17" s="11">
        <f>H17/$H$7</f>
        <v/>
      </c>
      <c r="J17" s="12">
        <f>H17+'[1]2026 Απρίλιος'!J17</f>
        <v/>
      </c>
      <c r="K17" s="11">
        <f>J17/$J$7</f>
        <v/>
      </c>
      <c r="L17" s="68">
        <f>'[1]2024_60-69 ΕΞΟΔΑ+ΟΜ 2'!G123</f>
        <v/>
      </c>
      <c r="M17" s="11">
        <f>L17/$L$7</f>
        <v/>
      </c>
      <c r="N17" s="12">
        <f>L17+'[1]2026 Απρίλιος'!N17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'[1]2026_ΕΣΟΔΑ'!G12</f>
        <v/>
      </c>
      <c r="E18" s="11">
        <f>D18/$D$7</f>
        <v/>
      </c>
      <c r="F18" s="12">
        <f>D18+'[1]2026 Απρίλιος'!F18</f>
        <v/>
      </c>
      <c r="G18" s="11">
        <f>F18/$F$7</f>
        <v/>
      </c>
      <c r="H18" s="12" t="n"/>
      <c r="I18" s="11">
        <f>H18/$H$7</f>
        <v/>
      </c>
      <c r="J18" s="12">
        <f>H18+'[1]2026 Απρίλιος'!J18</f>
        <v/>
      </c>
      <c r="K18" s="11">
        <f>J18/$J$7</f>
        <v/>
      </c>
      <c r="L18" s="68">
        <f>'[1]2024_60-69 ΕΞΟΔΑ+ΟΜ 2'!G124</f>
        <v/>
      </c>
      <c r="M18" s="11">
        <f>L18/$L$7</f>
        <v/>
      </c>
      <c r="N18" s="12">
        <f>L18+'[1]2026 Απρίλιος'!N18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'[1]2026_ΕΣΟΔΑ'!G13</f>
        <v/>
      </c>
      <c r="E19" s="11">
        <f>D19/$D$7</f>
        <v/>
      </c>
      <c r="F19" s="12">
        <f>D19+'[1]2026 Απρίλιος'!F19</f>
        <v/>
      </c>
      <c r="G19" s="11">
        <f>F19/$F$7</f>
        <v/>
      </c>
      <c r="H19" s="12" t="n"/>
      <c r="I19" s="11">
        <f>H19/$H$7</f>
        <v/>
      </c>
      <c r="J19" s="12">
        <f>H19+'[1]2026 Απρίλιος'!J19</f>
        <v/>
      </c>
      <c r="K19" s="11">
        <f>J19/$J$7</f>
        <v/>
      </c>
      <c r="L19" s="68">
        <f>'[1]2024_60-69 ΕΞΟΔΑ+ΟΜ 2'!G125</f>
        <v/>
      </c>
      <c r="M19" s="11">
        <f>L19/$L$7</f>
        <v/>
      </c>
      <c r="N19" s="12">
        <f>L19+'[1]2026 Απρίλιος'!N19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'[1]2026_ΕΣΟΔΑ'!G14</f>
        <v/>
      </c>
      <c r="E20" s="11">
        <f>D20/$D$7</f>
        <v/>
      </c>
      <c r="F20" s="12">
        <f>D20+'[1]2026 Απρίλιος'!F20</f>
        <v/>
      </c>
      <c r="G20" s="11">
        <f>F20/$F$7</f>
        <v/>
      </c>
      <c r="H20" s="12" t="n"/>
      <c r="I20" s="11">
        <f>H20/$H$7</f>
        <v/>
      </c>
      <c r="J20" s="12">
        <f>H20+'[1]2026 Απρίλιος'!J20</f>
        <v/>
      </c>
      <c r="K20" s="11">
        <f>J20/$J$7</f>
        <v/>
      </c>
      <c r="L20" s="68">
        <f>'[1]2024_60-69 ΕΞΟΔΑ+ΟΜ 2'!G126</f>
        <v/>
      </c>
      <c r="M20" s="11">
        <f>L20/$L$7</f>
        <v/>
      </c>
      <c r="N20" s="12">
        <f>L20+'[1]2026 Απρίλιος'!N20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'[1]2026_ΕΣΟΔΑ'!G15</f>
        <v/>
      </c>
      <c r="E21" s="11">
        <f>D21/$D$7</f>
        <v/>
      </c>
      <c r="F21" s="12">
        <f>D21+'[1]2026 Απρίλιος'!F21</f>
        <v/>
      </c>
      <c r="G21" s="11">
        <f>F21/$F$7</f>
        <v/>
      </c>
      <c r="H21" s="12" t="n"/>
      <c r="I21" s="11">
        <f>H21/$H$7</f>
        <v/>
      </c>
      <c r="J21" s="12">
        <f>H21+'[1]2026 Απρίλιος'!J21</f>
        <v/>
      </c>
      <c r="K21" s="11">
        <f>J21/$J$7</f>
        <v/>
      </c>
      <c r="L21" s="68">
        <f>'[1]2024_60-69 ΕΞΟΔΑ+ΟΜ 2'!G127</f>
        <v/>
      </c>
      <c r="M21" s="11">
        <f>L21/$L$7</f>
        <v/>
      </c>
      <c r="N21" s="12">
        <f>L21+'[1]2026 Απρίλιος'!N21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'[1]2026_ΕΣΟΔΑ'!G16</f>
        <v/>
      </c>
      <c r="E22" s="11">
        <f>D22/$D$7</f>
        <v/>
      </c>
      <c r="F22" s="12">
        <f>D22+'[1]2026 Απρίλιος'!F22</f>
        <v/>
      </c>
      <c r="G22" s="11">
        <f>F22/$F$7</f>
        <v/>
      </c>
      <c r="H22" s="12" t="n"/>
      <c r="I22" s="11">
        <f>H22/$H$7</f>
        <v/>
      </c>
      <c r="J22" s="12">
        <f>H22+'[1]2026 Απρίλιος'!J22</f>
        <v/>
      </c>
      <c r="K22" s="11">
        <f>J22/$J$7</f>
        <v/>
      </c>
      <c r="L22" s="68">
        <f>'[1]2024_60-69 ΕΞΟΔΑ+ΟΜ 2'!G128</f>
        <v/>
      </c>
      <c r="M22" s="11">
        <f>L22/$L$7</f>
        <v/>
      </c>
      <c r="N22" s="12">
        <f>L22+'[1]2026 Απρίλιος'!N22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'[1]2026_ΕΣΟΔΑ'!G17</f>
        <v/>
      </c>
      <c r="E23" s="11">
        <f>D23/$D$7</f>
        <v/>
      </c>
      <c r="F23" s="12">
        <f>D23+'[1]2026 Απρίλιος'!F23</f>
        <v/>
      </c>
      <c r="G23" s="11">
        <f>F23/$F$7</f>
        <v/>
      </c>
      <c r="H23" s="12" t="n"/>
      <c r="I23" s="11">
        <f>H23/$H$7</f>
        <v/>
      </c>
      <c r="J23" s="12">
        <f>H23+'[1]2026 Απρίλιος'!J23</f>
        <v/>
      </c>
      <c r="K23" s="11">
        <f>J23/$J$7</f>
        <v/>
      </c>
      <c r="L23" s="68">
        <f>'[1]2024_60-69 ΕΞΟΔΑ+ΟΜ 2'!G129</f>
        <v/>
      </c>
      <c r="M23" s="11">
        <f>L23/$L$7</f>
        <v/>
      </c>
      <c r="N23" s="12">
        <f>L23+'[1]2026 Απρίλιος'!N23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'[1]2026_ΕΣΟΔΑ'!G18</f>
        <v/>
      </c>
      <c r="E24" s="11">
        <f>D24/$D$7</f>
        <v/>
      </c>
      <c r="F24" s="12">
        <f>D24+'[1]2026 Απρίλιος'!F24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Απρίλιος'!J24</f>
        <v/>
      </c>
      <c r="K24" s="11">
        <f>J24/$J$7</f>
        <v/>
      </c>
      <c r="L24" s="68">
        <f>'[1]2024_60-69 ΕΞΟΔΑ+ΟΜ 2'!G130</f>
        <v/>
      </c>
      <c r="M24" s="11">
        <f>L24/$L$7</f>
        <v/>
      </c>
      <c r="N24" s="12">
        <f>L24+'[1]2026 Απρίλιος'!N24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'[1]2026_ΕΣΟΔΑ'!G19</f>
        <v/>
      </c>
      <c r="E25" s="11">
        <f>D25/$D$7</f>
        <v/>
      </c>
      <c r="F25" s="12">
        <f>D25+'[1]2026 Απρίλιος'!F25</f>
        <v/>
      </c>
      <c r="G25" s="11">
        <f>F25/$F$7</f>
        <v/>
      </c>
      <c r="H25" s="12" t="n"/>
      <c r="I25" s="11">
        <f>H25/$H$7</f>
        <v/>
      </c>
      <c r="J25" s="12">
        <f>H25+'[1]2026 Απρίλιος'!J25</f>
        <v/>
      </c>
      <c r="K25" s="11">
        <f>J25/$J$7</f>
        <v/>
      </c>
      <c r="L25" s="68">
        <f>'[1]2024_60-69 ΕΞΟΔΑ+ΟΜ 2'!G131</f>
        <v/>
      </c>
      <c r="M25" s="11">
        <f>L25/$L$7</f>
        <v/>
      </c>
      <c r="N25" s="12">
        <f>L25+'[1]2026 Απρίλιος'!N25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'[1]2026_ΕΣΟΔΑ'!G20</f>
        <v/>
      </c>
      <c r="E26" s="11">
        <f>D26/$D$7</f>
        <v/>
      </c>
      <c r="F26" s="12">
        <f>D26+'[1]2026 Απρίλιος'!F26</f>
        <v/>
      </c>
      <c r="G26" s="11">
        <f>F26/$F$7</f>
        <v/>
      </c>
      <c r="H26" s="12" t="n"/>
      <c r="I26" s="11">
        <f>H26/$H$7</f>
        <v/>
      </c>
      <c r="J26" s="12">
        <f>H26+'[1]2026 Απρίλιος'!J26</f>
        <v/>
      </c>
      <c r="K26" s="11">
        <f>J26/$J$7</f>
        <v/>
      </c>
      <c r="L26" s="68">
        <f>'[1]2024_60-69 ΕΞΟΔΑ+ΟΜ 2'!G132</f>
        <v/>
      </c>
      <c r="M26" s="11">
        <f>L26/$L$7</f>
        <v/>
      </c>
      <c r="N26" s="12">
        <f>L26+'[1]2026 Απρίλιος'!N26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'[1]2026_ΕΣΟΔΑ'!G21</f>
        <v/>
      </c>
      <c r="E27" s="11">
        <f>D27/$D$7</f>
        <v/>
      </c>
      <c r="F27" s="12">
        <f>D27+'[1]2026 Απρίλιος'!F27</f>
        <v/>
      </c>
      <c r="G27" s="11">
        <f>F27/$F$7</f>
        <v/>
      </c>
      <c r="H27" s="12" t="n"/>
      <c r="I27" s="11">
        <f>H27/$H$7</f>
        <v/>
      </c>
      <c r="J27" s="12">
        <f>H27+'[1]2026 Απρίλιος'!J27</f>
        <v/>
      </c>
      <c r="K27" s="11">
        <f>J27/$J$7</f>
        <v/>
      </c>
      <c r="L27" s="68">
        <f>'[1]2024_60-69 ΕΞΟΔΑ+ΟΜ 2'!G133</f>
        <v/>
      </c>
      <c r="M27" s="11">
        <f>L27/$L$7</f>
        <v/>
      </c>
      <c r="N27" s="12">
        <f>L27+'[1]2026 Απρίλιος'!N27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'[1]2026_ΕΣΟΔΑ'!G22</f>
        <v/>
      </c>
      <c r="E28" s="11">
        <f>D28/$D$7</f>
        <v/>
      </c>
      <c r="F28" s="12">
        <f>D28+'[1]2026 Απρίλιος'!F28</f>
        <v/>
      </c>
      <c r="G28" s="11">
        <f>F28/$F$7</f>
        <v/>
      </c>
      <c r="H28" s="12" t="n"/>
      <c r="I28" s="11">
        <f>H28/$H$7</f>
        <v/>
      </c>
      <c r="J28" s="12">
        <f>H28+'[1]2026 Απρίλιος'!J28</f>
        <v/>
      </c>
      <c r="K28" s="11">
        <f>J28/$J$7</f>
        <v/>
      </c>
      <c r="L28" s="68">
        <f>'[1]2024_60-69 ΕΞΟΔΑ+ΟΜ 2'!G134</f>
        <v/>
      </c>
      <c r="M28" s="11">
        <f>L28/$L$7</f>
        <v/>
      </c>
      <c r="N28" s="12">
        <f>L28+'[1]2026 Απρίλιος'!N28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'[1]2026_ΕΣΟΔΑ'!G23</f>
        <v/>
      </c>
      <c r="E29" s="11">
        <f>D29/$D$7</f>
        <v/>
      </c>
      <c r="F29" s="12">
        <f>D29+'[1]2026 Απρίλιος'!F29</f>
        <v/>
      </c>
      <c r="G29" s="11">
        <f>F29/$F$7</f>
        <v/>
      </c>
      <c r="H29" s="12" t="n"/>
      <c r="I29" s="11">
        <f>H29/$H$7</f>
        <v/>
      </c>
      <c r="J29" s="12">
        <f>H29+'[1]2026 Απρίλιος'!J29</f>
        <v/>
      </c>
      <c r="K29" s="11">
        <f>J29/$J$7</f>
        <v/>
      </c>
      <c r="L29" s="68">
        <f>'[1]2024_60-69 ΕΞΟΔΑ+ΟΜ 2'!G135</f>
        <v/>
      </c>
      <c r="M29" s="11">
        <f>L29/$L$7</f>
        <v/>
      </c>
      <c r="N29" s="12">
        <f>L29+'[1]2026 Απρίλιος'!N29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'[1]2026_ΕΣΟΔΑ'!G24</f>
        <v/>
      </c>
      <c r="E30" s="11">
        <f>D30/$D$7</f>
        <v/>
      </c>
      <c r="F30" s="12">
        <f>D30+'[1]2026 Απρίλιος'!F30</f>
        <v/>
      </c>
      <c r="G30" s="11">
        <f>F30/$F$7</f>
        <v/>
      </c>
      <c r="H30" s="12" t="n"/>
      <c r="I30" s="11">
        <f>H30/$H$7</f>
        <v/>
      </c>
      <c r="J30" s="12">
        <f>H30+'[1]2026 Απρίλιος'!J30</f>
        <v/>
      </c>
      <c r="K30" s="11">
        <f>J30/$J$7</f>
        <v/>
      </c>
      <c r="L30" s="68">
        <f>'[1]2024_60-69 ΕΞΟΔΑ+ΟΜ 2'!G136</f>
        <v/>
      </c>
      <c r="M30" s="11">
        <f>L30/$L$7</f>
        <v/>
      </c>
      <c r="N30" s="12">
        <f>L30+'[1]2026 Απρίλιος'!N30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'[1]2026_ΕΣΟΔΑ'!G25</f>
        <v/>
      </c>
      <c r="E31" s="11">
        <f>D31/$D$7</f>
        <v/>
      </c>
      <c r="F31" s="12">
        <f>D31+'[1]2026 Απρίλιος'!F31</f>
        <v/>
      </c>
      <c r="G31" s="11">
        <f>F31/$F$7</f>
        <v/>
      </c>
      <c r="H31" s="12" t="n"/>
      <c r="I31" s="11">
        <f>H31/$H$7</f>
        <v/>
      </c>
      <c r="J31" s="12">
        <f>H31+'[1]2026 Απρίλιος'!J31</f>
        <v/>
      </c>
      <c r="K31" s="11">
        <f>J31/$J$7</f>
        <v/>
      </c>
      <c r="L31" s="68">
        <f>'[1]2024_60-69 ΕΞΟΔΑ+ΟΜ 2'!G137</f>
        <v/>
      </c>
      <c r="M31" s="11">
        <f>L31/$L$7</f>
        <v/>
      </c>
      <c r="N31" s="12">
        <f>L31+'[1]2026 Απρίλιος'!N31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'[1]2026_ΕΣΟΔΑ'!G26</f>
        <v/>
      </c>
      <c r="E32" s="11">
        <f>D32/$D$7</f>
        <v/>
      </c>
      <c r="F32" s="12">
        <f>D32+'[1]2026 Απρίλιος'!F32</f>
        <v/>
      </c>
      <c r="G32" s="11">
        <f>F32/$F$7</f>
        <v/>
      </c>
      <c r="H32" s="12" t="n"/>
      <c r="I32" s="11">
        <f>H32/$H$7</f>
        <v/>
      </c>
      <c r="J32" s="12">
        <f>H32+'[1]2026 Απρίλιος'!J32</f>
        <v/>
      </c>
      <c r="K32" s="11">
        <f>J32/$J$7</f>
        <v/>
      </c>
      <c r="L32" s="68">
        <f>'[1]2024_60-69 ΕΞΟΔΑ+ΟΜ 2'!G138</f>
        <v/>
      </c>
      <c r="M32" s="11">
        <f>L32/$L$7</f>
        <v/>
      </c>
      <c r="N32" s="12">
        <f>L32+'[1]2026 Απρίλιος'!N32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'[1]2026_ΕΣΟΔΑ'!G27</f>
        <v/>
      </c>
      <c r="E33" s="11">
        <f>D33/$D$7</f>
        <v/>
      </c>
      <c r="F33" s="12">
        <f>D33+'[1]2026 Απρίλιος'!F33</f>
        <v/>
      </c>
      <c r="G33" s="11">
        <f>F33/$F$7</f>
        <v/>
      </c>
      <c r="H33" s="12" t="n"/>
      <c r="I33" s="11">
        <f>H33/$H$7</f>
        <v/>
      </c>
      <c r="J33" s="12">
        <f>H33+'[1]2026 Απρίλιος'!J33</f>
        <v/>
      </c>
      <c r="K33" s="11">
        <f>J33/$J$7</f>
        <v/>
      </c>
      <c r="L33" s="68">
        <f>'[1]2024_60-69 ΕΞΟΔΑ+ΟΜ 2'!G139</f>
        <v/>
      </c>
      <c r="M33" s="11">
        <f>L33/$L$7</f>
        <v/>
      </c>
      <c r="N33" s="12">
        <f>L33+'[1]2026 Απρίλιος'!N33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'[1]2026_ΕΣΟΔΑ'!G28</f>
        <v/>
      </c>
      <c r="E34" s="11">
        <f>D34/$D$7</f>
        <v/>
      </c>
      <c r="F34" s="12">
        <f>D34+'[1]2026 Απρίλιος'!F34</f>
        <v/>
      </c>
      <c r="G34" s="11">
        <f>F34/$F$7</f>
        <v/>
      </c>
      <c r="H34" s="12" t="n"/>
      <c r="I34" s="11">
        <f>H34/$H$7</f>
        <v/>
      </c>
      <c r="J34" s="12">
        <f>H34+'[1]2026 Απρίλιος'!J34</f>
        <v/>
      </c>
      <c r="K34" s="11">
        <f>J34/$J$7</f>
        <v/>
      </c>
      <c r="L34" s="68">
        <f>'[1]2024_60-69 ΕΞΟΔΑ+ΟΜ 2'!G140</f>
        <v/>
      </c>
      <c r="M34" s="11">
        <f>L34/$L$7</f>
        <v/>
      </c>
      <c r="N34" s="12">
        <f>L34+'[1]2026 Απρίλιος'!N34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'[1]2026_ΕΣΟΔΑ'!G29</f>
        <v/>
      </c>
      <c r="E35" s="11">
        <f>D35/$D$7</f>
        <v/>
      </c>
      <c r="F35" s="12">
        <f>D35+'[1]2026 Απρίλιος'!F35</f>
        <v/>
      </c>
      <c r="G35" s="11">
        <f>F35/$F$7</f>
        <v/>
      </c>
      <c r="H35" s="12" t="n"/>
      <c r="I35" s="11">
        <f>H35/$H$7</f>
        <v/>
      </c>
      <c r="J35" s="12">
        <f>H35+'[1]2026 Απρίλιος'!J35</f>
        <v/>
      </c>
      <c r="K35" s="11">
        <f>J35/$J$7</f>
        <v/>
      </c>
      <c r="L35" s="68">
        <f>'[1]2024_60-69 ΕΞΟΔΑ+ΟΜ 2'!G141</f>
        <v/>
      </c>
      <c r="M35" s="11">
        <f>L35/$L$7</f>
        <v/>
      </c>
      <c r="N35" s="12">
        <f>L35+'[1]2026 Απρίλιος'!N35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'[1]2026_ΕΣΟΔΑ'!G30</f>
        <v/>
      </c>
      <c r="E36" s="11">
        <f>D36/$D$7</f>
        <v/>
      </c>
      <c r="F36" s="12">
        <f>D36+'[1]2026 Απρίλιος'!F36</f>
        <v/>
      </c>
      <c r="G36" s="11">
        <f>F36/$F$7</f>
        <v/>
      </c>
      <c r="H36" s="12" t="n"/>
      <c r="I36" s="11">
        <f>H36/$H$7</f>
        <v/>
      </c>
      <c r="J36" s="12">
        <f>H36+'[1]2026 Απρίλιος'!J36</f>
        <v/>
      </c>
      <c r="K36" s="11">
        <f>J36/$J$7</f>
        <v/>
      </c>
      <c r="L36" s="68">
        <f>'[1]2024_60-69 ΕΞΟΔΑ+ΟΜ 2'!G142</f>
        <v/>
      </c>
      <c r="M36" s="11">
        <f>L36/$L$7</f>
        <v/>
      </c>
      <c r="N36" s="12">
        <f>L36+'[1]2026 Απρίλιος'!N36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'[1]2026_ΕΣΟΔΑ'!G31</f>
        <v/>
      </c>
      <c r="E37" s="11">
        <f>D37/$D$7</f>
        <v/>
      </c>
      <c r="F37" s="12">
        <f>D37+'[1]2026 Απρίλιος'!F37</f>
        <v/>
      </c>
      <c r="G37" s="11">
        <f>F37/$F$7</f>
        <v/>
      </c>
      <c r="H37" s="12" t="n"/>
      <c r="I37" s="11">
        <f>H37/$H$7</f>
        <v/>
      </c>
      <c r="J37" s="12">
        <f>H37+'[1]2026 Απρίλιος'!J37</f>
        <v/>
      </c>
      <c r="K37" s="11">
        <f>J37/$J$7</f>
        <v/>
      </c>
      <c r="L37" s="68">
        <f>'[1]2024_60-69 ΕΞΟΔΑ+ΟΜ 2'!G143</f>
        <v/>
      </c>
      <c r="M37" s="11">
        <f>L37/$L$7</f>
        <v/>
      </c>
      <c r="N37" s="12">
        <f>L37+'[1]2026 Απρίλιος'!N37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'[1]2026_ΕΣΟΔΑ'!G32</f>
        <v/>
      </c>
      <c r="E38" s="8" t="n"/>
      <c r="F38" s="7">
        <f>'[1]2026_ΕΣΟΔΑ'!G34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[1]ΑΝΤΙΣΤΟΙΧΙΣΗ!$F$110</f>
        <v/>
      </c>
      <c r="E41" s="192" t="n"/>
      <c r="F41" s="56" t="n"/>
      <c r="G41" s="61">
        <f>[1]ΑΝΤΙΣΤΟΙΧΙΣΗ!$D$34</f>
        <v/>
      </c>
      <c r="H41" s="180">
        <f>[1]ΑΝΤΙΣΤΟΙΧΙΣΗ!$F$110</f>
        <v/>
      </c>
      <c r="I41" s="192" t="n"/>
      <c r="J41" s="56" t="n"/>
      <c r="K41" s="61">
        <f>[1]ΑΝΤΙΣΤΟΙΧΙΣΗ!$D$34</f>
        <v/>
      </c>
      <c r="L41" s="180">
        <f>[1]ΑΝΤΙΣΤΟΙΧΙΣΗ!$F$124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36.7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2'!H4</f>
        <v/>
      </c>
      <c r="E44" s="15">
        <f>D44/$D$43</f>
        <v/>
      </c>
      <c r="F44" s="10">
        <f>D44+'[1]2026 Απρίλιος'!F44</f>
        <v/>
      </c>
      <c r="G44" s="15">
        <f>F44/$F$43</f>
        <v/>
      </c>
      <c r="H44" s="14" t="n"/>
      <c r="I44" s="16">
        <f>H44/$H$43</f>
        <v/>
      </c>
      <c r="J44" s="10" t="n"/>
      <c r="K44" s="17">
        <f>J44/$J445</f>
        <v/>
      </c>
      <c r="L44" s="14">
        <f>'[1]2024_60-69 ΕΞΟΔΑ+ΟΜ 2'!H4</f>
        <v/>
      </c>
      <c r="M44" s="15">
        <f>L44/$L$43</f>
        <v/>
      </c>
      <c r="N44" s="10">
        <f>L44+'[1]2026 Απρίλιος'!N44</f>
        <v/>
      </c>
      <c r="O44" s="15">
        <f>N44/$N$43</f>
        <v/>
      </c>
      <c r="P44" s="10" t="n"/>
      <c r="Q44" s="15">
        <f>SUM(Q45:Q80)</f>
        <v/>
      </c>
    </row>
    <row r="45" ht="36.7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2'!H5</f>
        <v/>
      </c>
      <c r="E45" s="15">
        <f>D45/$D$43</f>
        <v/>
      </c>
      <c r="F45" s="10">
        <f>D45+'[1]2026 Απρίλιος'!F45</f>
        <v/>
      </c>
      <c r="G45" s="15">
        <f>F45/$F$43</f>
        <v/>
      </c>
      <c r="H45" s="14" t="n"/>
      <c r="I45" s="16">
        <f>H45/$H$43</f>
        <v/>
      </c>
      <c r="J45" s="10" t="n"/>
      <c r="K45" s="17">
        <f>J45/$J446</f>
        <v/>
      </c>
      <c r="L45" s="14">
        <f>'[1]2024_60-69 ΕΞΟΔΑ+ΟΜ 2'!H5</f>
        <v/>
      </c>
      <c r="M45" s="15">
        <f>L45/$L$43</f>
        <v/>
      </c>
      <c r="N45" s="10">
        <f>L45+'[1]2026 Απρίλιος'!N45</f>
        <v/>
      </c>
      <c r="O45" s="15">
        <f>N45/$N$43</f>
        <v/>
      </c>
      <c r="P45" s="10" t="n"/>
      <c r="Q45" s="15">
        <f>N45/F45</f>
        <v/>
      </c>
    </row>
    <row r="46" ht="36.7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2'!H6</f>
        <v/>
      </c>
      <c r="E46" s="15">
        <f>D46/$D$43</f>
        <v/>
      </c>
      <c r="F46" s="10">
        <f>D46+'[1]2026 Απρίλιος'!F46</f>
        <v/>
      </c>
      <c r="G46" s="15">
        <f>F46/$F$43</f>
        <v/>
      </c>
      <c r="H46" s="14" t="n"/>
      <c r="I46" s="16">
        <f>H46/$H$43</f>
        <v/>
      </c>
      <c r="J46" s="10" t="n"/>
      <c r="K46" s="17">
        <f>J46/$J447</f>
        <v/>
      </c>
      <c r="L46" s="14">
        <f>'[1]2024_60-69 ΕΞΟΔΑ+ΟΜ 2'!H6</f>
        <v/>
      </c>
      <c r="M46" s="15">
        <f>L46/$L$43</f>
        <v/>
      </c>
      <c r="N46" s="10">
        <f>L46+'[1]2026 Απρίλιος'!N46</f>
        <v/>
      </c>
      <c r="O46" s="15">
        <f>N46/$N$43</f>
        <v/>
      </c>
      <c r="P46" s="10" t="n"/>
      <c r="Q46" s="15">
        <f>N46/F46</f>
        <v/>
      </c>
    </row>
    <row r="47" ht="23.2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2'!H7</f>
        <v/>
      </c>
      <c r="E47" s="15">
        <f>D49/$D$43</f>
        <v/>
      </c>
      <c r="F47" s="10">
        <f>D49+'[1]2026 Απρίλιος'!F47</f>
        <v/>
      </c>
      <c r="G47" s="15">
        <f>F49/$F$43</f>
        <v/>
      </c>
      <c r="H47" s="14" t="n"/>
      <c r="I47" s="16">
        <f>H49/$H$43</f>
        <v/>
      </c>
      <c r="J47" s="10" t="n"/>
      <c r="K47" s="17">
        <f>J49/$J448</f>
        <v/>
      </c>
      <c r="L47" s="14">
        <f>'[1]2024_60-69 ΕΞΟΔΑ+ΟΜ 2'!H7</f>
        <v/>
      </c>
      <c r="M47" s="15">
        <f>L49/$L$43</f>
        <v/>
      </c>
      <c r="N47" s="10">
        <f>L49+'[1]2026 Απρίλιος'!N47</f>
        <v/>
      </c>
      <c r="O47" s="15">
        <f>N49/$N$43</f>
        <v/>
      </c>
      <c r="P47" s="10" t="n"/>
      <c r="Q47" s="15">
        <f>N49/F49</f>
        <v/>
      </c>
    </row>
    <row r="48" ht="23.2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2'!H8</f>
        <v/>
      </c>
      <c r="E48" s="15">
        <f>D50/$D$43</f>
        <v/>
      </c>
      <c r="F48" s="10">
        <f>D50+'[1]2026 Απρίλιος'!F48</f>
        <v/>
      </c>
      <c r="G48" s="15">
        <f>F50/$F$43</f>
        <v/>
      </c>
      <c r="H48" s="14" t="n"/>
      <c r="I48" s="16">
        <f>H50/$H$43</f>
        <v/>
      </c>
      <c r="J48" s="10" t="n"/>
      <c r="K48" s="17">
        <f>J50/$J449</f>
        <v/>
      </c>
      <c r="L48" s="14">
        <f>'[1]2024_60-69 ΕΞΟΔΑ+ΟΜ 2'!H8</f>
        <v/>
      </c>
      <c r="M48" s="15">
        <f>L50/$L$43</f>
        <v/>
      </c>
      <c r="N48" s="10">
        <f>L50+'[1]2026 Απρίλιος'!N48</f>
        <v/>
      </c>
      <c r="O48" s="15">
        <f>N50/$N$43</f>
        <v/>
      </c>
      <c r="P48" s="10" t="n"/>
      <c r="Q48" s="15">
        <f>N50/F50</f>
        <v/>
      </c>
    </row>
    <row r="49" ht="36.7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2'!H9</f>
        <v/>
      </c>
      <c r="E49" s="15">
        <f>D51/$D$43</f>
        <v/>
      </c>
      <c r="F49" s="10">
        <f>D51+'[1]2026 Απρίλιος'!F49</f>
        <v/>
      </c>
      <c r="G49" s="15">
        <f>F51/$F$43</f>
        <v/>
      </c>
      <c r="H49" s="14" t="n"/>
      <c r="I49" s="16">
        <f>H51/$H$43</f>
        <v/>
      </c>
      <c r="J49" s="10" t="n"/>
      <c r="K49" s="17">
        <f>J51/$J450</f>
        <v/>
      </c>
      <c r="L49" s="14">
        <f>'[1]2024_60-69 ΕΞΟΔΑ+ΟΜ 2'!H9</f>
        <v/>
      </c>
      <c r="M49" s="15">
        <f>L51/$L$43</f>
        <v/>
      </c>
      <c r="N49" s="10">
        <f>L51+'[1]2026 Απρίλιος'!N49</f>
        <v/>
      </c>
      <c r="O49" s="15">
        <f>N51/$N$43</f>
        <v/>
      </c>
      <c r="P49" s="10" t="n"/>
      <c r="Q49" s="15">
        <f>N51/F51</f>
        <v/>
      </c>
    </row>
    <row r="50" ht="36.7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2'!H10</f>
        <v/>
      </c>
      <c r="E50" s="15">
        <f>D54/$D$43</f>
        <v/>
      </c>
      <c r="F50" s="10">
        <f>D54+'[1]2026 Απρίλιος'!F50</f>
        <v/>
      </c>
      <c r="G50" s="15">
        <f>F54/$F$43</f>
        <v/>
      </c>
      <c r="H50" s="14" t="n"/>
      <c r="I50" s="16">
        <f>H54/$H$43</f>
        <v/>
      </c>
      <c r="J50" s="10" t="n"/>
      <c r="K50" s="17">
        <f>J54/$J451</f>
        <v/>
      </c>
      <c r="L50" s="14">
        <f>'[1]2024_60-69 ΕΞΟΔΑ+ΟΜ 2'!H10</f>
        <v/>
      </c>
      <c r="M50" s="15">
        <f>L54/$L$43</f>
        <v/>
      </c>
      <c r="N50" s="10">
        <f>L54+'[1]2026 Απρίλιος'!N50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2'!H11</f>
        <v/>
      </c>
      <c r="E51" s="15">
        <f>D55/$D$43</f>
        <v/>
      </c>
      <c r="F51" s="10">
        <f>D55+'[1]2026 Απρίλιος'!F51</f>
        <v/>
      </c>
      <c r="G51" s="15">
        <f>F55/$F$43</f>
        <v/>
      </c>
      <c r="H51" s="14" t="n"/>
      <c r="I51" s="16">
        <f>H55/$H$43</f>
        <v/>
      </c>
      <c r="J51" s="10" t="n"/>
      <c r="K51" s="17">
        <f>J55/$J452</f>
        <v/>
      </c>
      <c r="L51" s="14">
        <f>'[1]2024_60-69 ΕΞΟΔΑ+ΟΜ 2'!H11</f>
        <v/>
      </c>
      <c r="M51" s="15">
        <f>L55/$L$43</f>
        <v/>
      </c>
      <c r="N51" s="10">
        <f>L55+'[1]2026 Απρίλιος'!N51</f>
        <v/>
      </c>
      <c r="O51" s="15">
        <f>N55/$N$43</f>
        <v/>
      </c>
      <c r="P51" s="10" t="n"/>
      <c r="Q51" s="15">
        <f>N55/F55</f>
        <v/>
      </c>
    </row>
    <row r="52" ht="23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2'!H12</f>
        <v/>
      </c>
      <c r="E52" s="15">
        <f>D56/$D$43</f>
        <v/>
      </c>
      <c r="F52" s="10">
        <f>D56+'[1]2026 Απρίλιος'!F52</f>
        <v/>
      </c>
      <c r="G52" s="15">
        <f>F56/$F$43</f>
        <v/>
      </c>
      <c r="H52" s="14" t="n"/>
      <c r="I52" s="16">
        <f>H56/$H$43</f>
        <v/>
      </c>
      <c r="J52" s="10" t="n"/>
      <c r="K52" s="17">
        <f>J56/$J453</f>
        <v/>
      </c>
      <c r="L52" s="14">
        <f>'[1]2024_60-69 ΕΞΟΔΑ+ΟΜ 2'!H12</f>
        <v/>
      </c>
      <c r="M52" s="15">
        <f>L56/$L$43</f>
        <v/>
      </c>
      <c r="N52" s="10">
        <f>L56+'[1]2026 Απρίλιος'!N52</f>
        <v/>
      </c>
      <c r="O52" s="15">
        <f>N56/$N$43</f>
        <v/>
      </c>
      <c r="P52" s="10" t="n"/>
      <c r="Q52" s="15">
        <f>N56/F56</f>
        <v/>
      </c>
    </row>
    <row r="53" ht="23.2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2'!H13</f>
        <v/>
      </c>
      <c r="E53" s="15">
        <f>D57/$D$43</f>
        <v/>
      </c>
      <c r="F53" s="10">
        <f>D57+'[1]2026 Απρίλιος'!F53</f>
        <v/>
      </c>
      <c r="G53" s="15">
        <f>F57/$F$43</f>
        <v/>
      </c>
      <c r="H53" s="14" t="n"/>
      <c r="I53" s="16">
        <f>H57/$H$43</f>
        <v/>
      </c>
      <c r="J53" s="10" t="n"/>
      <c r="K53" s="17">
        <f>J57/$J454</f>
        <v/>
      </c>
      <c r="L53" s="14">
        <f>'[1]2024_60-69 ΕΞΟΔΑ+ΟΜ 2'!H13</f>
        <v/>
      </c>
      <c r="M53" s="15">
        <f>L57/$L$43</f>
        <v/>
      </c>
      <c r="N53" s="10">
        <f>L57+'[1]2026 Απρίλιος'!N53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2'!H14</f>
        <v/>
      </c>
      <c r="E54" s="15">
        <f>D58/$D$43</f>
        <v/>
      </c>
      <c r="F54" s="10">
        <f>D58+'[1]2026 Απρίλιος'!F54</f>
        <v/>
      </c>
      <c r="G54" s="15">
        <f>F58/$F$43</f>
        <v/>
      </c>
      <c r="H54" s="14" t="n"/>
      <c r="I54" s="16">
        <f>H58/$H$43</f>
        <v/>
      </c>
      <c r="J54" s="10" t="n"/>
      <c r="K54" s="17">
        <f>J58/$J455</f>
        <v/>
      </c>
      <c r="L54" s="14">
        <f>'[1]2024_60-69 ΕΞΟΔΑ+ΟΜ 2'!H14</f>
        <v/>
      </c>
      <c r="M54" s="15">
        <f>L58/$L$43</f>
        <v/>
      </c>
      <c r="N54" s="10">
        <f>L58+'[1]2026 Απρίλιος'!N54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2'!H15</f>
        <v/>
      </c>
      <c r="E55" s="15">
        <f>D59/$D$43</f>
        <v/>
      </c>
      <c r="F55" s="10">
        <f>D59+'[1]2026 Απρίλιος'!F55</f>
        <v/>
      </c>
      <c r="G55" s="15">
        <f>F59/$F$43</f>
        <v/>
      </c>
      <c r="H55" s="14" t="n"/>
      <c r="I55" s="16">
        <f>H59/$H$43</f>
        <v/>
      </c>
      <c r="J55" s="10" t="n"/>
      <c r="K55" s="17">
        <f>J59/$J456</f>
        <v/>
      </c>
      <c r="L55" s="14">
        <f>'[1]2024_60-69 ΕΞΟΔΑ+ΟΜ 2'!H15</f>
        <v/>
      </c>
      <c r="M55" s="15">
        <f>L59/$L$43</f>
        <v/>
      </c>
      <c r="N55" s="10">
        <f>L59+'[1]2026 Απρίλιος'!N55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2'!H16</f>
        <v/>
      </c>
      <c r="E56" s="15">
        <f>D60/$D$43</f>
        <v/>
      </c>
      <c r="F56" s="10">
        <f>D60+'[1]2026 Απρίλιος'!F56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J60/$J457</f>
        <v/>
      </c>
      <c r="L56" s="14">
        <f>'[1]2024_60-69 ΕΞΟΔΑ+ΟΜ 2'!H16</f>
        <v/>
      </c>
      <c r="M56" s="15">
        <f>L60/$L$43</f>
        <v/>
      </c>
      <c r="N56" s="10">
        <f>L60+'[1]2026 Απρίλιος'!N56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2'!H17</f>
        <v/>
      </c>
      <c r="E57" s="15">
        <f>D61/$D$43</f>
        <v/>
      </c>
      <c r="F57" s="10">
        <f>D61+'[1]2026 Απρίλιος'!F57</f>
        <v/>
      </c>
      <c r="G57" s="15">
        <f>F61/$F$43</f>
        <v/>
      </c>
      <c r="H57" s="14" t="n"/>
      <c r="I57" s="16">
        <f>H61/$H$43</f>
        <v/>
      </c>
      <c r="J57" s="10" t="n"/>
      <c r="K57" s="17">
        <f>J61/$J458</f>
        <v/>
      </c>
      <c r="L57" s="14">
        <f>'[1]2024_60-69 ΕΞΟΔΑ+ΟΜ 2'!H17</f>
        <v/>
      </c>
      <c r="M57" s="15">
        <f>L61/$L$43</f>
        <v/>
      </c>
      <c r="N57" s="10">
        <f>L61+'[1]2026 Απρίλιος'!N57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2'!H18</f>
        <v/>
      </c>
      <c r="E58" s="15">
        <f>D62/$D$43</f>
        <v/>
      </c>
      <c r="F58" s="10">
        <f>D62+'[1]2026 Απρίλιος'!F58</f>
        <v/>
      </c>
      <c r="G58" s="15">
        <f>F62/$F$43</f>
        <v/>
      </c>
      <c r="H58" s="14" t="n"/>
      <c r="I58" s="16">
        <f>H62/$H$43</f>
        <v/>
      </c>
      <c r="J58" s="10" t="n"/>
      <c r="K58" s="17">
        <f>J62/$J459</f>
        <v/>
      </c>
      <c r="L58" s="14">
        <f>'[1]2024_60-69 ΕΞΟΔΑ+ΟΜ 2'!H18</f>
        <v/>
      </c>
      <c r="M58" s="15">
        <f>L62/$L$43</f>
        <v/>
      </c>
      <c r="N58" s="10">
        <f>L62+'[1]2026 Απρίλιος'!N58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2'!H19</f>
        <v/>
      </c>
      <c r="E59" s="15">
        <f>D63/$D$43</f>
        <v/>
      </c>
      <c r="F59" s="10">
        <f>D63+'[1]2026 Απρίλιος'!F59</f>
        <v/>
      </c>
      <c r="G59" s="15">
        <f>F63/$F$43</f>
        <v/>
      </c>
      <c r="H59" s="14" t="n"/>
      <c r="I59" s="16">
        <f>H63/$H$43</f>
        <v/>
      </c>
      <c r="J59" s="10" t="n"/>
      <c r="K59" s="17">
        <f>J63/$J460</f>
        <v/>
      </c>
      <c r="L59" s="14">
        <f>'[1]2024_60-69 ΕΞΟΔΑ+ΟΜ 2'!H19</f>
        <v/>
      </c>
      <c r="M59" s="15">
        <f>L63/$L$43</f>
        <v/>
      </c>
      <c r="N59" s="10">
        <f>L63+'[1]2026 Απρίλιος'!N59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2'!H20</f>
        <v/>
      </c>
      <c r="E60" s="15">
        <f>D64/$D$43</f>
        <v/>
      </c>
      <c r="F60" s="10">
        <f>D64+'[1]2026 Απρίλιος'!F60</f>
        <v/>
      </c>
      <c r="G60" s="15">
        <f>F64/$F$43</f>
        <v/>
      </c>
      <c r="H60" s="14" t="n"/>
      <c r="I60" s="16">
        <f>H64/$H$43</f>
        <v/>
      </c>
      <c r="J60" s="10" t="n"/>
      <c r="K60" s="17">
        <f>J64/$J461</f>
        <v/>
      </c>
      <c r="L60" s="14">
        <f>'[1]2024_60-69 ΕΞΟΔΑ+ΟΜ 2'!H20</f>
        <v/>
      </c>
      <c r="M60" s="15">
        <f>L64/$L$43</f>
        <v/>
      </c>
      <c r="N60" s="10">
        <f>L64+'[1]2026 Απρίλιος'!N60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2'!H21</f>
        <v/>
      </c>
      <c r="E61" s="15">
        <f>D65/$D$43</f>
        <v/>
      </c>
      <c r="F61" s="10">
        <f>D65+'[1]2026 Απρίλιος'!F61</f>
        <v/>
      </c>
      <c r="G61" s="15">
        <f>F65/$F$43</f>
        <v/>
      </c>
      <c r="H61" s="14" t="n"/>
      <c r="I61" s="16">
        <f>H65/$H$43</f>
        <v/>
      </c>
      <c r="J61" s="10" t="n"/>
      <c r="K61" s="17">
        <f>J65/$J462</f>
        <v/>
      </c>
      <c r="L61" s="14">
        <f>'[1]2024_60-69 ΕΞΟΔΑ+ΟΜ 2'!H21</f>
        <v/>
      </c>
      <c r="M61" s="15">
        <f>L65/$L$43</f>
        <v/>
      </c>
      <c r="N61" s="10">
        <f>L65+'[1]2026 Απρίλιος'!N61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2'!H22</f>
        <v/>
      </c>
      <c r="E62" s="15">
        <f>D66/$D$43</f>
        <v/>
      </c>
      <c r="F62" s="10">
        <f>D66+'[1]2026 Απρίλιος'!F62</f>
        <v/>
      </c>
      <c r="G62" s="15">
        <f>F66/$F$43</f>
        <v/>
      </c>
      <c r="H62" s="14" t="n"/>
      <c r="I62" s="16">
        <f>H66/$H$43</f>
        <v/>
      </c>
      <c r="J62" s="10" t="n"/>
      <c r="K62" s="17">
        <f>J66/$J463</f>
        <v/>
      </c>
      <c r="L62" s="14">
        <f>'[1]2024_60-69 ΕΞΟΔΑ+ΟΜ 2'!H22</f>
        <v/>
      </c>
      <c r="M62" s="15">
        <f>L66/$L$43</f>
        <v/>
      </c>
      <c r="N62" s="10">
        <f>L66+'[1]2026 Απρίλιος'!N62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2'!H23</f>
        <v/>
      </c>
      <c r="E63" s="15">
        <f>D67/$D$43</f>
        <v/>
      </c>
      <c r="F63" s="10">
        <f>D67+'[1]2026 Απρίλιος'!F63</f>
        <v/>
      </c>
      <c r="G63" s="15">
        <f>F67/$F$43</f>
        <v/>
      </c>
      <c r="H63" s="14" t="n"/>
      <c r="I63" s="16">
        <f>H67/$H$43</f>
        <v/>
      </c>
      <c r="J63" s="10" t="n"/>
      <c r="K63" s="17">
        <f>J67/$J464</f>
        <v/>
      </c>
      <c r="L63" s="14">
        <f>'[1]2024_60-69 ΕΞΟΔΑ+ΟΜ 2'!H23</f>
        <v/>
      </c>
      <c r="M63" s="15">
        <f>L67/$L$43</f>
        <v/>
      </c>
      <c r="N63" s="10">
        <f>L67+'[1]2026 Απρίλιος'!N63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2'!H24</f>
        <v/>
      </c>
      <c r="E64" s="15">
        <f>D68/$D$43</f>
        <v/>
      </c>
      <c r="F64" s="10">
        <f>D68+'[1]2026 Απρίλιος'!F64</f>
        <v/>
      </c>
      <c r="G64" s="15">
        <f>F68/$F$43</f>
        <v/>
      </c>
      <c r="H64" s="14" t="n"/>
      <c r="I64" s="16">
        <f>H68/$H$43</f>
        <v/>
      </c>
      <c r="J64" s="10" t="n"/>
      <c r="K64" s="17">
        <f>J68/$J465</f>
        <v/>
      </c>
      <c r="L64" s="14">
        <f>'[1]2024_60-69 ΕΞΟΔΑ+ΟΜ 2'!H24</f>
        <v/>
      </c>
      <c r="M64" s="15">
        <f>L68/$L$43</f>
        <v/>
      </c>
      <c r="N64" s="10">
        <f>L68+'[1]2026 Απρίλιος'!N64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2'!H25</f>
        <v/>
      </c>
      <c r="E65" s="15">
        <f>D69/$D$43</f>
        <v/>
      </c>
      <c r="F65" s="10">
        <f>D69+'[1]2026 Απρίλιος'!F65</f>
        <v/>
      </c>
      <c r="G65" s="15">
        <f>F69/$F$43</f>
        <v/>
      </c>
      <c r="H65" s="14" t="n"/>
      <c r="I65" s="16">
        <f>H69/$H$43</f>
        <v/>
      </c>
      <c r="J65" s="10" t="n"/>
      <c r="K65" s="17">
        <f>J69/$J466</f>
        <v/>
      </c>
      <c r="L65" s="14">
        <f>'[1]2024_60-69 ΕΞΟΔΑ+ΟΜ 2'!H25</f>
        <v/>
      </c>
      <c r="M65" s="15">
        <f>L69/$L$43</f>
        <v/>
      </c>
      <c r="N65" s="10">
        <f>L69+'[1]2026 Απρίλιος'!N65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2'!H26</f>
        <v/>
      </c>
      <c r="E66" s="15">
        <f>D70/$D$43</f>
        <v/>
      </c>
      <c r="F66" s="10">
        <f>D70+'[1]2026 Απρίλιος'!F66</f>
        <v/>
      </c>
      <c r="G66" s="15">
        <f>F70/$F$43</f>
        <v/>
      </c>
      <c r="H66" s="14" t="n"/>
      <c r="I66" s="16">
        <f>H70/$H$43</f>
        <v/>
      </c>
      <c r="J66" s="10" t="n"/>
      <c r="K66" s="17">
        <f>J70/$J467</f>
        <v/>
      </c>
      <c r="L66" s="14">
        <f>'[1]2024_60-69 ΕΞΟΔΑ+ΟΜ 2'!H26</f>
        <v/>
      </c>
      <c r="M66" s="15">
        <f>L70/$L$43</f>
        <v/>
      </c>
      <c r="N66" s="10">
        <f>L70+'[1]2026 Απρίλιος'!N66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2'!H27</f>
        <v/>
      </c>
      <c r="E67" s="15">
        <f>D71/$D$43</f>
        <v/>
      </c>
      <c r="F67" s="10">
        <f>D71+'[1]2026 Απρίλιος'!F67</f>
        <v/>
      </c>
      <c r="G67" s="15">
        <f>F71/$F$43</f>
        <v/>
      </c>
      <c r="H67" s="14" t="n"/>
      <c r="I67" s="16">
        <f>H71/$H$43</f>
        <v/>
      </c>
      <c r="J67" s="10" t="n"/>
      <c r="K67" s="17">
        <f>J71/$J468</f>
        <v/>
      </c>
      <c r="L67" s="14">
        <f>'[1]2024_60-69 ΕΞΟΔΑ+ΟΜ 2'!H27</f>
        <v/>
      </c>
      <c r="M67" s="15">
        <f>L71/$L$43</f>
        <v/>
      </c>
      <c r="N67" s="10">
        <f>L71+'[1]2026 Απρίλιος'!N67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2'!H28</f>
        <v/>
      </c>
      <c r="E68" s="15">
        <f>D72/$D$43</f>
        <v/>
      </c>
      <c r="F68" s="10">
        <f>D72+'[1]2026 Απρίλιος'!F68</f>
        <v/>
      </c>
      <c r="G68" s="15">
        <f>F72/$F$43</f>
        <v/>
      </c>
      <c r="H68" s="14" t="n"/>
      <c r="I68" s="16">
        <f>H72/$H$43</f>
        <v/>
      </c>
      <c r="J68" s="10" t="n"/>
      <c r="K68" s="17">
        <f>J72/$J469</f>
        <v/>
      </c>
      <c r="L68" s="14">
        <f>'[1]2024_60-69 ΕΞΟΔΑ+ΟΜ 2'!H28</f>
        <v/>
      </c>
      <c r="M68" s="15">
        <f>L72/$L$43</f>
        <v/>
      </c>
      <c r="N68" s="10">
        <f>L72+'[1]2026 Απρίλιος'!N68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2'!H29</f>
        <v/>
      </c>
      <c r="E69" s="15">
        <f>D73/$D$43</f>
        <v/>
      </c>
      <c r="F69" s="10">
        <f>D73+'[1]2026 Απρίλιος'!F69</f>
        <v/>
      </c>
      <c r="G69" s="15">
        <f>F73/$F$43</f>
        <v/>
      </c>
      <c r="H69" s="14" t="n"/>
      <c r="I69" s="16">
        <f>H73/$H$43</f>
        <v/>
      </c>
      <c r="J69" s="10" t="n"/>
      <c r="K69" s="17">
        <f>J73/$J470</f>
        <v/>
      </c>
      <c r="L69" s="14">
        <f>'[1]2024_60-69 ΕΞΟΔΑ+ΟΜ 2'!H29</f>
        <v/>
      </c>
      <c r="M69" s="15">
        <f>L73/$L$43</f>
        <v/>
      </c>
      <c r="N69" s="10">
        <f>L73+'[1]2026 Απρίλιος'!N69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D74+'[1]2026 Απρίλιος'!F70</f>
        <v/>
      </c>
      <c r="G70" s="15">
        <f>F74/$F$43</f>
        <v/>
      </c>
      <c r="H70" s="14" t="n"/>
      <c r="I70" s="16">
        <f>H74/$H$43</f>
        <v/>
      </c>
      <c r="J70" s="10" t="n"/>
      <c r="K70" s="17">
        <f>J74/$J471</f>
        <v/>
      </c>
      <c r="L70" s="14">
        <f>'[1]2024_60-69 ΕΞΟΔΑ+ΟΜ 2'!H30</f>
        <v/>
      </c>
      <c r="M70" s="15">
        <f>L74/$L$43</f>
        <v/>
      </c>
      <c r="N70" s="10">
        <f>L74+'[1]2026 Απρίλιος'!N70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2'!H31</f>
        <v/>
      </c>
      <c r="E71" s="15">
        <f>D75/$D$43</f>
        <v/>
      </c>
      <c r="F71" s="10">
        <f>D75+'[1]2026 Απρίλιος'!F71</f>
        <v/>
      </c>
      <c r="G71" s="15">
        <f>F75/$F$43</f>
        <v/>
      </c>
      <c r="H71" s="14" t="n"/>
      <c r="I71" s="16">
        <f>H75/$H$43</f>
        <v/>
      </c>
      <c r="J71" s="10" t="n"/>
      <c r="K71" s="17">
        <f>J75/$J472</f>
        <v/>
      </c>
      <c r="L71" s="14">
        <f>'[1]2024_60-69 ΕΞΟΔΑ+ΟΜ 2'!H31</f>
        <v/>
      </c>
      <c r="M71" s="15">
        <f>L75/$L$43</f>
        <v/>
      </c>
      <c r="N71" s="10">
        <f>L75+'[1]2026 Απρίλιος'!N71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2'!H32</f>
        <v/>
      </c>
      <c r="E72" s="15">
        <f>D76/$D$43</f>
        <v/>
      </c>
      <c r="F72" s="10">
        <f>D76+'[1]2026 Απρίλιος'!F72</f>
        <v/>
      </c>
      <c r="G72" s="15">
        <f>F76/$F$43</f>
        <v/>
      </c>
      <c r="H72" s="14" t="n"/>
      <c r="I72" s="16">
        <f>H76/$H$43</f>
        <v/>
      </c>
      <c r="J72" s="10" t="n"/>
      <c r="K72" s="17">
        <f>J76/$J473</f>
        <v/>
      </c>
      <c r="L72" s="14">
        <f>'[1]2024_60-69 ΕΞΟΔΑ+ΟΜ 2'!H32</f>
        <v/>
      </c>
      <c r="M72" s="15">
        <f>L76/$L$43</f>
        <v/>
      </c>
      <c r="N72" s="10">
        <f>L76+'[1]2026 Απρίλιος'!N72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2'!H33</f>
        <v/>
      </c>
      <c r="E73" s="15">
        <f>D77/$D$43</f>
        <v/>
      </c>
      <c r="F73" s="10">
        <f>D77+'[1]2026 Απρίλιος'!F73</f>
        <v/>
      </c>
      <c r="G73" s="15">
        <f>F77/$F$43</f>
        <v/>
      </c>
      <c r="H73" s="14" t="n"/>
      <c r="I73" s="16">
        <f>H77/$H$43</f>
        <v/>
      </c>
      <c r="J73" s="10" t="n"/>
      <c r="K73" s="17">
        <f>J77/$J474</f>
        <v/>
      </c>
      <c r="L73" s="14">
        <f>'[1]2024_60-69 ΕΞΟΔΑ+ΟΜ 2'!H33</f>
        <v/>
      </c>
      <c r="M73" s="15">
        <f>L77/$L$43</f>
        <v/>
      </c>
      <c r="N73" s="10">
        <f>L77+'[1]2026 Απρίλιος'!N73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2'!H3</f>
        <v/>
      </c>
      <c r="E74" s="21" t="n"/>
      <c r="F74" s="7">
        <f>D78+'[1]2026 Απρίλιος'!F74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[1]ΑΝΤΙΣΤΟΙΧΙΣΗ!$F$110</f>
        <v/>
      </c>
      <c r="E78" s="192" t="n"/>
      <c r="F78" s="56" t="n"/>
      <c r="G78" s="61">
        <f>[1]ΑΝΤΙΣΤΟΙΧΙΣΗ!$D$34</f>
        <v/>
      </c>
      <c r="H78" s="180">
        <f>[1]ΑΝΤΙΣΤΟΙΧΙΣΗ!$F$110</f>
        <v/>
      </c>
      <c r="I78" s="192" t="n"/>
      <c r="J78" s="56" t="n"/>
      <c r="K78" s="61">
        <f>[1]ΑΝΤΙΣΤΟΙΧΙΣΗ!$D$34</f>
        <v/>
      </c>
      <c r="L78" s="180">
        <f>[1]ΑΝΤΙΣΤΟΙΧΙΣΗ!$F$124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2'!H39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2'!H37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2'!H40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2'!H38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2'!H43</f>
        <v/>
      </c>
      <c r="E83" s="15">
        <f>D87/$D$84</f>
        <v/>
      </c>
      <c r="F83" s="79">
        <f>D87+'[1]2026 Απρίλιος'!F87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2'!H41</f>
        <v/>
      </c>
      <c r="M83" s="15">
        <f>L87/$L$84</f>
        <v/>
      </c>
      <c r="N83" s="10">
        <f>L87+'[1]2026 Απρίλιος'!N87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2'!H44</f>
        <v/>
      </c>
      <c r="E84" s="15">
        <f>D88/$D$84</f>
        <v/>
      </c>
      <c r="F84" s="79">
        <f>D88+'[1]2026 Απρίλιος'!F88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2'!H42</f>
        <v/>
      </c>
      <c r="M84" s="15">
        <f>L88/$L$84</f>
        <v/>
      </c>
      <c r="N84" s="10">
        <f>L88+'[1]2026 Απρίλιος'!N88</f>
        <v/>
      </c>
      <c r="O84" s="15">
        <f>N88/$N$84</f>
        <v/>
      </c>
      <c r="P84" s="27" t="n"/>
      <c r="Q84" s="28">
        <f>SUM(D88:P88)</f>
        <v/>
      </c>
    </row>
    <row r="85" ht="23.2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2'!H45</f>
        <v/>
      </c>
      <c r="E85" s="15">
        <f>D89/$D$84</f>
        <v/>
      </c>
      <c r="F85" s="79">
        <f>D89+'[1]2026 Απρίλιος'!F89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2'!H43</f>
        <v/>
      </c>
      <c r="M85" s="15">
        <f>L89/$L$84</f>
        <v/>
      </c>
      <c r="N85" s="10">
        <f>L89+'[1]2026 Απρίλιος'!N89</f>
        <v/>
      </c>
      <c r="O85" s="15">
        <f>N89/$N$84</f>
        <v/>
      </c>
      <c r="P85" s="80" t="n"/>
      <c r="Q85" s="28">
        <f>SUM(D89:P89)</f>
        <v/>
      </c>
    </row>
    <row r="86" ht="23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2'!H46</f>
        <v/>
      </c>
      <c r="E86" s="15">
        <f>D90/$D$84</f>
        <v/>
      </c>
      <c r="F86" s="79">
        <f>D90+'[1]2026 Απρίλιος'!F90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2'!H44</f>
        <v/>
      </c>
      <c r="M86" s="15">
        <f>L90/$L$84</f>
        <v/>
      </c>
      <c r="N86" s="10">
        <f>L90+'[1]2026 Απρίλιος'!N90</f>
        <v/>
      </c>
      <c r="O86" s="15">
        <f>N90/$N$84</f>
        <v/>
      </c>
      <c r="P86" s="80" t="n"/>
      <c r="Q86" s="28">
        <f>SUM(D90:P90)</f>
        <v/>
      </c>
    </row>
    <row r="87" ht="23.2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2'!H47</f>
        <v/>
      </c>
      <c r="E87" s="15">
        <f>D91/$D$84</f>
        <v/>
      </c>
      <c r="F87" s="79">
        <f>D91+'[1]2026 Απρίλιος'!F91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2'!H45</f>
        <v/>
      </c>
      <c r="M87" s="15">
        <f>L91/$L$84</f>
        <v/>
      </c>
      <c r="N87" s="10">
        <f>L91+'[1]2026 Απρίλιος'!N91</f>
        <v/>
      </c>
      <c r="O87" s="15">
        <f>N91/$N$84</f>
        <v/>
      </c>
      <c r="P87" s="80" t="n"/>
      <c r="Q87" s="28">
        <f>SUM(D91:P91)</f>
        <v/>
      </c>
    </row>
    <row r="88" ht="23.2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2'!H48</f>
        <v/>
      </c>
      <c r="E88" s="15">
        <f>D92/$D$84</f>
        <v/>
      </c>
      <c r="F88" s="79">
        <f>D92+'[1]2026 Απρίλιος'!F92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2'!H46</f>
        <v/>
      </c>
      <c r="M88" s="15">
        <f>L92/$L$84</f>
        <v/>
      </c>
      <c r="N88" s="10">
        <f>L92+'[1]2026 Απρίλιος'!N92</f>
        <v/>
      </c>
      <c r="O88" s="15">
        <f>N92/$N$84</f>
        <v/>
      </c>
      <c r="P88" s="27" t="n"/>
      <c r="Q88" s="28">
        <f>SUM(D92:P92)</f>
        <v/>
      </c>
    </row>
    <row r="89" ht="23.2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2'!H49</f>
        <v/>
      </c>
      <c r="E89" s="15">
        <f>D93/$D$84</f>
        <v/>
      </c>
      <c r="F89" s="79">
        <f>D93+'[1]2026 Απρίλιος'!F93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2'!H47</f>
        <v/>
      </c>
      <c r="M89" s="15">
        <f>L93/$L$84</f>
        <v/>
      </c>
      <c r="N89" s="10">
        <f>L93+'[1]2026 Απρίλιος'!N93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2'!H50</f>
        <v/>
      </c>
      <c r="E90" s="15">
        <f>D94/$D$84</f>
        <v/>
      </c>
      <c r="F90" s="79">
        <f>D94+'[1]2026 Απρίλιος'!F94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2'!H48</f>
        <v/>
      </c>
      <c r="M90" s="15">
        <f>L94/$L$84</f>
        <v/>
      </c>
      <c r="N90" s="10">
        <f>L94+'[1]2026 Απρίλιος'!N94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2'!H51</f>
        <v/>
      </c>
      <c r="E91" s="15">
        <f>D95/$D$84</f>
        <v/>
      </c>
      <c r="F91" s="79">
        <f>D95+'[1]2026 Απρίλιος'!F95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2'!H49</f>
        <v/>
      </c>
      <c r="M91" s="15">
        <f>L95/$L$84</f>
        <v/>
      </c>
      <c r="N91" s="10">
        <f>L95+'[1]2026 Απρίλιος'!N95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2'!H52</f>
        <v/>
      </c>
      <c r="E92" s="15">
        <f>D96/$D$84</f>
        <v/>
      </c>
      <c r="F92" s="79">
        <f>D96+'[1]2026 Απρίλιος'!F96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2'!H50</f>
        <v/>
      </c>
      <c r="M92" s="15">
        <f>L96/$L$84</f>
        <v/>
      </c>
      <c r="N92" s="10">
        <f>L96+'[1]2026 Απρίλιος'!N96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2'!H53</f>
        <v/>
      </c>
      <c r="E93" s="15">
        <f>D97/$D$84</f>
        <v/>
      </c>
      <c r="F93" s="79">
        <f>D97+'[1]2026 Απρίλιος'!F97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2'!H51</f>
        <v/>
      </c>
      <c r="M93" s="15">
        <f>L97/$L$84</f>
        <v/>
      </c>
      <c r="N93" s="10">
        <f>L97+'[1]2026 Απρίλιος'!N97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2'!H54</f>
        <v/>
      </c>
      <c r="E94" s="15">
        <f>D98/$D$84</f>
        <v/>
      </c>
      <c r="F94" s="79">
        <f>D98+'[1]2026 Απρίλιος'!F98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2'!H52</f>
        <v/>
      </c>
      <c r="M94" s="15">
        <f>L98/$L$84</f>
        <v/>
      </c>
      <c r="N94" s="10">
        <f>L98+'[1]2026 Απρίλιος'!N98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2'!H55</f>
        <v/>
      </c>
      <c r="E95" s="15">
        <f>D99/$D$84</f>
        <v/>
      </c>
      <c r="F95" s="79">
        <f>D99+'[1]2026 Απρίλιος'!F99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2'!H53</f>
        <v/>
      </c>
      <c r="M95" s="15">
        <f>L99/$L$84</f>
        <v/>
      </c>
      <c r="N95" s="10">
        <f>L99+'[1]2026 Απρίλιος'!N99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2'!H56</f>
        <v/>
      </c>
      <c r="E96" s="15">
        <f>D100/$D$84</f>
        <v/>
      </c>
      <c r="F96" s="79">
        <f>D100+'[1]2026 Απρίλιος'!F100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2'!H54</f>
        <v/>
      </c>
      <c r="M96" s="15">
        <f>L100/$L$84</f>
        <v/>
      </c>
      <c r="N96" s="10">
        <f>L100+'[1]2026 Απρίλιος'!N100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2'!H57</f>
        <v/>
      </c>
      <c r="E97" s="15">
        <f>D101/$D$84</f>
        <v/>
      </c>
      <c r="F97" s="79">
        <f>D101+'[1]2026 Απρίλιος'!F101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2'!H55</f>
        <v/>
      </c>
      <c r="M97" s="15">
        <f>L101/$L$84</f>
        <v/>
      </c>
      <c r="N97" s="10">
        <f>L101+'[1]2026 Απρίλιος'!N101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2'!H58</f>
        <v/>
      </c>
      <c r="E98" s="15">
        <f>D102/$D$84</f>
        <v/>
      </c>
      <c r="F98" s="79">
        <f>D102+'[1]2026 Απρίλιος'!F102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2'!H56</f>
        <v/>
      </c>
      <c r="M98" s="15">
        <f>L102/$L$84</f>
        <v/>
      </c>
      <c r="N98" s="10">
        <f>L102+'[1]2026 Απρίλιος'!N102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2'!H59</f>
        <v/>
      </c>
      <c r="E99" s="15">
        <f>D103/$D$84</f>
        <v/>
      </c>
      <c r="F99" s="79">
        <f>D103+'[1]2026 Απρίλιος'!F103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2'!H57</f>
        <v/>
      </c>
      <c r="M99" s="15">
        <f>L103/$L$84</f>
        <v/>
      </c>
      <c r="N99" s="10">
        <f>L103+'[1]2026 Απρίλιος'!N103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2'!H60</f>
        <v/>
      </c>
      <c r="E100" s="15">
        <f>D104/$D$84</f>
        <v/>
      </c>
      <c r="F100" s="79">
        <f>D104+'[1]2026 Απρίλιος'!F104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2'!H58</f>
        <v/>
      </c>
      <c r="M100" s="15">
        <f>L104/$L$84</f>
        <v/>
      </c>
      <c r="N100" s="10">
        <f>L104+'[1]2026 Απρίλιος'!N104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2'!H61</f>
        <v/>
      </c>
      <c r="E101" s="15">
        <f>D105/$D$84</f>
        <v/>
      </c>
      <c r="F101" s="79">
        <f>D105+'[1]2026 Απρίλιος'!F105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2'!H59</f>
        <v/>
      </c>
      <c r="M101" s="15">
        <f>L105/$L$84</f>
        <v/>
      </c>
      <c r="N101" s="10">
        <f>L105+'[1]2026 Απρίλιος'!N105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>
        <f>H106/$H$84</f>
        <v/>
      </c>
      <c r="J102" s="27" t="n"/>
      <c r="K102" s="27">
        <f>J106/$J$84</f>
        <v/>
      </c>
      <c r="L102" s="79">
        <f>'[1]2024_60-69 ΕΞΟΔΑ+ΟΜ 2'!H60</f>
        <v/>
      </c>
      <c r="M102" s="15">
        <f>L106/$L$84</f>
        <v/>
      </c>
      <c r="N102" s="27">
        <f>L106+'[1]2026 Απρίλιος'!N106</f>
        <v/>
      </c>
      <c r="O102" s="27">
        <f>N106/$N$84</f>
        <v/>
      </c>
      <c r="P102" s="27" t="n"/>
      <c r="Q102" s="28">
        <f>SUM(D106:P106)</f>
        <v/>
      </c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>
        <f>'[1]2024_60-69 ΕΞΟΔΑ+ΟΜ 2'!H61</f>
        <v/>
      </c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2'!H36</f>
        <v/>
      </c>
      <c r="E107" s="8" t="n"/>
      <c r="F107" s="7">
        <f>D111+'[1]2026 Απρίλιος'!F111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[1]ΑΝΤΙΣΤΟΙΧΙΣΗ!$F$110</f>
        <v/>
      </c>
      <c r="E110" s="192" t="n"/>
      <c r="F110" s="56" t="n"/>
      <c r="G110" s="61">
        <f>[1]ΑΝΤΙΣΤΟΙΧΙΣΗ!$D$34</f>
        <v/>
      </c>
      <c r="H110" s="180">
        <f>[1]ΑΝΤΙΣΤΟΙΧΙΣΗ!$F$110</f>
        <v/>
      </c>
      <c r="I110" s="192" t="n"/>
      <c r="J110" s="56" t="n"/>
      <c r="K110" s="61">
        <f>[1]ΑΝΤΙΣΤΟΙΧΙΣΗ!$D$34</f>
        <v/>
      </c>
      <c r="L110" s="180">
        <f>[1]ΑΝΤΙΣΤΟΙΧΙΣΗ!$F$124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'[1]2026_60-69 ΕΞΟΔΑ+ΟΜ 2'!H74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2'!H66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'[1]2026_60-69 ΕΞΟΔΑ+ΟΜ 2'!H75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2'!H67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'[1]2026_60-69 ΕΞΟΔΑ+ΟΜ 2'!H76</f>
        <v/>
      </c>
      <c r="E115" s="15">
        <f>D119/$D$116</f>
        <v/>
      </c>
      <c r="F115" s="10">
        <f>D119+'[1]2026 Απρίλιος'!F119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2'!H68</f>
        <v/>
      </c>
      <c r="M115" s="15">
        <f>L119/$L$116</f>
        <v/>
      </c>
      <c r="N115" s="10">
        <f>L119+'[1]2026 Απρίλιος'!N119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'[1]2026_60-69 ΕΞΟΔΑ+ΟΜ 2'!H77</f>
        <v/>
      </c>
      <c r="E116" s="15">
        <f>D120/$D$116</f>
        <v/>
      </c>
      <c r="F116" s="10">
        <f>D120+'[1]2026 Απρίλιος'!F120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2'!H69</f>
        <v/>
      </c>
      <c r="M116" s="15">
        <f>L120/$L$116</f>
        <v/>
      </c>
      <c r="N116" s="10">
        <f>L120+'[1]2026 Απρίλιος'!N120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'[1]2026_60-69 ΕΞΟΔΑ+ΟΜ 2'!H78</f>
        <v/>
      </c>
      <c r="E117" s="15">
        <f>D121/$D$116</f>
        <v/>
      </c>
      <c r="F117" s="10">
        <f>D121+'[1]2026 Απρίλιος'!F121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2'!H70</f>
        <v/>
      </c>
      <c r="M117" s="15">
        <f>L121/$L$116</f>
        <v/>
      </c>
      <c r="N117" s="10">
        <f>L121+'[1]2026 Απρίλιος'!N121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'[1]2026_60-69 ΕΞΟΔΑ+ΟΜ 2'!H79</f>
        <v/>
      </c>
      <c r="E118" s="15">
        <f>D122/$D$116</f>
        <v/>
      </c>
      <c r="F118" s="10">
        <f>D122+'[1]2026 Απρίλιος'!F122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2'!H71</f>
        <v/>
      </c>
      <c r="M118" s="15">
        <f>L122/$L$116</f>
        <v/>
      </c>
      <c r="N118" s="10">
        <f>L122+'[1]2026 Απρίλιος'!N122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'[1]2026_60-69 ΕΞΟΔΑ+ΟΜ 2'!H80</f>
        <v/>
      </c>
      <c r="E119" s="15">
        <f>D123/$D$116</f>
        <v/>
      </c>
      <c r="F119" s="10">
        <f>D123+'[1]2026 Απρίλιος'!F123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2'!H72</f>
        <v/>
      </c>
      <c r="M119" s="15">
        <f>L123/$L$116</f>
        <v/>
      </c>
      <c r="N119" s="10">
        <f>L123+'[1]2026 Απρίλιος'!N123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'[1]2026_60-69 ΕΞΟΔΑ+ΟΜ 2'!H81</f>
        <v/>
      </c>
      <c r="E120" s="15">
        <f>D124/$D$116</f>
        <v/>
      </c>
      <c r="F120" s="10">
        <f>D124+'[1]2026 Απρίλιος'!F124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2'!H73</f>
        <v/>
      </c>
      <c r="M120" s="15">
        <f>L124/$L$116</f>
        <v/>
      </c>
      <c r="N120" s="10">
        <f>L124+'[1]2026 Απρίλιος'!N124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'[1]2026_60-69 ΕΞΟΔΑ+ΟΜ 2'!H82</f>
        <v/>
      </c>
      <c r="E121" s="15">
        <f>D125/$D$116</f>
        <v/>
      </c>
      <c r="F121" s="10">
        <f>D125+'[1]2026 Απρίλιος'!F125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2'!H74</f>
        <v/>
      </c>
      <c r="M121" s="15">
        <f>L125/$L$116</f>
        <v/>
      </c>
      <c r="N121" s="10">
        <f>L125+'[1]2026 Απρίλιος'!N125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'[1]2026_60-69 ΕΞΟΔΑ+ΟΜ 2'!H83</f>
        <v/>
      </c>
      <c r="E122" s="15">
        <f>D126/$D$116</f>
        <v/>
      </c>
      <c r="F122" s="10">
        <f>D126+'[1]2026 Απρίλιος'!F126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2'!H75</f>
        <v/>
      </c>
      <c r="M122" s="15">
        <f>L126/$L$116</f>
        <v/>
      </c>
      <c r="N122" s="10">
        <f>L126+'[1]2026 Απρίλιος'!N126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'[1]2026_60-69 ΕΞΟΔΑ+ΟΜ 2'!H84</f>
        <v/>
      </c>
      <c r="E123" s="15">
        <f>D127/$D$116</f>
        <v/>
      </c>
      <c r="F123" s="10">
        <f>D127+'[1]2026 Απρίλιος'!F127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2'!H76</f>
        <v/>
      </c>
      <c r="M123" s="15">
        <f>L127/$L$116</f>
        <v/>
      </c>
      <c r="N123" s="10">
        <f>L127+'[1]2026 Απρίλιος'!N127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'[1]2026_60-69 ΕΞΟΔΑ+ΟΜ 2'!H85</f>
        <v/>
      </c>
      <c r="E124" s="15">
        <f>D128/$D$116</f>
        <v/>
      </c>
      <c r="F124" s="10">
        <f>D128+'[1]2026 Απρίλιος'!F128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2'!H77</f>
        <v/>
      </c>
      <c r="M124" s="15">
        <f>L128/$L$116</f>
        <v/>
      </c>
      <c r="N124" s="10">
        <f>L128+'[1]2026 Απρίλιος'!N128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'[1]2026_60-69 ΕΞΟΔΑ+ΟΜ 2'!H86</f>
        <v/>
      </c>
      <c r="E125" s="15">
        <f>D129/$D$116</f>
        <v/>
      </c>
      <c r="F125" s="10">
        <f>D129+'[1]2026 Απρίλιος'!F129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2'!H78</f>
        <v/>
      </c>
      <c r="M125" s="15">
        <f>L129/$L$116</f>
        <v/>
      </c>
      <c r="N125" s="10">
        <f>L129+'[1]2026 Απρίλιος'!N129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'[1]2026_60-69 ΕΞΟΔΑ+ΟΜ 2'!H87</f>
        <v/>
      </c>
      <c r="E126" s="15">
        <f>D130/$D$116</f>
        <v/>
      </c>
      <c r="F126" s="10">
        <f>D130+'[1]2026 Απρίλιος'!F130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2'!H79</f>
        <v/>
      </c>
      <c r="M126" s="15">
        <f>L130/$L$116</f>
        <v/>
      </c>
      <c r="N126" s="10">
        <f>L130+'[1]2026 Απρίλιος'!N130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'[1]2026_60-69 ΕΞΟΔΑ+ΟΜ 2'!H88</f>
        <v/>
      </c>
      <c r="E127" s="15">
        <f>D131/$D$116</f>
        <v/>
      </c>
      <c r="F127" s="10">
        <f>D131+'[1]2026 Απρίλιος'!F131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2'!H80</f>
        <v/>
      </c>
      <c r="M127" s="15">
        <f>L131/$L$116</f>
        <v/>
      </c>
      <c r="N127" s="10">
        <f>L131+'[1]2026 Απρίλιος'!N131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'[1]2026_60-69 ΕΞΟΔΑ+ΟΜ 2'!H89</f>
        <v/>
      </c>
      <c r="E128" s="15">
        <f>D132/$D$116</f>
        <v/>
      </c>
      <c r="F128" s="10">
        <f>D132+'[1]2026 Απρίλιος'!F132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2'!H81</f>
        <v/>
      </c>
      <c r="M128" s="15">
        <f>L132/$L$116</f>
        <v/>
      </c>
      <c r="N128" s="10">
        <f>L132+'[1]2026 Απρίλιος'!N132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'[1]2026_60-69 ΕΞΟΔΑ+ΟΜ 2'!H90</f>
        <v/>
      </c>
      <c r="E129" s="15">
        <f>D133/$D$116</f>
        <v/>
      </c>
      <c r="F129" s="10">
        <f>D133+'[1]2026 Απρίλιος'!F133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2'!H82</f>
        <v/>
      </c>
      <c r="M129" s="15">
        <f>L133/$L$116</f>
        <v/>
      </c>
      <c r="N129" s="10">
        <f>L133+'[1]2026 Απρίλιος'!N133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'[1]2026_60-69 ΕΞΟΔΑ+ΟΜ 2'!H91</f>
        <v/>
      </c>
      <c r="E130" s="15">
        <f>D134/$D$116</f>
        <v/>
      </c>
      <c r="F130" s="10">
        <f>D134+'[1]2026 Απρίλιος'!F134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2'!H83</f>
        <v/>
      </c>
      <c r="M130" s="15">
        <f>L134/$L$116</f>
        <v/>
      </c>
      <c r="N130" s="10">
        <f>L134+'[1]2026 Απρίλιος'!N134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'[1]2026_60-69 ΕΞΟΔΑ+ΟΜ 2'!H92</f>
        <v/>
      </c>
      <c r="E131" s="15">
        <f>D135/$D$116</f>
        <v/>
      </c>
      <c r="F131" s="10">
        <f>D135+'[1]2026 Απρίλιος'!F135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2'!H84</f>
        <v/>
      </c>
      <c r="M131" s="15">
        <f>L135/$L$116</f>
        <v/>
      </c>
      <c r="N131" s="10">
        <f>L135+'[1]2026 Απρίλιος'!N135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'[1]2026_60-69 ΕΞΟΔΑ+ΟΜ 2'!H93</f>
        <v/>
      </c>
      <c r="E132" s="15">
        <f>D136/$D$116</f>
        <v/>
      </c>
      <c r="F132" s="10">
        <f>D136+'[1]2026 Απρίλιος'!F136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2'!H85</f>
        <v/>
      </c>
      <c r="M132" s="15">
        <f>L136/$L$116</f>
        <v/>
      </c>
      <c r="N132" s="10">
        <f>L136+'[1]2026 Απρίλιος'!N136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'[1]2026_60-69 ΕΞΟΔΑ+ΟΜ 2'!H94</f>
        <v/>
      </c>
      <c r="E133" s="15">
        <f>D137/$D$116</f>
        <v/>
      </c>
      <c r="F133" s="10">
        <f>D137+'[1]2026 Απρίλιος'!F137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2'!H86</f>
        <v/>
      </c>
      <c r="M133" s="15">
        <f>L137/$L$116</f>
        <v/>
      </c>
      <c r="N133" s="10">
        <f>L137+'[1]2026 Απρίλιος'!N137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'[1]2026_60-69 ΕΞΟΔΑ+ΟΜ 2'!H95</f>
        <v/>
      </c>
      <c r="E134" s="15">
        <f>D138/$D$116</f>
        <v/>
      </c>
      <c r="F134" s="10">
        <f>D138+'[1]2026 Απρίλιος'!F138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2'!H87</f>
        <v/>
      </c>
      <c r="M134" s="15">
        <f>L138/$L$116</f>
        <v/>
      </c>
      <c r="N134" s="10">
        <f>L138+'[1]2026 Απρίλιος'!N138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'[1]2026_60-69 ΕΞΟΔΑ+ΟΜ 2'!H96</f>
        <v/>
      </c>
      <c r="E135" s="15">
        <f>D139/$D$116</f>
        <v/>
      </c>
      <c r="F135" s="10">
        <f>D139+'[1]2026 Απρίλιος'!F139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2'!H88</f>
        <v/>
      </c>
      <c r="M135" s="15">
        <f>L139/$L$116</f>
        <v/>
      </c>
      <c r="N135" s="10">
        <f>L139+'[1]2026 Απρίλιος'!N139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'[1]2026_60-69 ΕΞΟΔΑ+ΟΜ 2'!H97</f>
        <v/>
      </c>
      <c r="E136" s="15">
        <f>D140/$D$116</f>
        <v/>
      </c>
      <c r="F136" s="10">
        <f>D140+'[1]2026 Απρίλιος'!F140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2'!H89</f>
        <v/>
      </c>
      <c r="M136" s="15">
        <f>L140/$L$116</f>
        <v/>
      </c>
      <c r="N136" s="10">
        <f>L140+'[1]2026 Απρίλιος'!N140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'[1]2026_60-69 ΕΞΟΔΑ+ΟΜ 2'!H98</f>
        <v/>
      </c>
      <c r="E137" s="15">
        <f>D141/$D$116</f>
        <v/>
      </c>
      <c r="F137" s="10">
        <f>D141+'[1]2026 Απρίλιος'!F141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2'!H90</f>
        <v/>
      </c>
      <c r="M137" s="15">
        <f>L141/$L$116</f>
        <v/>
      </c>
      <c r="N137" s="10">
        <f>L141+'[1]2026 Απρίλιος'!N141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'[1]2026_60-69 ΕΞΟΔΑ+ΟΜ 2'!H99</f>
        <v/>
      </c>
      <c r="E138" s="15">
        <f>D142/$D$116</f>
        <v/>
      </c>
      <c r="F138" s="10">
        <f>D142+'[1]2026 Απρίλιος'!F142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2'!H91</f>
        <v/>
      </c>
      <c r="M138" s="15">
        <f>L142/$L$116</f>
        <v/>
      </c>
      <c r="N138" s="10">
        <f>L142+'[1]2026 Απρίλιος'!N142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'[1]2026_60-69 ΕΞΟΔΑ+ΟΜ 2'!H100</f>
        <v/>
      </c>
      <c r="E139" s="15">
        <f>D143/$D$116</f>
        <v/>
      </c>
      <c r="F139" s="10">
        <f>D143+'[1]2026 Απρίλιος'!F143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2'!H92</f>
        <v/>
      </c>
      <c r="M139" s="15">
        <f>L143/$L$116</f>
        <v/>
      </c>
      <c r="N139" s="10">
        <f>L143+'[1]2026 Απρίλιος'!N143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'[1]2026_60-69 ΕΞΟΔΑ+ΟΜ 2'!H101</f>
        <v/>
      </c>
      <c r="E140" s="15">
        <f>D144/$D$116</f>
        <v/>
      </c>
      <c r="F140" s="10">
        <f>D144+'[1]2026 Απρίλιος'!F144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2'!H93</f>
        <v/>
      </c>
      <c r="M140" s="15">
        <f>L144/$L$116</f>
        <v/>
      </c>
      <c r="N140" s="10">
        <f>L144+'[1]2026 Απρίλιος'!N144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'[1]2026_60-69 ΕΞΟΔΑ+ΟΜ 2'!H102</f>
        <v/>
      </c>
      <c r="E141" s="15">
        <f>D145/$D$116</f>
        <v/>
      </c>
      <c r="F141" s="10">
        <f>D145+'[1]2026 Απρίλιος'!F145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2'!H94</f>
        <v/>
      </c>
      <c r="M141" s="15">
        <f>L145/$L$116</f>
        <v/>
      </c>
      <c r="N141" s="10">
        <f>L145+'[1]2026 Απρίλιος'!N145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'[1]2026_60-69 ΕΞΟΔΑ+ΟΜ 2'!H103</f>
        <v/>
      </c>
      <c r="E142" s="15">
        <f>D146/$D$116</f>
        <v/>
      </c>
      <c r="F142" s="10">
        <f>D146+'[1]2026 Απρίλιος'!F146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2'!H95</f>
        <v/>
      </c>
      <c r="M142" s="15">
        <f>L146/$L$116</f>
        <v/>
      </c>
      <c r="N142" s="10">
        <f>L146+'[1]2026 Απρίλιος'!N146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'[1]2026_60-69 ΕΞΟΔΑ+ΟΜ 2'!H104</f>
        <v/>
      </c>
      <c r="E143" s="15">
        <f>D147/$D$116</f>
        <v/>
      </c>
      <c r="F143" s="10">
        <f>D147+'[1]2026 Απρίλιος'!F147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2'!H96</f>
        <v/>
      </c>
      <c r="M143" s="15">
        <f>L147/$L$116</f>
        <v/>
      </c>
      <c r="N143" s="10">
        <f>L147+'[1]2026 Απρίλιος'!N147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'[1]2026_60-69 ΕΞΟΔΑ+ΟΜ 2'!H105</f>
        <v/>
      </c>
      <c r="E144" s="15">
        <f>D148/$D$116</f>
        <v/>
      </c>
      <c r="F144" s="10">
        <f>D148+'[1]2026 Απρίλιος'!F148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2'!H97</f>
        <v/>
      </c>
      <c r="M144" s="15">
        <f>L148/$L$116</f>
        <v/>
      </c>
      <c r="N144" s="10">
        <f>L148+'[1]2026 Απρίλιος'!N148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'[1]2026_60-69 ΕΞΟΔΑ+ΟΜ 2'!H106</f>
        <v/>
      </c>
      <c r="E145" s="15">
        <f>D149/$D$116</f>
        <v/>
      </c>
      <c r="F145" s="10">
        <f>D149+'[1]2026 Απρίλιος'!F149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2'!H98</f>
        <v/>
      </c>
      <c r="M145" s="15">
        <f>L149/$L$116</f>
        <v/>
      </c>
      <c r="N145" s="10">
        <f>L149+'[1]2026 Απρίλιος'!N149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'[1]2026_60-69 ΕΞΟΔΑ+ΟΜ 2'!H107</f>
        <v/>
      </c>
      <c r="E146" s="15">
        <f>D150/$D$116</f>
        <v/>
      </c>
      <c r="F146" s="10">
        <f>D150+'[1]2026 Απρίλιος'!F150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2'!H99</f>
        <v/>
      </c>
      <c r="M146" s="15">
        <f>L150/$L$116</f>
        <v/>
      </c>
      <c r="N146" s="10">
        <f>L150+'[1]2026 Απρίλιος'!N150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'[1]2026_60-69 ΕΞΟΔΑ+ΟΜ 2'!H108</f>
        <v/>
      </c>
      <c r="E147" s="15">
        <f>D151/$D$116</f>
        <v/>
      </c>
      <c r="F147" s="10">
        <f>D151+'[1]2026 Απρίλιος'!F151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2'!H100</f>
        <v/>
      </c>
      <c r="M147" s="15">
        <f>L151/$L$116</f>
        <v/>
      </c>
      <c r="N147" s="10">
        <f>L151+'[1]2026 Απρίλιος'!N151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'[1]2026_60-69 ΕΞΟΔΑ+ΟΜ 2'!H109</f>
        <v/>
      </c>
      <c r="E148" s="15">
        <f>D152/$D$116</f>
        <v/>
      </c>
      <c r="F148" s="10">
        <f>D152+'[1]2026 Απρίλιος'!F152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2'!H101</f>
        <v/>
      </c>
      <c r="M148" s="15">
        <f>L152/$L$116</f>
        <v/>
      </c>
      <c r="N148" s="10">
        <f>L152+'[1]2026 Απρίλιος'!N152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'[1]2026_60-69 ΕΞΟΔΑ+ΟΜ 2'!H110</f>
        <v/>
      </c>
      <c r="E149" s="15">
        <f>D153/$D$116</f>
        <v/>
      </c>
      <c r="F149" s="10">
        <f>D153+'[1]2026 Απρίλιος'!F153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2'!H102</f>
        <v/>
      </c>
      <c r="M149" s="15">
        <f>L153/$L$116</f>
        <v/>
      </c>
      <c r="N149" s="10">
        <f>L153+'[1]2026 Απρίλιος'!N153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>
        <f>Q44+Q47+Q110</f>
        <v/>
      </c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2'!H73</f>
        <v/>
      </c>
      <c r="E153" s="8" t="n"/>
      <c r="F153" s="7">
        <f>'[1]2026_60-69 ΕΞΟΔΑ+ΟΜ 2'!U73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9" zoomScaleNormal="10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[1]ΑΝΤΙΣΤΟΙΧΙΣΗ!$F$111</f>
        <v/>
      </c>
      <c r="E3" s="192" t="n"/>
      <c r="F3" s="56" t="n"/>
      <c r="G3" s="61">
        <f>[1]ΑΝΤΙΣΤΟΙΧΙΣΗ!$D$34</f>
        <v/>
      </c>
      <c r="H3" s="180">
        <f>[1]ΑΝΤΙΣΤΟΙΧΙΣΗ!$F$111</f>
        <v/>
      </c>
      <c r="I3" s="192" t="n"/>
      <c r="J3" s="56" t="n"/>
      <c r="K3" s="61">
        <f>[1]ΑΝΤΙΣΤΟΙΧΙΣΗ!$D$34</f>
        <v/>
      </c>
      <c r="L3" s="180">
        <f>[1]ΑΝΤΙΣΤΟΙΧΙΣΗ!$F$125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L7+'[1]2026 Μάιος'!N7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'[1]2026_ΕΣΟΔΑ'!H2</f>
        <v/>
      </c>
      <c r="E8" s="11">
        <f>D8/$D$7</f>
        <v/>
      </c>
      <c r="F8" s="12">
        <f>D8+'[1]2026 Μάιος'!F8</f>
        <v/>
      </c>
      <c r="G8" s="11">
        <f>F8/$F$7</f>
        <v/>
      </c>
      <c r="H8" s="12" t="n"/>
      <c r="I8" s="11">
        <f>H8/$H$7</f>
        <v/>
      </c>
      <c r="J8" s="12">
        <f>H8+'[1]2026 Μάιος'!J8</f>
        <v/>
      </c>
      <c r="K8" s="11">
        <f>J8/$J$7</f>
        <v/>
      </c>
      <c r="L8" s="68">
        <f>'[1]2024_60-69 ΕΞΟΔΑ+ΟΜ 2'!H114</f>
        <v/>
      </c>
      <c r="M8" s="11">
        <f>L8/$L$7</f>
        <v/>
      </c>
      <c r="N8" s="12">
        <f>L8+'[1]2026 Μάιος'!N8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'[1]2026_ΕΣΟΔΑ'!H3</f>
        <v/>
      </c>
      <c r="E9" s="11">
        <f>D9/$D$7</f>
        <v/>
      </c>
      <c r="F9" s="12">
        <f>D9+'[1]2026 Μάιος'!F9</f>
        <v/>
      </c>
      <c r="G9" s="11">
        <f>F9/$F$7</f>
        <v/>
      </c>
      <c r="H9" s="12" t="n"/>
      <c r="I9" s="11">
        <f>H9/$H$7</f>
        <v/>
      </c>
      <c r="J9" s="12">
        <f>H9+'[1]2026 Μάιος'!J9</f>
        <v/>
      </c>
      <c r="K9" s="11">
        <f>J9/$J$7</f>
        <v/>
      </c>
      <c r="L9" s="68">
        <f>'[1]2024_60-69 ΕΞΟΔΑ+ΟΜ 2'!H115</f>
        <v/>
      </c>
      <c r="M9" s="11">
        <f>L9/$L$7</f>
        <v/>
      </c>
      <c r="N9" s="12">
        <f>L9+'[1]2026 Μάιος'!N9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'[1]2026_ΕΣΟΔΑ'!H4</f>
        <v/>
      </c>
      <c r="E10" s="11">
        <f>D10/$D$7</f>
        <v/>
      </c>
      <c r="F10" s="12">
        <f>D10+'[1]2026 Μάιος'!F10</f>
        <v/>
      </c>
      <c r="G10" s="11">
        <f>F10/$F$7</f>
        <v/>
      </c>
      <c r="H10" s="12" t="n"/>
      <c r="I10" s="11">
        <f>H10/$H$7</f>
        <v/>
      </c>
      <c r="J10" s="12">
        <f>H10+'[1]2026 Μάιος'!J10</f>
        <v/>
      </c>
      <c r="K10" s="11">
        <f>J10/$J$7</f>
        <v/>
      </c>
      <c r="L10" s="68">
        <f>'[1]2024_60-69 ΕΞΟΔΑ+ΟΜ 2'!H116</f>
        <v/>
      </c>
      <c r="M10" s="11">
        <f>L10/$L$7</f>
        <v/>
      </c>
      <c r="N10" s="12">
        <f>L10+'[1]2026 Μάιος'!N10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'[1]2026_ΕΣΟΔΑ'!H5</f>
        <v/>
      </c>
      <c r="E11" s="11">
        <f>D11/$D$7</f>
        <v/>
      </c>
      <c r="F11" s="12">
        <f>D11+'[1]2026 Μάιος'!F11</f>
        <v/>
      </c>
      <c r="G11" s="11">
        <f>F11/$F$7</f>
        <v/>
      </c>
      <c r="H11" s="12" t="n"/>
      <c r="I11" s="11">
        <f>H11/$H$7</f>
        <v/>
      </c>
      <c r="J11" s="12">
        <f>H11+'[1]2026 Μάιος'!J11</f>
        <v/>
      </c>
      <c r="K11" s="11">
        <f>J11/$J$7</f>
        <v/>
      </c>
      <c r="L11" s="68">
        <f>'[1]2024_60-69 ΕΞΟΔΑ+ΟΜ 2'!H117</f>
        <v/>
      </c>
      <c r="M11" s="11">
        <f>L11/$L$7</f>
        <v/>
      </c>
      <c r="N11" s="12">
        <f>L11+'[1]2026 Μάιος'!N11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'[1]2026_ΕΣΟΔΑ'!H6</f>
        <v/>
      </c>
      <c r="E12" s="11">
        <f>D12/$D$7</f>
        <v/>
      </c>
      <c r="F12" s="12">
        <f>D12+'[1]2026 Μάιος'!F12</f>
        <v/>
      </c>
      <c r="G12" s="11">
        <f>F12/$F$7</f>
        <v/>
      </c>
      <c r="H12" s="12" t="n"/>
      <c r="I12" s="11">
        <f>H12/$H$7</f>
        <v/>
      </c>
      <c r="J12" s="12">
        <f>H12+'[1]2026 Μάιος'!J12</f>
        <v/>
      </c>
      <c r="K12" s="11">
        <f>J12/$J$7</f>
        <v/>
      </c>
      <c r="L12" s="68">
        <f>'[1]2024_60-69 ΕΞΟΔΑ+ΟΜ 2'!H118</f>
        <v/>
      </c>
      <c r="M12" s="11">
        <f>L12/$L$7</f>
        <v/>
      </c>
      <c r="N12" s="12">
        <f>L12+'[1]2026 Μάιος'!N12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'[1]2026_ΕΣΟΔΑ'!H7</f>
        <v/>
      </c>
      <c r="E13" s="11">
        <f>D13/$D$7</f>
        <v/>
      </c>
      <c r="F13" s="12">
        <f>D13+'[1]2026 Μάιος'!F13</f>
        <v/>
      </c>
      <c r="G13" s="11">
        <f>F13/$F$7</f>
        <v/>
      </c>
      <c r="H13" s="12" t="n"/>
      <c r="I13" s="11">
        <f>H13/$H$7</f>
        <v/>
      </c>
      <c r="J13" s="12">
        <f>H13+'[1]2026 Μάιος'!J13</f>
        <v/>
      </c>
      <c r="K13" s="11">
        <f>J13/$J$7</f>
        <v/>
      </c>
      <c r="L13" s="68">
        <f>'[1]2024_60-69 ΕΞΟΔΑ+ΟΜ 2'!H119</f>
        <v/>
      </c>
      <c r="M13" s="11">
        <f>L13/$L$7</f>
        <v/>
      </c>
      <c r="N13" s="12">
        <f>L13+'[1]2026 Μάιος'!N13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'[1]2026_ΕΣΟΔΑ'!H8</f>
        <v/>
      </c>
      <c r="E14" s="11">
        <f>D14/$D$7</f>
        <v/>
      </c>
      <c r="F14" s="12">
        <f>D14+'[1]2026 Μάιος'!F14</f>
        <v/>
      </c>
      <c r="G14" s="11">
        <f>F14/$F$7</f>
        <v/>
      </c>
      <c r="H14" s="12" t="n"/>
      <c r="I14" s="11">
        <f>H14/$H$7</f>
        <v/>
      </c>
      <c r="J14" s="12">
        <f>H14+'[1]2026 Μάιος'!J14</f>
        <v/>
      </c>
      <c r="K14" s="11">
        <f>J14/$J$7</f>
        <v/>
      </c>
      <c r="L14" s="68">
        <f>'[1]2024_60-69 ΕΞΟΔΑ+ΟΜ 2'!H120</f>
        <v/>
      </c>
      <c r="M14" s="11">
        <f>L14/$L$7</f>
        <v/>
      </c>
      <c r="N14" s="12">
        <f>L14+'[1]2026 Μάιος'!N14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'[1]2026_ΕΣΟΔΑ'!H9</f>
        <v/>
      </c>
      <c r="E15" s="11">
        <f>D15/$D$7</f>
        <v/>
      </c>
      <c r="F15" s="12">
        <f>D15+'[1]2026 Μάιος'!F15</f>
        <v/>
      </c>
      <c r="G15" s="11">
        <f>F15/$F$7</f>
        <v/>
      </c>
      <c r="H15" s="12" t="n"/>
      <c r="I15" s="11">
        <f>H15/$H$7</f>
        <v/>
      </c>
      <c r="J15" s="12">
        <f>H15+'[1]2026 Μάιος'!J15</f>
        <v/>
      </c>
      <c r="K15" s="11">
        <f>J15/$J$7</f>
        <v/>
      </c>
      <c r="L15" s="68">
        <f>'[1]2024_60-69 ΕΞΟΔΑ+ΟΜ 2'!H121</f>
        <v/>
      </c>
      <c r="M15" s="11">
        <f>L15/$L$7</f>
        <v/>
      </c>
      <c r="N15" s="12">
        <f>L15+'[1]2026 Μάιος'!N15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'[1]2026_ΕΣΟΔΑ'!H10</f>
        <v/>
      </c>
      <c r="E16" s="11">
        <f>D16/$D$7</f>
        <v/>
      </c>
      <c r="F16" s="12">
        <f>D16+'[1]2026 Μάιος'!F16</f>
        <v/>
      </c>
      <c r="G16" s="11">
        <f>F16/$F$7</f>
        <v/>
      </c>
      <c r="H16" s="12" t="n"/>
      <c r="I16" s="11">
        <f>H16/$H$7</f>
        <v/>
      </c>
      <c r="J16" s="12">
        <f>H16+'[1]2026 Μάιος'!J16</f>
        <v/>
      </c>
      <c r="K16" s="11">
        <f>J16/$J$7</f>
        <v/>
      </c>
      <c r="L16" s="68">
        <f>'[1]2024_60-69 ΕΞΟΔΑ+ΟΜ 2'!H122</f>
        <v/>
      </c>
      <c r="M16" s="11">
        <f>L16/$L$7</f>
        <v/>
      </c>
      <c r="N16" s="12">
        <f>L16+'[1]2026 Μάιος'!N16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'[1]2026_ΕΣΟΔΑ'!H11</f>
        <v/>
      </c>
      <c r="E17" s="11">
        <f>D17/$D$7</f>
        <v/>
      </c>
      <c r="F17" s="12">
        <f>D17+'[1]2026 Μάιος'!F17</f>
        <v/>
      </c>
      <c r="G17" s="11">
        <f>F17/$F$7</f>
        <v/>
      </c>
      <c r="H17" s="12" t="n"/>
      <c r="I17" s="11">
        <f>H17/$H$7</f>
        <v/>
      </c>
      <c r="J17" s="12">
        <f>H17+'[1]2026 Μάιος'!J17</f>
        <v/>
      </c>
      <c r="K17" s="11">
        <f>J17/$J$7</f>
        <v/>
      </c>
      <c r="L17" s="68">
        <f>'[1]2024_60-69 ΕΞΟΔΑ+ΟΜ 2'!H123</f>
        <v/>
      </c>
      <c r="M17" s="11">
        <f>L17/$L$7</f>
        <v/>
      </c>
      <c r="N17" s="12">
        <f>L17+'[1]2026 Μάιος'!N17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'[1]2026_ΕΣΟΔΑ'!H12</f>
        <v/>
      </c>
      <c r="E18" s="11">
        <f>D18/$D$7</f>
        <v/>
      </c>
      <c r="F18" s="12">
        <f>D18+'[1]2026 Μάιος'!F18</f>
        <v/>
      </c>
      <c r="G18" s="11">
        <f>F18/$F$7</f>
        <v/>
      </c>
      <c r="H18" s="12" t="n"/>
      <c r="I18" s="11">
        <f>H18/$H$7</f>
        <v/>
      </c>
      <c r="J18" s="12">
        <f>H18+'[1]2026 Μάιος'!J18</f>
        <v/>
      </c>
      <c r="K18" s="11">
        <f>J18/$J$7</f>
        <v/>
      </c>
      <c r="L18" s="68">
        <f>'[1]2024_60-69 ΕΞΟΔΑ+ΟΜ 2'!H124</f>
        <v/>
      </c>
      <c r="M18" s="11">
        <f>L18/$L$7</f>
        <v/>
      </c>
      <c r="N18" s="12">
        <f>L18+'[1]2026 Μάιος'!N18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'[1]2026_ΕΣΟΔΑ'!H13</f>
        <v/>
      </c>
      <c r="E19" s="11">
        <f>D19/$D$7</f>
        <v/>
      </c>
      <c r="F19" s="12">
        <f>D19+'[1]2026 Μάιος'!F19</f>
        <v/>
      </c>
      <c r="G19" s="11">
        <f>F19/$F$7</f>
        <v/>
      </c>
      <c r="H19" s="12" t="n"/>
      <c r="I19" s="11">
        <f>H19/$H$7</f>
        <v/>
      </c>
      <c r="J19" s="12">
        <f>H19+'[1]2026 Μάιος'!J19</f>
        <v/>
      </c>
      <c r="K19" s="11">
        <f>J19/$J$7</f>
        <v/>
      </c>
      <c r="L19" s="68">
        <f>'[1]2024_60-69 ΕΞΟΔΑ+ΟΜ 2'!H125</f>
        <v/>
      </c>
      <c r="M19" s="11">
        <f>L19/$L$7</f>
        <v/>
      </c>
      <c r="N19" s="12">
        <f>L19+'[1]2026 Μάιος'!N19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'[1]2026_ΕΣΟΔΑ'!H14</f>
        <v/>
      </c>
      <c r="E20" s="11">
        <f>D20/$D$7</f>
        <v/>
      </c>
      <c r="F20" s="12">
        <f>D20+'[1]2026 Μάιος'!F20</f>
        <v/>
      </c>
      <c r="G20" s="11">
        <f>F20/$F$7</f>
        <v/>
      </c>
      <c r="H20" s="12" t="n"/>
      <c r="I20" s="11">
        <f>H20/$H$7</f>
        <v/>
      </c>
      <c r="J20" s="12">
        <f>H20+'[1]2026 Μάιος'!J20</f>
        <v/>
      </c>
      <c r="K20" s="11">
        <f>J20/$J$7</f>
        <v/>
      </c>
      <c r="L20" s="68">
        <f>'[1]2024_60-69 ΕΞΟΔΑ+ΟΜ 2'!H126</f>
        <v/>
      </c>
      <c r="M20" s="11">
        <f>L20/$L$7</f>
        <v/>
      </c>
      <c r="N20" s="12">
        <f>L20+'[1]2026 Μάιος'!N20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'[1]2026_ΕΣΟΔΑ'!H15</f>
        <v/>
      </c>
      <c r="E21" s="11">
        <f>D21/$D$7</f>
        <v/>
      </c>
      <c r="F21" s="12">
        <f>D21+'[1]2026 Μάιος'!F21</f>
        <v/>
      </c>
      <c r="G21" s="11">
        <f>F21/$F$7</f>
        <v/>
      </c>
      <c r="H21" s="12" t="n"/>
      <c r="I21" s="11">
        <f>H21/$H$7</f>
        <v/>
      </c>
      <c r="J21" s="12">
        <f>H21+'[1]2026 Μάιος'!J21</f>
        <v/>
      </c>
      <c r="K21" s="11">
        <f>J21/$J$7</f>
        <v/>
      </c>
      <c r="L21" s="68">
        <f>'[1]2024_60-69 ΕΞΟΔΑ+ΟΜ 2'!H127</f>
        <v/>
      </c>
      <c r="M21" s="11">
        <f>L21/$L$7</f>
        <v/>
      </c>
      <c r="N21" s="12">
        <f>L21+'[1]2026 Μάιος'!N21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'[1]2026_ΕΣΟΔΑ'!H16</f>
        <v/>
      </c>
      <c r="E22" s="11">
        <f>D22/$D$7</f>
        <v/>
      </c>
      <c r="F22" s="12">
        <f>D22+'[1]2026 Μάιος'!F22</f>
        <v/>
      </c>
      <c r="G22" s="11">
        <f>F22/$F$7</f>
        <v/>
      </c>
      <c r="H22" s="12" t="n"/>
      <c r="I22" s="11">
        <f>H22/$H$7</f>
        <v/>
      </c>
      <c r="J22" s="12">
        <f>H22+'[1]2026 Μάιος'!J22</f>
        <v/>
      </c>
      <c r="K22" s="11">
        <f>J22/$J$7</f>
        <v/>
      </c>
      <c r="L22" s="68">
        <f>'[1]2024_60-69 ΕΞΟΔΑ+ΟΜ 2'!H128</f>
        <v/>
      </c>
      <c r="M22" s="11">
        <f>L22/$L$7</f>
        <v/>
      </c>
      <c r="N22" s="12">
        <f>L22+'[1]2026 Μάιος'!N22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'[1]2026_ΕΣΟΔΑ'!H17</f>
        <v/>
      </c>
      <c r="E23" s="11">
        <f>D23/$D$7</f>
        <v/>
      </c>
      <c r="F23" s="12">
        <f>D23+'[1]2026 Μάιος'!F23</f>
        <v/>
      </c>
      <c r="G23" s="11">
        <f>F23/$F$7</f>
        <v/>
      </c>
      <c r="H23" s="12" t="n"/>
      <c r="I23" s="11">
        <f>H23/$H$7</f>
        <v/>
      </c>
      <c r="J23" s="12">
        <f>H23+'[1]2026 Μάιος'!J23</f>
        <v/>
      </c>
      <c r="K23" s="11">
        <f>J23/$J$7</f>
        <v/>
      </c>
      <c r="L23" s="68">
        <f>'[1]2024_60-69 ΕΞΟΔΑ+ΟΜ 2'!H129</f>
        <v/>
      </c>
      <c r="M23" s="11">
        <f>L23/$L$7</f>
        <v/>
      </c>
      <c r="N23" s="12">
        <f>L23+'[1]2026 Μάιος'!N23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'[1]2026_ΕΣΟΔΑ'!H18</f>
        <v/>
      </c>
      <c r="E24" s="11">
        <f>D24/$D$7</f>
        <v/>
      </c>
      <c r="F24" s="12">
        <f>D24+'[1]2026 Μάιος'!F24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Μάιος'!J24</f>
        <v/>
      </c>
      <c r="K24" s="11">
        <f>J24/$J$7</f>
        <v/>
      </c>
      <c r="L24" s="68">
        <f>'[1]2024_60-69 ΕΞΟΔΑ+ΟΜ 2'!H130</f>
        <v/>
      </c>
      <c r="M24" s="11">
        <f>L24/$L$7</f>
        <v/>
      </c>
      <c r="N24" s="12">
        <f>L24+'[1]2026 Μάιος'!N24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'[1]2026_ΕΣΟΔΑ'!H19</f>
        <v/>
      </c>
      <c r="E25" s="11">
        <f>D25/$D$7</f>
        <v/>
      </c>
      <c r="F25" s="12">
        <f>D25+'[1]2026 Μάιος'!F25</f>
        <v/>
      </c>
      <c r="G25" s="11">
        <f>F25/$F$7</f>
        <v/>
      </c>
      <c r="H25" s="12" t="n"/>
      <c r="I25" s="11">
        <f>H25/$H$7</f>
        <v/>
      </c>
      <c r="J25" s="12">
        <f>H25+'[1]2026 Μάιος'!J25</f>
        <v/>
      </c>
      <c r="K25" s="11">
        <f>J25/$J$7</f>
        <v/>
      </c>
      <c r="L25" s="68">
        <f>'[1]2024_60-69 ΕΞΟΔΑ+ΟΜ 2'!H131</f>
        <v/>
      </c>
      <c r="M25" s="11">
        <f>L25/$L$7</f>
        <v/>
      </c>
      <c r="N25" s="12">
        <f>L25+'[1]2026 Μάιος'!N25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'[1]2026_ΕΣΟΔΑ'!H20</f>
        <v/>
      </c>
      <c r="E26" s="11">
        <f>D26/$D$7</f>
        <v/>
      </c>
      <c r="F26" s="12">
        <f>D26+'[1]2026 Μάιος'!F26</f>
        <v/>
      </c>
      <c r="G26" s="11">
        <f>F26/$F$7</f>
        <v/>
      </c>
      <c r="H26" s="12" t="n"/>
      <c r="I26" s="11">
        <f>H26/$H$7</f>
        <v/>
      </c>
      <c r="J26" s="12">
        <f>H26+'[1]2026 Μάιος'!J26</f>
        <v/>
      </c>
      <c r="K26" s="11">
        <f>J26/$J$7</f>
        <v/>
      </c>
      <c r="L26" s="68">
        <f>'[1]2024_60-69 ΕΞΟΔΑ+ΟΜ 2'!H132</f>
        <v/>
      </c>
      <c r="M26" s="11">
        <f>L26/$L$7</f>
        <v/>
      </c>
      <c r="N26" s="12">
        <f>L26+'[1]2026 Μάιος'!N26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'[1]2026_ΕΣΟΔΑ'!H21</f>
        <v/>
      </c>
      <c r="E27" s="11">
        <f>D27/$D$7</f>
        <v/>
      </c>
      <c r="F27" s="12">
        <f>D27+'[1]2026 Μάιος'!F27</f>
        <v/>
      </c>
      <c r="G27" s="11">
        <f>F27/$F$7</f>
        <v/>
      </c>
      <c r="H27" s="12" t="n"/>
      <c r="I27" s="11">
        <f>H27/$H$7</f>
        <v/>
      </c>
      <c r="J27" s="12">
        <f>H27+'[1]2026 Μάιος'!J27</f>
        <v/>
      </c>
      <c r="K27" s="11">
        <f>J27/$J$7</f>
        <v/>
      </c>
      <c r="L27" s="68">
        <f>'[1]2024_60-69 ΕΞΟΔΑ+ΟΜ 2'!H133</f>
        <v/>
      </c>
      <c r="M27" s="11">
        <f>L27/$L$7</f>
        <v/>
      </c>
      <c r="N27" s="12">
        <f>L27+'[1]2026 Μάιος'!N27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'[1]2026_ΕΣΟΔΑ'!H22</f>
        <v/>
      </c>
      <c r="E28" s="11">
        <f>D28/$D$7</f>
        <v/>
      </c>
      <c r="F28" s="12">
        <f>D28+'[1]2026 Μάιος'!F28</f>
        <v/>
      </c>
      <c r="G28" s="11">
        <f>F28/$F$7</f>
        <v/>
      </c>
      <c r="H28" s="12" t="n"/>
      <c r="I28" s="11">
        <f>H28/$H$7</f>
        <v/>
      </c>
      <c r="J28" s="12">
        <f>H28+'[1]2026 Μάιος'!J28</f>
        <v/>
      </c>
      <c r="K28" s="11">
        <f>J28/$J$7</f>
        <v/>
      </c>
      <c r="L28" s="68">
        <f>'[1]2024_60-69 ΕΞΟΔΑ+ΟΜ 2'!H134</f>
        <v/>
      </c>
      <c r="M28" s="11">
        <f>L28/$L$7</f>
        <v/>
      </c>
      <c r="N28" s="12">
        <f>L28+'[1]2026 Μάιος'!N28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'[1]2026_ΕΣΟΔΑ'!H23</f>
        <v/>
      </c>
      <c r="E29" s="11">
        <f>D29/$D$7</f>
        <v/>
      </c>
      <c r="F29" s="12">
        <f>D29+'[1]2026 Μάιος'!F29</f>
        <v/>
      </c>
      <c r="G29" s="11">
        <f>F29/$F$7</f>
        <v/>
      </c>
      <c r="H29" s="12" t="n"/>
      <c r="I29" s="11">
        <f>H29/$H$7</f>
        <v/>
      </c>
      <c r="J29" s="12">
        <f>H29+'[1]2026 Μάιος'!J29</f>
        <v/>
      </c>
      <c r="K29" s="11">
        <f>J29/$J$7</f>
        <v/>
      </c>
      <c r="L29" s="68">
        <f>'[1]2024_60-69 ΕΞΟΔΑ+ΟΜ 2'!H135</f>
        <v/>
      </c>
      <c r="M29" s="11">
        <f>L29/$L$7</f>
        <v/>
      </c>
      <c r="N29" s="12">
        <f>L29+'[1]2026 Μάιος'!N29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'[1]2026_ΕΣΟΔΑ'!H24</f>
        <v/>
      </c>
      <c r="E30" s="11">
        <f>D30/$D$7</f>
        <v/>
      </c>
      <c r="F30" s="12">
        <f>D30+'[1]2026 Μάιος'!F30</f>
        <v/>
      </c>
      <c r="G30" s="11">
        <f>F30/$F$7</f>
        <v/>
      </c>
      <c r="H30" s="12" t="n"/>
      <c r="I30" s="11">
        <f>H30/$H$7</f>
        <v/>
      </c>
      <c r="J30" s="12">
        <f>H30+'[1]2026 Μάιος'!J30</f>
        <v/>
      </c>
      <c r="K30" s="11">
        <f>J30/$J$7</f>
        <v/>
      </c>
      <c r="L30" s="68">
        <f>'[1]2024_60-69 ΕΞΟΔΑ+ΟΜ 2'!H136</f>
        <v/>
      </c>
      <c r="M30" s="11">
        <f>L30/$L$7</f>
        <v/>
      </c>
      <c r="N30" s="12">
        <f>L30+'[1]2026 Μάιος'!N30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'[1]2026_ΕΣΟΔΑ'!H25</f>
        <v/>
      </c>
      <c r="E31" s="11">
        <f>D31/$D$7</f>
        <v/>
      </c>
      <c r="F31" s="12">
        <f>D31+'[1]2026 Μάιος'!F31</f>
        <v/>
      </c>
      <c r="G31" s="11">
        <f>F31/$F$7</f>
        <v/>
      </c>
      <c r="H31" s="12" t="n"/>
      <c r="I31" s="11">
        <f>H31/$H$7</f>
        <v/>
      </c>
      <c r="J31" s="12">
        <f>H31+'[1]2026 Μάιος'!J31</f>
        <v/>
      </c>
      <c r="K31" s="11">
        <f>J31/$J$7</f>
        <v/>
      </c>
      <c r="L31" s="68">
        <f>'[1]2024_60-69 ΕΞΟΔΑ+ΟΜ 2'!H137</f>
        <v/>
      </c>
      <c r="M31" s="11">
        <f>L31/$L$7</f>
        <v/>
      </c>
      <c r="N31" s="12">
        <f>L31+'[1]2026 Μάιος'!N31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'[1]2026_ΕΣΟΔΑ'!H26</f>
        <v/>
      </c>
      <c r="E32" s="11">
        <f>D32/$D$7</f>
        <v/>
      </c>
      <c r="F32" s="12">
        <f>D32+'[1]2026 Μάιος'!F32</f>
        <v/>
      </c>
      <c r="G32" s="11">
        <f>F32/$F$7</f>
        <v/>
      </c>
      <c r="H32" s="12" t="n"/>
      <c r="I32" s="11">
        <f>H32/$H$7</f>
        <v/>
      </c>
      <c r="J32" s="12">
        <f>H32+'[1]2026 Μάιος'!J32</f>
        <v/>
      </c>
      <c r="K32" s="11">
        <f>J32/$J$7</f>
        <v/>
      </c>
      <c r="L32" s="68">
        <f>'[1]2024_60-69 ΕΞΟΔΑ+ΟΜ 2'!H138</f>
        <v/>
      </c>
      <c r="M32" s="11">
        <f>L32/$L$7</f>
        <v/>
      </c>
      <c r="N32" s="12">
        <f>L32+'[1]2026 Μάιος'!N32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'[1]2026_ΕΣΟΔΑ'!H27</f>
        <v/>
      </c>
      <c r="E33" s="11">
        <f>D33/$D$7</f>
        <v/>
      </c>
      <c r="F33" s="12">
        <f>D33+'[1]2026 Μάιος'!F33</f>
        <v/>
      </c>
      <c r="G33" s="11">
        <f>F33/$F$7</f>
        <v/>
      </c>
      <c r="H33" s="12" t="n"/>
      <c r="I33" s="11">
        <f>H33/$H$7</f>
        <v/>
      </c>
      <c r="J33" s="12">
        <f>H33+'[1]2026 Μάιος'!J33</f>
        <v/>
      </c>
      <c r="K33" s="11">
        <f>J33/$J$7</f>
        <v/>
      </c>
      <c r="L33" s="68">
        <f>'[1]2024_60-69 ΕΞΟΔΑ+ΟΜ 2'!H139</f>
        <v/>
      </c>
      <c r="M33" s="11">
        <f>L33/$L$7</f>
        <v/>
      </c>
      <c r="N33" s="12">
        <f>L33+'[1]2026 Μάιος'!N33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'[1]2026_ΕΣΟΔΑ'!H28</f>
        <v/>
      </c>
      <c r="E34" s="11">
        <f>D34/$D$7</f>
        <v/>
      </c>
      <c r="F34" s="12">
        <f>D34+'[1]2026 Μάιος'!F34</f>
        <v/>
      </c>
      <c r="G34" s="11">
        <f>F34/$F$7</f>
        <v/>
      </c>
      <c r="H34" s="12" t="n"/>
      <c r="I34" s="11">
        <f>H34/$H$7</f>
        <v/>
      </c>
      <c r="J34" s="12">
        <f>H34+'[1]2026 Μάιος'!J34</f>
        <v/>
      </c>
      <c r="K34" s="11">
        <f>J34/$J$7</f>
        <v/>
      </c>
      <c r="L34" s="68">
        <f>'[1]2024_60-69 ΕΞΟΔΑ+ΟΜ 2'!H140</f>
        <v/>
      </c>
      <c r="M34" s="11">
        <f>L34/$L$7</f>
        <v/>
      </c>
      <c r="N34" s="12">
        <f>L34+'[1]2026 Μάιος'!N34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'[1]2026_ΕΣΟΔΑ'!H29</f>
        <v/>
      </c>
      <c r="E35" s="11">
        <f>D35/$D$7</f>
        <v/>
      </c>
      <c r="F35" s="12">
        <f>D35+'[1]2026 Μάιος'!F35</f>
        <v/>
      </c>
      <c r="G35" s="11">
        <f>F35/$F$7</f>
        <v/>
      </c>
      <c r="H35" s="12" t="n"/>
      <c r="I35" s="11">
        <f>H35/$H$7</f>
        <v/>
      </c>
      <c r="J35" s="12">
        <f>H35+'[1]2026 Μάιος'!J35</f>
        <v/>
      </c>
      <c r="K35" s="11">
        <f>J35/$J$7</f>
        <v/>
      </c>
      <c r="L35" s="68">
        <f>'[1]2024_60-69 ΕΞΟΔΑ+ΟΜ 2'!H141</f>
        <v/>
      </c>
      <c r="M35" s="11">
        <f>L35/$L$7</f>
        <v/>
      </c>
      <c r="N35" s="12">
        <f>L35+'[1]2026 Μάιος'!N35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'[1]2026_ΕΣΟΔΑ'!H30</f>
        <v/>
      </c>
      <c r="E36" s="11">
        <f>D36/$D$7</f>
        <v/>
      </c>
      <c r="F36" s="12">
        <f>D36+'[1]2026 Μάιος'!F36</f>
        <v/>
      </c>
      <c r="G36" s="11">
        <f>F36/$F$7</f>
        <v/>
      </c>
      <c r="H36" s="12" t="n"/>
      <c r="I36" s="11">
        <f>H36/$H$7</f>
        <v/>
      </c>
      <c r="J36" s="12">
        <f>H36+'[1]2026 Μάιος'!J36</f>
        <v/>
      </c>
      <c r="K36" s="11">
        <f>J36/$J$7</f>
        <v/>
      </c>
      <c r="L36" s="68">
        <f>'[1]2024_60-69 ΕΞΟΔΑ+ΟΜ 2'!H142</f>
        <v/>
      </c>
      <c r="M36" s="11">
        <f>L36/$L$7</f>
        <v/>
      </c>
      <c r="N36" s="12">
        <f>L36+'[1]2026 Μάιος'!N36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'[1]2026_ΕΣΟΔΑ'!H31</f>
        <v/>
      </c>
      <c r="E37" s="11">
        <f>D37/$D$7</f>
        <v/>
      </c>
      <c r="F37" s="12">
        <f>D37+'[1]2026 Μάιος'!F37</f>
        <v/>
      </c>
      <c r="G37" s="11">
        <f>F37/$F$7</f>
        <v/>
      </c>
      <c r="H37" s="12" t="n"/>
      <c r="I37" s="11">
        <f>H37/$H$7</f>
        <v/>
      </c>
      <c r="J37" s="12">
        <f>H37+'[1]2026 Μάιος'!J37</f>
        <v/>
      </c>
      <c r="K37" s="11">
        <f>J37/$J$7</f>
        <v/>
      </c>
      <c r="L37" s="68">
        <f>'[1]2024_60-69 ΕΞΟΔΑ+ΟΜ 2'!H143</f>
        <v/>
      </c>
      <c r="M37" s="11">
        <f>L37/$L$7</f>
        <v/>
      </c>
      <c r="N37" s="12">
        <f>L37+'[1]2026 Μάιος'!N37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'[1]2026_ΕΣΟΔΑ'!H32</f>
        <v/>
      </c>
      <c r="E38" s="8" t="n"/>
      <c r="F38" s="7">
        <f>'[1]2026_ΕΣΟΔΑ'!H34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[1]ΑΝΤΙΣΤΟΙΧΙΣΗ!$F$111</f>
        <v/>
      </c>
      <c r="E41" s="192" t="n"/>
      <c r="F41" s="56" t="n"/>
      <c r="G41" s="61">
        <f>[1]ΑΝΤΙΣΤΟΙΧΙΣΗ!$D$34</f>
        <v/>
      </c>
      <c r="H41" s="180">
        <f>[1]ΑΝΤΙΣΤΟΙΧΙΣΗ!$F$111</f>
        <v/>
      </c>
      <c r="I41" s="192" t="n"/>
      <c r="J41" s="56" t="n"/>
      <c r="K41" s="61">
        <f>[1]ΑΝΤΙΣΤΟΙΧΙΣΗ!$D$34</f>
        <v/>
      </c>
      <c r="L41" s="180">
        <f>[1]ΑΝΤΙΣΤΟΙΧΙΣΗ!$F$125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2.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2'!I4</f>
        <v/>
      </c>
      <c r="E44" s="15">
        <f>D44/$D$43</f>
        <v/>
      </c>
      <c r="F44" s="10">
        <f>D44+'[1]2026 Μάιος'!F44</f>
        <v/>
      </c>
      <c r="G44" s="15">
        <f>F44/$F$43</f>
        <v/>
      </c>
      <c r="H44" s="14" t="n"/>
      <c r="I44" s="16" t="n"/>
      <c r="J44" s="10">
        <f>H44</f>
        <v/>
      </c>
      <c r="K44" s="17">
        <f>J44/$J$43</f>
        <v/>
      </c>
      <c r="L44" s="14">
        <f>'[1]2024_60-69 ΕΞΟΔΑ+ΟΜ 2'!I4</f>
        <v/>
      </c>
      <c r="M44" s="15">
        <f>L44/$L$43</f>
        <v/>
      </c>
      <c r="N44" s="10">
        <f>L44+'[1]2026 Μάιος'!N44</f>
        <v/>
      </c>
      <c r="O44" s="15">
        <f>N44/$N$43</f>
        <v/>
      </c>
      <c r="P44" s="10" t="n"/>
      <c r="Q44" s="15" t="n"/>
    </row>
    <row r="45" ht="22.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2'!I5</f>
        <v/>
      </c>
      <c r="E45" s="15">
        <f>D45/$D$43</f>
        <v/>
      </c>
      <c r="F45" s="10">
        <f>D45+'[1]2026 Μάιος'!F45</f>
        <v/>
      </c>
      <c r="G45" s="15">
        <f>F45/$F$43</f>
        <v/>
      </c>
      <c r="H45" s="14" t="n"/>
      <c r="I45" s="16">
        <f>H45/$I$39</f>
        <v/>
      </c>
      <c r="J45" s="10">
        <f>H45</f>
        <v/>
      </c>
      <c r="K45" s="17">
        <f>J45/$J$43</f>
        <v/>
      </c>
      <c r="L45" s="14">
        <f>'[1]2024_60-69 ΕΞΟΔΑ+ΟΜ 2'!I5</f>
        <v/>
      </c>
      <c r="M45" s="15">
        <f>L45/$L$43</f>
        <v/>
      </c>
      <c r="N45" s="10">
        <f>L45+'[1]2026 Μάιος'!N45</f>
        <v/>
      </c>
      <c r="O45" s="15">
        <f>N45/$N$43</f>
        <v/>
      </c>
      <c r="P45" s="10" t="n"/>
      <c r="Q45" s="15">
        <f>N45/F45</f>
        <v/>
      </c>
    </row>
    <row r="46" ht="22.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2'!I6</f>
        <v/>
      </c>
      <c r="E46" s="15">
        <f>D46/$D$43</f>
        <v/>
      </c>
      <c r="F46" s="10">
        <f>D46+'[1]2026 Μάιος'!F46</f>
        <v/>
      </c>
      <c r="G46" s="15">
        <f>F46/$F$43</f>
        <v/>
      </c>
      <c r="H46" s="14" t="n"/>
      <c r="I46" s="16">
        <f>H46/$I$39</f>
        <v/>
      </c>
      <c r="J46" s="10">
        <f>H46</f>
        <v/>
      </c>
      <c r="K46" s="17">
        <f>J46/$J$43</f>
        <v/>
      </c>
      <c r="L46" s="14">
        <f>'[1]2024_60-69 ΕΞΟΔΑ+ΟΜ 2'!I6</f>
        <v/>
      </c>
      <c r="M46" s="15">
        <f>L46/$L$43</f>
        <v/>
      </c>
      <c r="N46" s="10">
        <f>L46+'[1]2026 Μάιος'!N46</f>
        <v/>
      </c>
      <c r="O46" s="15">
        <f>N46/$N$43</f>
        <v/>
      </c>
      <c r="P46" s="10" t="n"/>
      <c r="Q46" s="15">
        <f>N46/F46</f>
        <v/>
      </c>
    </row>
    <row r="47" ht="36.7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2'!I7</f>
        <v/>
      </c>
      <c r="E47" s="15">
        <f>D49/$D$43</f>
        <v/>
      </c>
      <c r="F47" s="10">
        <f>D49+'[1]2026 Μάιος'!F47</f>
        <v/>
      </c>
      <c r="G47" s="15">
        <f>F49/$F$43</f>
        <v/>
      </c>
      <c r="H47" s="14" t="n"/>
      <c r="I47" s="16">
        <f>H49/$I$39</f>
        <v/>
      </c>
      <c r="J47" s="10">
        <f>H49</f>
        <v/>
      </c>
      <c r="K47" s="17">
        <f>J49/$J$43</f>
        <v/>
      </c>
      <c r="L47" s="14">
        <f>'[1]2024_60-69 ΕΞΟΔΑ+ΟΜ 2'!I7</f>
        <v/>
      </c>
      <c r="M47" s="15">
        <f>L49/$L$43</f>
        <v/>
      </c>
      <c r="N47" s="10">
        <f>L49+'[1]2026 Μάιος'!N47</f>
        <v/>
      </c>
      <c r="O47" s="15">
        <f>N49/$N$43</f>
        <v/>
      </c>
      <c r="P47" s="10" t="n"/>
      <c r="Q47" s="15">
        <f>N49/F49</f>
        <v/>
      </c>
    </row>
    <row r="48" ht="36.7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2'!I8</f>
        <v/>
      </c>
      <c r="E48" s="15">
        <f>D50/$D$43</f>
        <v/>
      </c>
      <c r="F48" s="10">
        <f>D50+'[1]2026 Μάιος'!F48</f>
        <v/>
      </c>
      <c r="G48" s="15">
        <f>F50/$F$43</f>
        <v/>
      </c>
      <c r="H48" s="14" t="n"/>
      <c r="I48" s="16">
        <f>H50/$I$39</f>
        <v/>
      </c>
      <c r="J48" s="10">
        <f>H50</f>
        <v/>
      </c>
      <c r="K48" s="17">
        <f>J50/$J$43</f>
        <v/>
      </c>
      <c r="L48" s="14">
        <f>'[1]2024_60-69 ΕΞΟΔΑ+ΟΜ 2'!I8</f>
        <v/>
      </c>
      <c r="M48" s="15">
        <f>L50/$L$43</f>
        <v/>
      </c>
      <c r="N48" s="10">
        <f>L50+'[1]2026 Μάιος'!N48</f>
        <v/>
      </c>
      <c r="O48" s="15">
        <f>N50/$N$43</f>
        <v/>
      </c>
      <c r="P48" s="10" t="n"/>
      <c r="Q48" s="15">
        <f>N50/F50</f>
        <v/>
      </c>
    </row>
    <row r="49" ht="22.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2'!I9</f>
        <v/>
      </c>
      <c r="E49" s="15">
        <f>D51/$D$43</f>
        <v/>
      </c>
      <c r="F49" s="10">
        <f>D51+'[1]2026 Μάιος'!F49</f>
        <v/>
      </c>
      <c r="G49" s="15">
        <f>F51/$F$43</f>
        <v/>
      </c>
      <c r="H49" s="14" t="n"/>
      <c r="I49" s="16">
        <f>H51/$I$39</f>
        <v/>
      </c>
      <c r="J49" s="10">
        <f>H51</f>
        <v/>
      </c>
      <c r="K49" s="17">
        <f>J51/$J$43</f>
        <v/>
      </c>
      <c r="L49" s="14">
        <f>'[1]2024_60-69 ΕΞΟΔΑ+ΟΜ 2'!I9</f>
        <v/>
      </c>
      <c r="M49" s="15">
        <f>L51/$L$43</f>
        <v/>
      </c>
      <c r="N49" s="10">
        <f>L51+'[1]2026 Μάιος'!N49</f>
        <v/>
      </c>
      <c r="O49" s="15">
        <f>N51/$N$43</f>
        <v/>
      </c>
      <c r="P49" s="10" t="n"/>
      <c r="Q49" s="15">
        <f>N51/F51</f>
        <v/>
      </c>
    </row>
    <row r="50" ht="22.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2'!I10</f>
        <v/>
      </c>
      <c r="E50" s="15">
        <f>D54/$D$43</f>
        <v/>
      </c>
      <c r="F50" s="10">
        <f>D54+'[1]2026 Μάιος'!F50</f>
        <v/>
      </c>
      <c r="G50" s="15">
        <f>F54/$F$43</f>
        <v/>
      </c>
      <c r="H50" s="14" t="n"/>
      <c r="I50" s="16">
        <f>H54/$I$39</f>
        <v/>
      </c>
      <c r="J50" s="10">
        <f>H54</f>
        <v/>
      </c>
      <c r="K50" s="17">
        <f>J54/$J$43</f>
        <v/>
      </c>
      <c r="L50" s="14">
        <f>'[1]2024_60-69 ΕΞΟΔΑ+ΟΜ 2'!I10</f>
        <v/>
      </c>
      <c r="M50" s="15">
        <f>L54/$L$43</f>
        <v/>
      </c>
      <c r="N50" s="10">
        <f>L54+'[1]2026 Μάιος'!N50</f>
        <v/>
      </c>
      <c r="O50" s="15">
        <f>N54/$N$43</f>
        <v/>
      </c>
      <c r="P50" s="10" t="n"/>
      <c r="Q50" s="15">
        <f>N54/F54</f>
        <v/>
      </c>
    </row>
    <row r="51" ht="22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2'!I11</f>
        <v/>
      </c>
      <c r="E51" s="15">
        <f>D55/$D$43</f>
        <v/>
      </c>
      <c r="F51" s="10">
        <f>D55+'[1]2026 Μάιος'!F51</f>
        <v/>
      </c>
      <c r="G51" s="15">
        <f>F55/$F$43</f>
        <v/>
      </c>
      <c r="H51" s="14" t="n"/>
      <c r="I51" s="16">
        <f>H55/$I$39</f>
        <v/>
      </c>
      <c r="J51" s="10">
        <f>H55</f>
        <v/>
      </c>
      <c r="K51" s="17">
        <f>J55/$J$43</f>
        <v/>
      </c>
      <c r="L51" s="14">
        <f>'[1]2024_60-69 ΕΞΟΔΑ+ΟΜ 2'!I11</f>
        <v/>
      </c>
      <c r="M51" s="15">
        <f>L55/$L$43</f>
        <v/>
      </c>
      <c r="N51" s="10">
        <f>L55+'[1]2026 Μάιος'!N51</f>
        <v/>
      </c>
      <c r="O51" s="15">
        <f>N55/$N$43</f>
        <v/>
      </c>
      <c r="P51" s="10" t="n"/>
      <c r="Q51" s="15">
        <f>N55/F55</f>
        <v/>
      </c>
    </row>
    <row r="52" ht="36.7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2'!I12</f>
        <v/>
      </c>
      <c r="E52" s="15">
        <f>D56/$D$43</f>
        <v/>
      </c>
      <c r="F52" s="10">
        <f>D56+'[1]2026 Μάιος'!F52</f>
        <v/>
      </c>
      <c r="G52" s="15">
        <f>F56/$F$43</f>
        <v/>
      </c>
      <c r="H52" s="14" t="n"/>
      <c r="I52" s="16">
        <f>H56/$I$39</f>
        <v/>
      </c>
      <c r="J52" s="10">
        <f>H56</f>
        <v/>
      </c>
      <c r="K52" s="17">
        <f>J56/$J$43</f>
        <v/>
      </c>
      <c r="L52" s="14">
        <f>'[1]2024_60-69 ΕΞΟΔΑ+ΟΜ 2'!I12</f>
        <v/>
      </c>
      <c r="M52" s="15">
        <f>L56/$L$43</f>
        <v/>
      </c>
      <c r="N52" s="10">
        <f>L56+'[1]2026 Μάιος'!N52</f>
        <v/>
      </c>
      <c r="O52" s="15">
        <f>N56/$N$43</f>
        <v/>
      </c>
      <c r="P52" s="10" t="n"/>
      <c r="Q52" s="15">
        <f>N56/F56</f>
        <v/>
      </c>
    </row>
    <row r="53" ht="36.7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2'!I13</f>
        <v/>
      </c>
      <c r="E53" s="15">
        <f>D57/$D$43</f>
        <v/>
      </c>
      <c r="F53" s="10">
        <f>D57+'[1]2026 Μάιος'!F53</f>
        <v/>
      </c>
      <c r="G53" s="15">
        <f>F57/$F$43</f>
        <v/>
      </c>
      <c r="H53" s="14" t="n"/>
      <c r="I53" s="16">
        <f>H57/$I$39</f>
        <v/>
      </c>
      <c r="J53" s="10">
        <f>H57</f>
        <v/>
      </c>
      <c r="K53" s="17">
        <f>J57/$J$43</f>
        <v/>
      </c>
      <c r="L53" s="14">
        <f>'[1]2024_60-69 ΕΞΟΔΑ+ΟΜ 2'!I13</f>
        <v/>
      </c>
      <c r="M53" s="15">
        <f>L57/$L$43</f>
        <v/>
      </c>
      <c r="N53" s="10">
        <f>L57+'[1]2026 Μάιος'!N53</f>
        <v/>
      </c>
      <c r="O53" s="15">
        <f>N57/$N$43</f>
        <v/>
      </c>
      <c r="P53" s="10" t="n"/>
      <c r="Q53" s="15">
        <f>N57/F57</f>
        <v/>
      </c>
    </row>
    <row r="54" ht="22.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2'!I14</f>
        <v/>
      </c>
      <c r="E54" s="15">
        <f>D58/$D$43</f>
        <v/>
      </c>
      <c r="F54" s="10">
        <f>D58+'[1]2026 Μάιος'!F54</f>
        <v/>
      </c>
      <c r="G54" s="15">
        <f>F58/$F$43</f>
        <v/>
      </c>
      <c r="H54" s="14" t="n"/>
      <c r="I54" s="16">
        <f>H58/$I$39</f>
        <v/>
      </c>
      <c r="J54" s="10">
        <f>H58</f>
        <v/>
      </c>
      <c r="K54" s="17">
        <f>J58/$J$43</f>
        <v/>
      </c>
      <c r="L54" s="14">
        <f>'[1]2024_60-69 ΕΞΟΔΑ+ΟΜ 2'!I14</f>
        <v/>
      </c>
      <c r="M54" s="15">
        <f>L58/$L$43</f>
        <v/>
      </c>
      <c r="N54" s="10">
        <f>L58+'[1]2026 Μάιος'!N54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2'!I15</f>
        <v/>
      </c>
      <c r="E55" s="15">
        <f>D59/$D$43</f>
        <v/>
      </c>
      <c r="F55" s="10">
        <f>D59+'[1]2026 Μάιος'!F55</f>
        <v/>
      </c>
      <c r="G55" s="15">
        <f>F59/$F$43</f>
        <v/>
      </c>
      <c r="H55" s="14" t="n"/>
      <c r="I55" s="16">
        <f>H59/$I$39</f>
        <v/>
      </c>
      <c r="J55" s="10">
        <f>H59</f>
        <v/>
      </c>
      <c r="K55" s="17">
        <f>J59/$J$43</f>
        <v/>
      </c>
      <c r="L55" s="14">
        <f>'[1]2024_60-69 ΕΞΟΔΑ+ΟΜ 2'!I15</f>
        <v/>
      </c>
      <c r="M55" s="15">
        <f>L59/$L$43</f>
        <v/>
      </c>
      <c r="N55" s="10">
        <f>L59+'[1]2026 Μάιος'!N55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2'!I16</f>
        <v/>
      </c>
      <c r="E56" s="15">
        <f>D60/$D$43</f>
        <v/>
      </c>
      <c r="F56" s="10">
        <f>D60+'[1]2026 Μάιος'!F56</f>
        <v/>
      </c>
      <c r="G56" s="15">
        <f>F60/$F$43</f>
        <v/>
      </c>
      <c r="H56" s="14" t="n"/>
      <c r="I56" s="16" t="n"/>
      <c r="J56" s="10" t="n"/>
      <c r="K56" s="17">
        <f>J60/$J$43</f>
        <v/>
      </c>
      <c r="L56" s="14">
        <f>'[1]2024_60-69 ΕΞΟΔΑ+ΟΜ 2'!I16</f>
        <v/>
      </c>
      <c r="M56" s="15">
        <f>L60/$L$43</f>
        <v/>
      </c>
      <c r="N56" s="10">
        <f>L60+'[1]2026 Μάιος'!N56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2'!I17</f>
        <v/>
      </c>
      <c r="E57" s="15">
        <f>D61/$D$43</f>
        <v/>
      </c>
      <c r="F57" s="10">
        <f>D61+'[1]2026 Μάιος'!F57</f>
        <v/>
      </c>
      <c r="G57" s="15">
        <f>F61/$F$43</f>
        <v/>
      </c>
      <c r="H57" s="14" t="n"/>
      <c r="I57" s="16">
        <f>H61/$I$39</f>
        <v/>
      </c>
      <c r="J57" s="10">
        <f>H61</f>
        <v/>
      </c>
      <c r="K57" s="17">
        <f>J61/$J$43</f>
        <v/>
      </c>
      <c r="L57" s="14">
        <f>'[1]2024_60-69 ΕΞΟΔΑ+ΟΜ 2'!I17</f>
        <v/>
      </c>
      <c r="M57" s="15">
        <f>L61/$L$43</f>
        <v/>
      </c>
      <c r="N57" s="10">
        <f>L61+'[1]2026 Μάιος'!N57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2'!I18</f>
        <v/>
      </c>
      <c r="E58" s="15">
        <f>D62/$D$43</f>
        <v/>
      </c>
      <c r="F58" s="10">
        <f>D62+'[1]2026 Μάιος'!F58</f>
        <v/>
      </c>
      <c r="G58" s="15">
        <f>F62/$F$43</f>
        <v/>
      </c>
      <c r="H58" s="14" t="n"/>
      <c r="I58" s="16">
        <f>H62/$I$39</f>
        <v/>
      </c>
      <c r="J58" s="10">
        <f>H62</f>
        <v/>
      </c>
      <c r="K58" s="17">
        <f>J62/$J$43</f>
        <v/>
      </c>
      <c r="L58" s="14">
        <f>'[1]2024_60-69 ΕΞΟΔΑ+ΟΜ 2'!I18</f>
        <v/>
      </c>
      <c r="M58" s="15">
        <f>L62/$L$43</f>
        <v/>
      </c>
      <c r="N58" s="10">
        <f>L62+'[1]2026 Μάιος'!N58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2'!I19</f>
        <v/>
      </c>
      <c r="E59" s="15">
        <f>D63/$D$43</f>
        <v/>
      </c>
      <c r="F59" s="10">
        <f>D63+'[1]2026 Μάιος'!F59</f>
        <v/>
      </c>
      <c r="G59" s="15">
        <f>F63/$F$43</f>
        <v/>
      </c>
      <c r="H59" s="14" t="n"/>
      <c r="I59" s="16">
        <f>H63/$I$39</f>
        <v/>
      </c>
      <c r="J59" s="10">
        <f>H63</f>
        <v/>
      </c>
      <c r="K59" s="17">
        <f>J63/$J$43</f>
        <v/>
      </c>
      <c r="L59" s="14">
        <f>'[1]2024_60-69 ΕΞΟΔΑ+ΟΜ 2'!I19</f>
        <v/>
      </c>
      <c r="M59" s="15">
        <f>L63/$L$43</f>
        <v/>
      </c>
      <c r="N59" s="10">
        <f>L63+'[1]2026 Μάιος'!N59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2'!I20</f>
        <v/>
      </c>
      <c r="E60" s="15">
        <f>D64/$D$43</f>
        <v/>
      </c>
      <c r="F60" s="10">
        <f>D64+'[1]2026 Μάιος'!F60</f>
        <v/>
      </c>
      <c r="G60" s="15">
        <f>F64/$F$43</f>
        <v/>
      </c>
      <c r="H60" s="14" t="n"/>
      <c r="I60" s="16">
        <f>H64/$I$39</f>
        <v/>
      </c>
      <c r="J60" s="10">
        <f>H64</f>
        <v/>
      </c>
      <c r="K60" s="17">
        <f>J64/$J$43</f>
        <v/>
      </c>
      <c r="L60" s="14">
        <f>'[1]2024_60-69 ΕΞΟΔΑ+ΟΜ 2'!I20</f>
        <v/>
      </c>
      <c r="M60" s="15">
        <f>L64/$L$43</f>
        <v/>
      </c>
      <c r="N60" s="10">
        <f>L64+'[1]2026 Μάιος'!N60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2'!I184</f>
        <v/>
      </c>
      <c r="E61" s="15">
        <f>D65/$D$43</f>
        <v/>
      </c>
      <c r="F61" s="10">
        <f>D65+'[1]2026 Μάιος'!F61</f>
        <v/>
      </c>
      <c r="G61" s="15">
        <f>F65/$F$43</f>
        <v/>
      </c>
      <c r="H61" s="14" t="n"/>
      <c r="I61" s="16">
        <f>H65/$I$39</f>
        <v/>
      </c>
      <c r="J61" s="10">
        <f>H65</f>
        <v/>
      </c>
      <c r="K61" s="17">
        <f>J65/$J$43</f>
        <v/>
      </c>
      <c r="L61" s="14">
        <f>'[1]2024_60-69 ΕΞΟΔΑ+ΟΜ 2'!I21</f>
        <v/>
      </c>
      <c r="M61" s="15">
        <f>L65/$L$43</f>
        <v/>
      </c>
      <c r="N61" s="10">
        <f>L65+'[1]2026 Μάιος'!N61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2'!I22</f>
        <v/>
      </c>
      <c r="E62" s="15">
        <f>D66/$D$43</f>
        <v/>
      </c>
      <c r="F62" s="10">
        <f>D66+'[1]2026 Μάιος'!F62</f>
        <v/>
      </c>
      <c r="G62" s="15">
        <f>F66/$F$43</f>
        <v/>
      </c>
      <c r="H62" s="14" t="n"/>
      <c r="I62" s="16">
        <f>H66/$I$39</f>
        <v/>
      </c>
      <c r="J62" s="10">
        <f>H66</f>
        <v/>
      </c>
      <c r="K62" s="17">
        <f>J66/$J$43</f>
        <v/>
      </c>
      <c r="L62" s="14">
        <f>'[1]2024_60-69 ΕΞΟΔΑ+ΟΜ 2'!I22</f>
        <v/>
      </c>
      <c r="M62" s="15">
        <f>L66/$L$43</f>
        <v/>
      </c>
      <c r="N62" s="10">
        <f>L66+'[1]2026 Μάιος'!N62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2'!I23</f>
        <v/>
      </c>
      <c r="E63" s="15">
        <f>D67/$D$43</f>
        <v/>
      </c>
      <c r="F63" s="10">
        <f>D67+'[1]2026 Μάιος'!F63</f>
        <v/>
      </c>
      <c r="G63" s="15">
        <f>F67/$F$43</f>
        <v/>
      </c>
      <c r="H63" s="14" t="n"/>
      <c r="I63" s="16">
        <f>H67/$I$39</f>
        <v/>
      </c>
      <c r="J63" s="10">
        <f>H67</f>
        <v/>
      </c>
      <c r="K63" s="17">
        <f>J67/$J$43</f>
        <v/>
      </c>
      <c r="L63" s="14">
        <f>'[1]2024_60-69 ΕΞΟΔΑ+ΟΜ 2'!I23</f>
        <v/>
      </c>
      <c r="M63" s="15">
        <f>L67/$L$43</f>
        <v/>
      </c>
      <c r="N63" s="10">
        <f>L67+'[1]2026 Μάιος'!N63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2'!I24</f>
        <v/>
      </c>
      <c r="E64" s="15">
        <f>D68/$D$43</f>
        <v/>
      </c>
      <c r="F64" s="10">
        <f>D68+'[1]2026 Μάιος'!F64</f>
        <v/>
      </c>
      <c r="G64" s="15">
        <f>F68/$F$43</f>
        <v/>
      </c>
      <c r="H64" s="14" t="n"/>
      <c r="I64" s="16">
        <f>H68/$I$39</f>
        <v/>
      </c>
      <c r="J64" s="10">
        <f>H68</f>
        <v/>
      </c>
      <c r="K64" s="17">
        <f>J68/$J$43</f>
        <v/>
      </c>
      <c r="L64" s="14">
        <f>'[1]2024_60-69 ΕΞΟΔΑ+ΟΜ 2'!I24</f>
        <v/>
      </c>
      <c r="M64" s="15">
        <f>L68/$L$43</f>
        <v/>
      </c>
      <c r="N64" s="10">
        <f>L68+'[1]2026 Μάιος'!N64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2'!I25</f>
        <v/>
      </c>
      <c r="E65" s="15">
        <f>D69/$D$43</f>
        <v/>
      </c>
      <c r="F65" s="10">
        <f>D69+'[1]2026 Μάιος'!F65</f>
        <v/>
      </c>
      <c r="G65" s="15">
        <f>F69/$F$43</f>
        <v/>
      </c>
      <c r="H65" s="14" t="n"/>
      <c r="I65" s="16">
        <f>H69/$I$39</f>
        <v/>
      </c>
      <c r="J65" s="10">
        <f>H69</f>
        <v/>
      </c>
      <c r="K65" s="17">
        <f>J69/$J$43</f>
        <v/>
      </c>
      <c r="L65" s="14">
        <f>'[1]2024_60-69 ΕΞΟΔΑ+ΟΜ 2'!I25</f>
        <v/>
      </c>
      <c r="M65" s="15">
        <f>L69/$L$43</f>
        <v/>
      </c>
      <c r="N65" s="10">
        <f>L69+'[1]2026 Μάιος'!N65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2'!I26</f>
        <v/>
      </c>
      <c r="E66" s="15">
        <f>D70/$D$43</f>
        <v/>
      </c>
      <c r="F66" s="10">
        <f>D70+'[1]2026 Μάιος'!F66</f>
        <v/>
      </c>
      <c r="G66" s="15">
        <f>F70/$F$43</f>
        <v/>
      </c>
      <c r="H66" s="14" t="n"/>
      <c r="I66" s="16">
        <f>H70/$I$39</f>
        <v/>
      </c>
      <c r="J66" s="10">
        <f>H70</f>
        <v/>
      </c>
      <c r="K66" s="17">
        <f>J70/$J$43</f>
        <v/>
      </c>
      <c r="L66" s="14">
        <f>'[1]2024_60-69 ΕΞΟΔΑ+ΟΜ 2'!I26</f>
        <v/>
      </c>
      <c r="M66" s="15">
        <f>L70/$L$43</f>
        <v/>
      </c>
      <c r="N66" s="10">
        <f>L70+'[1]2026 Μάιος'!N66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2'!I27</f>
        <v/>
      </c>
      <c r="E67" s="15">
        <f>D71/$D$43</f>
        <v/>
      </c>
      <c r="F67" s="10">
        <f>D71+'[1]2026 Μάιος'!F67</f>
        <v/>
      </c>
      <c r="G67" s="15">
        <f>F71/$F$43</f>
        <v/>
      </c>
      <c r="H67" s="14" t="n"/>
      <c r="I67" s="16">
        <f>H71/$I$39</f>
        <v/>
      </c>
      <c r="J67" s="10">
        <f>H71</f>
        <v/>
      </c>
      <c r="K67" s="17">
        <f>J71/$J$43</f>
        <v/>
      </c>
      <c r="L67" s="14">
        <f>'[1]2024_60-69 ΕΞΟΔΑ+ΟΜ 2'!I27</f>
        <v/>
      </c>
      <c r="M67" s="15">
        <f>L71/$L$43</f>
        <v/>
      </c>
      <c r="N67" s="10">
        <f>L71+'[1]2026 Μάιος'!N67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2'!I28</f>
        <v/>
      </c>
      <c r="E68" s="15">
        <f>D72/$D$43</f>
        <v/>
      </c>
      <c r="F68" s="10">
        <f>D72+'[1]2026 Μάιος'!F68</f>
        <v/>
      </c>
      <c r="G68" s="15">
        <f>F72/$F$43</f>
        <v/>
      </c>
      <c r="H68" s="14" t="n"/>
      <c r="I68" s="16">
        <f>H72/$I$39</f>
        <v/>
      </c>
      <c r="J68" s="10">
        <f>H72</f>
        <v/>
      </c>
      <c r="K68" s="17">
        <f>J72/$J$43</f>
        <v/>
      </c>
      <c r="L68" s="14">
        <f>'[1]2024_60-69 ΕΞΟΔΑ+ΟΜ 2'!I28</f>
        <v/>
      </c>
      <c r="M68" s="15">
        <f>L72/$L$43</f>
        <v/>
      </c>
      <c r="N68" s="10">
        <f>L72+'[1]2026 Μάιος'!N68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2'!I29</f>
        <v/>
      </c>
      <c r="E69" s="15">
        <f>D73/$D$43</f>
        <v/>
      </c>
      <c r="F69" s="10">
        <f>D73+'[1]2026 Μάιος'!F69</f>
        <v/>
      </c>
      <c r="G69" s="15">
        <f>F73/$F$43</f>
        <v/>
      </c>
      <c r="H69" s="14" t="n"/>
      <c r="I69" s="16">
        <f>H73/$I$39</f>
        <v/>
      </c>
      <c r="J69" s="10">
        <f>H73</f>
        <v/>
      </c>
      <c r="K69" s="17">
        <f>J73/$J$43</f>
        <v/>
      </c>
      <c r="L69" s="14">
        <f>'[1]2024_60-69 ΕΞΟΔΑ+ΟΜ 2'!I29</f>
        <v/>
      </c>
      <c r="M69" s="15">
        <f>L73/$L$43</f>
        <v/>
      </c>
      <c r="N69" s="10">
        <f>L73+'[1]2026 Μάιος'!N69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>
        <f>'[1]2026_60-69 ΕΞΟΔΑ+ΟΜ 2'!I30</f>
        <v/>
      </c>
      <c r="E70" s="15">
        <f>D74/$D$43</f>
        <v/>
      </c>
      <c r="F70" s="10">
        <f>D74+'[1]2026 Μάιος'!F70</f>
        <v/>
      </c>
      <c r="G70" s="15">
        <f>F74/$F$43</f>
        <v/>
      </c>
      <c r="H70" s="14" t="n"/>
      <c r="I70" s="16">
        <f>H74/$I$39</f>
        <v/>
      </c>
      <c r="J70" s="10">
        <f>H74</f>
        <v/>
      </c>
      <c r="K70" s="17">
        <f>J74/$J$43</f>
        <v/>
      </c>
      <c r="L70" s="14">
        <f>'[1]2024_60-69 ΕΞΟΔΑ+ΟΜ 2'!I30</f>
        <v/>
      </c>
      <c r="M70" s="15">
        <f>L74/$L$43</f>
        <v/>
      </c>
      <c r="N70" s="10">
        <f>L74+'[1]2026 Μάιος'!N70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2'!I31</f>
        <v/>
      </c>
      <c r="E71" s="15">
        <f>D75/$D$43</f>
        <v/>
      </c>
      <c r="F71" s="10">
        <f>D75+'[1]2026 Μάιος'!F71</f>
        <v/>
      </c>
      <c r="G71" s="15">
        <f>F75/$F$43</f>
        <v/>
      </c>
      <c r="H71" s="14" t="n"/>
      <c r="I71" s="16">
        <f>H75/$I$39</f>
        <v/>
      </c>
      <c r="J71" s="10">
        <f>H75</f>
        <v/>
      </c>
      <c r="K71" s="17">
        <f>J75/$J$43</f>
        <v/>
      </c>
      <c r="L71" s="14">
        <f>'[1]2024_60-69 ΕΞΟΔΑ+ΟΜ 2'!I31</f>
        <v/>
      </c>
      <c r="M71" s="15">
        <f>L75/$L$43</f>
        <v/>
      </c>
      <c r="N71" s="10">
        <f>L75+'[1]2026 Μάιος'!N71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2'!I32</f>
        <v/>
      </c>
      <c r="E72" s="15">
        <f>D76/$D$43</f>
        <v/>
      </c>
      <c r="F72" s="10">
        <f>D76+'[1]2026 Μάιος'!F72</f>
        <v/>
      </c>
      <c r="G72" s="15">
        <f>F76/$F$43</f>
        <v/>
      </c>
      <c r="H72" s="14" t="n"/>
      <c r="I72" s="16">
        <f>H76/$I$39</f>
        <v/>
      </c>
      <c r="J72" s="10">
        <f>H76</f>
        <v/>
      </c>
      <c r="K72" s="17">
        <f>J76/$J$43</f>
        <v/>
      </c>
      <c r="L72" s="14">
        <f>'[1]2024_60-69 ΕΞΟΔΑ+ΟΜ 2'!I32</f>
        <v/>
      </c>
      <c r="M72" s="15">
        <f>L76/$L$43</f>
        <v/>
      </c>
      <c r="N72" s="10">
        <f>L76+'[1]2026 Μάιος'!N72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2'!I33</f>
        <v/>
      </c>
      <c r="E73" s="15">
        <f>D77/$D$43</f>
        <v/>
      </c>
      <c r="F73" s="10">
        <f>D77+'[1]2026 Μάιος'!F73</f>
        <v/>
      </c>
      <c r="G73" s="15">
        <f>F77/$F$43</f>
        <v/>
      </c>
      <c r="H73" s="14" t="n"/>
      <c r="I73" s="16">
        <f>H77/$I$39</f>
        <v/>
      </c>
      <c r="J73" s="10">
        <f>H77</f>
        <v/>
      </c>
      <c r="K73" s="17">
        <f>J77/$J$43</f>
        <v/>
      </c>
      <c r="L73" s="14">
        <f>'[1]2024_60-69 ΕΞΟΔΑ+ΟΜ 2'!I33</f>
        <v/>
      </c>
      <c r="M73" s="15">
        <f>L77/$L$43</f>
        <v/>
      </c>
      <c r="N73" s="10">
        <f>L77+'[1]2026 Μάιος'!N73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2'!I3+#REF!</f>
        <v/>
      </c>
      <c r="E74" s="21" t="n"/>
      <c r="F74" s="7">
        <f>D78+'[1]2026 Μάιος'!F74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[1]ΑΝΤΙΣΤΟΙΧΙΣΗ!$F$110</f>
        <v/>
      </c>
      <c r="E78" s="192" t="n"/>
      <c r="F78" s="56" t="n"/>
      <c r="G78" s="61">
        <f>[1]ΑΝΤΙΣΤΟΙΧΙΣΗ!$D$34</f>
        <v/>
      </c>
      <c r="H78" s="180">
        <f>[1]ΑΝΤΙΣΤΟΙΧΙΣΗ!$F$110</f>
        <v/>
      </c>
      <c r="I78" s="192" t="n"/>
      <c r="J78" s="56" t="n"/>
      <c r="K78" s="61">
        <f>[1]ΑΝΤΙΣΤΟΙΧΙΣΗ!$D$34</f>
        <v/>
      </c>
      <c r="L78" s="180">
        <f>[1]ΑΝΤΙΣΤΟΙΧΙΣΗ!$F$124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2'!I39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2'!I37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2'!I40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2'!I38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2'!I43</f>
        <v/>
      </c>
      <c r="E83" s="15">
        <f>D87/$D$84</f>
        <v/>
      </c>
      <c r="F83" s="79">
        <f>'[1]2026 Μάιος'!F87+'[1]2026 Ιούνιος'!D87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2'!I41</f>
        <v/>
      </c>
      <c r="M83" s="15">
        <f>L87/$L$84</f>
        <v/>
      </c>
      <c r="N83" s="10">
        <f>L87+'[1]2026 Μάιος'!N87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2'!I44</f>
        <v/>
      </c>
      <c r="E84" s="15">
        <f>D88/$D$84</f>
        <v/>
      </c>
      <c r="F84" s="79">
        <f>'[1]2026 Μάιος'!F88+'[1]2026 Ιούνιος'!D88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2'!I42</f>
        <v/>
      </c>
      <c r="M84" s="15">
        <f>L88/$L$84</f>
        <v/>
      </c>
      <c r="N84" s="10">
        <f>L88+'[1]2026 Μάιος'!N88</f>
        <v/>
      </c>
      <c r="O84" s="15">
        <f>N88/$N$84</f>
        <v/>
      </c>
      <c r="P84" s="27" t="n"/>
      <c r="Q84" s="28">
        <f>SUM(D88:P88)</f>
        <v/>
      </c>
    </row>
    <row r="85" ht="36.7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2'!I45</f>
        <v/>
      </c>
      <c r="E85" s="15">
        <f>D89/$D$84</f>
        <v/>
      </c>
      <c r="F85" s="79">
        <f>'[1]2026 Μάιος'!F89+'[1]2026 Ιούνιος'!D89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2'!I43</f>
        <v/>
      </c>
      <c r="M85" s="15">
        <f>L89/$L$84</f>
        <v/>
      </c>
      <c r="N85" s="10">
        <f>L89+'[1]2026 Μάιος'!N89</f>
        <v/>
      </c>
      <c r="O85" s="15">
        <f>N89/$N$84</f>
        <v/>
      </c>
      <c r="P85" s="80" t="n"/>
      <c r="Q85" s="28">
        <f>SUM(D89:P89)</f>
        <v/>
      </c>
    </row>
    <row r="86" ht="36.7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2'!I46</f>
        <v/>
      </c>
      <c r="E86" s="15">
        <f>D90/$D$84</f>
        <v/>
      </c>
      <c r="F86" s="79">
        <f>'[1]2026 Μάιος'!F90+'[1]2026 Ιούνιος'!D90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2'!I44</f>
        <v/>
      </c>
      <c r="M86" s="15">
        <f>L90/$L$84</f>
        <v/>
      </c>
      <c r="N86" s="10">
        <f>L90+'[1]2026 Μάιος'!N90</f>
        <v/>
      </c>
      <c r="O86" s="15">
        <f>N90/$N$84</f>
        <v/>
      </c>
      <c r="P86" s="80" t="n"/>
      <c r="Q86" s="28">
        <f>SUM(D90:P90)</f>
        <v/>
      </c>
    </row>
    <row r="87" ht="36.7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2'!I47</f>
        <v/>
      </c>
      <c r="E87" s="15">
        <f>D91/$D$84</f>
        <v/>
      </c>
      <c r="F87" s="79">
        <f>'[1]2026 Μάιος'!F91+'[1]2026 Ιούνιος'!D91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2'!I45</f>
        <v/>
      </c>
      <c r="M87" s="15">
        <f>L91/$L$84</f>
        <v/>
      </c>
      <c r="N87" s="10">
        <f>L91+'[1]2026 Μάιος'!N91</f>
        <v/>
      </c>
      <c r="O87" s="15">
        <f>N91/$N$84</f>
        <v/>
      </c>
      <c r="P87" s="80" t="n"/>
      <c r="Q87" s="28">
        <f>SUM(D91:P91)</f>
        <v/>
      </c>
    </row>
    <row r="88" ht="36.7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2'!I48</f>
        <v/>
      </c>
      <c r="E88" s="15">
        <f>D92/$D$84</f>
        <v/>
      </c>
      <c r="F88" s="79">
        <f>'[1]2026 Μάιος'!F92+'[1]2026 Ιούνιος'!D92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2'!I46</f>
        <v/>
      </c>
      <c r="M88" s="15">
        <f>L92/$L$84</f>
        <v/>
      </c>
      <c r="N88" s="10">
        <f>L92+'[1]2026 Μάιος'!N92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2'!I49</f>
        <v/>
      </c>
      <c r="E89" s="15">
        <f>D93/$D$84</f>
        <v/>
      </c>
      <c r="F89" s="79">
        <f>'[1]2026 Μάιος'!F93+'[1]2026 Ιούνιος'!D93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2'!I47</f>
        <v/>
      </c>
      <c r="M89" s="15">
        <f>L93/$L$84</f>
        <v/>
      </c>
      <c r="N89" s="10">
        <f>L93+'[1]2026 Μάιος'!N93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2'!I50</f>
        <v/>
      </c>
      <c r="E90" s="15">
        <f>D94/$D$84</f>
        <v/>
      </c>
      <c r="F90" s="79">
        <f>'[1]2026 Μάιος'!F94+'[1]2026 Ιούνιος'!D94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2'!I48</f>
        <v/>
      </c>
      <c r="M90" s="15">
        <f>L94/$L$84</f>
        <v/>
      </c>
      <c r="N90" s="10">
        <f>L94+'[1]2026 Μάιος'!N94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2'!I51</f>
        <v/>
      </c>
      <c r="E91" s="15">
        <f>D95/$D$84</f>
        <v/>
      </c>
      <c r="F91" s="79">
        <f>'[1]2026 Μάιος'!F95+'[1]2026 Ιούνιος'!D95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2'!I49</f>
        <v/>
      </c>
      <c r="M91" s="15">
        <f>L95/$L$84</f>
        <v/>
      </c>
      <c r="N91" s="10">
        <f>L95+'[1]2026 Μάιος'!N95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2'!I52</f>
        <v/>
      </c>
      <c r="E92" s="15">
        <f>D96/$D$84</f>
        <v/>
      </c>
      <c r="F92" s="79">
        <f>'[1]2026 Μάιος'!F96+'[1]2026 Ιούνιος'!D96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2'!I50</f>
        <v/>
      </c>
      <c r="M92" s="15">
        <f>L96/$L$84</f>
        <v/>
      </c>
      <c r="N92" s="10">
        <f>L96+'[1]2026 Μάιος'!N96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2'!I53</f>
        <v/>
      </c>
      <c r="E93" s="15">
        <f>D97/$D$84</f>
        <v/>
      </c>
      <c r="F93" s="79">
        <f>'[1]2026 Μάιος'!F97+'[1]2026 Ιούνιος'!D97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2'!I51</f>
        <v/>
      </c>
      <c r="M93" s="15">
        <f>L97/$L$84</f>
        <v/>
      </c>
      <c r="N93" s="10">
        <f>L97+'[1]2026 Μάιος'!N97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2'!I54</f>
        <v/>
      </c>
      <c r="E94" s="15">
        <f>D98/$D$84</f>
        <v/>
      </c>
      <c r="F94" s="79">
        <f>'[1]2026 Μάιος'!F98+'[1]2026 Ιούνιος'!D98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2'!I52</f>
        <v/>
      </c>
      <c r="M94" s="15">
        <f>L98/$L$84</f>
        <v/>
      </c>
      <c r="N94" s="10">
        <f>L98+'[1]2026 Μάιος'!N98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2'!I55</f>
        <v/>
      </c>
      <c r="E95" s="15">
        <f>D99/$D$84</f>
        <v/>
      </c>
      <c r="F95" s="79">
        <f>'[1]2026 Μάιος'!F99+'[1]2026 Ιούνιος'!D99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2'!I53</f>
        <v/>
      </c>
      <c r="M95" s="15">
        <f>L99/$L$84</f>
        <v/>
      </c>
      <c r="N95" s="10">
        <f>L99+'[1]2026 Μάιος'!N99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2'!I56</f>
        <v/>
      </c>
      <c r="E96" s="15">
        <f>D100/$D$84</f>
        <v/>
      </c>
      <c r="F96" s="79">
        <f>'[1]2026 Μάιος'!F100+'[1]2026 Ιούνιος'!D100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2'!I54</f>
        <v/>
      </c>
      <c r="M96" s="15">
        <f>L100/$L$84</f>
        <v/>
      </c>
      <c r="N96" s="10">
        <f>L100+'[1]2026 Μάιος'!N100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2'!I57</f>
        <v/>
      </c>
      <c r="E97" s="15">
        <f>D101/$D$84</f>
        <v/>
      </c>
      <c r="F97" s="79">
        <f>'[1]2026 Μάιος'!F101+'[1]2026 Ιούνιος'!D101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2'!I55</f>
        <v/>
      </c>
      <c r="M97" s="15">
        <f>L101/$L$84</f>
        <v/>
      </c>
      <c r="N97" s="10">
        <f>L101+'[1]2026 Μάιος'!N101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2'!I58</f>
        <v/>
      </c>
      <c r="E98" s="15">
        <f>D102/$D$84</f>
        <v/>
      </c>
      <c r="F98" s="79">
        <f>'[1]2026 Μάιος'!F102+'[1]2026 Ιούνιος'!D102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2'!I56</f>
        <v/>
      </c>
      <c r="M98" s="15">
        <f>L102/$L$84</f>
        <v/>
      </c>
      <c r="N98" s="10">
        <f>L102+'[1]2026 Μάιος'!N102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2'!I59</f>
        <v/>
      </c>
      <c r="E99" s="15">
        <f>D103/$D$84</f>
        <v/>
      </c>
      <c r="F99" s="79">
        <f>'[1]2026 Μάιος'!F103+'[1]2026 Ιούνιος'!D103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2'!I57</f>
        <v/>
      </c>
      <c r="M99" s="15">
        <f>L103/$L$84</f>
        <v/>
      </c>
      <c r="N99" s="10">
        <f>L103+'[1]2026 Μάιος'!N103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2'!I60</f>
        <v/>
      </c>
      <c r="E100" s="15">
        <f>D104/$D$84</f>
        <v/>
      </c>
      <c r="F100" s="79">
        <f>'[1]2026 Μάιος'!F104+'[1]2026 Ιούνιος'!D104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2'!I58</f>
        <v/>
      </c>
      <c r="M100" s="15">
        <f>L104/$L$84</f>
        <v/>
      </c>
      <c r="N100" s="10">
        <f>L104+'[1]2026 Μάιος'!N104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2'!I61</f>
        <v/>
      </c>
      <c r="E101" s="15">
        <f>D105/$D$84</f>
        <v/>
      </c>
      <c r="F101" s="79">
        <f>'[1]2026 Μάιος'!F105+'[1]2026 Ιούνιος'!D105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2'!I59</f>
        <v/>
      </c>
      <c r="M101" s="15">
        <f>L105/$L$84</f>
        <v/>
      </c>
      <c r="N101" s="10">
        <f>L105+'[1]2026 Μάιος'!N105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2'!I36</f>
        <v/>
      </c>
      <c r="E107" s="8" t="n"/>
      <c r="F107" s="7">
        <f>D111+'[1]2026 Μάιος'!F111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[1]ΑΝΤΙΣΤΟΙΧΙΣΗ!$F$110</f>
        <v/>
      </c>
      <c r="E110" s="192" t="n"/>
      <c r="F110" s="56" t="n"/>
      <c r="G110" s="61">
        <f>[1]ΑΝΤΙΣΤΟΙΧΙΣΗ!$D$34</f>
        <v/>
      </c>
      <c r="H110" s="180">
        <f>[1]ΑΝΤΙΣΤΟΙΧΙΣΗ!$F$110</f>
        <v/>
      </c>
      <c r="I110" s="192" t="n"/>
      <c r="J110" s="56" t="n"/>
      <c r="K110" s="61">
        <f>[1]ΑΝΤΙΣΤΟΙΧΙΣΗ!$D$34</f>
        <v/>
      </c>
      <c r="L110" s="180">
        <f>[1]ΑΝΤΙΣΤΟΙΧΙΣΗ!$F$124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'[1]2026_60-69 ΕΞΟΔΑ+ΟΜ 2'!I74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2'!I66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'[1]2026_60-69 ΕΞΟΔΑ+ΟΜ 2'!I75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2'!I67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'[1]2026_60-69 ΕΞΟΔΑ+ΟΜ 2'!I76</f>
        <v/>
      </c>
      <c r="E115" s="15">
        <f>D119/$D4118</f>
        <v/>
      </c>
      <c r="F115" s="10">
        <f>D119+'[1]2026 Μάιος'!F119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2'!I68</f>
        <v/>
      </c>
      <c r="M115" s="15">
        <f>L119/$L$116</f>
        <v/>
      </c>
      <c r="N115" s="10">
        <f>L119+'[1]2026 Μάιος'!N119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'[1]2026_60-69 ΕΞΟΔΑ+ΟΜ 2'!I77</f>
        <v/>
      </c>
      <c r="E116" s="15">
        <f>D120/$D4119</f>
        <v/>
      </c>
      <c r="F116" s="10">
        <f>D120+'[1]2026 Μάιος'!F120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2'!I69</f>
        <v/>
      </c>
      <c r="M116" s="15">
        <f>L120/$L$116</f>
        <v/>
      </c>
      <c r="N116" s="10">
        <f>L120+'[1]2026 Μάιος'!N120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'[1]2026_60-69 ΕΞΟΔΑ+ΟΜ 2'!I78</f>
        <v/>
      </c>
      <c r="E117" s="15">
        <f>D121/$D4120</f>
        <v/>
      </c>
      <c r="F117" s="10">
        <f>D121+'[1]2026 Μάιος'!F121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2'!I70</f>
        <v/>
      </c>
      <c r="M117" s="15">
        <f>L121/$L$116</f>
        <v/>
      </c>
      <c r="N117" s="10">
        <f>L121+'[1]2026 Μάιος'!N121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'[1]2026_60-69 ΕΞΟΔΑ+ΟΜ 2'!I79</f>
        <v/>
      </c>
      <c r="E118" s="15">
        <f>D122/$D4121</f>
        <v/>
      </c>
      <c r="F118" s="10">
        <f>D122+'[1]2026 Μάιος'!F122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2'!I71</f>
        <v/>
      </c>
      <c r="M118" s="15">
        <f>L122/$L$116</f>
        <v/>
      </c>
      <c r="N118" s="10">
        <f>L122+'[1]2026 Μάιος'!N122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'[1]2026_60-69 ΕΞΟΔΑ+ΟΜ 2'!I80</f>
        <v/>
      </c>
      <c r="E119" s="15">
        <f>D123/$D4122</f>
        <v/>
      </c>
      <c r="F119" s="10">
        <f>D123+'[1]2026 Μάιος'!F123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2'!I72</f>
        <v/>
      </c>
      <c r="M119" s="15">
        <f>L123/$L$116</f>
        <v/>
      </c>
      <c r="N119" s="10">
        <f>L123+'[1]2026 Μάιος'!N123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'[1]2026_60-69 ΕΞΟΔΑ+ΟΜ 2'!I81</f>
        <v/>
      </c>
      <c r="E120" s="15">
        <f>D124/$D4123</f>
        <v/>
      </c>
      <c r="F120" s="10">
        <f>D124+'[1]2026 Μάιος'!F124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2'!I73</f>
        <v/>
      </c>
      <c r="M120" s="15">
        <f>L124/$L$116</f>
        <v/>
      </c>
      <c r="N120" s="10">
        <f>L124+'[1]2026 Μάιος'!N124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'[1]2026_60-69 ΕΞΟΔΑ+ΟΜ 2'!I82</f>
        <v/>
      </c>
      <c r="E121" s="15">
        <f>D125/$D4124</f>
        <v/>
      </c>
      <c r="F121" s="10">
        <f>D125+'[1]2026 Μάιος'!F125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2'!I74</f>
        <v/>
      </c>
      <c r="M121" s="15">
        <f>L125/$L$116</f>
        <v/>
      </c>
      <c r="N121" s="10">
        <f>L125+'[1]2026 Μάιος'!N125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'[1]2026_60-69 ΕΞΟΔΑ+ΟΜ 2'!I83</f>
        <v/>
      </c>
      <c r="E122" s="15">
        <f>D126/$D4125</f>
        <v/>
      </c>
      <c r="F122" s="10">
        <f>D126+'[1]2026 Μάιος'!F126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2'!I75</f>
        <v/>
      </c>
      <c r="M122" s="15">
        <f>L126/$L$116</f>
        <v/>
      </c>
      <c r="N122" s="10">
        <f>L126+'[1]2026 Μάιος'!N126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'[1]2026_60-69 ΕΞΟΔΑ+ΟΜ 2'!I84</f>
        <v/>
      </c>
      <c r="E123" s="15">
        <f>D127/$D4126</f>
        <v/>
      </c>
      <c r="F123" s="10">
        <f>D127+'[1]2026 Μάιος'!F127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2'!I76</f>
        <v/>
      </c>
      <c r="M123" s="15">
        <f>L127/$L$116</f>
        <v/>
      </c>
      <c r="N123" s="10">
        <f>L127+'[1]2026 Μάιος'!N127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'[1]2026_60-69 ΕΞΟΔΑ+ΟΜ 2'!I85</f>
        <v/>
      </c>
      <c r="E124" s="15">
        <f>D128/$D4127</f>
        <v/>
      </c>
      <c r="F124" s="10">
        <f>D128+'[1]2026 Μάιος'!F128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2'!I77</f>
        <v/>
      </c>
      <c r="M124" s="15">
        <f>L128/$L$116</f>
        <v/>
      </c>
      <c r="N124" s="10">
        <f>L128+'[1]2026 Μάιος'!N128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'[1]2026_60-69 ΕΞΟΔΑ+ΟΜ 2'!I86</f>
        <v/>
      </c>
      <c r="E125" s="15">
        <f>D129/$D4128</f>
        <v/>
      </c>
      <c r="F125" s="10">
        <f>D129+'[1]2026 Μάιος'!F129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2'!I78</f>
        <v/>
      </c>
      <c r="M125" s="15">
        <f>L129/$L$116</f>
        <v/>
      </c>
      <c r="N125" s="10">
        <f>L129+'[1]2026 Μάιος'!N129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'[1]2026_60-69 ΕΞΟΔΑ+ΟΜ 2'!I87</f>
        <v/>
      </c>
      <c r="E126" s="15">
        <f>D130/$D4129</f>
        <v/>
      </c>
      <c r="F126" s="10">
        <f>D130+'[1]2026 Μάιος'!F130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2'!I79</f>
        <v/>
      </c>
      <c r="M126" s="15">
        <f>L130/$L$116</f>
        <v/>
      </c>
      <c r="N126" s="10">
        <f>L130+'[1]2026 Μάιος'!N130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'[1]2026_60-69 ΕΞΟΔΑ+ΟΜ 2'!I88</f>
        <v/>
      </c>
      <c r="E127" s="15">
        <f>D131/$D4130</f>
        <v/>
      </c>
      <c r="F127" s="10">
        <f>D131+'[1]2026 Μάιος'!F131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2'!I80</f>
        <v/>
      </c>
      <c r="M127" s="15">
        <f>L131/$L$116</f>
        <v/>
      </c>
      <c r="N127" s="10">
        <f>L131+'[1]2026 Μάιος'!N131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'[1]2026_60-69 ΕΞΟΔΑ+ΟΜ 2'!I89</f>
        <v/>
      </c>
      <c r="E128" s="15">
        <f>D132/$D4131</f>
        <v/>
      </c>
      <c r="F128" s="10">
        <f>D132+'[1]2026 Μάιος'!F132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2'!I81</f>
        <v/>
      </c>
      <c r="M128" s="15">
        <f>L132/$L$116</f>
        <v/>
      </c>
      <c r="N128" s="10">
        <f>L132+'[1]2026 Μάιος'!N132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'[1]2026_60-69 ΕΞΟΔΑ+ΟΜ 2'!I90</f>
        <v/>
      </c>
      <c r="E129" s="15">
        <f>D133/$D4132</f>
        <v/>
      </c>
      <c r="F129" s="10">
        <f>D133+'[1]2026 Μάιος'!F133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2'!I82</f>
        <v/>
      </c>
      <c r="M129" s="15">
        <f>L133/$L$116</f>
        <v/>
      </c>
      <c r="N129" s="10">
        <f>L133+'[1]2026 Μάιος'!N133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'[1]2026_60-69 ΕΞΟΔΑ+ΟΜ 2'!I91</f>
        <v/>
      </c>
      <c r="E130" s="15">
        <f>D134/$D4133</f>
        <v/>
      </c>
      <c r="F130" s="10">
        <f>D134+'[1]2026 Μάιος'!F134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2'!I83</f>
        <v/>
      </c>
      <c r="M130" s="15">
        <f>L134/$L$116</f>
        <v/>
      </c>
      <c r="N130" s="10">
        <f>L134+'[1]2026 Μάιος'!N134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'[1]2026_60-69 ΕΞΟΔΑ+ΟΜ 2'!I92</f>
        <v/>
      </c>
      <c r="E131" s="15">
        <f>D135/$D4134</f>
        <v/>
      </c>
      <c r="F131" s="10">
        <f>D135+'[1]2026 Μάιος'!F135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2'!I84</f>
        <v/>
      </c>
      <c r="M131" s="15">
        <f>L135/$L$116</f>
        <v/>
      </c>
      <c r="N131" s="10">
        <f>L135+'[1]2026 Μάιος'!N135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'[1]2026_60-69 ΕΞΟΔΑ+ΟΜ 2'!I93</f>
        <v/>
      </c>
      <c r="E132" s="15">
        <f>D136/$D4135</f>
        <v/>
      </c>
      <c r="F132" s="10">
        <f>D136+'[1]2026 Μάιος'!F136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2'!I85</f>
        <v/>
      </c>
      <c r="M132" s="15">
        <f>L136/$L$116</f>
        <v/>
      </c>
      <c r="N132" s="10">
        <f>L136+'[1]2026 Μάιος'!N136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'[1]2026_60-69 ΕΞΟΔΑ+ΟΜ 2'!I94</f>
        <v/>
      </c>
      <c r="E133" s="15">
        <f>D137/$D4136</f>
        <v/>
      </c>
      <c r="F133" s="10">
        <f>D137+'[1]2026 Μάιος'!F137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2'!I86</f>
        <v/>
      </c>
      <c r="M133" s="15">
        <f>L137/$L$116</f>
        <v/>
      </c>
      <c r="N133" s="10">
        <f>L137+'[1]2026 Μάιος'!N137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'[1]2026_60-69 ΕΞΟΔΑ+ΟΜ 2'!I95</f>
        <v/>
      </c>
      <c r="E134" s="15">
        <f>D138/$D4137</f>
        <v/>
      </c>
      <c r="F134" s="10">
        <f>D138+'[1]2026 Μάιος'!F138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2'!I87</f>
        <v/>
      </c>
      <c r="M134" s="15">
        <f>L138/$L$116</f>
        <v/>
      </c>
      <c r="N134" s="10">
        <f>L138+'[1]2026 Μάιος'!N138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'[1]2026_60-69 ΕΞΟΔΑ+ΟΜ 2'!I96</f>
        <v/>
      </c>
      <c r="E135" s="15">
        <f>D139/$D4138</f>
        <v/>
      </c>
      <c r="F135" s="10">
        <f>D139+'[1]2026 Μάιος'!F139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2'!I88</f>
        <v/>
      </c>
      <c r="M135" s="15">
        <f>L139/$L$116</f>
        <v/>
      </c>
      <c r="N135" s="10">
        <f>L139+'[1]2026 Μάιος'!N139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'[1]2026_60-69 ΕΞΟΔΑ+ΟΜ 2'!I97</f>
        <v/>
      </c>
      <c r="E136" s="15">
        <f>D140/$D4139</f>
        <v/>
      </c>
      <c r="F136" s="10">
        <f>D140+'[1]2026 Μάιος'!F140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2'!I89</f>
        <v/>
      </c>
      <c r="M136" s="15">
        <f>L140/$L$116</f>
        <v/>
      </c>
      <c r="N136" s="10">
        <f>L140+'[1]2026 Μάιος'!N140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'[1]2026_60-69 ΕΞΟΔΑ+ΟΜ 2'!I98</f>
        <v/>
      </c>
      <c r="E137" s="15">
        <f>D141/$D4140</f>
        <v/>
      </c>
      <c r="F137" s="10">
        <f>D141+'[1]2026 Μάιος'!F141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2'!I90</f>
        <v/>
      </c>
      <c r="M137" s="15">
        <f>L141/$L$116</f>
        <v/>
      </c>
      <c r="N137" s="10">
        <f>L141+'[1]2026 Μάιος'!N141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'[1]2026_60-69 ΕΞΟΔΑ+ΟΜ 2'!I99</f>
        <v/>
      </c>
      <c r="E138" s="15">
        <f>D142/$D4141</f>
        <v/>
      </c>
      <c r="F138" s="10">
        <f>D142+'[1]2026 Μάιος'!F142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2'!I91</f>
        <v/>
      </c>
      <c r="M138" s="15">
        <f>L142/$L$116</f>
        <v/>
      </c>
      <c r="N138" s="10">
        <f>L142+'[1]2026 Μάιος'!N142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'[1]2026_60-69 ΕΞΟΔΑ+ΟΜ 2'!I100</f>
        <v/>
      </c>
      <c r="E139" s="15">
        <f>D143/$D4142</f>
        <v/>
      </c>
      <c r="F139" s="10">
        <f>D143+'[1]2026 Μάιος'!F143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2'!I92</f>
        <v/>
      </c>
      <c r="M139" s="15">
        <f>L143/$L$116</f>
        <v/>
      </c>
      <c r="N139" s="10">
        <f>L143+'[1]2026 Μάιος'!N143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'[1]2026_60-69 ΕΞΟΔΑ+ΟΜ 2'!I101</f>
        <v/>
      </c>
      <c r="E140" s="15">
        <f>D144/$D4143</f>
        <v/>
      </c>
      <c r="F140" s="10">
        <f>D144+'[1]2026 Μάιος'!F144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2'!I93</f>
        <v/>
      </c>
      <c r="M140" s="15">
        <f>L144/$L$116</f>
        <v/>
      </c>
      <c r="N140" s="10">
        <f>L144+'[1]2026 Μάιος'!N144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'[1]2026_60-69 ΕΞΟΔΑ+ΟΜ 2'!I102</f>
        <v/>
      </c>
      <c r="E141" s="15">
        <f>D145/$D4144</f>
        <v/>
      </c>
      <c r="F141" s="10">
        <f>D145+'[1]2026 Μάιος'!F145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2'!I94</f>
        <v/>
      </c>
      <c r="M141" s="15">
        <f>L145/$L$116</f>
        <v/>
      </c>
      <c r="N141" s="10">
        <f>L145+'[1]2026 Μάιος'!N145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'[1]2026_60-69 ΕΞΟΔΑ+ΟΜ 2'!I103</f>
        <v/>
      </c>
      <c r="E142" s="15">
        <f>D146/$D4145</f>
        <v/>
      </c>
      <c r="F142" s="10">
        <f>D146+'[1]2026 Μάιος'!F146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2'!I95</f>
        <v/>
      </c>
      <c r="M142" s="15">
        <f>L146/$L$116</f>
        <v/>
      </c>
      <c r="N142" s="10">
        <f>L146+'[1]2026 Μάιος'!N146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'[1]2026_60-69 ΕΞΟΔΑ+ΟΜ 2'!I104</f>
        <v/>
      </c>
      <c r="E143" s="15">
        <f>D147/$D4146</f>
        <v/>
      </c>
      <c r="F143" s="10">
        <f>D147+'[1]2026 Μάιος'!F147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2'!I96</f>
        <v/>
      </c>
      <c r="M143" s="15">
        <f>L147/$L$116</f>
        <v/>
      </c>
      <c r="N143" s="10">
        <f>L147+'[1]2026 Μάιος'!N147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'[1]2026_60-69 ΕΞΟΔΑ+ΟΜ 2'!I105</f>
        <v/>
      </c>
      <c r="E144" s="15">
        <f>D148/$D4147</f>
        <v/>
      </c>
      <c r="F144" s="10">
        <f>D148+'[1]2026 Μάιος'!F148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2'!I97</f>
        <v/>
      </c>
      <c r="M144" s="15">
        <f>L148/$L$116</f>
        <v/>
      </c>
      <c r="N144" s="10">
        <f>L148+'[1]2026 Μάιος'!N148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'[1]2026_60-69 ΕΞΟΔΑ+ΟΜ 2'!I106</f>
        <v/>
      </c>
      <c r="E145" s="15">
        <f>D149/$D4148</f>
        <v/>
      </c>
      <c r="F145" s="10">
        <f>D149+'[1]2026 Μάιος'!F149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2'!I98</f>
        <v/>
      </c>
      <c r="M145" s="15">
        <f>L149/$L$116</f>
        <v/>
      </c>
      <c r="N145" s="10">
        <f>L149+'[1]2026 Μάιος'!N149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'[1]2026_60-69 ΕΞΟΔΑ+ΟΜ 2'!I107</f>
        <v/>
      </c>
      <c r="E146" s="15">
        <f>D150/$D4149</f>
        <v/>
      </c>
      <c r="F146" s="10">
        <f>D150+'[1]2026 Μάιος'!F150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2'!I99</f>
        <v/>
      </c>
      <c r="M146" s="15">
        <f>L150/$L$116</f>
        <v/>
      </c>
      <c r="N146" s="10">
        <f>L150+'[1]2026 Μάιος'!N150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'[1]2026_60-69 ΕΞΟΔΑ+ΟΜ 2'!I108</f>
        <v/>
      </c>
      <c r="E147" s="15">
        <f>D151/$D4150</f>
        <v/>
      </c>
      <c r="F147" s="10">
        <f>D151+'[1]2026 Μάιος'!F151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2'!I100</f>
        <v/>
      </c>
      <c r="M147" s="15">
        <f>L151/$L$116</f>
        <v/>
      </c>
      <c r="N147" s="10">
        <f>L151+'[1]2026 Μάιος'!N151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'[1]2026_60-69 ΕΞΟΔΑ+ΟΜ 2'!I109</f>
        <v/>
      </c>
      <c r="E148" s="15">
        <f>D152/$D4151</f>
        <v/>
      </c>
      <c r="F148" s="10">
        <f>D152+'[1]2026 Μάιος'!F152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2'!I101</f>
        <v/>
      </c>
      <c r="M148" s="15">
        <f>L152/$L$116</f>
        <v/>
      </c>
      <c r="N148" s="10">
        <f>L152+'[1]2026 Μάιος'!N152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'[1]2026_60-69 ΕΞΟΔΑ+ΟΜ 2'!I110</f>
        <v/>
      </c>
      <c r="E149" s="15">
        <f>D153/$D4152</f>
        <v/>
      </c>
      <c r="F149" s="10">
        <f>D153+'[1]2026 Μάιος'!F153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2'!I102</f>
        <v/>
      </c>
      <c r="M149" s="15">
        <f>L153/$L$116</f>
        <v/>
      </c>
      <c r="N149" s="10">
        <f>L153+'[1]2026 Μάιος'!N153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2'!I73</f>
        <v/>
      </c>
      <c r="E153" s="8" t="n"/>
      <c r="F153" s="7">
        <f>'[1]2026_60-69 ΕΞΟΔΑ+ΟΜ 2'!V73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[1]ΑΝΤΙΣΤΟΙΧΙΣΗ!$F$112</f>
        <v/>
      </c>
      <c r="E3" s="192" t="n"/>
      <c r="F3" s="56" t="n"/>
      <c r="G3" s="61">
        <f>[1]ΑΝΤΙΣΤΟΙΧΙΣΗ!$D$34</f>
        <v/>
      </c>
      <c r="H3" s="180">
        <f>[1]ΑΝΤΙΣΤΟΙΧΙΣΗ!$F$112</f>
        <v/>
      </c>
      <c r="I3" s="192" t="n"/>
      <c r="J3" s="56" t="n"/>
      <c r="K3" s="61">
        <f>[1]ΑΝΤΙΣΤΟΙΧΙΣΗ!$D$34</f>
        <v/>
      </c>
      <c r="L3" s="180">
        <f>[1]ΑΝΤΙΣΤΟΙΧΙΣΗ!$F$126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'[1]2026_ΕΣΟΔΑ'!I2</f>
        <v/>
      </c>
      <c r="E8" s="11">
        <f>D8/$D$7</f>
        <v/>
      </c>
      <c r="F8" s="12">
        <f>D8+'[1]2026 Ιούνιος'!F8</f>
        <v/>
      </c>
      <c r="G8" s="11">
        <f>F8/$F$7</f>
        <v/>
      </c>
      <c r="H8" s="12" t="n"/>
      <c r="I8" s="11">
        <f>H8/$H$7</f>
        <v/>
      </c>
      <c r="J8" s="12">
        <f>H8+'[1]2026 Ιούνιος'!J8</f>
        <v/>
      </c>
      <c r="K8" s="11">
        <f>J8/$J$7</f>
        <v/>
      </c>
      <c r="L8" s="68">
        <f>'[1]2024_60-69 ΕΞΟΔΑ+ΟΜ 2'!I114</f>
        <v/>
      </c>
      <c r="M8" s="11">
        <f>L8/$L$7</f>
        <v/>
      </c>
      <c r="N8" s="12">
        <f>L8+'[1]2026 Ιούνιος'!N8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'[1]2026_ΕΣΟΔΑ'!I3</f>
        <v/>
      </c>
      <c r="E9" s="11">
        <f>D9/$D$7</f>
        <v/>
      </c>
      <c r="F9" s="12">
        <f>D9+'[1]2026 Ιούνιος'!F9</f>
        <v/>
      </c>
      <c r="G9" s="11">
        <f>F9/$F$7</f>
        <v/>
      </c>
      <c r="H9" s="12" t="n"/>
      <c r="I9" s="11">
        <f>H9/$H$7</f>
        <v/>
      </c>
      <c r="J9" s="12">
        <f>H9+'[1]2026 Ιούνιος'!J9</f>
        <v/>
      </c>
      <c r="K9" s="11">
        <f>J9/$J$7</f>
        <v/>
      </c>
      <c r="L9" s="68">
        <f>'[1]2024_60-69 ΕΞΟΔΑ+ΟΜ 2'!I115</f>
        <v/>
      </c>
      <c r="M9" s="11">
        <f>L9/$L$7</f>
        <v/>
      </c>
      <c r="N9" s="12">
        <f>L9+'[1]2026 Ιούνιος'!N9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'[1]2026_ΕΣΟΔΑ'!I4</f>
        <v/>
      </c>
      <c r="E10" s="11">
        <f>D10/$D$7</f>
        <v/>
      </c>
      <c r="F10" s="12">
        <f>D10+'[1]2026 Ιούνιος'!F10</f>
        <v/>
      </c>
      <c r="G10" s="11">
        <f>F10/$F$7</f>
        <v/>
      </c>
      <c r="H10" s="12" t="n"/>
      <c r="I10" s="11">
        <f>H10/$H$7</f>
        <v/>
      </c>
      <c r="J10" s="12">
        <f>H10+'[1]2026 Ιούνιος'!J10</f>
        <v/>
      </c>
      <c r="K10" s="11">
        <f>J10/$J$7</f>
        <v/>
      </c>
      <c r="L10" s="68">
        <f>'[1]2024_60-69 ΕΞΟΔΑ+ΟΜ 2'!I116</f>
        <v/>
      </c>
      <c r="M10" s="11">
        <f>L10/$L$7</f>
        <v/>
      </c>
      <c r="N10" s="12">
        <f>L10+'[1]2026 Ιούνιος'!N10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'[1]2026_ΕΣΟΔΑ'!I5</f>
        <v/>
      </c>
      <c r="E11" s="11">
        <f>D11/$D$7</f>
        <v/>
      </c>
      <c r="F11" s="12">
        <f>D11+'[1]2026 Ιούνιος'!F11</f>
        <v/>
      </c>
      <c r="G11" s="11">
        <f>F11/$F$7</f>
        <v/>
      </c>
      <c r="H11" s="12" t="n"/>
      <c r="I11" s="11">
        <f>H11/$H$7</f>
        <v/>
      </c>
      <c r="J11" s="12">
        <f>H11+'[1]2026 Ιούνιος'!J11</f>
        <v/>
      </c>
      <c r="K11" s="11">
        <f>J11/$J$7</f>
        <v/>
      </c>
      <c r="L11" s="68">
        <f>'[1]2024_60-69 ΕΞΟΔΑ+ΟΜ 2'!I117</f>
        <v/>
      </c>
      <c r="M11" s="11">
        <f>L11/$L$7</f>
        <v/>
      </c>
      <c r="N11" s="12">
        <f>L11+'[1]2026 Ιούνιος'!N11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'[1]2026_ΕΣΟΔΑ'!I6</f>
        <v/>
      </c>
      <c r="E12" s="11">
        <f>D12/$D$7</f>
        <v/>
      </c>
      <c r="F12" s="12">
        <f>D12+'[1]2026 Ιούνιος'!F12</f>
        <v/>
      </c>
      <c r="G12" s="11">
        <f>F12/$F$7</f>
        <v/>
      </c>
      <c r="H12" s="12" t="n"/>
      <c r="I12" s="11">
        <f>H12/$H$7</f>
        <v/>
      </c>
      <c r="J12" s="12">
        <f>H12+'[1]2026 Ιούνιος'!J12</f>
        <v/>
      </c>
      <c r="K12" s="11">
        <f>J12/$J$7</f>
        <v/>
      </c>
      <c r="L12" s="68">
        <f>'[1]2024_60-69 ΕΞΟΔΑ+ΟΜ 2'!I118</f>
        <v/>
      </c>
      <c r="M12" s="11">
        <f>L12/$L$7</f>
        <v/>
      </c>
      <c r="N12" s="12">
        <f>L12+'[1]2026 Ιούνιος'!N12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'[1]2026_ΕΣΟΔΑ'!I7</f>
        <v/>
      </c>
      <c r="E13" s="11">
        <f>D13/$D$7</f>
        <v/>
      </c>
      <c r="F13" s="12">
        <f>D13+'[1]2026 Ιούνιος'!F13</f>
        <v/>
      </c>
      <c r="G13" s="11">
        <f>F13/$F$7</f>
        <v/>
      </c>
      <c r="H13" s="12" t="n"/>
      <c r="I13" s="11">
        <f>H13/$H$7</f>
        <v/>
      </c>
      <c r="J13" s="12">
        <f>H13+'[1]2026 Ιούνιος'!J13</f>
        <v/>
      </c>
      <c r="K13" s="11">
        <f>J13/$J$7</f>
        <v/>
      </c>
      <c r="L13" s="68">
        <f>'[1]2024_60-69 ΕΞΟΔΑ+ΟΜ 2'!I119</f>
        <v/>
      </c>
      <c r="M13" s="11">
        <f>L13/$L$7</f>
        <v/>
      </c>
      <c r="N13" s="12">
        <f>L13+'[1]2026 Ιούνιος'!N13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'[1]2026_ΕΣΟΔΑ'!I8</f>
        <v/>
      </c>
      <c r="E14" s="11">
        <f>D14/$D$7</f>
        <v/>
      </c>
      <c r="F14" s="12">
        <f>D14+'[1]2026 Ιούνιος'!F14</f>
        <v/>
      </c>
      <c r="G14" s="11">
        <f>F14/$F$7</f>
        <v/>
      </c>
      <c r="H14" s="12" t="n"/>
      <c r="I14" s="11">
        <f>H14/$H$7</f>
        <v/>
      </c>
      <c r="J14" s="12">
        <f>H14+'[1]2026 Ιούνιος'!J14</f>
        <v/>
      </c>
      <c r="K14" s="11">
        <f>J14/$J$7</f>
        <v/>
      </c>
      <c r="L14" s="68">
        <f>'[1]2024_60-69 ΕΞΟΔΑ+ΟΜ 2'!I120</f>
        <v/>
      </c>
      <c r="M14" s="11">
        <f>L14/$L$7</f>
        <v/>
      </c>
      <c r="N14" s="12">
        <f>L14+'[1]2026 Ιούνιος'!N14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'[1]2026_ΕΣΟΔΑ'!I9</f>
        <v/>
      </c>
      <c r="E15" s="11">
        <f>D15/$D$7</f>
        <v/>
      </c>
      <c r="F15" s="12">
        <f>D15+'[1]2026 Ιούνιος'!F15</f>
        <v/>
      </c>
      <c r="G15" s="11">
        <f>F15/$F$7</f>
        <v/>
      </c>
      <c r="H15" s="12" t="n"/>
      <c r="I15" s="11">
        <f>H15/$H$7</f>
        <v/>
      </c>
      <c r="J15" s="12">
        <f>H15+'[1]2026 Ιούνιος'!J15</f>
        <v/>
      </c>
      <c r="K15" s="11">
        <f>J15/$J$7</f>
        <v/>
      </c>
      <c r="L15" s="68">
        <f>'[1]2024_60-69 ΕΞΟΔΑ+ΟΜ 2'!I121</f>
        <v/>
      </c>
      <c r="M15" s="11">
        <f>L15/$L$7</f>
        <v/>
      </c>
      <c r="N15" s="12">
        <f>L15+'[1]2026 Ιούνιος'!N15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'[1]2026_ΕΣΟΔΑ'!I10</f>
        <v/>
      </c>
      <c r="E16" s="11">
        <f>D16/$D$7</f>
        <v/>
      </c>
      <c r="F16" s="12">
        <f>D16+'[1]2026 Ιούνιος'!F16</f>
        <v/>
      </c>
      <c r="G16" s="11">
        <f>F16/$F$7</f>
        <v/>
      </c>
      <c r="H16" s="12" t="n"/>
      <c r="I16" s="11">
        <f>H16/$H$7</f>
        <v/>
      </c>
      <c r="J16" s="12">
        <f>H16+'[1]2026 Ιούνιος'!J16</f>
        <v/>
      </c>
      <c r="K16" s="11">
        <f>J16/$J$7</f>
        <v/>
      </c>
      <c r="L16" s="68">
        <f>'[1]2024_60-69 ΕΞΟΔΑ+ΟΜ 2'!I122</f>
        <v/>
      </c>
      <c r="M16" s="11">
        <f>L16/$L$7</f>
        <v/>
      </c>
      <c r="N16" s="12">
        <f>L16+'[1]2026 Ιούνιος'!N16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'[1]2026_ΕΣΟΔΑ'!I11</f>
        <v/>
      </c>
      <c r="E17" s="11">
        <f>D17/$D$7</f>
        <v/>
      </c>
      <c r="F17" s="12">
        <f>D17+'[1]2026 Ιούνιος'!F17</f>
        <v/>
      </c>
      <c r="G17" s="11">
        <f>F17/$F$7</f>
        <v/>
      </c>
      <c r="H17" s="12" t="n"/>
      <c r="I17" s="11">
        <f>H17/$H$7</f>
        <v/>
      </c>
      <c r="J17" s="12">
        <f>H17+'[1]2026 Ιούνιος'!J17</f>
        <v/>
      </c>
      <c r="K17" s="11">
        <f>J17/$J$7</f>
        <v/>
      </c>
      <c r="L17" s="68">
        <f>'[1]2024_60-69 ΕΞΟΔΑ+ΟΜ 2'!I123</f>
        <v/>
      </c>
      <c r="M17" s="11">
        <f>L17/$L$7</f>
        <v/>
      </c>
      <c r="N17" s="12">
        <f>L17+'[1]2026 Ιούνιος'!N17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'[1]2026_ΕΣΟΔΑ'!I12</f>
        <v/>
      </c>
      <c r="E18" s="11">
        <f>D18/$D$7</f>
        <v/>
      </c>
      <c r="F18" s="12">
        <f>D18+'[1]2026 Ιούνιος'!F18</f>
        <v/>
      </c>
      <c r="G18" s="11">
        <f>F18/$F$7</f>
        <v/>
      </c>
      <c r="H18" s="12" t="n"/>
      <c r="I18" s="11">
        <f>H18/$H$7</f>
        <v/>
      </c>
      <c r="J18" s="12">
        <f>H18+'[1]2026 Ιούνιος'!J18</f>
        <v/>
      </c>
      <c r="K18" s="11">
        <f>J18/$J$7</f>
        <v/>
      </c>
      <c r="L18" s="68">
        <f>'[1]2024_60-69 ΕΞΟΔΑ+ΟΜ 2'!I124</f>
        <v/>
      </c>
      <c r="M18" s="11">
        <f>L18/$L$7</f>
        <v/>
      </c>
      <c r="N18" s="12">
        <f>L18+'[1]2026 Ιούνιος'!N18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'[1]2026_ΕΣΟΔΑ'!I13</f>
        <v/>
      </c>
      <c r="E19" s="11">
        <f>D19/$D$7</f>
        <v/>
      </c>
      <c r="F19" s="12">
        <f>D19+'[1]2026 Ιούνιος'!F19</f>
        <v/>
      </c>
      <c r="G19" s="11">
        <f>F19/$F$7</f>
        <v/>
      </c>
      <c r="H19" s="12" t="n"/>
      <c r="I19" s="11">
        <f>H19/$H$7</f>
        <v/>
      </c>
      <c r="J19" s="12">
        <f>H19+'[1]2026 Ιούνιος'!J19</f>
        <v/>
      </c>
      <c r="K19" s="11">
        <f>J19/$J$7</f>
        <v/>
      </c>
      <c r="L19" s="68">
        <f>'[1]2024_60-69 ΕΞΟΔΑ+ΟΜ 2'!I125</f>
        <v/>
      </c>
      <c r="M19" s="11">
        <f>L19/$L$7</f>
        <v/>
      </c>
      <c r="N19" s="12">
        <f>L19+'[1]2026 Ιούνιος'!N19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'[1]2026_ΕΣΟΔΑ'!I14</f>
        <v/>
      </c>
      <c r="E20" s="11">
        <f>D20/$D$7</f>
        <v/>
      </c>
      <c r="F20" s="12">
        <f>D20+'[1]2026 Ιούνιος'!F20</f>
        <v/>
      </c>
      <c r="G20" s="11">
        <f>F20/$F$7</f>
        <v/>
      </c>
      <c r="H20" s="12" t="n"/>
      <c r="I20" s="11">
        <f>H20/$H$7</f>
        <v/>
      </c>
      <c r="J20" s="12">
        <f>H20+'[1]2026 Ιούνιος'!J20</f>
        <v/>
      </c>
      <c r="K20" s="11">
        <f>J20/$J$7</f>
        <v/>
      </c>
      <c r="L20" s="68">
        <f>'[1]2024_60-69 ΕΞΟΔΑ+ΟΜ 2'!I126</f>
        <v/>
      </c>
      <c r="M20" s="11">
        <f>L20/$L$7</f>
        <v/>
      </c>
      <c r="N20" s="12">
        <f>L20+'[1]2026 Ιούνιος'!N20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'[1]2026_ΕΣΟΔΑ'!I15</f>
        <v/>
      </c>
      <c r="E21" s="11">
        <f>D21/$D$7</f>
        <v/>
      </c>
      <c r="F21" s="12">
        <f>D21+'[1]2026 Ιούνιος'!F21</f>
        <v/>
      </c>
      <c r="G21" s="11">
        <f>F21/$F$7</f>
        <v/>
      </c>
      <c r="H21" s="12" t="n"/>
      <c r="I21" s="11">
        <f>H21/$H$7</f>
        <v/>
      </c>
      <c r="J21" s="12">
        <f>H21+'[1]2026 Ιούνιος'!J21</f>
        <v/>
      </c>
      <c r="K21" s="11">
        <f>J21/$J$7</f>
        <v/>
      </c>
      <c r="L21" s="68">
        <f>'[1]2024_60-69 ΕΞΟΔΑ+ΟΜ 2'!I127</f>
        <v/>
      </c>
      <c r="M21" s="11">
        <f>L21/$L$7</f>
        <v/>
      </c>
      <c r="N21" s="12">
        <f>L21+'[1]2026 Ιούνιος'!N21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'[1]2026_ΕΣΟΔΑ'!I16</f>
        <v/>
      </c>
      <c r="E22" s="11">
        <f>D22/$D$7</f>
        <v/>
      </c>
      <c r="F22" s="12">
        <f>D22+'[1]2026 Ιούνιος'!F22</f>
        <v/>
      </c>
      <c r="G22" s="11">
        <f>F22/$F$7</f>
        <v/>
      </c>
      <c r="H22" s="12" t="n"/>
      <c r="I22" s="11">
        <f>H22/$H$7</f>
        <v/>
      </c>
      <c r="J22" s="12">
        <f>H22+'[1]2026 Ιούνιος'!J22</f>
        <v/>
      </c>
      <c r="K22" s="11">
        <f>J22/$J$7</f>
        <v/>
      </c>
      <c r="L22" s="68">
        <f>'[1]2024_60-69 ΕΞΟΔΑ+ΟΜ 2'!I128</f>
        <v/>
      </c>
      <c r="M22" s="11">
        <f>L22/$L$7</f>
        <v/>
      </c>
      <c r="N22" s="12">
        <f>L22+'[1]2026 Ιούνιος'!N22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'[1]2026_ΕΣΟΔΑ'!I17</f>
        <v/>
      </c>
      <c r="E23" s="11">
        <f>D23/$D$7</f>
        <v/>
      </c>
      <c r="F23" s="12">
        <f>D23+'[1]2026 Ιούνιος'!F23</f>
        <v/>
      </c>
      <c r="G23" s="11">
        <f>F23/$F$7</f>
        <v/>
      </c>
      <c r="H23" s="12" t="n"/>
      <c r="I23" s="11">
        <f>H23/$H$7</f>
        <v/>
      </c>
      <c r="J23" s="12">
        <f>H23+'[1]2026 Ιούνιος'!J23</f>
        <v/>
      </c>
      <c r="K23" s="11">
        <f>J23/$J$7</f>
        <v/>
      </c>
      <c r="L23" s="68">
        <f>'[1]2024_60-69 ΕΞΟΔΑ+ΟΜ 2'!I129</f>
        <v/>
      </c>
      <c r="M23" s="11">
        <f>L23/$L$7</f>
        <v/>
      </c>
      <c r="N23" s="12">
        <f>L23+'[1]2026 Ιούνιος'!N23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'[1]2026_ΕΣΟΔΑ'!I18</f>
        <v/>
      </c>
      <c r="E24" s="11">
        <f>D24/$D$7</f>
        <v/>
      </c>
      <c r="F24" s="12">
        <f>D24+'[1]2026 Ιούνιος'!F24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Ιούνιος'!J24</f>
        <v/>
      </c>
      <c r="K24" s="11">
        <f>J24/$J$7</f>
        <v/>
      </c>
      <c r="L24" s="68">
        <f>'[1]2024_60-69 ΕΞΟΔΑ+ΟΜ 2'!I130</f>
        <v/>
      </c>
      <c r="M24" s="11">
        <f>L24/$L$7</f>
        <v/>
      </c>
      <c r="N24" s="12">
        <f>L24+'[1]2026 Ιούνιος'!N24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'[1]2026_ΕΣΟΔΑ'!I19</f>
        <v/>
      </c>
      <c r="E25" s="11">
        <f>D25/$D$7</f>
        <v/>
      </c>
      <c r="F25" s="12">
        <f>D25+'[1]2026 Ιούνιος'!F25</f>
        <v/>
      </c>
      <c r="G25" s="11">
        <f>F25/$F$7</f>
        <v/>
      </c>
      <c r="H25" s="12" t="n"/>
      <c r="I25" s="11">
        <f>H25/$H$7</f>
        <v/>
      </c>
      <c r="J25" s="12">
        <f>H25+'[1]2026 Ιούνιος'!J25</f>
        <v/>
      </c>
      <c r="K25" s="11">
        <f>J25/$J$7</f>
        <v/>
      </c>
      <c r="L25" s="68">
        <f>'[1]2024_60-69 ΕΞΟΔΑ+ΟΜ 2'!I131</f>
        <v/>
      </c>
      <c r="M25" s="11">
        <f>L25/$L$7</f>
        <v/>
      </c>
      <c r="N25" s="12">
        <f>L25+'[1]2026 Ιούνιος'!N25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'[1]2026_ΕΣΟΔΑ'!I20</f>
        <v/>
      </c>
      <c r="E26" s="11">
        <f>D26/$D$7</f>
        <v/>
      </c>
      <c r="F26" s="12">
        <f>D26+'[1]2026 Ιούνιος'!F26</f>
        <v/>
      </c>
      <c r="G26" s="11">
        <f>F26/$F$7</f>
        <v/>
      </c>
      <c r="H26" s="12" t="n"/>
      <c r="I26" s="11">
        <f>H26/$H$7</f>
        <v/>
      </c>
      <c r="J26" s="12">
        <f>H26+'[1]2026 Ιούνιος'!J26</f>
        <v/>
      </c>
      <c r="K26" s="11">
        <f>J26/$J$7</f>
        <v/>
      </c>
      <c r="L26" s="68">
        <f>'[1]2024_60-69 ΕΞΟΔΑ+ΟΜ 2'!I132</f>
        <v/>
      </c>
      <c r="M26" s="11">
        <f>L26/$L$7</f>
        <v/>
      </c>
      <c r="N26" s="12">
        <f>L26+'[1]2026 Ιούνιος'!N26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'[1]2026_ΕΣΟΔΑ'!I21</f>
        <v/>
      </c>
      <c r="E27" s="11">
        <f>D27/$D$7</f>
        <v/>
      </c>
      <c r="F27" s="12">
        <f>D27+'[1]2026 Ιούνιος'!F27</f>
        <v/>
      </c>
      <c r="G27" s="11">
        <f>F27/$F$7</f>
        <v/>
      </c>
      <c r="H27" s="12" t="n"/>
      <c r="I27" s="11">
        <f>H27/$H$7</f>
        <v/>
      </c>
      <c r="J27" s="12">
        <f>H27+'[1]2026 Ιούνιος'!J27</f>
        <v/>
      </c>
      <c r="K27" s="11">
        <f>J27/$J$7</f>
        <v/>
      </c>
      <c r="L27" s="68">
        <f>'[1]2024_60-69 ΕΞΟΔΑ+ΟΜ 2'!I133</f>
        <v/>
      </c>
      <c r="M27" s="11">
        <f>L27/$L$7</f>
        <v/>
      </c>
      <c r="N27" s="12">
        <f>L27+'[1]2026 Ιούνιος'!N27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'[1]2026_ΕΣΟΔΑ'!I22</f>
        <v/>
      </c>
      <c r="E28" s="11">
        <f>D28/$D$7</f>
        <v/>
      </c>
      <c r="F28" s="12">
        <f>D28+'[1]2026 Ιούνιος'!F28</f>
        <v/>
      </c>
      <c r="G28" s="11">
        <f>F28/$F$7</f>
        <v/>
      </c>
      <c r="H28" s="12" t="n"/>
      <c r="I28" s="11">
        <f>H28/$H$7</f>
        <v/>
      </c>
      <c r="J28" s="12">
        <f>H28+'[1]2026 Ιούνιος'!J28</f>
        <v/>
      </c>
      <c r="K28" s="11">
        <f>J28/$J$7</f>
        <v/>
      </c>
      <c r="L28" s="68">
        <f>'[1]2024_60-69 ΕΞΟΔΑ+ΟΜ 2'!I134</f>
        <v/>
      </c>
      <c r="M28" s="11">
        <f>L28/$L$7</f>
        <v/>
      </c>
      <c r="N28" s="12">
        <f>L28+'[1]2026 Ιούνιος'!N28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'[1]2026_ΕΣΟΔΑ'!I23</f>
        <v/>
      </c>
      <c r="E29" s="11">
        <f>D29/$D$7</f>
        <v/>
      </c>
      <c r="F29" s="12">
        <f>D29+'[1]2026 Ιούνιος'!F29</f>
        <v/>
      </c>
      <c r="G29" s="11">
        <f>F29/$F$7</f>
        <v/>
      </c>
      <c r="H29" s="12" t="n"/>
      <c r="I29" s="11">
        <f>H29/$H$7</f>
        <v/>
      </c>
      <c r="J29" s="12">
        <f>H29+'[1]2026 Ιούνιος'!J29</f>
        <v/>
      </c>
      <c r="K29" s="11">
        <f>J29/$J$7</f>
        <v/>
      </c>
      <c r="L29" s="68">
        <f>'[1]2024_60-69 ΕΞΟΔΑ+ΟΜ 2'!I135</f>
        <v/>
      </c>
      <c r="M29" s="11">
        <f>L29/$L$7</f>
        <v/>
      </c>
      <c r="N29" s="12">
        <f>L29+'[1]2026 Ιούνιος'!N29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'[1]2026_ΕΣΟΔΑ'!I24</f>
        <v/>
      </c>
      <c r="E30" s="11">
        <f>D30/$D$7</f>
        <v/>
      </c>
      <c r="F30" s="12">
        <f>D30+'[1]2026 Ιούνιος'!F30</f>
        <v/>
      </c>
      <c r="G30" s="11">
        <f>F30/$F$7</f>
        <v/>
      </c>
      <c r="H30" s="12" t="n"/>
      <c r="I30" s="11">
        <f>H30/$H$7</f>
        <v/>
      </c>
      <c r="J30" s="12">
        <f>H30+'[1]2026 Ιούνιος'!J30</f>
        <v/>
      </c>
      <c r="K30" s="11">
        <f>J30/$J$7</f>
        <v/>
      </c>
      <c r="L30" s="68">
        <f>'[1]2024_60-69 ΕΞΟΔΑ+ΟΜ 2'!I136</f>
        <v/>
      </c>
      <c r="M30" s="11">
        <f>L30/$L$7</f>
        <v/>
      </c>
      <c r="N30" s="12">
        <f>L30+'[1]2026 Ιούνιος'!N30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'[1]2026_ΕΣΟΔΑ'!I25</f>
        <v/>
      </c>
      <c r="E31" s="11">
        <f>D31/$D$7</f>
        <v/>
      </c>
      <c r="F31" s="12">
        <f>D31+'[1]2026 Ιούνιος'!F31</f>
        <v/>
      </c>
      <c r="G31" s="11">
        <f>F31/$F$7</f>
        <v/>
      </c>
      <c r="H31" s="12" t="n"/>
      <c r="I31" s="11">
        <f>H31/$H$7</f>
        <v/>
      </c>
      <c r="J31" s="12">
        <f>H31+'[1]2026 Ιούνιος'!J31</f>
        <v/>
      </c>
      <c r="K31" s="11">
        <f>J31/$J$7</f>
        <v/>
      </c>
      <c r="L31" s="68">
        <f>'[1]2024_60-69 ΕΞΟΔΑ+ΟΜ 2'!I137</f>
        <v/>
      </c>
      <c r="M31" s="11">
        <f>L31/$L$7</f>
        <v/>
      </c>
      <c r="N31" s="12">
        <f>L31+'[1]2026 Ιούνιος'!N31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'[1]2026_ΕΣΟΔΑ'!I26</f>
        <v/>
      </c>
      <c r="E32" s="11">
        <f>D32/$D$7</f>
        <v/>
      </c>
      <c r="F32" s="12">
        <f>D32+'[1]2026 Ιούνιος'!F32</f>
        <v/>
      </c>
      <c r="G32" s="11">
        <f>F32/$F$7</f>
        <v/>
      </c>
      <c r="H32" s="12" t="n"/>
      <c r="I32" s="11">
        <f>H32/$H$7</f>
        <v/>
      </c>
      <c r="J32" s="12">
        <f>H32+'[1]2026 Ιούνιος'!J32</f>
        <v/>
      </c>
      <c r="K32" s="11">
        <f>J32/$J$7</f>
        <v/>
      </c>
      <c r="L32" s="68">
        <f>'[1]2024_60-69 ΕΞΟΔΑ+ΟΜ 2'!I138</f>
        <v/>
      </c>
      <c r="M32" s="11">
        <f>L32/$L$7</f>
        <v/>
      </c>
      <c r="N32" s="12">
        <f>L32+'[1]2026 Ιούνιος'!N32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'[1]2026_ΕΣΟΔΑ'!I27</f>
        <v/>
      </c>
      <c r="E33" s="11">
        <f>D33/$D$7</f>
        <v/>
      </c>
      <c r="F33" s="12">
        <f>D33+'[1]2026 Ιούνιος'!F33</f>
        <v/>
      </c>
      <c r="G33" s="11">
        <f>F33/$F$7</f>
        <v/>
      </c>
      <c r="H33" s="12" t="n"/>
      <c r="I33" s="11">
        <f>H33/$H$7</f>
        <v/>
      </c>
      <c r="J33" s="12">
        <f>H33+'[1]2026 Ιούνιος'!J33</f>
        <v/>
      </c>
      <c r="K33" s="11">
        <f>J33/$J$7</f>
        <v/>
      </c>
      <c r="L33" s="68">
        <f>'[1]2024_60-69 ΕΞΟΔΑ+ΟΜ 2'!I139</f>
        <v/>
      </c>
      <c r="M33" s="11">
        <f>L33/$L$7</f>
        <v/>
      </c>
      <c r="N33" s="12">
        <f>L33+'[1]2026 Ιούνιος'!N33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'[1]2026_ΕΣΟΔΑ'!I28</f>
        <v/>
      </c>
      <c r="E34" s="11">
        <f>D34/$D$7</f>
        <v/>
      </c>
      <c r="F34" s="12">
        <f>D34+'[1]2026 Ιούνιος'!F34</f>
        <v/>
      </c>
      <c r="G34" s="11">
        <f>F34/$F$7</f>
        <v/>
      </c>
      <c r="H34" s="12" t="n"/>
      <c r="I34" s="11">
        <f>H34/$H$7</f>
        <v/>
      </c>
      <c r="J34" s="12">
        <f>H34+'[1]2026 Ιούνιος'!J34</f>
        <v/>
      </c>
      <c r="K34" s="11">
        <f>J34/$J$7</f>
        <v/>
      </c>
      <c r="L34" s="68">
        <f>'[1]2024_60-69 ΕΞΟΔΑ+ΟΜ 2'!I140</f>
        <v/>
      </c>
      <c r="M34" s="11">
        <f>L34/$L$7</f>
        <v/>
      </c>
      <c r="N34" s="12">
        <f>L34+'[1]2026 Ιούνιος'!N34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'[1]2026_ΕΣΟΔΑ'!I29</f>
        <v/>
      </c>
      <c r="E35" s="11">
        <f>D35/$D$7</f>
        <v/>
      </c>
      <c r="F35" s="12">
        <f>D35+'[1]2026 Ιούνιος'!F35</f>
        <v/>
      </c>
      <c r="G35" s="11">
        <f>F35/$F$7</f>
        <v/>
      </c>
      <c r="H35" s="12" t="n"/>
      <c r="I35" s="11">
        <f>H35/$H$7</f>
        <v/>
      </c>
      <c r="J35" s="12">
        <f>H35+'[1]2026 Ιούνιος'!J35</f>
        <v/>
      </c>
      <c r="K35" s="11">
        <f>J35/$J$7</f>
        <v/>
      </c>
      <c r="L35" s="68">
        <f>'[1]2024_60-69 ΕΞΟΔΑ+ΟΜ 2'!I141</f>
        <v/>
      </c>
      <c r="M35" s="11">
        <f>L35/$L$7</f>
        <v/>
      </c>
      <c r="N35" s="12">
        <f>L35+'[1]2026 Ιούνιος'!N35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'[1]2026_ΕΣΟΔΑ'!I30</f>
        <v/>
      </c>
      <c r="E36" s="11">
        <f>D36/$D$7</f>
        <v/>
      </c>
      <c r="F36" s="12">
        <f>D36+'[1]2026 Ιούνιος'!F36</f>
        <v/>
      </c>
      <c r="G36" s="11">
        <f>F36/$F$7</f>
        <v/>
      </c>
      <c r="H36" s="12" t="n"/>
      <c r="I36" s="11">
        <f>H36/$H$7</f>
        <v/>
      </c>
      <c r="J36" s="12">
        <f>H36+'[1]2026 Ιούνιος'!J36</f>
        <v/>
      </c>
      <c r="K36" s="11">
        <f>J36/$J$7</f>
        <v/>
      </c>
      <c r="L36" s="68">
        <f>'[1]2024_60-69 ΕΞΟΔΑ+ΟΜ 2'!I142</f>
        <v/>
      </c>
      <c r="M36" s="11">
        <f>L36/$L$7</f>
        <v/>
      </c>
      <c r="N36" s="12">
        <f>L36+'[1]2026 Ιούνιος'!N36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'[1]2026_ΕΣΟΔΑ'!I31</f>
        <v/>
      </c>
      <c r="E37" s="11">
        <f>D37/$D$7</f>
        <v/>
      </c>
      <c r="F37" s="12">
        <f>D37+'[1]2026 Ιούνιος'!F37</f>
        <v/>
      </c>
      <c r="G37" s="11">
        <f>F37/$F$7</f>
        <v/>
      </c>
      <c r="H37" s="12" t="n"/>
      <c r="I37" s="11">
        <f>H37/$H$7</f>
        <v/>
      </c>
      <c r="J37" s="12">
        <f>H37+'[1]2026 Ιούνιος'!J37</f>
        <v/>
      </c>
      <c r="K37" s="11">
        <f>J37/$J$7</f>
        <v/>
      </c>
      <c r="L37" s="68">
        <f>'[1]2024_60-69 ΕΞΟΔΑ+ΟΜ 2'!I143</f>
        <v/>
      </c>
      <c r="M37" s="11">
        <f>L37/$L$7</f>
        <v/>
      </c>
      <c r="N37" s="12">
        <f>L37+'[1]2026 Ιούνιος'!N37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'[1]2026_ΕΣΟΔΑ'!I32</f>
        <v/>
      </c>
      <c r="E38" s="8" t="n"/>
      <c r="F38" s="7">
        <f>'[1]2026_ΕΣΟΔΑ'!I34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[1]ΑΝΤΙΣΤΟΙΧΙΣΗ!$F$112</f>
        <v/>
      </c>
      <c r="E41" s="192" t="n"/>
      <c r="F41" s="56" t="n"/>
      <c r="G41" s="61">
        <f>[1]ΑΝΤΙΣΤΟΙΧΙΣΗ!$D$34</f>
        <v/>
      </c>
      <c r="H41" s="180">
        <f>[1]ΑΝΤΙΣΤΟΙΧΙΣΗ!$F$112</f>
        <v/>
      </c>
      <c r="I41" s="192" t="n"/>
      <c r="J41" s="56" t="n"/>
      <c r="K41" s="61">
        <f>[1]ΑΝΤΙΣΤΟΙΧΙΣΗ!$D$34</f>
        <v/>
      </c>
      <c r="L41" s="180">
        <f>[1]ΑΝΤΙΣΤΟΙΧΙΣΗ!$F$126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3.2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2'!J4</f>
        <v/>
      </c>
      <c r="E44" s="15">
        <f>D44/$D$43</f>
        <v/>
      </c>
      <c r="F44" s="10">
        <f>D44+'[1]2026 Ιούνιος'!F44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2'!J4</f>
        <v/>
      </c>
      <c r="M44" s="15">
        <f>L44/$L$43</f>
        <v/>
      </c>
      <c r="N44" s="10">
        <f>L44+'[1]2026 Ιούνιος'!N44</f>
        <v/>
      </c>
      <c r="O44" s="15">
        <f>N44/$N$43</f>
        <v/>
      </c>
      <c r="P44" s="10" t="n"/>
      <c r="Q44" s="15">
        <f>N44/F44</f>
        <v/>
      </c>
    </row>
    <row r="45" ht="23.2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2'!J5</f>
        <v/>
      </c>
      <c r="E45" s="15">
        <f>D45/$D$43</f>
        <v/>
      </c>
      <c r="F45" s="10">
        <f>D45+'[1]2026 Ιούνιος'!F45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2'!J5</f>
        <v/>
      </c>
      <c r="M45" s="15">
        <f>L45/$L$43</f>
        <v/>
      </c>
      <c r="N45" s="10">
        <f>L45+'[1]2026 Ιούνιος'!N45</f>
        <v/>
      </c>
      <c r="O45" s="15">
        <f>N45/$N$43</f>
        <v/>
      </c>
      <c r="P45" s="10" t="n"/>
      <c r="Q45" s="15">
        <f>N45/F45</f>
        <v/>
      </c>
    </row>
    <row r="46" ht="23.2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2'!J6</f>
        <v/>
      </c>
      <c r="E46" s="15">
        <f>D46/$D$43</f>
        <v/>
      </c>
      <c r="F46" s="10">
        <f>D46+'[1]2026 Ιούνιος'!F46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2'!J6</f>
        <v/>
      </c>
      <c r="M46" s="15">
        <f>L46/$L$43</f>
        <v/>
      </c>
      <c r="N46" s="10">
        <f>L46+'[1]2026 Ιούνιος'!N46</f>
        <v/>
      </c>
      <c r="O46" s="15">
        <f>N46/$N$43</f>
        <v/>
      </c>
      <c r="P46" s="10" t="n"/>
      <c r="Q46" s="15">
        <f>N46/F46</f>
        <v/>
      </c>
    </row>
    <row r="47" ht="36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2'!J7</f>
        <v/>
      </c>
      <c r="E47" s="15">
        <f>D49/$D$43</f>
        <v/>
      </c>
      <c r="F47" s="10">
        <f>D49+'[1]2026 Ιούνιος'!F47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2'!J7</f>
        <v/>
      </c>
      <c r="M47" s="15">
        <f>L49/$L$43</f>
        <v/>
      </c>
      <c r="N47" s="10">
        <f>L49+'[1]2026 Ιούνιος'!N47</f>
        <v/>
      </c>
      <c r="O47" s="15">
        <f>N49/$N$43</f>
        <v/>
      </c>
      <c r="P47" s="10" t="n"/>
      <c r="Q47" s="15">
        <f>N49/F49</f>
        <v/>
      </c>
    </row>
    <row r="48" ht="36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2'!J8</f>
        <v/>
      </c>
      <c r="E48" s="15">
        <f>D50/$D$43</f>
        <v/>
      </c>
      <c r="F48" s="10">
        <f>D50+'[1]2026 Ιούνιος'!F48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2'!J8</f>
        <v/>
      </c>
      <c r="M48" s="15">
        <f>L50/$L$43</f>
        <v/>
      </c>
      <c r="N48" s="10">
        <f>L50+'[1]2026 Ιούνιος'!N48</f>
        <v/>
      </c>
      <c r="O48" s="15">
        <f>N50/$N$43</f>
        <v/>
      </c>
      <c r="P48" s="10" t="n"/>
      <c r="Q48" s="15">
        <f>N50/F50</f>
        <v/>
      </c>
    </row>
    <row r="49" ht="23.2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2'!J9</f>
        <v/>
      </c>
      <c r="E49" s="15">
        <f>D51/$D$43</f>
        <v/>
      </c>
      <c r="F49" s="10">
        <f>D51+'[1]2026 Ιούνιος'!F49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2'!J9</f>
        <v/>
      </c>
      <c r="M49" s="15">
        <f>L51/$L$43</f>
        <v/>
      </c>
      <c r="N49" s="10">
        <f>L51+'[1]2026 Ιούνιος'!N49</f>
        <v/>
      </c>
      <c r="O49" s="15">
        <f>N51/$N$43</f>
        <v/>
      </c>
      <c r="P49" s="10" t="n"/>
      <c r="Q49" s="15">
        <f>N51/F51</f>
        <v/>
      </c>
    </row>
    <row r="50" ht="23.2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2'!J10</f>
        <v/>
      </c>
      <c r="E50" s="15">
        <f>D54/$D$43</f>
        <v/>
      </c>
      <c r="F50" s="10">
        <f>D54+'[1]2026 Ιούνιος'!F50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2'!J10</f>
        <v/>
      </c>
      <c r="M50" s="15">
        <f>L54/$L$43</f>
        <v/>
      </c>
      <c r="N50" s="10">
        <f>L54+'[1]2026 Ιούνιος'!N50</f>
        <v/>
      </c>
      <c r="O50" s="15">
        <f>N54/$N$43</f>
        <v/>
      </c>
      <c r="P50" s="10" t="n"/>
      <c r="Q50" s="15">
        <f>N54/F54</f>
        <v/>
      </c>
    </row>
    <row r="51" ht="23.2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2'!J11</f>
        <v/>
      </c>
      <c r="E51" s="15">
        <f>D55/$D$43</f>
        <v/>
      </c>
      <c r="F51" s="10">
        <f>D55+'[1]2026 Ιούνιος'!F51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2'!J11</f>
        <v/>
      </c>
      <c r="M51" s="15">
        <f>L55/$L$43</f>
        <v/>
      </c>
      <c r="N51" s="10">
        <f>L55+'[1]2026 Ιούνιος'!N51</f>
        <v/>
      </c>
      <c r="O51" s="15">
        <f>N55/$N$43</f>
        <v/>
      </c>
      <c r="P51" s="10" t="n"/>
      <c r="Q51" s="15">
        <f>N55/F55</f>
        <v/>
      </c>
    </row>
    <row r="52" ht="36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2'!J12</f>
        <v/>
      </c>
      <c r="E52" s="15">
        <f>D56/$D$43</f>
        <v/>
      </c>
      <c r="F52" s="10">
        <f>D56+'[1]2026 Ιούνιος'!F52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2'!J12</f>
        <v/>
      </c>
      <c r="M52" s="15">
        <f>L56/$L$43</f>
        <v/>
      </c>
      <c r="N52" s="10">
        <f>L56+'[1]2026 Ιούνιος'!N52</f>
        <v/>
      </c>
      <c r="O52" s="15">
        <f>N56/$N$43</f>
        <v/>
      </c>
      <c r="P52" s="10" t="n"/>
      <c r="Q52" s="15">
        <f>N56/F56</f>
        <v/>
      </c>
    </row>
    <row r="53" ht="36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2'!J13</f>
        <v/>
      </c>
      <c r="E53" s="15">
        <f>D57/$D$43</f>
        <v/>
      </c>
      <c r="F53" s="10">
        <f>D57+'[1]2026 Ιούνιος'!F53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2'!J13</f>
        <v/>
      </c>
      <c r="M53" s="15">
        <f>L57/$L$43</f>
        <v/>
      </c>
      <c r="N53" s="10">
        <f>L57+'[1]2026 Ιούνιος'!N53</f>
        <v/>
      </c>
      <c r="O53" s="15">
        <f>N57/$N$43</f>
        <v/>
      </c>
      <c r="P53" s="10" t="n"/>
      <c r="Q53" s="15">
        <f>N57/F57</f>
        <v/>
      </c>
    </row>
    <row r="54" ht="23.2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2'!J14</f>
        <v/>
      </c>
      <c r="E54" s="15">
        <f>D58/$D$43</f>
        <v/>
      </c>
      <c r="F54" s="10">
        <f>D58+'[1]2026 Ιούνιος'!F54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2'!J14</f>
        <v/>
      </c>
      <c r="M54" s="15">
        <f>L58/$L$43</f>
        <v/>
      </c>
      <c r="N54" s="10">
        <f>L58+'[1]2026 Ιούνιος'!N54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2'!J15</f>
        <v/>
      </c>
      <c r="E55" s="15">
        <f>D59/$D$43</f>
        <v/>
      </c>
      <c r="F55" s="10">
        <f>D59+'[1]2026 Ιούνιος'!F55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2'!J15</f>
        <v/>
      </c>
      <c r="M55" s="15">
        <f>L59/$L$43</f>
        <v/>
      </c>
      <c r="N55" s="10">
        <f>L59+'[1]2026 Ιούνιος'!N55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2'!J16</f>
        <v/>
      </c>
      <c r="E56" s="15">
        <f>D60/$D$43</f>
        <v/>
      </c>
      <c r="F56" s="10">
        <f>D60+'[1]2026 Ιούνιος'!F56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2'!J16</f>
        <v/>
      </c>
      <c r="M56" s="15">
        <f>L60/$L$43</f>
        <v/>
      </c>
      <c r="N56" s="10">
        <f>L60+'[1]2026 Ιούνιος'!N56</f>
        <v/>
      </c>
      <c r="O56" s="15">
        <f>N60/$N$43</f>
        <v/>
      </c>
      <c r="P56" s="10" t="n"/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2'!J17</f>
        <v/>
      </c>
      <c r="E57" s="15">
        <f>D61/$D$43</f>
        <v/>
      </c>
      <c r="F57" s="10">
        <f>D61+'[1]2026 Ιούνιος'!F57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2'!J17</f>
        <v/>
      </c>
      <c r="M57" s="15">
        <f>L61/$L$43</f>
        <v/>
      </c>
      <c r="N57" s="10">
        <f>L61+'[1]2026 Ιούνιος'!N57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2'!J18</f>
        <v/>
      </c>
      <c r="E58" s="15">
        <f>D62/$D$43</f>
        <v/>
      </c>
      <c r="F58" s="10">
        <f>D62+'[1]2026 Ιούνιος'!F58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2'!J18</f>
        <v/>
      </c>
      <c r="M58" s="15">
        <f>L62/$L$43</f>
        <v/>
      </c>
      <c r="N58" s="10">
        <f>L62+'[1]2026 Ιούνιος'!N58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2'!J19</f>
        <v/>
      </c>
      <c r="E59" s="15">
        <f>D63/$D$43</f>
        <v/>
      </c>
      <c r="F59" s="10">
        <f>D63+'[1]2026 Ιούνιος'!F59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2'!J19</f>
        <v/>
      </c>
      <c r="M59" s="15">
        <f>L63/$L$43</f>
        <v/>
      </c>
      <c r="N59" s="10">
        <f>L63+'[1]2026 Ιούνιος'!N59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2'!J20</f>
        <v/>
      </c>
      <c r="E60" s="15">
        <f>D64/$D$43</f>
        <v/>
      </c>
      <c r="F60" s="10">
        <f>D64+'[1]2026 Ιούνιος'!F60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2'!J20</f>
        <v/>
      </c>
      <c r="M60" s="15">
        <f>L64/$L$43</f>
        <v/>
      </c>
      <c r="N60" s="10">
        <f>L64+'[1]2026 Ιούνιος'!N60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2'!J21</f>
        <v/>
      </c>
      <c r="E61" s="15">
        <f>D65/$D$43</f>
        <v/>
      </c>
      <c r="F61" s="10">
        <f>D65+'[1]2026 Ιούνιος'!F61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2'!J21</f>
        <v/>
      </c>
      <c r="M61" s="15">
        <f>L65/$L$43</f>
        <v/>
      </c>
      <c r="N61" s="10">
        <f>L65+'[1]2026 Ιούνιος'!N61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2'!J22</f>
        <v/>
      </c>
      <c r="E62" s="15">
        <f>D66/$D$43</f>
        <v/>
      </c>
      <c r="F62" s="10">
        <f>D66+'[1]2026 Ιούνιος'!F62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2'!J22</f>
        <v/>
      </c>
      <c r="M62" s="15">
        <f>L66/$L$43</f>
        <v/>
      </c>
      <c r="N62" s="10">
        <f>L66+'[1]2026 Ιούνιος'!N62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2'!J23</f>
        <v/>
      </c>
      <c r="E63" s="15">
        <f>D67/$D$43</f>
        <v/>
      </c>
      <c r="F63" s="10">
        <f>D67+'[1]2026 Ιούνιος'!F63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2'!J23</f>
        <v/>
      </c>
      <c r="M63" s="15">
        <f>L67/$L$43</f>
        <v/>
      </c>
      <c r="N63" s="10">
        <f>L67+'[1]2026 Ιούνιος'!N63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2'!J24</f>
        <v/>
      </c>
      <c r="E64" s="15">
        <f>D68/$D$43</f>
        <v/>
      </c>
      <c r="F64" s="10">
        <f>D68+'[1]2026 Ιούνιος'!F64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2'!J24</f>
        <v/>
      </c>
      <c r="M64" s="15">
        <f>L68/$L$43</f>
        <v/>
      </c>
      <c r="N64" s="10">
        <f>L68+'[1]2026 Ιούνιος'!N64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2'!J25</f>
        <v/>
      </c>
      <c r="E65" s="15">
        <f>D69/$D$43</f>
        <v/>
      </c>
      <c r="F65" s="10">
        <f>D69+'[1]2026 Ιούνιος'!F65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2'!J25</f>
        <v/>
      </c>
      <c r="M65" s="15">
        <f>L69/$L$43</f>
        <v/>
      </c>
      <c r="N65" s="10">
        <f>L69+'[1]2026 Ιούνιος'!N65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2'!J26</f>
        <v/>
      </c>
      <c r="E66" s="15">
        <f>D70/$D$43</f>
        <v/>
      </c>
      <c r="F66" s="10">
        <f>D70+'[1]2026 Ιούνιος'!F66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2'!J26</f>
        <v/>
      </c>
      <c r="M66" s="15">
        <f>L70/$L$43</f>
        <v/>
      </c>
      <c r="N66" s="10">
        <f>L70+'[1]2026 Ιούνιος'!N66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2'!J27</f>
        <v/>
      </c>
      <c r="E67" s="15">
        <f>D71/$D$43</f>
        <v/>
      </c>
      <c r="F67" s="10">
        <f>D71+'[1]2026 Ιούνιος'!F67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2'!J27</f>
        <v/>
      </c>
      <c r="M67" s="15">
        <f>L71/$L$43</f>
        <v/>
      </c>
      <c r="N67" s="10">
        <f>L71+'[1]2026 Ιούνιος'!N67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2'!J28</f>
        <v/>
      </c>
      <c r="E68" s="15">
        <f>D72/$D$43</f>
        <v/>
      </c>
      <c r="F68" s="10">
        <f>D72+'[1]2026 Ιούνιος'!F68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2'!J28</f>
        <v/>
      </c>
      <c r="M68" s="15">
        <f>L72/$L$43</f>
        <v/>
      </c>
      <c r="N68" s="10">
        <f>L72+'[1]2026 Ιούνιος'!N68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2'!J29</f>
        <v/>
      </c>
      <c r="E69" s="15">
        <f>D73/$D$43</f>
        <v/>
      </c>
      <c r="F69" s="10">
        <f>D73+'[1]2026 Ιούνιος'!F69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2'!J29</f>
        <v/>
      </c>
      <c r="M69" s="15">
        <f>L73/$L$43</f>
        <v/>
      </c>
      <c r="N69" s="10">
        <f>L73+'[1]2026 Ιούνιος'!N69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D74+'[1]2026 Ιούνιος'!F70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2'!J30</f>
        <v/>
      </c>
      <c r="M70" s="15">
        <f>L74/$L$43</f>
        <v/>
      </c>
      <c r="N70" s="10">
        <f>L74+'[1]2026 Ιούνιος'!N70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2'!J31</f>
        <v/>
      </c>
      <c r="E71" s="15">
        <f>D75/$D$43</f>
        <v/>
      </c>
      <c r="F71" s="10">
        <f>D75+'[1]2026 Ιούνιος'!F71</f>
        <v/>
      </c>
      <c r="G71" s="15">
        <f>F75/$D$39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2'!J31</f>
        <v/>
      </c>
      <c r="M71" s="15">
        <f>L75/$L$43</f>
        <v/>
      </c>
      <c r="N71" s="10">
        <f>L75+'[1]2026 Ιούνιος'!N71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2'!J32</f>
        <v/>
      </c>
      <c r="E72" s="15">
        <f>D76/$D$43</f>
        <v/>
      </c>
      <c r="F72" s="10">
        <f>D76+'[1]2026 Ιούνιος'!F72</f>
        <v/>
      </c>
      <c r="G72" s="15">
        <f>F76/$D$39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2'!J32</f>
        <v/>
      </c>
      <c r="M72" s="15">
        <f>L76/$L$43</f>
        <v/>
      </c>
      <c r="N72" s="10">
        <f>L76+'[1]2026 Ιούνιος'!N72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2'!J33</f>
        <v/>
      </c>
      <c r="E73" s="15">
        <f>D77/$D$43</f>
        <v/>
      </c>
      <c r="F73" s="10">
        <f>D77+'[1]2026 Ιούνιος'!F73</f>
        <v/>
      </c>
      <c r="G73" s="15">
        <f>F77/$D$39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2'!J33</f>
        <v/>
      </c>
      <c r="M73" s="15">
        <f>L77/$L$43</f>
        <v/>
      </c>
      <c r="N73" s="10">
        <f>L77+'[1]2026 Ιούνιος'!N73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2'!J3</f>
        <v/>
      </c>
      <c r="E74" s="21" t="n"/>
      <c r="F74" s="7">
        <f>'[1]2026_60-69 ΕΞΟΔΑ+ΟΜ 2'!W3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[1]ΑΝΤΙΣΤΟΙΧΙΣΗ!$F$112</f>
        <v/>
      </c>
      <c r="E78" s="192" t="n"/>
      <c r="F78" s="56" t="n"/>
      <c r="G78" s="61">
        <f>[1]ΑΝΤΙΣΤΟΙΧΙΣΗ!$D$34</f>
        <v/>
      </c>
      <c r="H78" s="180">
        <f>[1]ΑΝΤΙΣΤΟΙΧΙΣΗ!$F$112</f>
        <v/>
      </c>
      <c r="I78" s="192" t="n"/>
      <c r="J78" s="56" t="n"/>
      <c r="K78" s="61">
        <f>[1]ΑΝΤΙΣΤΟΙΧΙΣΗ!$D$34</f>
        <v/>
      </c>
      <c r="L78" s="180">
        <f>[1]ΑΝΤΙΣΤΟΙΧΙΣΗ!$F$126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2'!J39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2'!J37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2'!J40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2'!J38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2'!J43</f>
        <v/>
      </c>
      <c r="E83" s="15">
        <f>D87/$D$84</f>
        <v/>
      </c>
      <c r="F83" s="79">
        <f>'[1]2026 Ιούνιος'!F87+'[1]2026 Ιούλιος'!D87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2'!J41</f>
        <v/>
      </c>
      <c r="M83" s="15">
        <f>L87/$L$84</f>
        <v/>
      </c>
      <c r="N83" s="10">
        <f>L87+'[1]2026 Ιούνιος'!N87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2'!J44</f>
        <v/>
      </c>
      <c r="E84" s="15">
        <f>D88/$D$84</f>
        <v/>
      </c>
      <c r="F84" s="79">
        <f>'[1]2026 Ιούνιος'!F88+'[1]2026 Ιούλιος'!D88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2'!J42</f>
        <v/>
      </c>
      <c r="M84" s="15">
        <f>L88/$L$84</f>
        <v/>
      </c>
      <c r="N84" s="10">
        <f>L88+'[1]2026 Ιούνιος'!N88</f>
        <v/>
      </c>
      <c r="O84" s="15">
        <f>N88/$N$84</f>
        <v/>
      </c>
      <c r="P84" s="27" t="n"/>
      <c r="Q84" s="28">
        <f>SUM(D88:P88)</f>
        <v/>
      </c>
    </row>
    <row r="85" ht="36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2'!J45</f>
        <v/>
      </c>
      <c r="E85" s="15">
        <f>D89/$D$84</f>
        <v/>
      </c>
      <c r="F85" s="79">
        <f>'[1]2026 Ιούνιος'!F89+'[1]2026 Ιούλιος'!D89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2'!J43</f>
        <v/>
      </c>
      <c r="M85" s="15">
        <f>L89/$L$84</f>
        <v/>
      </c>
      <c r="N85" s="10">
        <f>L89+'[1]2026 Ιούνιος'!N89</f>
        <v/>
      </c>
      <c r="O85" s="15">
        <f>N89/$N$84</f>
        <v/>
      </c>
      <c r="P85" s="80" t="n"/>
      <c r="Q85" s="28">
        <f>SUM(D89:P89)</f>
        <v/>
      </c>
    </row>
    <row r="86" ht="36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2'!J46</f>
        <v/>
      </c>
      <c r="E86" s="15">
        <f>D90/$D$84</f>
        <v/>
      </c>
      <c r="F86" s="79">
        <f>'[1]2026 Ιούνιος'!F90+'[1]2026 Ιούλιος'!D90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2'!J44</f>
        <v/>
      </c>
      <c r="M86" s="15">
        <f>L90/$L$84</f>
        <v/>
      </c>
      <c r="N86" s="10">
        <f>L90+'[1]2026 Ιούνιος'!N90</f>
        <v/>
      </c>
      <c r="O86" s="15">
        <f>N90/$N$84</f>
        <v/>
      </c>
      <c r="P86" s="80" t="n"/>
      <c r="Q86" s="28">
        <f>SUM(D90:P90)</f>
        <v/>
      </c>
    </row>
    <row r="87" ht="36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2'!J47</f>
        <v/>
      </c>
      <c r="E87" s="15">
        <f>D91/$D$84</f>
        <v/>
      </c>
      <c r="F87" s="79">
        <f>'[1]2026 Ιούνιος'!F91+'[1]2026 Ιούλιος'!D91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2'!J45</f>
        <v/>
      </c>
      <c r="M87" s="15">
        <f>L91/$L$84</f>
        <v/>
      </c>
      <c r="N87" s="10">
        <f>L91+'[1]2026 Ιούνιος'!N91</f>
        <v/>
      </c>
      <c r="O87" s="15">
        <f>N91/$N$84</f>
        <v/>
      </c>
      <c r="P87" s="80" t="n"/>
      <c r="Q87" s="28">
        <f>SUM(D91:P91)</f>
        <v/>
      </c>
    </row>
    <row r="88" ht="36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2'!J48</f>
        <v/>
      </c>
      <c r="E88" s="15">
        <f>D92/$D$84</f>
        <v/>
      </c>
      <c r="F88" s="79">
        <f>'[1]2026 Ιούνιος'!F92+'[1]2026 Ιούλιος'!D92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2'!J46</f>
        <v/>
      </c>
      <c r="M88" s="15">
        <f>L92/$L$84</f>
        <v/>
      </c>
      <c r="N88" s="10">
        <f>L92+'[1]2026 Ιούνιος'!N92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2'!J49</f>
        <v/>
      </c>
      <c r="E89" s="15">
        <f>D93/$D$84</f>
        <v/>
      </c>
      <c r="F89" s="79">
        <f>'[1]2026 Ιούνιος'!F93+'[1]2026 Ιούλιος'!D93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2'!J47</f>
        <v/>
      </c>
      <c r="M89" s="15">
        <f>L93/$L$84</f>
        <v/>
      </c>
      <c r="N89" s="10">
        <f>L93+'[1]2026 Ιούνιος'!N93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2'!J50</f>
        <v/>
      </c>
      <c r="E90" s="15">
        <f>D94/$D$84</f>
        <v/>
      </c>
      <c r="F90" s="79">
        <f>'[1]2026 Ιούνιος'!F94+'[1]2026 Ιούλιος'!D94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2'!J48</f>
        <v/>
      </c>
      <c r="M90" s="15">
        <f>L94/$L$84</f>
        <v/>
      </c>
      <c r="N90" s="10">
        <f>L94+'[1]2026 Ιούνιος'!N94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2'!J51</f>
        <v/>
      </c>
      <c r="E91" s="15">
        <f>D95/$D$84</f>
        <v/>
      </c>
      <c r="F91" s="79">
        <f>'[1]2026 Ιούνιος'!F95+'[1]2026 Ιούλιος'!D95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2'!J49</f>
        <v/>
      </c>
      <c r="M91" s="15">
        <f>L95/$L$84</f>
        <v/>
      </c>
      <c r="N91" s="10">
        <f>L95+'[1]2026 Ιούνιος'!N95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2'!J52</f>
        <v/>
      </c>
      <c r="E92" s="15">
        <f>D96/$D$84</f>
        <v/>
      </c>
      <c r="F92" s="79">
        <f>'[1]2026 Ιούνιος'!F96+'[1]2026 Ιούλιος'!D96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2'!J50</f>
        <v/>
      </c>
      <c r="M92" s="15">
        <f>L96/$L$84</f>
        <v/>
      </c>
      <c r="N92" s="10">
        <f>L96+'[1]2026 Ιούνιος'!N96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2'!J53</f>
        <v/>
      </c>
      <c r="E93" s="15">
        <f>D97/$D$84</f>
        <v/>
      </c>
      <c r="F93" s="79">
        <f>'[1]2026 Ιούνιος'!F97+'[1]2026 Ιούλιος'!D97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2'!J51</f>
        <v/>
      </c>
      <c r="M93" s="15">
        <f>L97/$L$84</f>
        <v/>
      </c>
      <c r="N93" s="10">
        <f>L97+'[1]2026 Ιούνιος'!N97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2'!J54</f>
        <v/>
      </c>
      <c r="E94" s="15">
        <f>D98/$D$84</f>
        <v/>
      </c>
      <c r="F94" s="79">
        <f>'[1]2026 Ιούνιος'!F98+'[1]2026 Ιούλιος'!D98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2'!J52</f>
        <v/>
      </c>
      <c r="M94" s="15">
        <f>L98/$L$84</f>
        <v/>
      </c>
      <c r="N94" s="10">
        <f>L98+'[1]2026 Ιούνιος'!N98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2'!J55</f>
        <v/>
      </c>
      <c r="E95" s="15">
        <f>D99/$D$84</f>
        <v/>
      </c>
      <c r="F95" s="79">
        <f>'[1]2026 Ιούνιος'!F99+'[1]2026 Ιούλιος'!D99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2'!J53</f>
        <v/>
      </c>
      <c r="M95" s="15">
        <f>L99/$L$84</f>
        <v/>
      </c>
      <c r="N95" s="10">
        <f>L99+'[1]2026 Ιούνιος'!N99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2'!J56</f>
        <v/>
      </c>
      <c r="E96" s="15">
        <f>D100/$D$84</f>
        <v/>
      </c>
      <c r="F96" s="79">
        <f>'[1]2026 Ιούνιος'!F100+'[1]2026 Ιούλιος'!D100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2'!J54</f>
        <v/>
      </c>
      <c r="M96" s="15">
        <f>L100/$L$84</f>
        <v/>
      </c>
      <c r="N96" s="10">
        <f>L100+'[1]2026 Ιούνιος'!N100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2'!J57</f>
        <v/>
      </c>
      <c r="E97" s="15">
        <f>D101/$D$84</f>
        <v/>
      </c>
      <c r="F97" s="79">
        <f>'[1]2026 Ιούνιος'!F101+'[1]2026 Ιούλιος'!D101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2'!J55</f>
        <v/>
      </c>
      <c r="M97" s="15">
        <f>L101/$L$84</f>
        <v/>
      </c>
      <c r="N97" s="10">
        <f>L101+'[1]2026 Ιούνιος'!N101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2'!J58</f>
        <v/>
      </c>
      <c r="E98" s="15">
        <f>D102/$D$84</f>
        <v/>
      </c>
      <c r="F98" s="79">
        <f>'[1]2026 Ιούνιος'!F102+'[1]2026 Ιούλιος'!D102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2'!J56</f>
        <v/>
      </c>
      <c r="M98" s="15">
        <f>L102/$L$84</f>
        <v/>
      </c>
      <c r="N98" s="10">
        <f>L102+'[1]2026 Ιούνιος'!N102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2'!J59</f>
        <v/>
      </c>
      <c r="E99" s="15">
        <f>D103/$D$84</f>
        <v/>
      </c>
      <c r="F99" s="79">
        <f>'[1]2026 Ιούνιος'!F103+'[1]2026 Ιούλιος'!D103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2'!J57</f>
        <v/>
      </c>
      <c r="M99" s="15">
        <f>L103/$L$84</f>
        <v/>
      </c>
      <c r="N99" s="10">
        <f>L103+'[1]2026 Ιούνιος'!N103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2'!J60</f>
        <v/>
      </c>
      <c r="E100" s="15">
        <f>D104/$D$84</f>
        <v/>
      </c>
      <c r="F100" s="79">
        <f>'[1]2026 Ιούνιος'!F104+'[1]2026 Ιούλιος'!D104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2'!J58</f>
        <v/>
      </c>
      <c r="M100" s="15">
        <f>L104/$L$84</f>
        <v/>
      </c>
      <c r="N100" s="10">
        <f>L104+'[1]2026 Ιούνιος'!N104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2'!J61</f>
        <v/>
      </c>
      <c r="E101" s="15">
        <f>D105/$D$84</f>
        <v/>
      </c>
      <c r="F101" s="79">
        <f>'[1]2026 Ιούνιος'!F105+'[1]2026 Ιούλιος'!D105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2'!J59</f>
        <v/>
      </c>
      <c r="M101" s="15">
        <f>L105/$L$84</f>
        <v/>
      </c>
      <c r="N101" s="10">
        <f>L105+'[1]2026 Ιούνιος'!N105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2'!J36</f>
        <v/>
      </c>
      <c r="E107" s="8" t="n"/>
      <c r="F107" s="7">
        <f>D111+'[1]2026 Ιούνιος'!F111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>
        <v>113</v>
      </c>
      <c r="B110" s="19" t="n"/>
      <c r="C110" s="5" t="inlineStr">
        <is>
          <t xml:space="preserve">ΠΕΡΙΟΔΟΣ </t>
        </is>
      </c>
      <c r="D110" s="180">
        <f>[1]ΑΝΤΙΣΤΟΙΧΙΣΗ!$F$112</f>
        <v/>
      </c>
      <c r="E110" s="192" t="n"/>
      <c r="F110" s="56" t="n"/>
      <c r="G110" s="61">
        <f>[1]ΑΝΤΙΣΤΟΙΧΙΣΗ!$D$34</f>
        <v/>
      </c>
      <c r="H110" s="180">
        <f>[1]ΑΝΤΙΣΤΟΙΧΙΣΗ!$F$112</f>
        <v/>
      </c>
      <c r="I110" s="192" t="n"/>
      <c r="J110" s="56" t="n"/>
      <c r="K110" s="61">
        <f>[1]ΑΝΤΙΣΤΟΙΧΙΣΗ!$D$34</f>
        <v/>
      </c>
      <c r="L110" s="180">
        <f>[1]ΑΝΤΙΣΤΟΙΧΙΣΗ!$F$126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>
        <v>115</v>
      </c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116</v>
      </c>
      <c r="B113" s="67" t="n">
        <v>1</v>
      </c>
      <c r="C113" s="44">
        <f>[1]ΑΝΤΙΣΤΟΙΧΙΣΗ!O187</f>
        <v/>
      </c>
      <c r="D113" s="14">
        <f>'[1]2026_60-69 ΕΞΟΔΑ+ΟΜ 2'!J74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2'!J66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117</v>
      </c>
      <c r="B114" s="67" t="n">
        <v>2</v>
      </c>
      <c r="C114" s="71">
        <f>[1]ΑΝΤΙΣΤΟΙΧΙΣΗ!O188</f>
        <v/>
      </c>
      <c r="D114" s="14">
        <f>'[1]2026_60-69 ΕΞΟΔΑ+ΟΜ 2'!J75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2'!J67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118</v>
      </c>
      <c r="B115" s="67" t="n">
        <v>3</v>
      </c>
      <c r="C115" s="46">
        <f>[1]ΑΝΤΙΣΤΟΙΧΙΣΗ!O189</f>
        <v/>
      </c>
      <c r="D115" s="14">
        <f>'[1]2026_60-69 ΕΞΟΔΑ+ΟΜ 2'!J76</f>
        <v/>
      </c>
      <c r="E115" s="15">
        <f>D119/$D$116</f>
        <v/>
      </c>
      <c r="F115" s="10">
        <f>D119+'[1]2026 Ιούνιος'!F119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2'!J68</f>
        <v/>
      </c>
      <c r="M115" s="15">
        <f>L119/$L$116</f>
        <v/>
      </c>
      <c r="N115" s="10">
        <f>L119+'[1]2026 Ιούνιος'!N119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119</v>
      </c>
      <c r="B116" s="67" t="n">
        <v>4</v>
      </c>
      <c r="C116" s="46">
        <f>[1]ΑΝΤΙΣΤΟΙΧΙΣΗ!O190</f>
        <v/>
      </c>
      <c r="D116" s="14">
        <f>'[1]2026_60-69 ΕΞΟΔΑ+ΟΜ 2'!J77</f>
        <v/>
      </c>
      <c r="E116" s="15">
        <f>D120/$D$116</f>
        <v/>
      </c>
      <c r="F116" s="10">
        <f>D120+'[1]2026 Ιούνιος'!F120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2'!J69</f>
        <v/>
      </c>
      <c r="M116" s="15">
        <f>L120/$L$116</f>
        <v/>
      </c>
      <c r="N116" s="10">
        <f>L120+'[1]2026 Ιούνιος'!N120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120</v>
      </c>
      <c r="B117" s="67" t="n">
        <v>5</v>
      </c>
      <c r="C117" s="46">
        <f>[1]ΑΝΤΙΣΤΟΙΧΙΣΗ!O191</f>
        <v/>
      </c>
      <c r="D117" s="14">
        <f>'[1]2026_60-69 ΕΞΟΔΑ+ΟΜ 2'!J78</f>
        <v/>
      </c>
      <c r="E117" s="15">
        <f>D121/$D$116</f>
        <v/>
      </c>
      <c r="F117" s="10">
        <f>D121+'[1]2026 Ιούνιος'!F121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2'!J70</f>
        <v/>
      </c>
      <c r="M117" s="15">
        <f>L121/$L$116</f>
        <v/>
      </c>
      <c r="N117" s="10">
        <f>L121+'[1]2026 Ιούνιος'!N121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121</v>
      </c>
      <c r="B118" s="67" t="n">
        <v>6</v>
      </c>
      <c r="C118" s="46">
        <f>[1]ΑΝΤΙΣΤΟΙΧΙΣΗ!O192</f>
        <v/>
      </c>
      <c r="D118" s="14">
        <f>'[1]2026_60-69 ΕΞΟΔΑ+ΟΜ 2'!J79</f>
        <v/>
      </c>
      <c r="E118" s="15">
        <f>D122/$D$116</f>
        <v/>
      </c>
      <c r="F118" s="10">
        <f>D122+'[1]2026 Ιούνιος'!F122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2'!J71</f>
        <v/>
      </c>
      <c r="M118" s="15">
        <f>L122/$L$116</f>
        <v/>
      </c>
      <c r="N118" s="10">
        <f>L122+'[1]2026 Ιούνιος'!N122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122</v>
      </c>
      <c r="B119" s="67" t="n">
        <v>7</v>
      </c>
      <c r="C119" s="46">
        <f>[1]ΑΝΤΙΣΤΟΙΧΙΣΗ!O193</f>
        <v/>
      </c>
      <c r="D119" s="14">
        <f>'[1]2026_60-69 ΕΞΟΔΑ+ΟΜ 2'!J80</f>
        <v/>
      </c>
      <c r="E119" s="15">
        <f>D123/$D$116</f>
        <v/>
      </c>
      <c r="F119" s="10">
        <f>D123+'[1]2026 Ιούνιος'!F123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2'!J72</f>
        <v/>
      </c>
      <c r="M119" s="15">
        <f>L123/$L$116</f>
        <v/>
      </c>
      <c r="N119" s="10">
        <f>L123+'[1]2026 Ιούνιος'!N123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123</v>
      </c>
      <c r="B120" s="67" t="n">
        <v>8</v>
      </c>
      <c r="C120" s="46">
        <f>[1]ΑΝΤΙΣΤΟΙΧΙΣΗ!O194</f>
        <v/>
      </c>
      <c r="D120" s="14">
        <f>'[1]2026_60-69 ΕΞΟΔΑ+ΟΜ 2'!J81</f>
        <v/>
      </c>
      <c r="E120" s="15">
        <f>D124/$D$116</f>
        <v/>
      </c>
      <c r="F120" s="10">
        <f>D124+'[1]2026 Ιούνιος'!F124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2'!J73</f>
        <v/>
      </c>
      <c r="M120" s="15">
        <f>L124/$L$116</f>
        <v/>
      </c>
      <c r="N120" s="10">
        <f>L124+'[1]2026 Ιούνιος'!N124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124</v>
      </c>
      <c r="B121" s="67" t="n">
        <v>9</v>
      </c>
      <c r="C121" s="46">
        <f>[1]ΑΝΤΙΣΤΟΙΧΙΣΗ!O195</f>
        <v/>
      </c>
      <c r="D121" s="14">
        <f>'[1]2026_60-69 ΕΞΟΔΑ+ΟΜ 2'!J82</f>
        <v/>
      </c>
      <c r="E121" s="15">
        <f>D125/$D$116</f>
        <v/>
      </c>
      <c r="F121" s="10">
        <f>D125+'[1]2026 Ιούνιος'!F125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2'!J74</f>
        <v/>
      </c>
      <c r="M121" s="15">
        <f>L125/$L$116</f>
        <v/>
      </c>
      <c r="N121" s="10">
        <f>L125+'[1]2026 Ιούνιος'!N125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125</v>
      </c>
      <c r="B122" s="67" t="n">
        <v>10</v>
      </c>
      <c r="C122" s="46">
        <f>[1]ΑΝΤΙΣΤΟΙΧΙΣΗ!O196</f>
        <v/>
      </c>
      <c r="D122" s="14">
        <f>'[1]2026_60-69 ΕΞΟΔΑ+ΟΜ 2'!J83</f>
        <v/>
      </c>
      <c r="E122" s="15">
        <f>D126/$D$116</f>
        <v/>
      </c>
      <c r="F122" s="10">
        <f>D126+'[1]2026 Ιούνιος'!F126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2'!J75</f>
        <v/>
      </c>
      <c r="M122" s="15">
        <f>L126/$L$116</f>
        <v/>
      </c>
      <c r="N122" s="10">
        <f>L126+'[1]2026 Ιούνιος'!N126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126</v>
      </c>
      <c r="B123" s="67" t="n">
        <v>11</v>
      </c>
      <c r="C123" s="46">
        <f>[1]ΑΝΤΙΣΤΟΙΧΙΣΗ!O197</f>
        <v/>
      </c>
      <c r="D123" s="14">
        <f>'[1]2026_60-69 ΕΞΟΔΑ+ΟΜ 2'!J84</f>
        <v/>
      </c>
      <c r="E123" s="15">
        <f>D127/$D$116</f>
        <v/>
      </c>
      <c r="F123" s="10">
        <f>D127+'[1]2026 Ιούνιος'!F127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2'!J76</f>
        <v/>
      </c>
      <c r="M123" s="15">
        <f>L127/$L$116</f>
        <v/>
      </c>
      <c r="N123" s="10">
        <f>L127+'[1]2026 Ιούνιος'!N127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127</v>
      </c>
      <c r="B124" s="67" t="n">
        <v>12</v>
      </c>
      <c r="C124" s="46">
        <f>[1]ΑΝΤΙΣΤΟΙΧΙΣΗ!O198</f>
        <v/>
      </c>
      <c r="D124" s="14">
        <f>'[1]2026_60-69 ΕΞΟΔΑ+ΟΜ 2'!J85</f>
        <v/>
      </c>
      <c r="E124" s="15">
        <f>D128/$D$116</f>
        <v/>
      </c>
      <c r="F124" s="10">
        <f>D128+'[1]2026 Ιούνιος'!F128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2'!J77</f>
        <v/>
      </c>
      <c r="M124" s="15">
        <f>L128/$L$116</f>
        <v/>
      </c>
      <c r="N124" s="10">
        <f>L128+'[1]2026 Ιούνιος'!N128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128</v>
      </c>
      <c r="B125" s="67" t="n">
        <v>13</v>
      </c>
      <c r="C125" s="46">
        <f>[1]ΑΝΤΙΣΤΟΙΧΙΣΗ!O199</f>
        <v/>
      </c>
      <c r="D125" s="14">
        <f>'[1]2026_60-69 ΕΞΟΔΑ+ΟΜ 2'!J86</f>
        <v/>
      </c>
      <c r="E125" s="15">
        <f>D129/$D$116</f>
        <v/>
      </c>
      <c r="F125" s="10">
        <f>D129+'[1]2026 Ιούνιος'!F129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2'!J78</f>
        <v/>
      </c>
      <c r="M125" s="15">
        <f>L129/$L$116</f>
        <v/>
      </c>
      <c r="N125" s="10">
        <f>L129+'[1]2026 Ιούνιος'!N129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129</v>
      </c>
      <c r="B126" s="67" t="n">
        <v>14</v>
      </c>
      <c r="C126" s="46">
        <f>[1]ΑΝΤΙΣΤΟΙΧΙΣΗ!O200</f>
        <v/>
      </c>
      <c r="D126" s="14">
        <f>'[1]2026_60-69 ΕΞΟΔΑ+ΟΜ 2'!J87</f>
        <v/>
      </c>
      <c r="E126" s="15">
        <f>D130/$D$116</f>
        <v/>
      </c>
      <c r="F126" s="10">
        <f>D130+'[1]2026 Ιούνιος'!F130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2'!J79</f>
        <v/>
      </c>
      <c r="M126" s="15">
        <f>L130/$L$116</f>
        <v/>
      </c>
      <c r="N126" s="10">
        <f>L130+'[1]2026 Ιούνιος'!N130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130</v>
      </c>
      <c r="B127" s="67" t="n">
        <v>15</v>
      </c>
      <c r="C127" s="71">
        <f>[1]ΑΝΤΙΣΤΟΙΧΙΣΗ!O201</f>
        <v/>
      </c>
      <c r="D127" s="14">
        <f>'[1]2026_60-69 ΕΞΟΔΑ+ΟΜ 2'!J88</f>
        <v/>
      </c>
      <c r="E127" s="15">
        <f>D131/$D$116</f>
        <v/>
      </c>
      <c r="F127" s="10">
        <f>D131+'[1]2026 Ιούνιος'!F131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2'!J80</f>
        <v/>
      </c>
      <c r="M127" s="15">
        <f>L131/$L$116</f>
        <v/>
      </c>
      <c r="N127" s="10">
        <f>L131+'[1]2026 Ιούνιος'!N131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131</v>
      </c>
      <c r="B128" s="67" t="n">
        <v>16</v>
      </c>
      <c r="C128" s="71">
        <f>[1]ΑΝΤΙΣΤΟΙΧΙΣΗ!O202</f>
        <v/>
      </c>
      <c r="D128" s="14">
        <f>'[1]2026_60-69 ΕΞΟΔΑ+ΟΜ 2'!J89</f>
        <v/>
      </c>
      <c r="E128" s="15">
        <f>D132/$D$116</f>
        <v/>
      </c>
      <c r="F128" s="10">
        <f>D132+'[1]2026 Ιούνιος'!F132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2'!J81</f>
        <v/>
      </c>
      <c r="M128" s="15">
        <f>L132/$L$116</f>
        <v/>
      </c>
      <c r="N128" s="10">
        <f>L132+'[1]2026 Ιούνιος'!N132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132</v>
      </c>
      <c r="B129" s="67" t="n">
        <v>17</v>
      </c>
      <c r="C129" s="71">
        <f>[1]ΑΝΤΙΣΤΟΙΧΙΣΗ!O203</f>
        <v/>
      </c>
      <c r="D129" s="14">
        <f>'[1]2026_60-69 ΕΞΟΔΑ+ΟΜ 2'!J90</f>
        <v/>
      </c>
      <c r="E129" s="15">
        <f>D133/$D$116</f>
        <v/>
      </c>
      <c r="F129" s="10">
        <f>D133+'[1]2026 Ιούνιος'!F133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2'!J82</f>
        <v/>
      </c>
      <c r="M129" s="15">
        <f>L133/$L$116</f>
        <v/>
      </c>
      <c r="N129" s="10">
        <f>L133+'[1]2026 Ιούνιος'!N133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133</v>
      </c>
      <c r="B130" s="67" t="n">
        <v>18</v>
      </c>
      <c r="C130" s="71">
        <f>[1]ΑΝΤΙΣΤΟΙΧΙΣΗ!O204</f>
        <v/>
      </c>
      <c r="D130" s="14">
        <f>'[1]2026_60-69 ΕΞΟΔΑ+ΟΜ 2'!J91</f>
        <v/>
      </c>
      <c r="E130" s="15">
        <f>D134/$D$116</f>
        <v/>
      </c>
      <c r="F130" s="10">
        <f>D134+'[1]2026 Ιούνιος'!F134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2'!J83</f>
        <v/>
      </c>
      <c r="M130" s="15">
        <f>L134/$L$116</f>
        <v/>
      </c>
      <c r="N130" s="10">
        <f>L134+'[1]2026 Ιούνιος'!N134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134</v>
      </c>
      <c r="B131" s="67" t="n">
        <v>19</v>
      </c>
      <c r="C131" s="73">
        <f>[1]ΑΝΤΙΣΤΟΙΧΙΣΗ!O205</f>
        <v/>
      </c>
      <c r="D131" s="14">
        <f>'[1]2026_60-69 ΕΞΟΔΑ+ΟΜ 2'!J92</f>
        <v/>
      </c>
      <c r="E131" s="15">
        <f>D135/$D$116</f>
        <v/>
      </c>
      <c r="F131" s="10">
        <f>D135+'[1]2026 Ιούνιος'!F135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2'!J84</f>
        <v/>
      </c>
      <c r="M131" s="15">
        <f>L135/$L$116</f>
        <v/>
      </c>
      <c r="N131" s="10">
        <f>L135+'[1]2026 Ιούνιος'!N135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135</v>
      </c>
      <c r="B132" s="67" t="n">
        <v>20</v>
      </c>
      <c r="C132" s="46">
        <f>[1]ΑΝΤΙΣΤΟΙΧΙΣΗ!O206</f>
        <v/>
      </c>
      <c r="D132" s="14">
        <f>'[1]2026_60-69 ΕΞΟΔΑ+ΟΜ 2'!J93</f>
        <v/>
      </c>
      <c r="E132" s="15">
        <f>D136/$D$116</f>
        <v/>
      </c>
      <c r="F132" s="10">
        <f>D136+'[1]2026 Ιούνιος'!F136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2'!J85</f>
        <v/>
      </c>
      <c r="M132" s="15">
        <f>L136/$L$116</f>
        <v/>
      </c>
      <c r="N132" s="10">
        <f>L136+'[1]2026 Ιούνιος'!N136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136</v>
      </c>
      <c r="B133" s="67" t="n">
        <v>21</v>
      </c>
      <c r="C133" s="46">
        <f>[1]ΑΝΤΙΣΤΟΙΧΙΣΗ!O207</f>
        <v/>
      </c>
      <c r="D133" s="14">
        <f>'[1]2026_60-69 ΕΞΟΔΑ+ΟΜ 2'!J94</f>
        <v/>
      </c>
      <c r="E133" s="15">
        <f>D137/$D$116</f>
        <v/>
      </c>
      <c r="F133" s="10">
        <f>D137+'[1]2026 Ιούνιος'!F137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2'!J86</f>
        <v/>
      </c>
      <c r="M133" s="15">
        <f>L137/$L$116</f>
        <v/>
      </c>
      <c r="N133" s="10">
        <f>L137+'[1]2026 Ιούνιος'!N137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137</v>
      </c>
      <c r="B134" s="67" t="n">
        <v>22</v>
      </c>
      <c r="C134" s="46">
        <f>[1]ΑΝΤΙΣΤΟΙΧΙΣΗ!O208</f>
        <v/>
      </c>
      <c r="D134" s="14">
        <f>'[1]2026_60-69 ΕΞΟΔΑ+ΟΜ 2'!J95</f>
        <v/>
      </c>
      <c r="E134" s="15">
        <f>D138/$D$116</f>
        <v/>
      </c>
      <c r="F134" s="10">
        <f>D138+'[1]2026 Ιούνιος'!F138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2'!J87</f>
        <v/>
      </c>
      <c r="M134" s="15">
        <f>L138/$L$116</f>
        <v/>
      </c>
      <c r="N134" s="10">
        <f>L138+'[1]2026 Ιούνιος'!N138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138</v>
      </c>
      <c r="B135" s="67" t="n">
        <v>23</v>
      </c>
      <c r="C135" s="46">
        <f>[1]ΑΝΤΙΣΤΟΙΧΙΣΗ!O209</f>
        <v/>
      </c>
      <c r="D135" s="14">
        <f>'[1]2026_60-69 ΕΞΟΔΑ+ΟΜ 2'!J96</f>
        <v/>
      </c>
      <c r="E135" s="15">
        <f>D139/$D$116</f>
        <v/>
      </c>
      <c r="F135" s="10">
        <f>D139+'[1]2026 Ιούνιος'!F139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2'!J88</f>
        <v/>
      </c>
      <c r="M135" s="15">
        <f>L139/$L$116</f>
        <v/>
      </c>
      <c r="N135" s="10">
        <f>L139+'[1]2026 Ιούνιος'!N139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139</v>
      </c>
      <c r="B136" s="67" t="n">
        <v>24</v>
      </c>
      <c r="C136" s="72">
        <f>[1]ΑΝΤΙΣΤΟΙΧΙΣΗ!O210</f>
        <v/>
      </c>
      <c r="D136" s="14">
        <f>'[1]2026_60-69 ΕΞΟΔΑ+ΟΜ 2'!J97</f>
        <v/>
      </c>
      <c r="E136" s="15">
        <f>D140/$D$116</f>
        <v/>
      </c>
      <c r="F136" s="10">
        <f>D140+'[1]2026 Ιούνιος'!F140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2'!J89</f>
        <v/>
      </c>
      <c r="M136" s="15">
        <f>L140/$L$116</f>
        <v/>
      </c>
      <c r="N136" s="10">
        <f>L140+'[1]2026 Ιούνιος'!N140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140</v>
      </c>
      <c r="B137" s="67" t="n">
        <v>25</v>
      </c>
      <c r="C137" s="72">
        <f>[1]ΑΝΤΙΣΤΟΙΧΙΣΗ!O211</f>
        <v/>
      </c>
      <c r="D137" s="14">
        <f>'[1]2026_60-69 ΕΞΟΔΑ+ΟΜ 2'!J98</f>
        <v/>
      </c>
      <c r="E137" s="15">
        <f>D141/$D$116</f>
        <v/>
      </c>
      <c r="F137" s="10">
        <f>D141+'[1]2026 Ιούνιος'!F141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2'!J90</f>
        <v/>
      </c>
      <c r="M137" s="15">
        <f>L141/$L$116</f>
        <v/>
      </c>
      <c r="N137" s="10">
        <f>L141+'[1]2026 Ιούνιος'!N141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141</v>
      </c>
      <c r="B138" s="67" t="n">
        <v>26</v>
      </c>
      <c r="C138" s="46">
        <f>[1]ΑΝΤΙΣΤΟΙΧΙΣΗ!O212</f>
        <v/>
      </c>
      <c r="D138" s="14">
        <f>'[1]2026_60-69 ΕΞΟΔΑ+ΟΜ 2'!J99</f>
        <v/>
      </c>
      <c r="E138" s="15">
        <f>D142/$D$116</f>
        <v/>
      </c>
      <c r="F138" s="10">
        <f>D142+'[1]2026 Ιούνιος'!F142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2'!J91</f>
        <v/>
      </c>
      <c r="M138" s="15">
        <f>L142/$L$116</f>
        <v/>
      </c>
      <c r="N138" s="10">
        <f>L142+'[1]2026 Ιούνιος'!N142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142</v>
      </c>
      <c r="B139" s="67" t="n">
        <v>27</v>
      </c>
      <c r="C139" s="46">
        <f>[1]ΑΝΤΙΣΤΟΙΧΙΣΗ!O213</f>
        <v/>
      </c>
      <c r="D139" s="14">
        <f>'[1]2026_60-69 ΕΞΟΔΑ+ΟΜ 2'!J100</f>
        <v/>
      </c>
      <c r="E139" s="15">
        <f>D143/$D$116</f>
        <v/>
      </c>
      <c r="F139" s="10">
        <f>D143+'[1]2026 Ιούνιος'!F143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2'!J92</f>
        <v/>
      </c>
      <c r="M139" s="15">
        <f>L143/$L$116</f>
        <v/>
      </c>
      <c r="N139" s="10">
        <f>L143+'[1]2026 Ιούνιος'!N143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143</v>
      </c>
      <c r="B140" s="67" t="n">
        <v>28</v>
      </c>
      <c r="C140" s="46">
        <f>[1]ΑΝΤΙΣΤΟΙΧΙΣΗ!O214</f>
        <v/>
      </c>
      <c r="D140" s="14">
        <f>'[1]2026_60-69 ΕΞΟΔΑ+ΟΜ 2'!J101</f>
        <v/>
      </c>
      <c r="E140" s="15">
        <f>D144/$D$116</f>
        <v/>
      </c>
      <c r="F140" s="10">
        <f>D144+'[1]2026 Ιούνιος'!F144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2'!J93</f>
        <v/>
      </c>
      <c r="M140" s="15">
        <f>L144/$L$116</f>
        <v/>
      </c>
      <c r="N140" s="10">
        <f>L144+'[1]2026 Ιούνιος'!N144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144</v>
      </c>
      <c r="B141" s="67" t="n">
        <v>29</v>
      </c>
      <c r="C141" s="46">
        <f>[1]ΑΝΤΙΣΤΟΙΧΙΣΗ!O215</f>
        <v/>
      </c>
      <c r="D141" s="14">
        <f>'[1]2026_60-69 ΕΞΟΔΑ+ΟΜ 2'!J102</f>
        <v/>
      </c>
      <c r="E141" s="15">
        <f>D145/$D$116</f>
        <v/>
      </c>
      <c r="F141" s="10">
        <f>D145+'[1]2026 Ιούνιος'!F145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2'!J94</f>
        <v/>
      </c>
      <c r="M141" s="15">
        <f>L145/$L$116</f>
        <v/>
      </c>
      <c r="N141" s="10">
        <f>L145+'[1]2026 Ιούνιος'!N145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145</v>
      </c>
      <c r="B142" s="67" t="n">
        <v>30</v>
      </c>
      <c r="C142" s="46">
        <f>[1]ΑΝΤΙΣΤΟΙΧΙΣΗ!O216</f>
        <v/>
      </c>
      <c r="D142" s="14">
        <f>'[1]2026_60-69 ΕΞΟΔΑ+ΟΜ 2'!J103</f>
        <v/>
      </c>
      <c r="E142" s="15">
        <f>D146/$D$116</f>
        <v/>
      </c>
      <c r="F142" s="10">
        <f>D146+'[1]2026 Ιούνιος'!F146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2'!J95</f>
        <v/>
      </c>
      <c r="M142" s="15">
        <f>L146/$L$116</f>
        <v/>
      </c>
      <c r="N142" s="10">
        <f>L146+'[1]2026 Ιούνιος'!N146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146</v>
      </c>
      <c r="B143" s="67" t="n">
        <v>31</v>
      </c>
      <c r="C143" s="46">
        <f>[1]ΑΝΤΙΣΤΟΙΧΙΣΗ!O217</f>
        <v/>
      </c>
      <c r="D143" s="14">
        <f>'[1]2026_60-69 ΕΞΟΔΑ+ΟΜ 2'!J104</f>
        <v/>
      </c>
      <c r="E143" s="15">
        <f>D147/$D$116</f>
        <v/>
      </c>
      <c r="F143" s="10">
        <f>D147+'[1]2026 Ιούνιος'!F147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2'!J96</f>
        <v/>
      </c>
      <c r="M143" s="15">
        <f>L147/$L$116</f>
        <v/>
      </c>
      <c r="N143" s="10">
        <f>L147+'[1]2026 Ιούνιος'!N147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147</v>
      </c>
      <c r="B144" s="67" t="n">
        <v>32</v>
      </c>
      <c r="C144" s="46">
        <f>[1]ΑΝΤΙΣΤΟΙΧΙΣΗ!O218</f>
        <v/>
      </c>
      <c r="D144" s="14">
        <f>'[1]2026_60-69 ΕΞΟΔΑ+ΟΜ 2'!J105</f>
        <v/>
      </c>
      <c r="E144" s="15">
        <f>D148/$D$116</f>
        <v/>
      </c>
      <c r="F144" s="10">
        <f>D148+'[1]2026 Ιούνιος'!F148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2'!J97</f>
        <v/>
      </c>
      <c r="M144" s="15">
        <f>L148/$L$116</f>
        <v/>
      </c>
      <c r="N144" s="10">
        <f>L148+'[1]2026 Ιούνιος'!N148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148</v>
      </c>
      <c r="B145" s="67" t="n">
        <v>33</v>
      </c>
      <c r="C145" s="46">
        <f>[1]ΑΝΤΙΣΤΟΙΧΙΣΗ!O219</f>
        <v/>
      </c>
      <c r="D145" s="14">
        <f>'[1]2026_60-69 ΕΞΟΔΑ+ΟΜ 2'!J106</f>
        <v/>
      </c>
      <c r="E145" s="15">
        <f>D149/$D$116</f>
        <v/>
      </c>
      <c r="F145" s="10">
        <f>D149+'[1]2026 Ιούνιος'!F149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2'!J98</f>
        <v/>
      </c>
      <c r="M145" s="15">
        <f>L149/$L$116</f>
        <v/>
      </c>
      <c r="N145" s="10">
        <f>L149+'[1]2026 Ιούνιος'!N149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149</v>
      </c>
      <c r="B146" s="67" t="n">
        <v>34</v>
      </c>
      <c r="C146" s="46">
        <f>[1]ΑΝΤΙΣΤΟΙΧΙΣΗ!O220</f>
        <v/>
      </c>
      <c r="D146" s="14">
        <f>'[1]2026_60-69 ΕΞΟΔΑ+ΟΜ 2'!J107</f>
        <v/>
      </c>
      <c r="E146" s="15">
        <f>D150/$D$116</f>
        <v/>
      </c>
      <c r="F146" s="10">
        <f>D150+'[1]2026 Ιούνιος'!F150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2'!J99</f>
        <v/>
      </c>
      <c r="M146" s="15">
        <f>L150/$L$116</f>
        <v/>
      </c>
      <c r="N146" s="10">
        <f>L150+'[1]2026 Ιούνιος'!N150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150</v>
      </c>
      <c r="B147" s="67" t="n">
        <v>35</v>
      </c>
      <c r="C147" s="46">
        <f>[1]ΑΝΤΙΣΤΟΙΧΙΣΗ!O221</f>
        <v/>
      </c>
      <c r="D147" s="14">
        <f>'[1]2026_60-69 ΕΞΟΔΑ+ΟΜ 2'!J108</f>
        <v/>
      </c>
      <c r="E147" s="15">
        <f>D151/$D$116</f>
        <v/>
      </c>
      <c r="F147" s="10">
        <f>D151+'[1]2026 Ιούνιος'!F151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2'!J100</f>
        <v/>
      </c>
      <c r="M147" s="15">
        <f>L151/$L$116</f>
        <v/>
      </c>
      <c r="N147" s="10">
        <f>L151+'[1]2026 Ιούνιος'!N151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151</v>
      </c>
      <c r="B148" s="67" t="n">
        <v>36</v>
      </c>
      <c r="C148" s="46">
        <f>[1]ΑΝΤΙΣΤΟΙΧΙΣΗ!O222</f>
        <v/>
      </c>
      <c r="D148" s="14">
        <f>'[1]2026_60-69 ΕΞΟΔΑ+ΟΜ 2'!J109</f>
        <v/>
      </c>
      <c r="E148" s="15">
        <f>D152/$D$116</f>
        <v/>
      </c>
      <c r="F148" s="10">
        <f>D152+'[1]2026 Ιούνιος'!F152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2'!J101</f>
        <v/>
      </c>
      <c r="M148" s="15">
        <f>L152/$L$116</f>
        <v/>
      </c>
      <c r="N148" s="10">
        <f>L152+'[1]2026 Ιούνιος'!N152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152</v>
      </c>
      <c r="B149" s="67" t="n">
        <v>37</v>
      </c>
      <c r="C149" s="46">
        <f>[1]ΑΝΤΙΣΤΟΙΧΙΣΗ!O223</f>
        <v/>
      </c>
      <c r="D149" s="14">
        <f>'[1]2026_60-69 ΕΞΟΔΑ+ΟΜ 2'!J110</f>
        <v/>
      </c>
      <c r="E149" s="15">
        <f>D153/$D$116</f>
        <v/>
      </c>
      <c r="F149" s="10">
        <f>D153+'[1]2026 Ιούνιος'!F153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2'!J102</f>
        <v/>
      </c>
      <c r="M149" s="15">
        <f>L153/$L$116</f>
        <v/>
      </c>
      <c r="N149" s="10">
        <f>L153+'[1]2026 Ιούνιος'!N153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153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154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155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2'!J73</f>
        <v/>
      </c>
      <c r="E153" s="8" t="n"/>
      <c r="F153" s="7">
        <f>D157+'[1]2026 Ιούνιος'!F157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9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 xml:space="preserve">ΠΕΡΙΟΔΟΣ </t>
        </is>
      </c>
      <c r="D3" s="180">
        <f>[1]ΑΝΤΙΣΤΟΙΧΙΣΗ!$F$113</f>
        <v/>
      </c>
      <c r="E3" s="192" t="n"/>
      <c r="F3" s="56" t="n"/>
      <c r="G3" s="61">
        <f>[1]ΑΝΤΙΣΤΟΙΧΙΣΗ!$D$34</f>
        <v/>
      </c>
      <c r="H3" s="180">
        <f>[1]ΑΝΤΙΣΤΟΙΧΙΣΗ!$F$113</f>
        <v/>
      </c>
      <c r="I3" s="192" t="n"/>
      <c r="J3" s="56" t="n"/>
      <c r="K3" s="61">
        <f>[1]ΑΝΤΙΣΤΟΙΧΙΣΗ!$D$34</f>
        <v/>
      </c>
      <c r="L3" s="180">
        <f>[1]ΑΝΤΙΣΤΟΙΧΙΣΗ!$F$127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'[1]2026_ΕΣΟΔΑ'!J2</f>
        <v/>
      </c>
      <c r="E8" s="11">
        <f>D8/$D$7</f>
        <v/>
      </c>
      <c r="F8" s="12">
        <f>D8+'[1]2026 Ιούλιος'!F8</f>
        <v/>
      </c>
      <c r="G8" s="11">
        <f>F8/$F$7</f>
        <v/>
      </c>
      <c r="H8" s="12" t="n"/>
      <c r="I8" s="11">
        <f>H8/$H$7</f>
        <v/>
      </c>
      <c r="J8" s="12">
        <f>H8+'[1]2026 Ιούλιος'!J8</f>
        <v/>
      </c>
      <c r="K8" s="11">
        <f>J8/$J$7</f>
        <v/>
      </c>
      <c r="L8" s="68">
        <f>'[1]2024_60-69 ΕΞΟΔΑ+ΟΜ 2'!J114</f>
        <v/>
      </c>
      <c r="M8" s="11">
        <f>L8/$L$7</f>
        <v/>
      </c>
      <c r="N8" s="12">
        <f>L8+'[1]2026 Ιούλιος'!N8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'[1]2026_ΕΣΟΔΑ'!J3</f>
        <v/>
      </c>
      <c r="E9" s="11">
        <f>D9/$D$7</f>
        <v/>
      </c>
      <c r="F9" s="12">
        <f>D9+'[1]2026 Ιούλιος'!F9</f>
        <v/>
      </c>
      <c r="G9" s="11">
        <f>F9/$F$7</f>
        <v/>
      </c>
      <c r="H9" s="12" t="n"/>
      <c r="I9" s="11">
        <f>H9/$H$7</f>
        <v/>
      </c>
      <c r="J9" s="12">
        <f>H9+'[1]2026 Ιούλιος'!J9</f>
        <v/>
      </c>
      <c r="K9" s="11">
        <f>J9/$J$7</f>
        <v/>
      </c>
      <c r="L9" s="68">
        <f>'[1]2024_60-69 ΕΞΟΔΑ+ΟΜ 2'!J115</f>
        <v/>
      </c>
      <c r="M9" s="11">
        <f>L9/$L$7</f>
        <v/>
      </c>
      <c r="N9" s="12">
        <f>L9+'[1]2026 Ιούλιος'!N9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'[1]2026_ΕΣΟΔΑ'!J4</f>
        <v/>
      </c>
      <c r="E10" s="11">
        <f>D10/$D$7</f>
        <v/>
      </c>
      <c r="F10" s="12">
        <f>D10+'[1]2026 Ιούλιος'!F10</f>
        <v/>
      </c>
      <c r="G10" s="11">
        <f>F10/$F$7</f>
        <v/>
      </c>
      <c r="H10" s="12" t="n"/>
      <c r="I10" s="11">
        <f>H10/$H$7</f>
        <v/>
      </c>
      <c r="J10" s="12">
        <f>H10+'[1]2026 Ιούλιος'!J10</f>
        <v/>
      </c>
      <c r="K10" s="11">
        <f>J10/$J$7</f>
        <v/>
      </c>
      <c r="L10" s="68">
        <f>'[1]2024_60-69 ΕΞΟΔΑ+ΟΜ 2'!J116</f>
        <v/>
      </c>
      <c r="M10" s="11">
        <f>L10/$L$7</f>
        <v/>
      </c>
      <c r="N10" s="12">
        <f>L10+'[1]2026 Ιούλιος'!N10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'[1]2026_ΕΣΟΔΑ'!J5</f>
        <v/>
      </c>
      <c r="E11" s="11">
        <f>D11/$D$7</f>
        <v/>
      </c>
      <c r="F11" s="12">
        <f>D11+'[1]2026 Ιούλιος'!F11</f>
        <v/>
      </c>
      <c r="G11" s="11">
        <f>F11/$F$7</f>
        <v/>
      </c>
      <c r="H11" s="12" t="n"/>
      <c r="I11" s="11">
        <f>H11/$H$7</f>
        <v/>
      </c>
      <c r="J11" s="12">
        <f>H11+'[1]2026 Ιούλιος'!J11</f>
        <v/>
      </c>
      <c r="K11" s="11">
        <f>J11/$J$7</f>
        <v/>
      </c>
      <c r="L11" s="68">
        <f>'[1]2024_60-69 ΕΞΟΔΑ+ΟΜ 2'!J117</f>
        <v/>
      </c>
      <c r="M11" s="11">
        <f>L11/$L$7</f>
        <v/>
      </c>
      <c r="N11" s="12">
        <f>L11+'[1]2026 Ιούλιος'!N11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'[1]2026_ΕΣΟΔΑ'!J6</f>
        <v/>
      </c>
      <c r="E12" s="11">
        <f>D12/$D$7</f>
        <v/>
      </c>
      <c r="F12" s="12">
        <f>D12+'[1]2026 Ιούλιος'!F12</f>
        <v/>
      </c>
      <c r="G12" s="11">
        <f>F12/$F$7</f>
        <v/>
      </c>
      <c r="H12" s="12" t="n"/>
      <c r="I12" s="11">
        <f>H12/$H$7</f>
        <v/>
      </c>
      <c r="J12" s="12">
        <f>H12+'[1]2026 Ιούλιος'!J12</f>
        <v/>
      </c>
      <c r="K12" s="11">
        <f>J12/$J$7</f>
        <v/>
      </c>
      <c r="L12" s="68">
        <f>'[1]2024_60-69 ΕΞΟΔΑ+ΟΜ 2'!J118</f>
        <v/>
      </c>
      <c r="M12" s="11">
        <f>L12/$L$7</f>
        <v/>
      </c>
      <c r="N12" s="12">
        <f>L12+'[1]2026 Ιούλιος'!N12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'[1]2026_ΕΣΟΔΑ'!J7</f>
        <v/>
      </c>
      <c r="E13" s="11">
        <f>D13/$D$7</f>
        <v/>
      </c>
      <c r="F13" s="12">
        <f>D13+'[1]2026 Ιούλιος'!F13</f>
        <v/>
      </c>
      <c r="G13" s="11">
        <f>F13/$F$7</f>
        <v/>
      </c>
      <c r="H13" s="12" t="n"/>
      <c r="I13" s="11">
        <f>H13/$H$7</f>
        <v/>
      </c>
      <c r="J13" s="12">
        <f>H13+'[1]2026 Ιούλιος'!J13</f>
        <v/>
      </c>
      <c r="K13" s="11">
        <f>J13/$J$7</f>
        <v/>
      </c>
      <c r="L13" s="68">
        <f>'[1]2024_60-69 ΕΞΟΔΑ+ΟΜ 2'!J119</f>
        <v/>
      </c>
      <c r="M13" s="11">
        <f>L13/$L$7</f>
        <v/>
      </c>
      <c r="N13" s="12">
        <f>L13+'[1]2026 Ιούλιος'!N13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'[1]2026_ΕΣΟΔΑ'!J8</f>
        <v/>
      </c>
      <c r="E14" s="11">
        <f>D14/$D$7</f>
        <v/>
      </c>
      <c r="F14" s="12">
        <f>D14+'[1]2026 Ιούλιος'!F14</f>
        <v/>
      </c>
      <c r="G14" s="11">
        <f>F14/$F$7</f>
        <v/>
      </c>
      <c r="H14" s="12" t="n"/>
      <c r="I14" s="11">
        <f>H14/$H$7</f>
        <v/>
      </c>
      <c r="J14" s="12">
        <f>H14+'[1]2026 Ιούλιος'!J14</f>
        <v/>
      </c>
      <c r="K14" s="11">
        <f>J14/$J$7</f>
        <v/>
      </c>
      <c r="L14" s="68">
        <f>'[1]2024_60-69 ΕΞΟΔΑ+ΟΜ 2'!J120</f>
        <v/>
      </c>
      <c r="M14" s="11">
        <f>L14/$L$7</f>
        <v/>
      </c>
      <c r="N14" s="12">
        <f>L14+'[1]2026 Ιούλιος'!N14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'[1]2026_ΕΣΟΔΑ'!J9</f>
        <v/>
      </c>
      <c r="E15" s="11">
        <f>D15/$D$7</f>
        <v/>
      </c>
      <c r="F15" s="12">
        <f>D15+'[1]2026 Ιούλιος'!F15</f>
        <v/>
      </c>
      <c r="G15" s="11">
        <f>F15/$F$7</f>
        <v/>
      </c>
      <c r="H15" s="12" t="n"/>
      <c r="I15" s="11">
        <f>H15/$H$7</f>
        <v/>
      </c>
      <c r="J15" s="12">
        <f>H15+'[1]2026 Ιούλιος'!J15</f>
        <v/>
      </c>
      <c r="K15" s="11">
        <f>J15/$J$7</f>
        <v/>
      </c>
      <c r="L15" s="68">
        <f>'[1]2024_60-69 ΕΞΟΔΑ+ΟΜ 2'!J121</f>
        <v/>
      </c>
      <c r="M15" s="11">
        <f>L15/$L$7</f>
        <v/>
      </c>
      <c r="N15" s="12">
        <f>L15+'[1]2026 Ιούλιος'!N15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'[1]2026_ΕΣΟΔΑ'!J10</f>
        <v/>
      </c>
      <c r="E16" s="11">
        <f>D16/$D$7</f>
        <v/>
      </c>
      <c r="F16" s="12">
        <f>D16+'[1]2026 Ιούλιος'!F16</f>
        <v/>
      </c>
      <c r="G16" s="11">
        <f>F16/$F$7</f>
        <v/>
      </c>
      <c r="H16" s="12" t="n"/>
      <c r="I16" s="11">
        <f>H16/$H$7</f>
        <v/>
      </c>
      <c r="J16" s="12">
        <f>H16+'[1]2026 Ιούλιος'!J16</f>
        <v/>
      </c>
      <c r="K16" s="11">
        <f>J16/$J$7</f>
        <v/>
      </c>
      <c r="L16" s="68">
        <f>'[1]2024_60-69 ΕΞΟΔΑ+ΟΜ 2'!J122</f>
        <v/>
      </c>
      <c r="M16" s="11">
        <f>L16/$L$7</f>
        <v/>
      </c>
      <c r="N16" s="12">
        <f>L16+'[1]2026 Ιούλιος'!N16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'[1]2026_ΕΣΟΔΑ'!J11</f>
        <v/>
      </c>
      <c r="E17" s="11">
        <f>D17/$D$7</f>
        <v/>
      </c>
      <c r="F17" s="12">
        <f>D17+'[1]2026 Ιούλιος'!F17</f>
        <v/>
      </c>
      <c r="G17" s="11">
        <f>F17/$F$7</f>
        <v/>
      </c>
      <c r="H17" s="12" t="n"/>
      <c r="I17" s="11">
        <f>H17/$H$7</f>
        <v/>
      </c>
      <c r="J17" s="12">
        <f>H17+'[1]2026 Ιούλιος'!J17</f>
        <v/>
      </c>
      <c r="K17" s="11">
        <f>J17/$J$7</f>
        <v/>
      </c>
      <c r="L17" s="68">
        <f>'[1]2024_60-69 ΕΞΟΔΑ+ΟΜ 2'!J123</f>
        <v/>
      </c>
      <c r="M17" s="11">
        <f>L17/$L$7</f>
        <v/>
      </c>
      <c r="N17" s="12">
        <f>L17+'[1]2026 Ιούλιος'!N17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'[1]2026_ΕΣΟΔΑ'!J12</f>
        <v/>
      </c>
      <c r="E18" s="11">
        <f>D18/$D$7</f>
        <v/>
      </c>
      <c r="F18" s="12">
        <f>D18+'[1]2026 Ιούλιος'!F18</f>
        <v/>
      </c>
      <c r="G18" s="11">
        <f>F18/$F$7</f>
        <v/>
      </c>
      <c r="H18" s="12" t="n"/>
      <c r="I18" s="11">
        <f>H18/$H$7</f>
        <v/>
      </c>
      <c r="J18" s="12">
        <f>H18+'[1]2026 Ιούλιος'!J18</f>
        <v/>
      </c>
      <c r="K18" s="11">
        <f>J18/$J$7</f>
        <v/>
      </c>
      <c r="L18" s="68">
        <f>'[1]2024_60-69 ΕΞΟΔΑ+ΟΜ 2'!J124</f>
        <v/>
      </c>
      <c r="M18" s="11">
        <f>L18/$L$7</f>
        <v/>
      </c>
      <c r="N18" s="12">
        <f>L18+'[1]2026 Ιούλιος'!N18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'[1]2026_ΕΣΟΔΑ'!J13</f>
        <v/>
      </c>
      <c r="E19" s="11">
        <f>D19/$D$7</f>
        <v/>
      </c>
      <c r="F19" s="12">
        <f>D19+'[1]2026 Ιούλιος'!F19</f>
        <v/>
      </c>
      <c r="G19" s="11">
        <f>F19/$F$7</f>
        <v/>
      </c>
      <c r="H19" s="12" t="n"/>
      <c r="I19" s="11">
        <f>H19/$H$7</f>
        <v/>
      </c>
      <c r="J19" s="12">
        <f>H19+'[1]2026 Ιούλιος'!J19</f>
        <v/>
      </c>
      <c r="K19" s="11">
        <f>J19/$J$7</f>
        <v/>
      </c>
      <c r="L19" s="68">
        <f>'[1]2024_60-69 ΕΞΟΔΑ+ΟΜ 2'!J125</f>
        <v/>
      </c>
      <c r="M19" s="11">
        <f>L19/$L$7</f>
        <v/>
      </c>
      <c r="N19" s="12">
        <f>L19+'[1]2026 Ιούλιος'!N19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'[1]2026_ΕΣΟΔΑ'!J14</f>
        <v/>
      </c>
      <c r="E20" s="11">
        <f>D20/$D$7</f>
        <v/>
      </c>
      <c r="F20" s="12">
        <f>D20+'[1]2026 Ιούλιος'!F20</f>
        <v/>
      </c>
      <c r="G20" s="11">
        <f>F20/$F$7</f>
        <v/>
      </c>
      <c r="H20" s="12" t="n"/>
      <c r="I20" s="11">
        <f>H20/$H$7</f>
        <v/>
      </c>
      <c r="J20" s="12">
        <f>H20+'[1]2026 Ιούλιος'!J20</f>
        <v/>
      </c>
      <c r="K20" s="11">
        <f>J20/$J$7</f>
        <v/>
      </c>
      <c r="L20" s="68">
        <f>'[1]2024_60-69 ΕΞΟΔΑ+ΟΜ 2'!J126</f>
        <v/>
      </c>
      <c r="M20" s="11">
        <f>L20/$L$7</f>
        <v/>
      </c>
      <c r="N20" s="12">
        <f>L20+'[1]2026 Ιούλιος'!N20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'[1]2026_ΕΣΟΔΑ'!J15</f>
        <v/>
      </c>
      <c r="E21" s="11">
        <f>D21/$D$7</f>
        <v/>
      </c>
      <c r="F21" s="12">
        <f>D21+'[1]2026 Ιούλιος'!F21</f>
        <v/>
      </c>
      <c r="G21" s="11">
        <f>F21/$F$7</f>
        <v/>
      </c>
      <c r="H21" s="12" t="n"/>
      <c r="I21" s="11">
        <f>H21/$H$7</f>
        <v/>
      </c>
      <c r="J21" s="12">
        <f>H21+'[1]2026 Ιούλιος'!J21</f>
        <v/>
      </c>
      <c r="K21" s="11">
        <f>J21/$J$7</f>
        <v/>
      </c>
      <c r="L21" s="68">
        <f>'[1]2024_60-69 ΕΞΟΔΑ+ΟΜ 2'!J127</f>
        <v/>
      </c>
      <c r="M21" s="11">
        <f>L21/$L$7</f>
        <v/>
      </c>
      <c r="N21" s="12">
        <f>L21+'[1]2026 Ιούλιος'!N21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'[1]2026_ΕΣΟΔΑ'!J16</f>
        <v/>
      </c>
      <c r="E22" s="11">
        <f>D22/$D$7</f>
        <v/>
      </c>
      <c r="F22" s="12">
        <f>D22+'[1]2026 Ιούλιος'!F22</f>
        <v/>
      </c>
      <c r="G22" s="11">
        <f>F22/$F$7</f>
        <v/>
      </c>
      <c r="H22" s="12" t="n"/>
      <c r="I22" s="11">
        <f>H22/$H$7</f>
        <v/>
      </c>
      <c r="J22" s="12">
        <f>H22+'[1]2026 Ιούλιος'!J22</f>
        <v/>
      </c>
      <c r="K22" s="11">
        <f>J22/$J$7</f>
        <v/>
      </c>
      <c r="L22" s="68">
        <f>'[1]2024_60-69 ΕΞΟΔΑ+ΟΜ 2'!J128</f>
        <v/>
      </c>
      <c r="M22" s="11">
        <f>L22/$L$7</f>
        <v/>
      </c>
      <c r="N22" s="12">
        <f>L22+'[1]2026 Ιούλιος'!N22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'[1]2026_ΕΣΟΔΑ'!J17</f>
        <v/>
      </c>
      <c r="E23" s="11">
        <f>D23/$D$7</f>
        <v/>
      </c>
      <c r="F23" s="12">
        <f>D23+'[1]2026 Ιούλιος'!F23</f>
        <v/>
      </c>
      <c r="G23" s="11">
        <f>F23/$F$7</f>
        <v/>
      </c>
      <c r="H23" s="12" t="n"/>
      <c r="I23" s="11">
        <f>H23/$H$7</f>
        <v/>
      </c>
      <c r="J23" s="12">
        <f>H23+'[1]2026 Ιούλιος'!J23</f>
        <v/>
      </c>
      <c r="K23" s="11">
        <f>J23/$J$7</f>
        <v/>
      </c>
      <c r="L23" s="68">
        <f>'[1]2024_60-69 ΕΞΟΔΑ+ΟΜ 2'!J129</f>
        <v/>
      </c>
      <c r="M23" s="11">
        <f>L23/$L$7</f>
        <v/>
      </c>
      <c r="N23" s="12">
        <f>L23+'[1]2026 Ιούλιος'!N23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'[1]2026_ΕΣΟΔΑ'!J18</f>
        <v/>
      </c>
      <c r="E24" s="11">
        <f>D24/$D$7</f>
        <v/>
      </c>
      <c r="F24" s="12">
        <f>D24+'[1]2026 Ιούλιος'!F24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Ιούλιος'!J24</f>
        <v/>
      </c>
      <c r="K24" s="11">
        <f>J24/$J$7</f>
        <v/>
      </c>
      <c r="L24" s="68">
        <f>'[1]2024_60-69 ΕΞΟΔΑ+ΟΜ 2'!J130</f>
        <v/>
      </c>
      <c r="M24" s="11">
        <f>L24/$L$7</f>
        <v/>
      </c>
      <c r="N24" s="12">
        <f>L24+'[1]2026 Ιούλιος'!N24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'[1]2026_ΕΣΟΔΑ'!J19</f>
        <v/>
      </c>
      <c r="E25" s="11">
        <f>D25/$D$7</f>
        <v/>
      </c>
      <c r="F25" s="12">
        <f>D25+'[1]2026 Ιούλιος'!F25</f>
        <v/>
      </c>
      <c r="G25" s="11">
        <f>F25/$F$7</f>
        <v/>
      </c>
      <c r="H25" s="12" t="n"/>
      <c r="I25" s="11">
        <f>H25/$H$7</f>
        <v/>
      </c>
      <c r="J25" s="12">
        <f>H25+'[1]2026 Ιούλιος'!J25</f>
        <v/>
      </c>
      <c r="K25" s="11">
        <f>J25/$J$7</f>
        <v/>
      </c>
      <c r="L25" s="68">
        <f>'[1]2024_60-69 ΕΞΟΔΑ+ΟΜ 2'!J131</f>
        <v/>
      </c>
      <c r="M25" s="11">
        <f>L25/$L$7</f>
        <v/>
      </c>
      <c r="N25" s="12">
        <f>L25+'[1]2026 Ιούλιος'!N25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'[1]2026_ΕΣΟΔΑ'!J20</f>
        <v/>
      </c>
      <c r="E26" s="11">
        <f>D26/$D$7</f>
        <v/>
      </c>
      <c r="F26" s="12">
        <f>D26+'[1]2026 Ιούλιος'!F26</f>
        <v/>
      </c>
      <c r="G26" s="11">
        <f>F26/$F$7</f>
        <v/>
      </c>
      <c r="H26" s="12" t="n"/>
      <c r="I26" s="11">
        <f>H26/$H$7</f>
        <v/>
      </c>
      <c r="J26" s="12">
        <f>H26+'[1]2026 Ιούλιος'!J26</f>
        <v/>
      </c>
      <c r="K26" s="11">
        <f>J26/$J$7</f>
        <v/>
      </c>
      <c r="L26" s="68">
        <f>'[1]2024_60-69 ΕΞΟΔΑ+ΟΜ 2'!J132</f>
        <v/>
      </c>
      <c r="M26" s="11">
        <f>L26/$L$7</f>
        <v/>
      </c>
      <c r="N26" s="12">
        <f>L26+'[1]2026 Ιούλιος'!N26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'[1]2026_ΕΣΟΔΑ'!J21</f>
        <v/>
      </c>
      <c r="E27" s="11">
        <f>D27/$D$7</f>
        <v/>
      </c>
      <c r="F27" s="12">
        <f>D27+'[1]2026 Ιούλιος'!F27</f>
        <v/>
      </c>
      <c r="G27" s="11">
        <f>F27/$F$7</f>
        <v/>
      </c>
      <c r="H27" s="12" t="n"/>
      <c r="I27" s="11">
        <f>H27/$H$7</f>
        <v/>
      </c>
      <c r="J27" s="12">
        <f>H27+'[1]2026 Ιούλιος'!J27</f>
        <v/>
      </c>
      <c r="K27" s="11">
        <f>J27/$J$7</f>
        <v/>
      </c>
      <c r="L27" s="68">
        <f>'[1]2024_60-69 ΕΞΟΔΑ+ΟΜ 2'!J133</f>
        <v/>
      </c>
      <c r="M27" s="11">
        <f>L27/$L$7</f>
        <v/>
      </c>
      <c r="N27" s="12">
        <f>L27+'[1]2026 Ιούλιος'!N27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'[1]2026_ΕΣΟΔΑ'!J22</f>
        <v/>
      </c>
      <c r="E28" s="11">
        <f>D28/$D$7</f>
        <v/>
      </c>
      <c r="F28" s="12">
        <f>D28+'[1]2026 Ιούλιος'!F28</f>
        <v/>
      </c>
      <c r="G28" s="11">
        <f>F28/$F$7</f>
        <v/>
      </c>
      <c r="H28" s="12" t="n"/>
      <c r="I28" s="11">
        <f>H28/$H$7</f>
        <v/>
      </c>
      <c r="J28" s="12">
        <f>H28+'[1]2026 Ιούλιος'!J28</f>
        <v/>
      </c>
      <c r="K28" s="11">
        <f>J28/$J$7</f>
        <v/>
      </c>
      <c r="L28" s="68">
        <f>'[1]2024_60-69 ΕΞΟΔΑ+ΟΜ 2'!J134</f>
        <v/>
      </c>
      <c r="M28" s="11">
        <f>L28/$L$7</f>
        <v/>
      </c>
      <c r="N28" s="12">
        <f>L28+'[1]2026 Ιούλιος'!N28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'[1]2026_ΕΣΟΔΑ'!J23</f>
        <v/>
      </c>
      <c r="E29" s="11">
        <f>D29/$D$7</f>
        <v/>
      </c>
      <c r="F29" s="12">
        <f>D29+'[1]2026 Ιούλιος'!F29</f>
        <v/>
      </c>
      <c r="G29" s="11">
        <f>F29/$F$7</f>
        <v/>
      </c>
      <c r="H29" s="12" t="n"/>
      <c r="I29" s="11">
        <f>H29/$H$7</f>
        <v/>
      </c>
      <c r="J29" s="12">
        <f>H29+'[1]2026 Ιούλιος'!J29</f>
        <v/>
      </c>
      <c r="K29" s="11">
        <f>J29/$J$7</f>
        <v/>
      </c>
      <c r="L29" s="68">
        <f>'[1]2024_60-69 ΕΞΟΔΑ+ΟΜ 2'!J135</f>
        <v/>
      </c>
      <c r="M29" s="11">
        <f>L29/$L$7</f>
        <v/>
      </c>
      <c r="N29" s="12">
        <f>L29+'[1]2026 Ιούλιος'!N29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'[1]2026_ΕΣΟΔΑ'!J24</f>
        <v/>
      </c>
      <c r="E30" s="11">
        <f>D30/$D$7</f>
        <v/>
      </c>
      <c r="F30" s="12">
        <f>D30+'[1]2026 Ιούλιος'!F30</f>
        <v/>
      </c>
      <c r="G30" s="11">
        <f>F30/$F$7</f>
        <v/>
      </c>
      <c r="H30" s="12" t="n"/>
      <c r="I30" s="11">
        <f>H30/$H$7</f>
        <v/>
      </c>
      <c r="J30" s="12">
        <f>H30+'[1]2026 Ιούλιος'!J30</f>
        <v/>
      </c>
      <c r="K30" s="11">
        <f>J30/$J$7</f>
        <v/>
      </c>
      <c r="L30" s="68">
        <f>'[1]2024_60-69 ΕΞΟΔΑ+ΟΜ 2'!J136</f>
        <v/>
      </c>
      <c r="M30" s="11">
        <f>L30/$L$7</f>
        <v/>
      </c>
      <c r="N30" s="12">
        <f>L30+'[1]2026 Ιούλιος'!N30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'[1]2026_ΕΣΟΔΑ'!J25</f>
        <v/>
      </c>
      <c r="E31" s="11">
        <f>D31/$D$7</f>
        <v/>
      </c>
      <c r="F31" s="12">
        <f>D31+'[1]2026 Ιούλιος'!F31</f>
        <v/>
      </c>
      <c r="G31" s="11">
        <f>F31/$F$7</f>
        <v/>
      </c>
      <c r="H31" s="12" t="n"/>
      <c r="I31" s="11">
        <f>H31/$H$7</f>
        <v/>
      </c>
      <c r="J31" s="12">
        <f>H31+'[1]2026 Ιούλιος'!J31</f>
        <v/>
      </c>
      <c r="K31" s="11">
        <f>J31/$J$7</f>
        <v/>
      </c>
      <c r="L31" s="68">
        <f>'[1]2024_60-69 ΕΞΟΔΑ+ΟΜ 2'!J137</f>
        <v/>
      </c>
      <c r="M31" s="11">
        <f>L31/$L$7</f>
        <v/>
      </c>
      <c r="N31" s="12">
        <f>L31+'[1]2026 Ιούλιος'!N31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'[1]2026_ΕΣΟΔΑ'!J26</f>
        <v/>
      </c>
      <c r="E32" s="11">
        <f>D32/$D$7</f>
        <v/>
      </c>
      <c r="F32" s="12">
        <f>D32+'[1]2026 Ιούλιος'!F32</f>
        <v/>
      </c>
      <c r="G32" s="11">
        <f>F32/$F$7</f>
        <v/>
      </c>
      <c r="H32" s="12" t="n"/>
      <c r="I32" s="11">
        <f>H32/$H$7</f>
        <v/>
      </c>
      <c r="J32" s="12">
        <f>H32+'[1]2026 Ιούλιος'!J32</f>
        <v/>
      </c>
      <c r="K32" s="11">
        <f>J32/$J$7</f>
        <v/>
      </c>
      <c r="L32" s="68">
        <f>'[1]2024_60-69 ΕΞΟΔΑ+ΟΜ 2'!J138</f>
        <v/>
      </c>
      <c r="M32" s="11">
        <f>L32/$L$7</f>
        <v/>
      </c>
      <c r="N32" s="12">
        <f>L32+'[1]2026 Ιούλιος'!N32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'[1]2026_ΕΣΟΔΑ'!J27</f>
        <v/>
      </c>
      <c r="E33" s="11">
        <f>D33/$D$7</f>
        <v/>
      </c>
      <c r="F33" s="12">
        <f>D33+'[1]2026 Ιούλιος'!F33</f>
        <v/>
      </c>
      <c r="G33" s="11">
        <f>F33/$F$7</f>
        <v/>
      </c>
      <c r="H33" s="12" t="n"/>
      <c r="I33" s="11">
        <f>H33/$H$7</f>
        <v/>
      </c>
      <c r="J33" s="12">
        <f>H33+'[1]2026 Ιούλιος'!J33</f>
        <v/>
      </c>
      <c r="K33" s="11">
        <f>J33/$J$7</f>
        <v/>
      </c>
      <c r="L33" s="68">
        <f>'[1]2024_60-69 ΕΞΟΔΑ+ΟΜ 2'!J139</f>
        <v/>
      </c>
      <c r="M33" s="11">
        <f>L33/$L$7</f>
        <v/>
      </c>
      <c r="N33" s="12">
        <f>L33+'[1]2026 Ιούλιος'!N33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'[1]2026_ΕΣΟΔΑ'!J28</f>
        <v/>
      </c>
      <c r="E34" s="11">
        <f>D34/$D$7</f>
        <v/>
      </c>
      <c r="F34" s="12">
        <f>D34+'[1]2026 Ιούλιος'!F34</f>
        <v/>
      </c>
      <c r="G34" s="11">
        <f>F34/$F$7</f>
        <v/>
      </c>
      <c r="H34" s="12" t="n"/>
      <c r="I34" s="11">
        <f>H34/$H$7</f>
        <v/>
      </c>
      <c r="J34" s="12">
        <f>H34+'[1]2026 Ιούλιος'!J34</f>
        <v/>
      </c>
      <c r="K34" s="11">
        <f>J34/$J$7</f>
        <v/>
      </c>
      <c r="L34" s="68">
        <f>'[1]2024_60-69 ΕΞΟΔΑ+ΟΜ 2'!J140</f>
        <v/>
      </c>
      <c r="M34" s="11">
        <f>L34/$L$7</f>
        <v/>
      </c>
      <c r="N34" s="12">
        <f>L34+'[1]2026 Ιούλιος'!N34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'[1]2026_ΕΣΟΔΑ'!J29</f>
        <v/>
      </c>
      <c r="E35" s="11">
        <f>D35/$D$7</f>
        <v/>
      </c>
      <c r="F35" s="12">
        <f>D35+'[1]2026 Ιούλιος'!F35</f>
        <v/>
      </c>
      <c r="G35" s="11">
        <f>F35/$F$7</f>
        <v/>
      </c>
      <c r="H35" s="12" t="n"/>
      <c r="I35" s="11">
        <f>H35/$H$7</f>
        <v/>
      </c>
      <c r="J35" s="12">
        <f>H35+'[1]2026 Ιούλιος'!J35</f>
        <v/>
      </c>
      <c r="K35" s="11">
        <f>J35/$J$7</f>
        <v/>
      </c>
      <c r="L35" s="68">
        <f>'[1]2024_60-69 ΕΞΟΔΑ+ΟΜ 2'!J141</f>
        <v/>
      </c>
      <c r="M35" s="11">
        <f>L35/$L$7</f>
        <v/>
      </c>
      <c r="N35" s="12">
        <f>L35+'[1]2026 Ιούλιος'!N35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'[1]2026_ΕΣΟΔΑ'!J30</f>
        <v/>
      </c>
      <c r="E36" s="11">
        <f>D36/$D$7</f>
        <v/>
      </c>
      <c r="F36" s="12">
        <f>D36+'[1]2026 Ιούλιος'!F36</f>
        <v/>
      </c>
      <c r="G36" s="11">
        <f>F36/$F$7</f>
        <v/>
      </c>
      <c r="H36" s="12" t="n"/>
      <c r="I36" s="11">
        <f>H36/$H$7</f>
        <v/>
      </c>
      <c r="J36" s="12">
        <f>H36+'[1]2026 Ιούλιος'!J36</f>
        <v/>
      </c>
      <c r="K36" s="11">
        <f>J36/$J$7</f>
        <v/>
      </c>
      <c r="L36" s="68">
        <f>'[1]2024_60-69 ΕΞΟΔΑ+ΟΜ 2'!J142</f>
        <v/>
      </c>
      <c r="M36" s="11">
        <f>L36/$L$7</f>
        <v/>
      </c>
      <c r="N36" s="12">
        <f>L36+'[1]2026 Ιούλιος'!N36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'[1]2026_ΕΣΟΔΑ'!J31</f>
        <v/>
      </c>
      <c r="E37" s="11">
        <f>D37/$D$7</f>
        <v/>
      </c>
      <c r="F37" s="12">
        <f>D37+'[1]2026 Ιούλιος'!F37</f>
        <v/>
      </c>
      <c r="G37" s="11">
        <f>F37/$F$7</f>
        <v/>
      </c>
      <c r="H37" s="12" t="n"/>
      <c r="I37" s="11">
        <f>H37/$H$7</f>
        <v/>
      </c>
      <c r="J37" s="12">
        <f>H37+'[1]2026 Ιούλιος'!J37</f>
        <v/>
      </c>
      <c r="K37" s="11">
        <f>J37/$J$7</f>
        <v/>
      </c>
      <c r="L37" s="68">
        <f>'[1]2024_60-69 ΕΞΟΔΑ+ΟΜ 2'!J143</f>
        <v/>
      </c>
      <c r="M37" s="11">
        <f>L37/$L$7</f>
        <v/>
      </c>
      <c r="N37" s="12">
        <f>L37+'[1]2026 Ιούλιος'!N37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'[1]2026_ΕΣΟΔΑ'!J32</f>
        <v/>
      </c>
      <c r="E38" s="8" t="n"/>
      <c r="F38" s="7">
        <f>'[1]2026_ΕΣΟΔΑ'!J34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[1]ΑΝΤΙΣΤΟΙΧΙΣΗ!$F$113</f>
        <v/>
      </c>
      <c r="E41" s="192" t="n"/>
      <c r="F41" s="56" t="n"/>
      <c r="G41" s="61">
        <f>[1]ΑΝΤΙΣΤΟΙΧΙΣΗ!$D$34</f>
        <v/>
      </c>
      <c r="H41" s="180">
        <f>[1]ΑΝΤΙΣΤΟΙΧΙΣΗ!$F$113</f>
        <v/>
      </c>
      <c r="I41" s="192" t="n"/>
      <c r="J41" s="56" t="n"/>
      <c r="K41" s="61">
        <f>[1]ΑΝΤΙΣΤΟΙΧΙΣΗ!$D$34</f>
        <v/>
      </c>
      <c r="L41" s="180">
        <f>[1]ΑΝΤΙΣΤΟΙΧΙΣΗ!$F$127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1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2'!K4</f>
        <v/>
      </c>
      <c r="E44" s="15">
        <f>D44/$D$43</f>
        <v/>
      </c>
      <c r="F44" s="10">
        <f>D44+'[1]2026 Ιούλιος'!F44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2'!K4</f>
        <v/>
      </c>
      <c r="M44" s="15">
        <f>L44/$L$43</f>
        <v/>
      </c>
      <c r="N44" s="10">
        <f>L44+'[1]2026 Ιούλιος'!N44</f>
        <v/>
      </c>
      <c r="O44" s="15">
        <f>N44/$N$43</f>
        <v/>
      </c>
      <c r="P44" s="10" t="n"/>
      <c r="Q44" s="15" t="n"/>
    </row>
    <row r="45" ht="1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2'!K5</f>
        <v/>
      </c>
      <c r="E45" s="15">
        <f>D45/$D$43</f>
        <v/>
      </c>
      <c r="F45" s="10">
        <f>D45+'[1]2026 Ιούλιος'!F45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2'!K5</f>
        <v/>
      </c>
      <c r="M45" s="15">
        <f>L45/$L$43</f>
        <v/>
      </c>
      <c r="N45" s="10">
        <f>L45+'[1]2026 Ιούλιος'!N45</f>
        <v/>
      </c>
      <c r="O45" s="15">
        <f>N45/$N$43</f>
        <v/>
      </c>
      <c r="P45" s="10" t="n"/>
      <c r="Q45" s="15">
        <f>N45/F45</f>
        <v/>
      </c>
    </row>
    <row r="46" ht="1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2'!K6</f>
        <v/>
      </c>
      <c r="E46" s="15">
        <f>D46/$D$43</f>
        <v/>
      </c>
      <c r="F46" s="10">
        <f>D46+'[1]2026 Ιούλιος'!F46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2'!K6</f>
        <v/>
      </c>
      <c r="M46" s="15">
        <f>L46/$L$43</f>
        <v/>
      </c>
      <c r="N46" s="10">
        <f>L46+'[1]2026 Ιούλιος'!N46</f>
        <v/>
      </c>
      <c r="O46" s="15">
        <f>N46/$N$43</f>
        <v/>
      </c>
      <c r="P46" s="10" t="n"/>
      <c r="Q46" s="15">
        <f>N46/F46</f>
        <v/>
      </c>
    </row>
    <row r="47" ht="1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2'!K7</f>
        <v/>
      </c>
      <c r="E47" s="15">
        <f>D49/$D$43</f>
        <v/>
      </c>
      <c r="F47" s="10">
        <f>D49+'[1]2026 Ιούλιος'!F47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2'!K7</f>
        <v/>
      </c>
      <c r="M47" s="15">
        <f>L49/$L$43</f>
        <v/>
      </c>
      <c r="N47" s="10">
        <f>L49+'[1]2026 Ιούλιος'!N47</f>
        <v/>
      </c>
      <c r="O47" s="15">
        <f>N49/$N$43</f>
        <v/>
      </c>
      <c r="P47" s="10" t="n"/>
      <c r="Q47" s="15">
        <f>N49/F49</f>
        <v/>
      </c>
    </row>
    <row r="48" ht="1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2'!K8</f>
        <v/>
      </c>
      <c r="E48" s="15">
        <f>D50/$D$43</f>
        <v/>
      </c>
      <c r="F48" s="10">
        <f>D50+'[1]2026 Ιούλιος'!F48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2'!K8</f>
        <v/>
      </c>
      <c r="M48" s="15">
        <f>L50/$L$43</f>
        <v/>
      </c>
      <c r="N48" s="10">
        <f>L50+'[1]2026 Ιούλιος'!N48</f>
        <v/>
      </c>
      <c r="O48" s="15">
        <f>N50/$N$43</f>
        <v/>
      </c>
      <c r="P48" s="10" t="n"/>
      <c r="Q48" s="15">
        <f>N50/F50</f>
        <v/>
      </c>
    </row>
    <row r="49" ht="1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2'!K9</f>
        <v/>
      </c>
      <c r="E49" s="15">
        <f>D51/$D$43</f>
        <v/>
      </c>
      <c r="F49" s="10">
        <f>D51+'[1]2026 Ιούλιος'!F49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2'!K9</f>
        <v/>
      </c>
      <c r="M49" s="15">
        <f>L51/$L$43</f>
        <v/>
      </c>
      <c r="N49" s="10">
        <f>L51+'[1]2026 Ιούλιος'!N49</f>
        <v/>
      </c>
      <c r="O49" s="15">
        <f>N51/$N$43</f>
        <v/>
      </c>
      <c r="P49" s="10" t="n"/>
      <c r="Q49" s="15">
        <f>N51/F51</f>
        <v/>
      </c>
    </row>
    <row r="50" ht="1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2'!K10</f>
        <v/>
      </c>
      <c r="E50" s="15">
        <f>D54/$D$43</f>
        <v/>
      </c>
      <c r="F50" s="10">
        <f>D54+'[1]2026 Ιούλιος'!F50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2'!K10</f>
        <v/>
      </c>
      <c r="M50" s="15">
        <f>L54/$L$43</f>
        <v/>
      </c>
      <c r="N50" s="10">
        <f>L54+'[1]2026 Ιούλιος'!N50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2'!K11</f>
        <v/>
      </c>
      <c r="E51" s="15">
        <f>D55/$D$43</f>
        <v/>
      </c>
      <c r="F51" s="10">
        <f>D55+'[1]2026 Ιούλιος'!F51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2'!K11</f>
        <v/>
      </c>
      <c r="M51" s="15">
        <f>L55/$L$43</f>
        <v/>
      </c>
      <c r="N51" s="10">
        <f>L55+'[1]2026 Ιούλιος'!N51</f>
        <v/>
      </c>
      <c r="O51" s="15">
        <f>N55/$N$43</f>
        <v/>
      </c>
      <c r="P51" s="10" t="n"/>
      <c r="Q51" s="15">
        <f>N55/F55</f>
        <v/>
      </c>
    </row>
    <row r="52" ht="1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2'!K12</f>
        <v/>
      </c>
      <c r="E52" s="15">
        <f>D56/$D$43</f>
        <v/>
      </c>
      <c r="F52" s="10">
        <f>D56+'[1]2026 Ιούλιος'!F52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2'!K12</f>
        <v/>
      </c>
      <c r="M52" s="15">
        <f>L56/$L$43</f>
        <v/>
      </c>
      <c r="N52" s="10">
        <f>L56+'[1]2026 Ιούλιος'!N52</f>
        <v/>
      </c>
      <c r="O52" s="15">
        <f>N56/$N$43</f>
        <v/>
      </c>
      <c r="P52" s="10" t="n"/>
      <c r="Q52" s="15">
        <f>N56/F56</f>
        <v/>
      </c>
    </row>
    <row r="53" ht="1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2'!K13</f>
        <v/>
      </c>
      <c r="E53" s="15">
        <f>D57/$D$43</f>
        <v/>
      </c>
      <c r="F53" s="10">
        <f>D57+'[1]2026 Ιούλιος'!F53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2'!K13</f>
        <v/>
      </c>
      <c r="M53" s="15">
        <f>L57/$L$43</f>
        <v/>
      </c>
      <c r="N53" s="10">
        <f>L57+'[1]2026 Ιούλιος'!N53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2'!K14</f>
        <v/>
      </c>
      <c r="E54" s="15">
        <f>D58/$D$43</f>
        <v/>
      </c>
      <c r="F54" s="10">
        <f>D58+'[1]2026 Ιούλιος'!F54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2'!K14</f>
        <v/>
      </c>
      <c r="M54" s="15">
        <f>L58/$L$43</f>
        <v/>
      </c>
      <c r="N54" s="10">
        <f>L58+'[1]2026 Ιούλιος'!N54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2'!K15</f>
        <v/>
      </c>
      <c r="E55" s="15">
        <f>D59/$D$43</f>
        <v/>
      </c>
      <c r="F55" s="10">
        <f>D59+'[1]2026 Ιούλιος'!F55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2'!K15</f>
        <v/>
      </c>
      <c r="M55" s="15">
        <f>L59/$L$43</f>
        <v/>
      </c>
      <c r="N55" s="10">
        <f>L59+'[1]2026 Ιούλιος'!N55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2'!K16</f>
        <v/>
      </c>
      <c r="E56" s="15">
        <f>D60/$D$43</f>
        <v/>
      </c>
      <c r="F56" s="10">
        <f>D60+'[1]2026 Ιούλιος'!F56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2'!K16</f>
        <v/>
      </c>
      <c r="M56" s="15">
        <f>L60/$L$43</f>
        <v/>
      </c>
      <c r="N56" s="10">
        <f>L60+'[1]2026 Ιούλιος'!N56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2'!K17</f>
        <v/>
      </c>
      <c r="E57" s="15">
        <f>D61/$D$43</f>
        <v/>
      </c>
      <c r="F57" s="10">
        <f>D61+'[1]2026 Ιούλιος'!F57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2'!K17</f>
        <v/>
      </c>
      <c r="M57" s="15">
        <f>L61/$L$43</f>
        <v/>
      </c>
      <c r="N57" s="10">
        <f>L61+'[1]2026 Ιούλιος'!N57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2'!K18</f>
        <v/>
      </c>
      <c r="E58" s="15">
        <f>D62/$D$43</f>
        <v/>
      </c>
      <c r="F58" s="10">
        <f>D62+'[1]2026 Ιούλιος'!F58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2'!K18</f>
        <v/>
      </c>
      <c r="M58" s="15">
        <f>L62/$L$43</f>
        <v/>
      </c>
      <c r="N58" s="10">
        <f>L62+'[1]2026 Ιούλιος'!N58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2'!K19</f>
        <v/>
      </c>
      <c r="E59" s="15">
        <f>D63/$D$43</f>
        <v/>
      </c>
      <c r="F59" s="10">
        <f>D63+'[1]2026 Ιούλιος'!F59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2'!K19</f>
        <v/>
      </c>
      <c r="M59" s="15">
        <f>L63/$L$43</f>
        <v/>
      </c>
      <c r="N59" s="10">
        <f>L63+'[1]2026 Ιούλιος'!N59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2'!K20</f>
        <v/>
      </c>
      <c r="E60" s="15">
        <f>D64/$D$43</f>
        <v/>
      </c>
      <c r="F60" s="10">
        <f>D64+'[1]2026 Ιούλιος'!F60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2'!K20</f>
        <v/>
      </c>
      <c r="M60" s="15">
        <f>L64/$L$43</f>
        <v/>
      </c>
      <c r="N60" s="10">
        <f>L64+'[1]2026 Ιούλιος'!N60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2'!K21</f>
        <v/>
      </c>
      <c r="E61" s="15">
        <f>D65/$D$43</f>
        <v/>
      </c>
      <c r="F61" s="10">
        <f>D65+'[1]2026 Ιούλιος'!F61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2'!K21</f>
        <v/>
      </c>
      <c r="M61" s="15">
        <f>L65/$L$43</f>
        <v/>
      </c>
      <c r="N61" s="10">
        <f>L65+'[1]2026 Ιούλιος'!N61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2'!K22</f>
        <v/>
      </c>
      <c r="E62" s="15">
        <f>D66/$D$43</f>
        <v/>
      </c>
      <c r="F62" s="10">
        <f>D66+'[1]2026 Ιούλιος'!F62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2'!K22</f>
        <v/>
      </c>
      <c r="M62" s="15">
        <f>L66/$L$43</f>
        <v/>
      </c>
      <c r="N62" s="10">
        <f>L66+'[1]2026 Ιούλιος'!N62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2'!K23</f>
        <v/>
      </c>
      <c r="E63" s="15">
        <f>D67/$D$43</f>
        <v/>
      </c>
      <c r="F63" s="10">
        <f>D67+'[1]2026 Ιούλιος'!F63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2'!K23</f>
        <v/>
      </c>
      <c r="M63" s="15">
        <f>L67/$L$43</f>
        <v/>
      </c>
      <c r="N63" s="10">
        <f>L67+'[1]2026 Ιούλιος'!N63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2'!K24</f>
        <v/>
      </c>
      <c r="E64" s="15">
        <f>D68/$D$43</f>
        <v/>
      </c>
      <c r="F64" s="10">
        <f>D68+'[1]2026 Ιούλιος'!F64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2'!K24</f>
        <v/>
      </c>
      <c r="M64" s="15">
        <f>L68/$L$43</f>
        <v/>
      </c>
      <c r="N64" s="10">
        <f>L68+'[1]2026 Ιούλιος'!N64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2'!K25</f>
        <v/>
      </c>
      <c r="E65" s="15">
        <f>D69/$D$43</f>
        <v/>
      </c>
      <c r="F65" s="10">
        <f>D69+'[1]2026 Ιούλιος'!F65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2'!K25</f>
        <v/>
      </c>
      <c r="M65" s="15">
        <f>L69/$L$43</f>
        <v/>
      </c>
      <c r="N65" s="10">
        <f>L69+'[1]2026 Ιούλιος'!N65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2'!K26</f>
        <v/>
      </c>
      <c r="E66" s="15">
        <f>D70/$D$43</f>
        <v/>
      </c>
      <c r="F66" s="10">
        <f>D70+'[1]2026 Ιούλιος'!F66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2'!K26</f>
        <v/>
      </c>
      <c r="M66" s="15">
        <f>L70/$L$43</f>
        <v/>
      </c>
      <c r="N66" s="10">
        <f>L70+'[1]2026 Ιούλιος'!N66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2'!K27</f>
        <v/>
      </c>
      <c r="E67" s="15">
        <f>D71/$D$43</f>
        <v/>
      </c>
      <c r="F67" s="10">
        <f>D71+'[1]2026 Ιούλιος'!F67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2'!K27</f>
        <v/>
      </c>
      <c r="M67" s="15">
        <f>L71/$L$43</f>
        <v/>
      </c>
      <c r="N67" s="10">
        <f>L71+'[1]2026 Ιούλιος'!N67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2'!K28</f>
        <v/>
      </c>
      <c r="E68" s="15">
        <f>D72/$D$43</f>
        <v/>
      </c>
      <c r="F68" s="10">
        <f>D72+'[1]2026 Ιούλιος'!F68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2'!K28</f>
        <v/>
      </c>
      <c r="M68" s="15">
        <f>L72/$L$43</f>
        <v/>
      </c>
      <c r="N68" s="10">
        <f>L72+'[1]2026 Ιούλιος'!N68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2'!K29</f>
        <v/>
      </c>
      <c r="E69" s="15">
        <f>D73/$D$43</f>
        <v/>
      </c>
      <c r="F69" s="10">
        <f>D73+'[1]2026 Ιούλιος'!F69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2'!K29</f>
        <v/>
      </c>
      <c r="M69" s="15">
        <f>L73/$L$43</f>
        <v/>
      </c>
      <c r="N69" s="10">
        <f>L73+'[1]2026 Ιούλιος'!N69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>
        <f>'[1]2026_60-69 ΕΞΟΔΑ+ΟΜ 2'!K30</f>
        <v/>
      </c>
      <c r="E70" s="15">
        <f>D74/$D$43</f>
        <v/>
      </c>
      <c r="F70" s="10">
        <f>D74+'[1]2026 Ιούλιος'!F70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2'!K30</f>
        <v/>
      </c>
      <c r="M70" s="15">
        <f>L74/$L$43</f>
        <v/>
      </c>
      <c r="N70" s="10">
        <f>L74+'[1]2026 Ιούλιος'!N70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2'!K31</f>
        <v/>
      </c>
      <c r="E71" s="15">
        <f>D75/$D$43</f>
        <v/>
      </c>
      <c r="F71" s="10">
        <f>D75+'[1]2026 Ιούλιος'!F71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2'!K31</f>
        <v/>
      </c>
      <c r="M71" s="15">
        <f>L75/$L$43</f>
        <v/>
      </c>
      <c r="N71" s="10">
        <f>L75+'[1]2026 Ιούλιος'!N71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2'!K32</f>
        <v/>
      </c>
      <c r="E72" s="15">
        <f>D76/$D$43</f>
        <v/>
      </c>
      <c r="F72" s="10">
        <f>D76+'[1]2026 Ιούλιος'!F72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2'!K32</f>
        <v/>
      </c>
      <c r="M72" s="15">
        <f>L76/$L$43</f>
        <v/>
      </c>
      <c r="N72" s="10">
        <f>L76+'[1]2026 Ιούλιος'!N72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2'!K33</f>
        <v/>
      </c>
      <c r="E73" s="15">
        <f>D77/$D$43</f>
        <v/>
      </c>
      <c r="F73" s="10">
        <f>D77+'[1]2026 Ιούλιος'!F73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2'!K33</f>
        <v/>
      </c>
      <c r="M73" s="15">
        <f>L77/$L$43</f>
        <v/>
      </c>
      <c r="N73" s="10">
        <f>L77+'[1]2026 Ιούλιος'!N73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191" t="n">
        <v>77</v>
      </c>
      <c r="B74" s="60" t="n"/>
      <c r="C74" s="75" t="inlineStr">
        <is>
          <t>ΣΥΝΟΛΟ ΑΜΕΣΟΥ ΚΟΣΤΟΥΣ</t>
        </is>
      </c>
      <c r="D74" s="7">
        <f>'[1]2026_60-69 ΕΞΟΔΑ+ΟΜ 2'!K3</f>
        <v/>
      </c>
      <c r="E74" s="21" t="n"/>
      <c r="F74" s="7">
        <f>'[1]2026_60-69 ΕΞΟΔΑ+ΟΜ 2'!X3</f>
        <v/>
      </c>
      <c r="G74" s="21" t="n"/>
      <c r="H74" s="7">
        <f>SUM(H44:H77)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 t="n"/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 t="n"/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[1]ΑΝΤΙΣΤΟΙΧΙΣΗ!$F$113</f>
        <v/>
      </c>
      <c r="E78" s="192" t="n"/>
      <c r="F78" s="56" t="n"/>
      <c r="G78" s="61">
        <f>[1]ΑΝΤΙΣΤΟΙΧΙΣΗ!$D$34</f>
        <v/>
      </c>
      <c r="H78" s="180">
        <f>[1]ΑΝΤΙΣΤΟΙΧΙΣΗ!$F$113</f>
        <v/>
      </c>
      <c r="I78" s="192" t="n"/>
      <c r="J78" s="56" t="n"/>
      <c r="K78" s="61">
        <f>[1]ΑΝΤΙΣΤΟΙΧΙΣΗ!$D$34</f>
        <v/>
      </c>
      <c r="L78" s="180">
        <f>[1]ΑΝΤΙΣΤΟΙΧΙΣΗ!$F$127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2'!K39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2'!K37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2'!K40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2'!K38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2'!K43</f>
        <v/>
      </c>
      <c r="E83" s="15">
        <f>D87/$D$84</f>
        <v/>
      </c>
      <c r="F83" s="79">
        <f>'[1]2026 Ιούλιος'!F87+#REF!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2'!K41</f>
        <v/>
      </c>
      <c r="M83" s="15">
        <f>L87/$L$84</f>
        <v/>
      </c>
      <c r="N83" s="10">
        <f>L87+'[1]2026 Ιούλιος'!N87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2'!K44</f>
        <v/>
      </c>
      <c r="E84" s="15">
        <f>D88/$D$84</f>
        <v/>
      </c>
      <c r="F84" s="79">
        <f>'[1]2026 Ιούλιος'!F88+#REF!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2'!K42</f>
        <v/>
      </c>
      <c r="M84" s="15">
        <f>L88/$L$84</f>
        <v/>
      </c>
      <c r="N84" s="10">
        <f>L88+'[1]2026 Ιούλιος'!N88</f>
        <v/>
      </c>
      <c r="O84" s="15">
        <f>N88/$N$84</f>
        <v/>
      </c>
      <c r="P84" s="27" t="n"/>
      <c r="Q84" s="28">
        <f>SUM(D88:P88)</f>
        <v/>
      </c>
    </row>
    <row r="85" ht="24.7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2'!K45</f>
        <v/>
      </c>
      <c r="E85" s="15">
        <f>D89/$D$84</f>
        <v/>
      </c>
      <c r="F85" s="79">
        <f>'[1]2026 Ιούλιος'!F89+#REF!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2'!K43</f>
        <v/>
      </c>
      <c r="M85" s="15">
        <f>L89/$L$84</f>
        <v/>
      </c>
      <c r="N85" s="10">
        <f>L89+'[1]2026 Ιούλιος'!N89</f>
        <v/>
      </c>
      <c r="O85" s="15">
        <f>N89/$N$84</f>
        <v/>
      </c>
      <c r="P85" s="80" t="n"/>
      <c r="Q85" s="28">
        <f>SUM(D89:P89)</f>
        <v/>
      </c>
    </row>
    <row r="86" ht="14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2'!K46</f>
        <v/>
      </c>
      <c r="E86" s="15">
        <f>D90/$D$84</f>
        <v/>
      </c>
      <c r="F86" s="79">
        <f>'[1]2026 Ιούλιος'!F90+#REF!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2'!K44</f>
        <v/>
      </c>
      <c r="M86" s="15">
        <f>L90/$L$84</f>
        <v/>
      </c>
      <c r="N86" s="10">
        <f>L90+'[1]2026 Ιούλιος'!N90</f>
        <v/>
      </c>
      <c r="O86" s="15">
        <f>N90/$N$84</f>
        <v/>
      </c>
      <c r="P86" s="80" t="n"/>
      <c r="Q86" s="28">
        <f>SUM(D90:P90)</f>
        <v/>
      </c>
    </row>
    <row r="87" ht="1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2'!K47</f>
        <v/>
      </c>
      <c r="E87" s="15">
        <f>D91/$D$84</f>
        <v/>
      </c>
      <c r="F87" s="79">
        <f>'[1]2026 Ιούλιος'!F91+#REF!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2'!K45</f>
        <v/>
      </c>
      <c r="M87" s="15">
        <f>L91/$L$84</f>
        <v/>
      </c>
      <c r="N87" s="10">
        <f>L91+'[1]2026 Ιούλιος'!N91</f>
        <v/>
      </c>
      <c r="O87" s="15">
        <f>N91/$N$84</f>
        <v/>
      </c>
      <c r="P87" s="80" t="n"/>
      <c r="Q87" s="28">
        <f>SUM(D91:P91)</f>
        <v/>
      </c>
    </row>
    <row r="88" ht="1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2'!K48</f>
        <v/>
      </c>
      <c r="E88" s="15">
        <f>D92/$D$84</f>
        <v/>
      </c>
      <c r="F88" s="79">
        <f>'[1]2026 Ιούλιος'!F92+#REF!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2'!K46</f>
        <v/>
      </c>
      <c r="M88" s="15">
        <f>L92/$L$84</f>
        <v/>
      </c>
      <c r="N88" s="10">
        <f>L92+'[1]2026 Ιούλιος'!N92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2'!K49</f>
        <v/>
      </c>
      <c r="E89" s="15">
        <f>D93/$D$84</f>
        <v/>
      </c>
      <c r="F89" s="79">
        <f>'[1]2026 Ιούλιος'!F93+#REF!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2'!K47</f>
        <v/>
      </c>
      <c r="M89" s="15">
        <f>L93/$L$84</f>
        <v/>
      </c>
      <c r="N89" s="10">
        <f>L93+'[1]2026 Ιούλιος'!N93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2'!K50</f>
        <v/>
      </c>
      <c r="E90" s="15">
        <f>D94/$D$84</f>
        <v/>
      </c>
      <c r="F90" s="79">
        <f>'[1]2026 Ιούλιος'!F94+#REF!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2'!K48</f>
        <v/>
      </c>
      <c r="M90" s="15">
        <f>L94/$L$84</f>
        <v/>
      </c>
      <c r="N90" s="10">
        <f>L94+'[1]2026 Ιούλιος'!N94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2'!K51</f>
        <v/>
      </c>
      <c r="E91" s="15">
        <f>D95/$D$84</f>
        <v/>
      </c>
      <c r="F91" s="79">
        <f>'[1]2026 Ιούλιος'!F95+#REF!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2'!K49</f>
        <v/>
      </c>
      <c r="M91" s="15">
        <f>L95/$L$84</f>
        <v/>
      </c>
      <c r="N91" s="10">
        <f>L95+'[1]2026 Ιούλιος'!N95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2'!K52</f>
        <v/>
      </c>
      <c r="E92" s="15">
        <f>D96/$D$84</f>
        <v/>
      </c>
      <c r="F92" s="79">
        <f>'[1]2026 Ιούλιος'!F96+#REF!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2'!K50</f>
        <v/>
      </c>
      <c r="M92" s="15">
        <f>L96/$L$84</f>
        <v/>
      </c>
      <c r="N92" s="10">
        <f>L96+'[1]2026 Ιούλιος'!N96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2'!K53</f>
        <v/>
      </c>
      <c r="E93" s="15">
        <f>D97/$D$84</f>
        <v/>
      </c>
      <c r="F93" s="79">
        <f>'[1]2026 Ιούλιος'!F97+#REF!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2'!K51</f>
        <v/>
      </c>
      <c r="M93" s="15">
        <f>L97/$L$84</f>
        <v/>
      </c>
      <c r="N93" s="10">
        <f>L97+'[1]2026 Ιούλιος'!N97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2'!K54</f>
        <v/>
      </c>
      <c r="E94" s="15">
        <f>D98/$D$84</f>
        <v/>
      </c>
      <c r="F94" s="79">
        <f>'[1]2026 Ιούλιος'!F98+#REF!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2'!K52</f>
        <v/>
      </c>
      <c r="M94" s="15">
        <f>L98/$L$84</f>
        <v/>
      </c>
      <c r="N94" s="10">
        <f>L98+'[1]2026 Ιούλιος'!N98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2'!K55</f>
        <v/>
      </c>
      <c r="E95" s="15">
        <f>D99/$D$84</f>
        <v/>
      </c>
      <c r="F95" s="79">
        <f>'[1]2026 Ιούλιος'!F99+#REF!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2'!K53</f>
        <v/>
      </c>
      <c r="M95" s="15">
        <f>L99/$L$84</f>
        <v/>
      </c>
      <c r="N95" s="10">
        <f>L99+'[1]2026 Ιούλιος'!N99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2'!K56</f>
        <v/>
      </c>
      <c r="E96" s="15">
        <f>D100/$D$84</f>
        <v/>
      </c>
      <c r="F96" s="79">
        <f>'[1]2026 Ιούλιος'!F100+#REF!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2'!K54</f>
        <v/>
      </c>
      <c r="M96" s="15">
        <f>L100/$L$84</f>
        <v/>
      </c>
      <c r="N96" s="10">
        <f>L100+'[1]2026 Ιούλιος'!N100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2'!K57</f>
        <v/>
      </c>
      <c r="E97" s="15">
        <f>D101/$D$84</f>
        <v/>
      </c>
      <c r="F97" s="79">
        <f>'[1]2026 Ιούλιος'!F101+#REF!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2'!K55</f>
        <v/>
      </c>
      <c r="M97" s="15">
        <f>L101/$L$84</f>
        <v/>
      </c>
      <c r="N97" s="10">
        <f>L101+'[1]2026 Ιούλιος'!N101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2'!K58</f>
        <v/>
      </c>
      <c r="E98" s="15">
        <f>D102/$D$84</f>
        <v/>
      </c>
      <c r="F98" s="79">
        <f>'[1]2026 Ιούλιος'!F102+#REF!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2'!K56</f>
        <v/>
      </c>
      <c r="M98" s="15">
        <f>L102/$L$84</f>
        <v/>
      </c>
      <c r="N98" s="10">
        <f>L102+'[1]2026 Ιούλιος'!N102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2'!K59</f>
        <v/>
      </c>
      <c r="E99" s="15">
        <f>D103/$D$84</f>
        <v/>
      </c>
      <c r="F99" s="79">
        <f>'[1]2026 Ιούλιος'!F103+#REF!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2'!K57</f>
        <v/>
      </c>
      <c r="M99" s="15">
        <f>L103/$L$84</f>
        <v/>
      </c>
      <c r="N99" s="10">
        <f>L103+'[1]2026 Ιούλιος'!N103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2'!K60</f>
        <v/>
      </c>
      <c r="E100" s="15">
        <f>D104/$D$84</f>
        <v/>
      </c>
      <c r="F100" s="79">
        <f>'[1]2026 Ιούλιος'!F104+#REF!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2'!K58</f>
        <v/>
      </c>
      <c r="M100" s="15">
        <f>L104/$L$84</f>
        <v/>
      </c>
      <c r="N100" s="10">
        <f>L104+'[1]2026 Ιούλιος'!N104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2'!K61</f>
        <v/>
      </c>
      <c r="E101" s="15">
        <f>D105/$D$84</f>
        <v/>
      </c>
      <c r="F101" s="79">
        <f>'[1]2026 Ιούλιος'!F105+#REF!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2'!K59</f>
        <v/>
      </c>
      <c r="M101" s="15">
        <f>L105/$L$84</f>
        <v/>
      </c>
      <c r="N101" s="10">
        <f>L105+'[1]2026 Ιούλιος'!N105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>
        <v>110</v>
      </c>
      <c r="B107" s="60" t="n"/>
      <c r="C107" s="20" t="inlineStr">
        <is>
          <t>ΣΥΝΟΛΟ ΚΟΣΤΟΥΣ Sales-Marketing ΜΗΝΟΣ</t>
        </is>
      </c>
      <c r="D107" s="7">
        <f>'[1]2026_60-69 ΕΞΟΔΑ+ΟΜ 2'!K36</f>
        <v/>
      </c>
      <c r="E107" s="8" t="n"/>
      <c r="F107" s="7">
        <f>'[1]2026_60-69 ΕΞΟΔΑ+ΟΜ 2'!X36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>
        <v>111</v>
      </c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[1]ΑΝΤΙΣΤΟΙΧΙΣΗ!$F$113</f>
        <v/>
      </c>
      <c r="E110" s="192" t="n"/>
      <c r="F110" s="56" t="n"/>
      <c r="G110" s="61">
        <f>[1]ΑΝΤΙΣΤΟΙΧΙΣΗ!$D$34</f>
        <v/>
      </c>
      <c r="H110" s="180">
        <f>[1]ΑΝΤΙΣΤΟΙΧΙΣΗ!$F$113</f>
        <v/>
      </c>
      <c r="I110" s="192" t="n"/>
      <c r="J110" s="56" t="n"/>
      <c r="K110" s="61">
        <f>[1]ΑΝΤΙΣΤΟΙΧΙΣΗ!$D$34</f>
        <v/>
      </c>
      <c r="L110" s="180">
        <f>[1]ΑΝΤΙΣΤΟΙΧΙΣΗ!$F$127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'[1]2026_60-69 ΕΞΟΔΑ+ΟΜ 2'!K74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2'!K66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'[1]2026_60-69 ΕΞΟΔΑ+ΟΜ 2'!K75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2'!K67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'[1]2026_60-69 ΕΞΟΔΑ+ΟΜ 2'!K76</f>
        <v/>
      </c>
      <c r="E115" s="15">
        <f>D119/$D$116</f>
        <v/>
      </c>
      <c r="F115" s="10">
        <f>D119+'[1]2026 Ιούλιος'!F119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2'!K68</f>
        <v/>
      </c>
      <c r="M115" s="15">
        <f>L119/$L$116</f>
        <v/>
      </c>
      <c r="N115" s="10">
        <f>L119+'[1]2026 Ιούλιος'!N119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'[1]2026_60-69 ΕΞΟΔΑ+ΟΜ 2'!K77</f>
        <v/>
      </c>
      <c r="E116" s="15">
        <f>D120/$D$116</f>
        <v/>
      </c>
      <c r="F116" s="10">
        <f>D120+'[1]2026 Ιούλιος'!F120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2'!K69</f>
        <v/>
      </c>
      <c r="M116" s="15">
        <f>L120/$L$116</f>
        <v/>
      </c>
      <c r="N116" s="10">
        <f>L120+'[1]2026 Ιούλιος'!N120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'[1]2026_60-69 ΕΞΟΔΑ+ΟΜ 2'!K78</f>
        <v/>
      </c>
      <c r="E117" s="15">
        <f>D121/$D$116</f>
        <v/>
      </c>
      <c r="F117" s="10">
        <f>D121+'[1]2026 Ιούλιος'!F121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2'!K70</f>
        <v/>
      </c>
      <c r="M117" s="15">
        <f>L121/$L$116</f>
        <v/>
      </c>
      <c r="N117" s="10">
        <f>L121+'[1]2026 Ιούλιος'!N121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'[1]2026_60-69 ΕΞΟΔΑ+ΟΜ 2'!K79</f>
        <v/>
      </c>
      <c r="E118" s="15">
        <f>D122/$D$116</f>
        <v/>
      </c>
      <c r="F118" s="10">
        <f>D122+'[1]2026 Ιούλιος'!F122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2'!K71</f>
        <v/>
      </c>
      <c r="M118" s="15">
        <f>L122/$L$116</f>
        <v/>
      </c>
      <c r="N118" s="10">
        <f>L122+'[1]2026 Ιούλιος'!N122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'[1]2026_60-69 ΕΞΟΔΑ+ΟΜ 2'!K80</f>
        <v/>
      </c>
      <c r="E119" s="15">
        <f>D123/$D$116</f>
        <v/>
      </c>
      <c r="F119" s="10">
        <f>D123+'[1]2026 Ιούλιος'!F123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2'!K72</f>
        <v/>
      </c>
      <c r="M119" s="15">
        <f>L123/$L$116</f>
        <v/>
      </c>
      <c r="N119" s="10">
        <f>L123+'[1]2026 Ιούλιος'!N123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'[1]2026_60-69 ΕΞΟΔΑ+ΟΜ 2'!K81</f>
        <v/>
      </c>
      <c r="E120" s="15">
        <f>D124/$D$116</f>
        <v/>
      </c>
      <c r="F120" s="10">
        <f>D124+'[1]2026 Ιούλιος'!F124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2'!K73</f>
        <v/>
      </c>
      <c r="M120" s="15">
        <f>L124/$L$116</f>
        <v/>
      </c>
      <c r="N120" s="10">
        <f>L124+'[1]2026 Ιούλιος'!N124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'[1]2026_60-69 ΕΞΟΔΑ+ΟΜ 2'!K82</f>
        <v/>
      </c>
      <c r="E121" s="15">
        <f>D125/$D$116</f>
        <v/>
      </c>
      <c r="F121" s="10">
        <f>D125+'[1]2026 Ιούλιος'!F125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2'!K74</f>
        <v/>
      </c>
      <c r="M121" s="15">
        <f>L125/$L$116</f>
        <v/>
      </c>
      <c r="N121" s="10">
        <f>L125+'[1]2026 Ιούλιος'!N125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'[1]2026_60-69 ΕΞΟΔΑ+ΟΜ 2'!K83</f>
        <v/>
      </c>
      <c r="E122" s="15">
        <f>D126/$D$116</f>
        <v/>
      </c>
      <c r="F122" s="10">
        <f>D126+'[1]2026 Ιούλιος'!F126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2'!K75</f>
        <v/>
      </c>
      <c r="M122" s="15">
        <f>L126/$L$116</f>
        <v/>
      </c>
      <c r="N122" s="10">
        <f>L126+'[1]2026 Ιούλιος'!N126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'[1]2026_60-69 ΕΞΟΔΑ+ΟΜ 2'!K84</f>
        <v/>
      </c>
      <c r="E123" s="15">
        <f>D127/$D$116</f>
        <v/>
      </c>
      <c r="F123" s="10">
        <f>D127+'[1]2026 Ιούλιος'!F127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2'!K76</f>
        <v/>
      </c>
      <c r="M123" s="15">
        <f>L127/$L$116</f>
        <v/>
      </c>
      <c r="N123" s="10">
        <f>L127+'[1]2026 Ιούλιος'!N127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'[1]2026_60-69 ΕΞΟΔΑ+ΟΜ 2'!K85</f>
        <v/>
      </c>
      <c r="E124" s="15">
        <f>D128/$D$116</f>
        <v/>
      </c>
      <c r="F124" s="10">
        <f>D128+'[1]2026 Ιούλιος'!F128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2'!K77</f>
        <v/>
      </c>
      <c r="M124" s="15">
        <f>L128/$L$116</f>
        <v/>
      </c>
      <c r="N124" s="10">
        <f>L128+'[1]2026 Ιούλιος'!N128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'[1]2026_60-69 ΕΞΟΔΑ+ΟΜ 2'!K86</f>
        <v/>
      </c>
      <c r="E125" s="15">
        <f>D129/$D$116</f>
        <v/>
      </c>
      <c r="F125" s="10">
        <f>D129+'[1]2026 Ιούλιος'!F129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2'!K78</f>
        <v/>
      </c>
      <c r="M125" s="15">
        <f>L129/$L$116</f>
        <v/>
      </c>
      <c r="N125" s="10">
        <f>L129+'[1]2026 Ιούλιος'!N129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'[1]2026_60-69 ΕΞΟΔΑ+ΟΜ 2'!K87</f>
        <v/>
      </c>
      <c r="E126" s="15">
        <f>D130/$D$116</f>
        <v/>
      </c>
      <c r="F126" s="10">
        <f>D130+'[1]2026 Ιούλιος'!F130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2'!K79</f>
        <v/>
      </c>
      <c r="M126" s="15">
        <f>L130/$L$116</f>
        <v/>
      </c>
      <c r="N126" s="10">
        <f>L130+'[1]2026 Ιούλιος'!N130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'[1]2026_60-69 ΕΞΟΔΑ+ΟΜ 2'!K88</f>
        <v/>
      </c>
      <c r="E127" s="15">
        <f>D131/$D$116</f>
        <v/>
      </c>
      <c r="F127" s="10">
        <f>D131+'[1]2026 Ιούλιος'!F131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2'!K80</f>
        <v/>
      </c>
      <c r="M127" s="15">
        <f>L131/$L$116</f>
        <v/>
      </c>
      <c r="N127" s="10">
        <f>L131+'[1]2026 Ιούλιος'!N131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'[1]2026_60-69 ΕΞΟΔΑ+ΟΜ 2'!K89</f>
        <v/>
      </c>
      <c r="E128" s="15">
        <f>D132/$D$116</f>
        <v/>
      </c>
      <c r="F128" s="10">
        <f>D132+'[1]2026 Ιούλιος'!F132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2'!K81</f>
        <v/>
      </c>
      <c r="M128" s="15">
        <f>L132/$L$116</f>
        <v/>
      </c>
      <c r="N128" s="10">
        <f>L132+'[1]2026 Ιούλιος'!N132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'[1]2026_60-69 ΕΞΟΔΑ+ΟΜ 2'!K90</f>
        <v/>
      </c>
      <c r="E129" s="15">
        <f>D133/$D$116</f>
        <v/>
      </c>
      <c r="F129" s="10">
        <f>D133+'[1]2026 Ιούλιος'!F133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2'!K82</f>
        <v/>
      </c>
      <c r="M129" s="15">
        <f>L133/$L$116</f>
        <v/>
      </c>
      <c r="N129" s="10">
        <f>L133+'[1]2026 Ιούλιος'!N133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'[1]2026_60-69 ΕΞΟΔΑ+ΟΜ 2'!K91</f>
        <v/>
      </c>
      <c r="E130" s="15">
        <f>D134/$D$116</f>
        <v/>
      </c>
      <c r="F130" s="10">
        <f>D134+'[1]2026 Ιούλιος'!F134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2'!K83</f>
        <v/>
      </c>
      <c r="M130" s="15">
        <f>L134/$L$116</f>
        <v/>
      </c>
      <c r="N130" s="10">
        <f>L134+'[1]2026 Ιούλιος'!N134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'[1]2026_60-69 ΕΞΟΔΑ+ΟΜ 2'!K92</f>
        <v/>
      </c>
      <c r="E131" s="15">
        <f>D135/$D$116</f>
        <v/>
      </c>
      <c r="F131" s="10">
        <f>D135+'[1]2026 Ιούλιος'!F135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2'!K84</f>
        <v/>
      </c>
      <c r="M131" s="15">
        <f>L135/$L$116</f>
        <v/>
      </c>
      <c r="N131" s="10">
        <f>L135+'[1]2026 Ιούλιος'!N135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'[1]2026_60-69 ΕΞΟΔΑ+ΟΜ 2'!K93</f>
        <v/>
      </c>
      <c r="E132" s="15">
        <f>D136/$D$116</f>
        <v/>
      </c>
      <c r="F132" s="10">
        <f>D136+'[1]2026 Ιούλιος'!F136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2'!K85</f>
        <v/>
      </c>
      <c r="M132" s="15">
        <f>L136/$L$116</f>
        <v/>
      </c>
      <c r="N132" s="10">
        <f>L136+'[1]2026 Ιούλιος'!N136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'[1]2026_60-69 ΕΞΟΔΑ+ΟΜ 2'!K94</f>
        <v/>
      </c>
      <c r="E133" s="15">
        <f>D137/$D$116</f>
        <v/>
      </c>
      <c r="F133" s="10">
        <f>D137+'[1]2026 Ιούλιος'!F137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2'!K86</f>
        <v/>
      </c>
      <c r="M133" s="15">
        <f>L137/$L$116</f>
        <v/>
      </c>
      <c r="N133" s="10">
        <f>L137+'[1]2026 Ιούλιος'!N137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'[1]2026_60-69 ΕΞΟΔΑ+ΟΜ 2'!K95</f>
        <v/>
      </c>
      <c r="E134" s="15">
        <f>D138/$D$116</f>
        <v/>
      </c>
      <c r="F134" s="10">
        <f>D138+'[1]2026 Ιούλιος'!F138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2'!K87</f>
        <v/>
      </c>
      <c r="M134" s="15">
        <f>L138/$L$116</f>
        <v/>
      </c>
      <c r="N134" s="10">
        <f>L138+'[1]2026 Ιούλιος'!N138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'[1]2026_60-69 ΕΞΟΔΑ+ΟΜ 2'!K96</f>
        <v/>
      </c>
      <c r="E135" s="15">
        <f>D139/$D$116</f>
        <v/>
      </c>
      <c r="F135" s="10">
        <f>D139+'[1]2026 Ιούλιος'!F139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2'!K88</f>
        <v/>
      </c>
      <c r="M135" s="15">
        <f>L139/$L$116</f>
        <v/>
      </c>
      <c r="N135" s="10">
        <f>L139+'[1]2026 Ιούλιος'!N139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'[1]2026_60-69 ΕΞΟΔΑ+ΟΜ 2'!K97</f>
        <v/>
      </c>
      <c r="E136" s="15">
        <f>D140/$D$116</f>
        <v/>
      </c>
      <c r="F136" s="10">
        <f>D140+'[1]2026 Ιούλιος'!F140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2'!K89</f>
        <v/>
      </c>
      <c r="M136" s="15">
        <f>L140/$L$116</f>
        <v/>
      </c>
      <c r="N136" s="10">
        <f>L140+'[1]2026 Ιούλιος'!N140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'[1]2026_60-69 ΕΞΟΔΑ+ΟΜ 2'!K98</f>
        <v/>
      </c>
      <c r="E137" s="15">
        <f>D141/$D$116</f>
        <v/>
      </c>
      <c r="F137" s="10">
        <f>D141+'[1]2026 Ιούλιος'!F141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2'!K90</f>
        <v/>
      </c>
      <c r="M137" s="15">
        <f>L141/$L$116</f>
        <v/>
      </c>
      <c r="N137" s="10">
        <f>L141+'[1]2026 Ιούλιος'!N141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'[1]2026_60-69 ΕΞΟΔΑ+ΟΜ 2'!K99</f>
        <v/>
      </c>
      <c r="E138" s="15">
        <f>D142/$D$116</f>
        <v/>
      </c>
      <c r="F138" s="10">
        <f>D142+'[1]2026 Ιούλιος'!F142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2'!K91</f>
        <v/>
      </c>
      <c r="M138" s="15">
        <f>L142/$L$116</f>
        <v/>
      </c>
      <c r="N138" s="10">
        <f>L142+'[1]2026 Ιούλιος'!N142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'[1]2026_60-69 ΕΞΟΔΑ+ΟΜ 2'!K100</f>
        <v/>
      </c>
      <c r="E139" s="15">
        <f>D143/$D$116</f>
        <v/>
      </c>
      <c r="F139" s="10">
        <f>D143+'[1]2026 Ιούλιος'!F143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2'!K92</f>
        <v/>
      </c>
      <c r="M139" s="15">
        <f>L143/$L$116</f>
        <v/>
      </c>
      <c r="N139" s="10">
        <f>L143+'[1]2026 Ιούλιος'!N143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'[1]2026_60-69 ΕΞΟΔΑ+ΟΜ 2'!K101</f>
        <v/>
      </c>
      <c r="E140" s="15">
        <f>D144/$D$116</f>
        <v/>
      </c>
      <c r="F140" s="10">
        <f>D144+'[1]2026 Ιούλιος'!F144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2'!K93</f>
        <v/>
      </c>
      <c r="M140" s="15">
        <f>L144/$L$116</f>
        <v/>
      </c>
      <c r="N140" s="10">
        <f>L144+'[1]2026 Ιούλιος'!N144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'[1]2026_60-69 ΕΞΟΔΑ+ΟΜ 2'!K102</f>
        <v/>
      </c>
      <c r="E141" s="15">
        <f>D145/$D$116</f>
        <v/>
      </c>
      <c r="F141" s="10">
        <f>D145+'[1]2026 Ιούλιος'!F145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2'!K94</f>
        <v/>
      </c>
      <c r="M141" s="15">
        <f>L145/$L$116</f>
        <v/>
      </c>
      <c r="N141" s="10">
        <f>L145+'[1]2026 Ιούλιος'!N145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'[1]2026_60-69 ΕΞΟΔΑ+ΟΜ 2'!K103</f>
        <v/>
      </c>
      <c r="E142" s="15">
        <f>D146/$D$116</f>
        <v/>
      </c>
      <c r="F142" s="10">
        <f>D146+'[1]2026 Ιούλιος'!F146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2'!K95</f>
        <v/>
      </c>
      <c r="M142" s="15">
        <f>L146/$L$116</f>
        <v/>
      </c>
      <c r="N142" s="10">
        <f>L146+'[1]2026 Ιούλιος'!N146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'[1]2026_60-69 ΕΞΟΔΑ+ΟΜ 2'!K104</f>
        <v/>
      </c>
      <c r="E143" s="15">
        <f>D147/$D$116</f>
        <v/>
      </c>
      <c r="F143" s="10">
        <f>D147+'[1]2026 Ιούλιος'!F147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2'!K96</f>
        <v/>
      </c>
      <c r="M143" s="15">
        <f>L147/$L$116</f>
        <v/>
      </c>
      <c r="N143" s="10">
        <f>L147+'[1]2026 Ιούλιος'!N147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'[1]2026_60-69 ΕΞΟΔΑ+ΟΜ 2'!K105</f>
        <v/>
      </c>
      <c r="E144" s="15">
        <f>D148/$D$116</f>
        <v/>
      </c>
      <c r="F144" s="10">
        <f>D148+'[1]2026 Ιούλιος'!F148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2'!K97</f>
        <v/>
      </c>
      <c r="M144" s="15">
        <f>L148/$L$116</f>
        <v/>
      </c>
      <c r="N144" s="10">
        <f>L148+'[1]2026 Ιούλιος'!N148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'[1]2026_60-69 ΕΞΟΔΑ+ΟΜ 2'!K106</f>
        <v/>
      </c>
      <c r="E145" s="15">
        <f>D149/$D$116</f>
        <v/>
      </c>
      <c r="F145" s="10">
        <f>D149+'[1]2026 Ιούλιος'!F149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2'!K98</f>
        <v/>
      </c>
      <c r="M145" s="15">
        <f>L149/$L$116</f>
        <v/>
      </c>
      <c r="N145" s="10">
        <f>L149+'[1]2026 Ιούλιος'!N149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'[1]2026_60-69 ΕΞΟΔΑ+ΟΜ 2'!K107</f>
        <v/>
      </c>
      <c r="E146" s="15">
        <f>D150/$D$116</f>
        <v/>
      </c>
      <c r="F146" s="10">
        <f>D150+'[1]2026 Ιούλιος'!F150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2'!K99</f>
        <v/>
      </c>
      <c r="M146" s="15">
        <f>L150/$L$116</f>
        <v/>
      </c>
      <c r="N146" s="10">
        <f>L150+'[1]2026 Ιούλιος'!N150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'[1]2026_60-69 ΕΞΟΔΑ+ΟΜ 2'!K108</f>
        <v/>
      </c>
      <c r="E147" s="15">
        <f>D151/$D$116</f>
        <v/>
      </c>
      <c r="F147" s="10">
        <f>D151+'[1]2026 Ιούλιος'!F151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2'!K100</f>
        <v/>
      </c>
      <c r="M147" s="15">
        <f>L151/$L$116</f>
        <v/>
      </c>
      <c r="N147" s="10">
        <f>L151+'[1]2026 Ιούλιος'!N151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'[1]2026_60-69 ΕΞΟΔΑ+ΟΜ 2'!K109</f>
        <v/>
      </c>
      <c r="E148" s="15">
        <f>D152/$D$116</f>
        <v/>
      </c>
      <c r="F148" s="10">
        <f>D152+'[1]2026 Ιούλιος'!F152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2'!K101</f>
        <v/>
      </c>
      <c r="M148" s="15">
        <f>L152/$L$116</f>
        <v/>
      </c>
      <c r="N148" s="10">
        <f>L152+'[1]2026 Ιούλιος'!N152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'[1]2026_60-69 ΕΞΟΔΑ+ΟΜ 2'!K110</f>
        <v/>
      </c>
      <c r="E149" s="15">
        <f>D153/$D$116</f>
        <v/>
      </c>
      <c r="F149" s="10">
        <f>D153+'[1]2026 Ιούλιος'!F153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2'!K102</f>
        <v/>
      </c>
      <c r="M149" s="15">
        <f>L153/$L$116</f>
        <v/>
      </c>
      <c r="N149" s="10">
        <f>L153+'[1]2026 Ιούλιος'!N153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2'!K73</f>
        <v/>
      </c>
      <c r="E153" s="8" t="n"/>
      <c r="F153" s="7">
        <f>'[1]2026_60-69 ΕΞΟΔΑ+ΟΜ 2'!X73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0"/>
  <sheetViews>
    <sheetView topLeftCell="A96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>
        <v>1</v>
      </c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n">
        <v>2</v>
      </c>
      <c r="B3" s="60" t="n"/>
      <c r="C3" s="5" t="inlineStr">
        <is>
          <t>ΕΙΔΟΣ ΕΣΟΔΩΝ</t>
        </is>
      </c>
      <c r="D3" s="180">
        <f>[1]ΑΝΤΙΣΤΟΙΧΙΣΗ!$F$114</f>
        <v/>
      </c>
      <c r="E3" s="192" t="n"/>
      <c r="F3" s="56" t="n"/>
      <c r="G3" s="61">
        <f>[1]ΑΝΤΙΣΤΟΙΧΙΣΗ!$D$34</f>
        <v/>
      </c>
      <c r="H3" s="180">
        <f>[1]ΑΝΤΙΣΤΟΙΧΙΣΗ!$F$114</f>
        <v/>
      </c>
      <c r="I3" s="192" t="n"/>
      <c r="J3" s="56" t="n"/>
      <c r="K3" s="61">
        <f>[1]ΑΝΤΙΣΤΟΙΧΙΣΗ!$D$34</f>
        <v/>
      </c>
      <c r="L3" s="180">
        <f>[1]ΑΝΤΙΣΤΟΙΧΙΣΗ!$F$128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>
        <v>3</v>
      </c>
      <c r="B4" s="62" t="inlineStr">
        <is>
          <t>Α</t>
        </is>
      </c>
      <c r="C4" s="62" t="n"/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>
        <v>4</v>
      </c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>
        <v>5</v>
      </c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>
        <v>6</v>
      </c>
      <c r="B7" s="19" t="inlineStr">
        <is>
          <t>Α/Α</t>
        </is>
      </c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L7+#REF!</f>
        <v/>
      </c>
      <c r="O7" s="8" t="n"/>
      <c r="P7" s="7">
        <f>SUM(P8:P31)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'[1]2026_ΕΣΟΔΑ'!K2</f>
        <v/>
      </c>
      <c r="E8" s="11">
        <f>D8/$D$7</f>
        <v/>
      </c>
      <c r="F8" s="12">
        <f>D8+#REF!</f>
        <v/>
      </c>
      <c r="G8" s="11">
        <f>F8/$F$7</f>
        <v/>
      </c>
      <c r="H8" s="12" t="n"/>
      <c r="I8" s="11">
        <f>H8/$H$39</f>
        <v/>
      </c>
      <c r="J8" s="12">
        <f>H8+#REF!</f>
        <v/>
      </c>
      <c r="K8" s="11">
        <f>J8/$J$7</f>
        <v/>
      </c>
      <c r="L8" s="68">
        <f>'[1]2024_60-69 ΕΞΟΔΑ+ΟΜ 2'!K114</f>
        <v/>
      </c>
      <c r="M8" s="11">
        <f>L8/$L$7</f>
        <v/>
      </c>
      <c r="N8" s="12">
        <f>L8+#REF!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'[1]2026_ΕΣΟΔΑ'!K3</f>
        <v/>
      </c>
      <c r="E9" s="11">
        <f>D9/$D$7</f>
        <v/>
      </c>
      <c r="F9" s="12">
        <f>D9+#REF!</f>
        <v/>
      </c>
      <c r="G9" s="11">
        <f>F9/$F$7</f>
        <v/>
      </c>
      <c r="H9" s="12" t="n"/>
      <c r="I9" s="11">
        <f>H9/$H$39</f>
        <v/>
      </c>
      <c r="J9" s="12">
        <f>H9+#REF!</f>
        <v/>
      </c>
      <c r="K9" s="11">
        <f>J9/$J$7</f>
        <v/>
      </c>
      <c r="L9" s="68">
        <f>'[1]2024_60-69 ΕΞΟΔΑ+ΟΜ 2'!K115</f>
        <v/>
      </c>
      <c r="M9" s="11">
        <f>L9/$L$7</f>
        <v/>
      </c>
      <c r="N9" s="12">
        <f>L9+#REF!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'[1]2026_ΕΣΟΔΑ'!K4</f>
        <v/>
      </c>
      <c r="E10" s="11">
        <f>D10/$D$7</f>
        <v/>
      </c>
      <c r="F10" s="12">
        <f>D10+#REF!</f>
        <v/>
      </c>
      <c r="G10" s="11">
        <f>F10/$F$7</f>
        <v/>
      </c>
      <c r="H10" s="12" t="n"/>
      <c r="I10" s="11">
        <f>H10/$H$39</f>
        <v/>
      </c>
      <c r="J10" s="12">
        <f>H10+#REF!</f>
        <v/>
      </c>
      <c r="K10" s="11">
        <f>J10/$J$7</f>
        <v/>
      </c>
      <c r="L10" s="68">
        <f>'[1]2024_60-69 ΕΞΟΔΑ+ΟΜ 2'!K116</f>
        <v/>
      </c>
      <c r="M10" s="11">
        <f>L10/$L$7</f>
        <v/>
      </c>
      <c r="N10" s="12">
        <f>L10+#REF!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'[1]2026_ΕΣΟΔΑ'!K5</f>
        <v/>
      </c>
      <c r="E11" s="11">
        <f>D11/$D$7</f>
        <v/>
      </c>
      <c r="F11" s="12">
        <f>D11+#REF!</f>
        <v/>
      </c>
      <c r="G11" s="11">
        <f>F11/$F$7</f>
        <v/>
      </c>
      <c r="H11" s="12" t="n"/>
      <c r="I11" s="11">
        <f>H11/$H$39</f>
        <v/>
      </c>
      <c r="J11" s="12">
        <f>H11+#REF!</f>
        <v/>
      </c>
      <c r="K11" s="11">
        <f>J11/$J$7</f>
        <v/>
      </c>
      <c r="L11" s="68">
        <f>'[1]2024_60-69 ΕΞΟΔΑ+ΟΜ 2'!K117</f>
        <v/>
      </c>
      <c r="M11" s="11">
        <f>L11/$L$7</f>
        <v/>
      </c>
      <c r="N11" s="12">
        <f>L11+#REF!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'[1]2026_ΕΣΟΔΑ'!K6</f>
        <v/>
      </c>
      <c r="E12" s="11">
        <f>D12/$D$7</f>
        <v/>
      </c>
      <c r="F12" s="12">
        <f>D12+#REF!</f>
        <v/>
      </c>
      <c r="G12" s="11">
        <f>F12/$F$7</f>
        <v/>
      </c>
      <c r="H12" s="12" t="n"/>
      <c r="I12" s="11">
        <f>H12/$H$39</f>
        <v/>
      </c>
      <c r="J12" s="12">
        <f>H12+#REF!</f>
        <v/>
      </c>
      <c r="K12" s="11">
        <f>J12/$J$7</f>
        <v/>
      </c>
      <c r="L12" s="68">
        <f>'[1]2024_60-69 ΕΞΟΔΑ+ΟΜ 2'!K118</f>
        <v/>
      </c>
      <c r="M12" s="11">
        <f>L12/$L$7</f>
        <v/>
      </c>
      <c r="N12" s="12">
        <f>L12+#REF!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'[1]2026_ΕΣΟΔΑ'!K7</f>
        <v/>
      </c>
      <c r="E13" s="11">
        <f>D13/$D$7</f>
        <v/>
      </c>
      <c r="F13" s="12">
        <f>D13+#REF!</f>
        <v/>
      </c>
      <c r="G13" s="11">
        <f>F13/$F$7</f>
        <v/>
      </c>
      <c r="H13" s="12" t="n"/>
      <c r="I13" s="11">
        <f>H13/$H$39</f>
        <v/>
      </c>
      <c r="J13" s="12">
        <f>H13+#REF!</f>
        <v/>
      </c>
      <c r="K13" s="11">
        <f>J13/$J$7</f>
        <v/>
      </c>
      <c r="L13" s="68">
        <f>'[1]2024_60-69 ΕΞΟΔΑ+ΟΜ 2'!K119</f>
        <v/>
      </c>
      <c r="M13" s="11">
        <f>L13/$L$7</f>
        <v/>
      </c>
      <c r="N13" s="12">
        <f>L13+#REF!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'[1]2026_ΕΣΟΔΑ'!K8</f>
        <v/>
      </c>
      <c r="E14" s="11">
        <f>D14/$D$7</f>
        <v/>
      </c>
      <c r="F14" s="12">
        <f>D14+#REF!</f>
        <v/>
      </c>
      <c r="G14" s="11">
        <f>F14/$F$7</f>
        <v/>
      </c>
      <c r="H14" s="12" t="n"/>
      <c r="I14" s="11">
        <f>H14/$H$39</f>
        <v/>
      </c>
      <c r="J14" s="12">
        <f>H14+#REF!</f>
        <v/>
      </c>
      <c r="K14" s="11">
        <f>J14/$J$7</f>
        <v/>
      </c>
      <c r="L14" s="68">
        <f>'[1]2024_60-69 ΕΞΟΔΑ+ΟΜ 2'!K120</f>
        <v/>
      </c>
      <c r="M14" s="11">
        <f>L14/$L$7</f>
        <v/>
      </c>
      <c r="N14" s="12">
        <f>L14+#REF!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'[1]2026_ΕΣΟΔΑ'!K9</f>
        <v/>
      </c>
      <c r="E15" s="11">
        <f>D15/$D$7</f>
        <v/>
      </c>
      <c r="F15" s="12">
        <f>D15+#REF!</f>
        <v/>
      </c>
      <c r="G15" s="11">
        <f>F15/$F$7</f>
        <v/>
      </c>
      <c r="H15" s="12" t="n"/>
      <c r="I15" s="11">
        <f>H15/$H$39</f>
        <v/>
      </c>
      <c r="J15" s="12">
        <f>H15+#REF!</f>
        <v/>
      </c>
      <c r="K15" s="11">
        <f>J15/$J$7</f>
        <v/>
      </c>
      <c r="L15" s="68">
        <f>'[1]2024_60-69 ΕΞΟΔΑ+ΟΜ 2'!K121</f>
        <v/>
      </c>
      <c r="M15" s="11">
        <f>L15/$L$7</f>
        <v/>
      </c>
      <c r="N15" s="12">
        <f>L15+#REF!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'[1]2026_ΕΣΟΔΑ'!K10</f>
        <v/>
      </c>
      <c r="E16" s="11">
        <f>D16/$D$7</f>
        <v/>
      </c>
      <c r="F16" s="12">
        <f>D16+#REF!</f>
        <v/>
      </c>
      <c r="G16" s="11">
        <f>F16/$F$7</f>
        <v/>
      </c>
      <c r="H16" s="12" t="n"/>
      <c r="I16" s="11">
        <f>H16/$H$39</f>
        <v/>
      </c>
      <c r="J16" s="12">
        <f>H16+#REF!</f>
        <v/>
      </c>
      <c r="K16" s="11">
        <f>J16/$J$7</f>
        <v/>
      </c>
      <c r="L16" s="68">
        <f>'[1]2024_60-69 ΕΞΟΔΑ+ΟΜ 2'!K122</f>
        <v/>
      </c>
      <c r="M16" s="11">
        <f>L16/$L$7</f>
        <v/>
      </c>
      <c r="N16" s="12">
        <f>L16+#REF!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'[1]2026_ΕΣΟΔΑ'!K11</f>
        <v/>
      </c>
      <c r="E17" s="11">
        <f>D17/$D$7</f>
        <v/>
      </c>
      <c r="F17" s="12">
        <f>D17+#REF!</f>
        <v/>
      </c>
      <c r="G17" s="11">
        <f>F17/$F$7</f>
        <v/>
      </c>
      <c r="H17" s="12" t="n"/>
      <c r="I17" s="11">
        <f>H17/$H$39</f>
        <v/>
      </c>
      <c r="J17" s="12">
        <f>H17+#REF!</f>
        <v/>
      </c>
      <c r="K17" s="11">
        <f>J17/$J$7</f>
        <v/>
      </c>
      <c r="L17" s="68">
        <f>'[1]2024_60-69 ΕΞΟΔΑ+ΟΜ 2'!K123</f>
        <v/>
      </c>
      <c r="M17" s="11">
        <f>L17/$L$7</f>
        <v/>
      </c>
      <c r="N17" s="12">
        <f>L17+#REF!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'[1]2026_ΕΣΟΔΑ'!K12</f>
        <v/>
      </c>
      <c r="E18" s="11">
        <f>D18/$D$7</f>
        <v/>
      </c>
      <c r="F18" s="12">
        <f>D18+#REF!</f>
        <v/>
      </c>
      <c r="G18" s="11">
        <f>F18/$F$7</f>
        <v/>
      </c>
      <c r="H18" s="12" t="n"/>
      <c r="I18" s="11">
        <f>H18/$H$39</f>
        <v/>
      </c>
      <c r="J18" s="12">
        <f>H18+#REF!</f>
        <v/>
      </c>
      <c r="K18" s="11">
        <f>J18/$J$7</f>
        <v/>
      </c>
      <c r="L18" s="68">
        <f>'[1]2024_60-69 ΕΞΟΔΑ+ΟΜ 2'!K124</f>
        <v/>
      </c>
      <c r="M18" s="11">
        <f>L18/$L$7</f>
        <v/>
      </c>
      <c r="N18" s="12">
        <f>L18+#REF!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'[1]2026_ΕΣΟΔΑ'!K13</f>
        <v/>
      </c>
      <c r="E19" s="11">
        <f>D19/$D$7</f>
        <v/>
      </c>
      <c r="F19" s="12">
        <f>D19+#REF!</f>
        <v/>
      </c>
      <c r="G19" s="11">
        <f>F19/$F$7</f>
        <v/>
      </c>
      <c r="H19" s="12" t="n"/>
      <c r="I19" s="11">
        <f>H19/$H$39</f>
        <v/>
      </c>
      <c r="J19" s="12">
        <f>H19+#REF!</f>
        <v/>
      </c>
      <c r="K19" s="11">
        <f>J19/$J$7</f>
        <v/>
      </c>
      <c r="L19" s="68">
        <f>'[1]2024_60-69 ΕΞΟΔΑ+ΟΜ 2'!K125</f>
        <v/>
      </c>
      <c r="M19" s="11">
        <f>L19/$L$7</f>
        <v/>
      </c>
      <c r="N19" s="12">
        <f>L19+#REF!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'[1]2026_ΕΣΟΔΑ'!K14</f>
        <v/>
      </c>
      <c r="E20" s="11">
        <f>D20/$D$7</f>
        <v/>
      </c>
      <c r="F20" s="12">
        <f>D20+#REF!</f>
        <v/>
      </c>
      <c r="G20" s="11">
        <f>F20/$F$7</f>
        <v/>
      </c>
      <c r="H20" s="12" t="n"/>
      <c r="I20" s="11">
        <f>H20/$H$39</f>
        <v/>
      </c>
      <c r="J20" s="12">
        <f>H20+#REF!</f>
        <v/>
      </c>
      <c r="K20" s="11">
        <f>J20/$J$7</f>
        <v/>
      </c>
      <c r="L20" s="68">
        <f>'[1]2024_60-69 ΕΞΟΔΑ+ΟΜ 2'!K126</f>
        <v/>
      </c>
      <c r="M20" s="11">
        <f>L20/$L$7</f>
        <v/>
      </c>
      <c r="N20" s="12">
        <f>L20+#REF!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'[1]2026_ΕΣΟΔΑ'!K15</f>
        <v/>
      </c>
      <c r="E21" s="11">
        <f>D21/$D$7</f>
        <v/>
      </c>
      <c r="F21" s="12">
        <f>D21+#REF!</f>
        <v/>
      </c>
      <c r="G21" s="11">
        <f>F21/$F$7</f>
        <v/>
      </c>
      <c r="H21" s="12" t="n"/>
      <c r="I21" s="11">
        <f>H21/$H$39</f>
        <v/>
      </c>
      <c r="J21" s="12">
        <f>H21+#REF!</f>
        <v/>
      </c>
      <c r="K21" s="11">
        <f>J21/$J$7</f>
        <v/>
      </c>
      <c r="L21" s="68">
        <f>'[1]2024_60-69 ΕΞΟΔΑ+ΟΜ 2'!K127</f>
        <v/>
      </c>
      <c r="M21" s="11">
        <f>L21/$L$7</f>
        <v/>
      </c>
      <c r="N21" s="12">
        <f>L21+#REF!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'[1]2026_ΕΣΟΔΑ'!K16</f>
        <v/>
      </c>
      <c r="E22" s="11">
        <f>D22/$D$7</f>
        <v/>
      </c>
      <c r="F22" s="12">
        <f>D22+#REF!</f>
        <v/>
      </c>
      <c r="G22" s="11">
        <f>F22/$F$7</f>
        <v/>
      </c>
      <c r="H22" s="12" t="n"/>
      <c r="I22" s="11">
        <f>H22/$H$39</f>
        <v/>
      </c>
      <c r="J22" s="12">
        <f>H22+#REF!</f>
        <v/>
      </c>
      <c r="K22" s="11">
        <f>J22/$J$7</f>
        <v/>
      </c>
      <c r="L22" s="68">
        <f>'[1]2024_60-69 ΕΞΟΔΑ+ΟΜ 2'!K128</f>
        <v/>
      </c>
      <c r="M22" s="11">
        <f>L22/$L$7</f>
        <v/>
      </c>
      <c r="N22" s="12">
        <f>L22+#REF!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'[1]2026_ΕΣΟΔΑ'!K17</f>
        <v/>
      </c>
      <c r="E23" s="11">
        <f>D23/$D$7</f>
        <v/>
      </c>
      <c r="F23" s="12">
        <f>D23+#REF!</f>
        <v/>
      </c>
      <c r="G23" s="11">
        <f>F23/$F$7</f>
        <v/>
      </c>
      <c r="H23" s="12" t="n"/>
      <c r="I23" s="11">
        <f>H23/$H$39</f>
        <v/>
      </c>
      <c r="J23" s="12">
        <f>H23+#REF!</f>
        <v/>
      </c>
      <c r="K23" s="11">
        <f>J23/$J$7</f>
        <v/>
      </c>
      <c r="L23" s="68">
        <f>'[1]2024_60-69 ΕΞΟΔΑ+ΟΜ 2'!K129</f>
        <v/>
      </c>
      <c r="M23" s="11">
        <f>L23/$L$7</f>
        <v/>
      </c>
      <c r="N23" s="12">
        <f>L23+#REF!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'[1]2026_ΕΣΟΔΑ'!K18</f>
        <v/>
      </c>
      <c r="E24" s="11">
        <f>D24/$D$7</f>
        <v/>
      </c>
      <c r="F24" s="12">
        <f>D24+'[1]2026 Aύγουστος'!F24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Aύγουστος'!J24</f>
        <v/>
      </c>
      <c r="K24" s="11">
        <f>J24/$J$7</f>
        <v/>
      </c>
      <c r="L24" s="68">
        <f>'[1]2024_60-69 ΕΞΟΔΑ+ΟΜ 2'!K130</f>
        <v/>
      </c>
      <c r="M24" s="11">
        <f>L24/$L$7</f>
        <v/>
      </c>
      <c r="N24" s="12">
        <f>L24+'[1]2026 Aύγουστος'!N24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'[1]2026_ΕΣΟΔΑ'!K19</f>
        <v/>
      </c>
      <c r="E25" s="11">
        <f>D25/$D$7</f>
        <v/>
      </c>
      <c r="F25" s="12">
        <f>D25+#REF!</f>
        <v/>
      </c>
      <c r="G25" s="11">
        <f>F25/$F$7</f>
        <v/>
      </c>
      <c r="H25" s="12" t="n"/>
      <c r="I25" s="11">
        <f>H25/$H$39</f>
        <v/>
      </c>
      <c r="J25" s="12">
        <f>H25+#REF!</f>
        <v/>
      </c>
      <c r="K25" s="11">
        <f>J25/$J$7</f>
        <v/>
      </c>
      <c r="L25" s="68">
        <f>'[1]2024_60-69 ΕΞΟΔΑ+ΟΜ 2'!K131</f>
        <v/>
      </c>
      <c r="M25" s="11">
        <f>L25/$L$7</f>
        <v/>
      </c>
      <c r="N25" s="12">
        <f>L25+#REF!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'[1]2026_ΕΣΟΔΑ'!K20</f>
        <v/>
      </c>
      <c r="E26" s="11">
        <f>D26/$D$7</f>
        <v/>
      </c>
      <c r="F26" s="12">
        <f>D26+#REF!</f>
        <v/>
      </c>
      <c r="G26" s="11">
        <f>F26/$F$7</f>
        <v/>
      </c>
      <c r="H26" s="12" t="n"/>
      <c r="I26" s="11">
        <f>H26/$H$39</f>
        <v/>
      </c>
      <c r="J26" s="12">
        <f>H26+#REF!</f>
        <v/>
      </c>
      <c r="K26" s="11">
        <f>J26/$J$7</f>
        <v/>
      </c>
      <c r="L26" s="68">
        <f>'[1]2024_60-69 ΕΞΟΔΑ+ΟΜ 2'!K132</f>
        <v/>
      </c>
      <c r="M26" s="11">
        <f>L26/$L$7</f>
        <v/>
      </c>
      <c r="N26" s="12">
        <f>L26+#REF!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'[1]2026_ΕΣΟΔΑ'!K21</f>
        <v/>
      </c>
      <c r="E27" s="11">
        <f>D27/$D$7</f>
        <v/>
      </c>
      <c r="F27" s="12">
        <f>D27+#REF!</f>
        <v/>
      </c>
      <c r="G27" s="11">
        <f>F27/$F$7</f>
        <v/>
      </c>
      <c r="H27" s="12" t="n"/>
      <c r="I27" s="11">
        <f>H27/$H$39</f>
        <v/>
      </c>
      <c r="J27" s="12">
        <f>H27+#REF!</f>
        <v/>
      </c>
      <c r="K27" s="11">
        <f>J27/$J$7</f>
        <v/>
      </c>
      <c r="L27" s="68">
        <f>'[1]2024_60-69 ΕΞΟΔΑ+ΟΜ 2'!K133</f>
        <v/>
      </c>
      <c r="M27" s="11">
        <f>L27/$L$7</f>
        <v/>
      </c>
      <c r="N27" s="12">
        <f>L27+#REF!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'[1]2026_ΕΣΟΔΑ'!K22</f>
        <v/>
      </c>
      <c r="E28" s="11">
        <f>D28/$D$7</f>
        <v/>
      </c>
      <c r="F28" s="12">
        <f>D28+#REF!</f>
        <v/>
      </c>
      <c r="G28" s="11">
        <f>F28/$F$7</f>
        <v/>
      </c>
      <c r="H28" s="12" t="n"/>
      <c r="I28" s="11">
        <f>H28/$H$39</f>
        <v/>
      </c>
      <c r="J28" s="12">
        <f>H28+#REF!</f>
        <v/>
      </c>
      <c r="K28" s="11">
        <f>J28/$J$7</f>
        <v/>
      </c>
      <c r="L28" s="68">
        <f>'[1]2024_60-69 ΕΞΟΔΑ+ΟΜ 2'!K134</f>
        <v/>
      </c>
      <c r="M28" s="11">
        <f>L28/$L$7</f>
        <v/>
      </c>
      <c r="N28" s="12">
        <f>L28+#REF!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'[1]2026_ΕΣΟΔΑ'!K23</f>
        <v/>
      </c>
      <c r="E29" s="11">
        <f>D29/$D$7</f>
        <v/>
      </c>
      <c r="F29" s="12">
        <f>D29+#REF!</f>
        <v/>
      </c>
      <c r="G29" s="11">
        <f>F29/$F$7</f>
        <v/>
      </c>
      <c r="H29" s="12" t="n"/>
      <c r="I29" s="11">
        <f>H29/$H$39</f>
        <v/>
      </c>
      <c r="J29" s="12">
        <f>H29+#REF!</f>
        <v/>
      </c>
      <c r="K29" s="11">
        <f>J29/$J$7</f>
        <v/>
      </c>
      <c r="L29" s="68">
        <f>'[1]2024_60-69 ΕΞΟΔΑ+ΟΜ 2'!K135</f>
        <v/>
      </c>
      <c r="M29" s="11">
        <f>L29/$L$7</f>
        <v/>
      </c>
      <c r="N29" s="12">
        <f>L29+#REF!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'[1]2026_ΕΣΟΔΑ'!K24</f>
        <v/>
      </c>
      <c r="E30" s="11">
        <f>D30/$D$7</f>
        <v/>
      </c>
      <c r="F30" s="12">
        <f>D30+#REF!</f>
        <v/>
      </c>
      <c r="G30" s="11">
        <f>F30/$F$7</f>
        <v/>
      </c>
      <c r="H30" s="12" t="n"/>
      <c r="I30" s="11">
        <f>H30/$H$39</f>
        <v/>
      </c>
      <c r="J30" s="12">
        <f>H30+#REF!</f>
        <v/>
      </c>
      <c r="K30" s="11">
        <f>J30/$J$7</f>
        <v/>
      </c>
      <c r="L30" s="68">
        <f>'[1]2024_60-69 ΕΞΟΔΑ+ΟΜ 2'!K136</f>
        <v/>
      </c>
      <c r="M30" s="11">
        <f>L30/$L$7</f>
        <v/>
      </c>
      <c r="N30" s="12">
        <f>L30+#REF!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'[1]2026_ΕΣΟΔΑ'!K25</f>
        <v/>
      </c>
      <c r="E31" s="11">
        <f>D31/$D$7</f>
        <v/>
      </c>
      <c r="F31" s="12">
        <f>D31+#REF!</f>
        <v/>
      </c>
      <c r="G31" s="11">
        <f>F31/$F$7</f>
        <v/>
      </c>
      <c r="H31" s="12" t="n"/>
      <c r="I31" s="11">
        <f>H31/$H$39</f>
        <v/>
      </c>
      <c r="J31" s="12">
        <f>H31+#REF!</f>
        <v/>
      </c>
      <c r="K31" s="11">
        <f>J31/$J$7</f>
        <v/>
      </c>
      <c r="L31" s="68">
        <f>'[1]2024_60-69 ΕΞΟΔΑ+ΟΜ 2'!K137</f>
        <v/>
      </c>
      <c r="M31" s="11">
        <f>L31/$L$7</f>
        <v/>
      </c>
      <c r="N31" s="12">
        <f>L31+#REF!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'[1]2026_ΕΣΟΔΑ'!K26</f>
        <v/>
      </c>
      <c r="E32" s="11">
        <f>D32/$D$7</f>
        <v/>
      </c>
      <c r="F32" s="12">
        <f>D32+#REF!</f>
        <v/>
      </c>
      <c r="G32" s="11">
        <f>F32/$F$7</f>
        <v/>
      </c>
      <c r="H32" s="12" t="n"/>
      <c r="I32" s="11">
        <f>H32/$H$39</f>
        <v/>
      </c>
      <c r="J32" s="12">
        <f>H32+#REF!</f>
        <v/>
      </c>
      <c r="K32" s="11">
        <f>J32/$J$7</f>
        <v/>
      </c>
      <c r="L32" s="68">
        <f>'[1]2024_60-69 ΕΞΟΔΑ+ΟΜ 2'!K138</f>
        <v/>
      </c>
      <c r="M32" s="11">
        <f>L32/$L$7</f>
        <v/>
      </c>
      <c r="N32" s="12">
        <f>L32+#REF!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'[1]2026_ΕΣΟΔΑ'!K27</f>
        <v/>
      </c>
      <c r="E33" s="11">
        <f>D33/$D$7</f>
        <v/>
      </c>
      <c r="F33" s="12">
        <f>D33+#REF!</f>
        <v/>
      </c>
      <c r="G33" s="11">
        <f>F33/$F$7</f>
        <v/>
      </c>
      <c r="H33" s="12" t="n"/>
      <c r="I33" s="11">
        <f>H33/$H$39</f>
        <v/>
      </c>
      <c r="J33" s="12">
        <f>H33+#REF!</f>
        <v/>
      </c>
      <c r="K33" s="11">
        <f>J33/$J$7</f>
        <v/>
      </c>
      <c r="L33" s="68">
        <f>'[1]2024_60-69 ΕΞΟΔΑ+ΟΜ 2'!K139</f>
        <v/>
      </c>
      <c r="M33" s="11">
        <f>L33/$L$7</f>
        <v/>
      </c>
      <c r="N33" s="12">
        <f>L33+#REF!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'[1]2026_ΕΣΟΔΑ'!K28</f>
        <v/>
      </c>
      <c r="E34" s="11">
        <f>D34/$D$7</f>
        <v/>
      </c>
      <c r="F34" s="12">
        <f>D34+#REF!</f>
        <v/>
      </c>
      <c r="G34" s="11">
        <f>F34/$F$7</f>
        <v/>
      </c>
      <c r="H34" s="12" t="n"/>
      <c r="I34" s="11">
        <f>H34/$H$39</f>
        <v/>
      </c>
      <c r="J34" s="12">
        <f>H34+#REF!</f>
        <v/>
      </c>
      <c r="K34" s="11">
        <f>J34/$J$7</f>
        <v/>
      </c>
      <c r="L34" s="68">
        <f>'[1]2024_60-69 ΕΞΟΔΑ+ΟΜ 2'!K140</f>
        <v/>
      </c>
      <c r="M34" s="11">
        <f>L34/$L$7</f>
        <v/>
      </c>
      <c r="N34" s="12">
        <f>L34+#REF!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'[1]2026_ΕΣΟΔΑ'!K29</f>
        <v/>
      </c>
      <c r="E35" s="11">
        <f>D35/$D$7</f>
        <v/>
      </c>
      <c r="F35" s="12">
        <f>D35+#REF!</f>
        <v/>
      </c>
      <c r="G35" s="11">
        <f>F35/$F$7</f>
        <v/>
      </c>
      <c r="H35" s="12" t="n"/>
      <c r="I35" s="11">
        <f>H35/$H$39</f>
        <v/>
      </c>
      <c r="J35" s="12">
        <f>H35+#REF!</f>
        <v/>
      </c>
      <c r="K35" s="11">
        <f>J35/$J$7</f>
        <v/>
      </c>
      <c r="L35" s="68">
        <f>'[1]2024_60-69 ΕΞΟΔΑ+ΟΜ 2'!K141</f>
        <v/>
      </c>
      <c r="M35" s="11">
        <f>L35/$L$7</f>
        <v/>
      </c>
      <c r="N35" s="12">
        <f>L35+#REF!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'[1]2026_ΕΣΟΔΑ'!K30</f>
        <v/>
      </c>
      <c r="E36" s="11">
        <f>D36/$D$7</f>
        <v/>
      </c>
      <c r="F36" s="12">
        <f>D36+#REF!</f>
        <v/>
      </c>
      <c r="G36" s="11">
        <f>F36/$F$7</f>
        <v/>
      </c>
      <c r="H36" s="12" t="n"/>
      <c r="I36" s="11">
        <f>H36/$H$39</f>
        <v/>
      </c>
      <c r="J36" s="12">
        <f>H36+#REF!</f>
        <v/>
      </c>
      <c r="K36" s="11">
        <f>J36/$J$7</f>
        <v/>
      </c>
      <c r="L36" s="68">
        <f>'[1]2024_60-69 ΕΞΟΔΑ+ΟΜ 2'!K142</f>
        <v/>
      </c>
      <c r="M36" s="11">
        <f>L36/$L$7</f>
        <v/>
      </c>
      <c r="N36" s="12">
        <f>L36+#REF!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'[1]2026_ΕΣΟΔΑ'!K31</f>
        <v/>
      </c>
      <c r="E37" s="11">
        <f>D37/$D$7</f>
        <v/>
      </c>
      <c r="F37" s="12">
        <f>D37+#REF!</f>
        <v/>
      </c>
      <c r="G37" s="11">
        <f>F37/$F$7</f>
        <v/>
      </c>
      <c r="H37" s="12" t="n"/>
      <c r="I37" s="11">
        <f>H37/$H$39</f>
        <v/>
      </c>
      <c r="J37" s="12">
        <f>H37+#REF!</f>
        <v/>
      </c>
      <c r="K37" s="11">
        <f>J37/$J$7</f>
        <v/>
      </c>
      <c r="L37" s="68">
        <f>'[1]2024_60-69 ΕΞΟΔΑ+ΟΜ 2'!K143</f>
        <v/>
      </c>
      <c r="M37" s="11">
        <f>L37/$L$7</f>
        <v/>
      </c>
      <c r="N37" s="12">
        <f>L37+#REF!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>
        <v>37</v>
      </c>
      <c r="B38" s="60" t="n"/>
      <c r="C38" s="6" t="inlineStr">
        <is>
          <t>ΣΥΝΟΛΟ ΕΣΟΔΩΝ ΜΗΝΟΣ</t>
        </is>
      </c>
      <c r="D38" s="7">
        <f>'[1]2026_ΕΣΟΔΑ'!K32</f>
        <v/>
      </c>
      <c r="E38" s="8" t="n"/>
      <c r="F38" s="7">
        <f>'[1]2026_ΕΣΟΔΑ'!K34</f>
        <v/>
      </c>
      <c r="G38" s="8" t="n"/>
      <c r="H38" s="7">
        <f>SUM(H8:H37)</f>
        <v/>
      </c>
      <c r="I38" s="8" t="n"/>
      <c r="J38" s="7">
        <f>SUM(J8:J37)</f>
        <v/>
      </c>
      <c r="K38" s="8" t="n"/>
      <c r="L38" s="7">
        <f>SUM(L8:L37)</f>
        <v/>
      </c>
      <c r="M38" s="8" t="n"/>
      <c r="N38" s="7">
        <f>SUM(N8:N37)</f>
        <v/>
      </c>
      <c r="O38" s="8" t="n"/>
      <c r="P38" s="7" t="n"/>
      <c r="Q38" s="8" t="n"/>
    </row>
    <row r="39" ht="28.5" customHeight="1">
      <c r="A39" s="60" t="n">
        <v>38</v>
      </c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 t="n"/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40</v>
      </c>
      <c r="B41" s="60" t="n"/>
      <c r="C41" s="5" t="inlineStr">
        <is>
          <t xml:space="preserve">ΠΕΡΙΟΔΟΣ </t>
        </is>
      </c>
      <c r="D41" s="180">
        <f>[1]ΑΝΤΙΣΤΟΙΧΙΣΗ!$F$114</f>
        <v/>
      </c>
      <c r="E41" s="192" t="n"/>
      <c r="F41" s="56" t="n"/>
      <c r="G41" s="61">
        <f>[1]ΑΝΤΙΣΤΟΙΧΙΣΗ!$D$34</f>
        <v/>
      </c>
      <c r="H41" s="180">
        <f>[1]ΑΝΤΙΣΤΟΙΧΙΣΗ!$F$114</f>
        <v/>
      </c>
      <c r="I41" s="192" t="n"/>
      <c r="J41" s="56" t="n"/>
      <c r="K41" s="61">
        <f>[1]ΑΝΤΙΣΤΟΙΧΙΣΗ!$D$34</f>
        <v/>
      </c>
      <c r="L41" s="180">
        <f>[1]ΑΝΤΙΣΤΟΙΧΙΣΗ!$F$128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30.75" customHeight="1">
      <c r="A43" s="60" t="n">
        <v>42</v>
      </c>
      <c r="B43" s="70" t="inlineStr">
        <is>
          <t>Α/Α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4.7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2'!L4</f>
        <v/>
      </c>
      <c r="E44" s="15">
        <f>D44/$D$43</f>
        <v/>
      </c>
      <c r="F44" s="10">
        <f>D44+#REF!</f>
        <v/>
      </c>
      <c r="G44" s="15">
        <f>F44/$F$43</f>
        <v/>
      </c>
      <c r="H44" s="14" t="n"/>
      <c r="I44" s="16">
        <f>H44/$H$43</f>
        <v/>
      </c>
      <c r="J44" s="10" t="n"/>
      <c r="K44" s="17">
        <f>J44/$J$43</f>
        <v/>
      </c>
      <c r="L44" s="14">
        <f>'[1]2024_60-69 ΕΞΟΔΑ+ΟΜ 2'!L4</f>
        <v/>
      </c>
      <c r="M44" s="15">
        <f>L44/$L$43</f>
        <v/>
      </c>
      <c r="N44" s="10">
        <f>L44+#REF!</f>
        <v/>
      </c>
      <c r="O44" s="15">
        <f>N44/$N$43</f>
        <v/>
      </c>
      <c r="P44" s="10" t="n"/>
      <c r="Q44" s="15" t="n"/>
    </row>
    <row r="45" ht="24.7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2'!L5</f>
        <v/>
      </c>
      <c r="E45" s="15">
        <f>D45/$D$43</f>
        <v/>
      </c>
      <c r="F45" s="10">
        <f>D45+#REF!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2'!L5</f>
        <v/>
      </c>
      <c r="M45" s="15">
        <f>L45/$L$43</f>
        <v/>
      </c>
      <c r="N45" s="10">
        <f>L45+#REF!</f>
        <v/>
      </c>
      <c r="O45" s="15">
        <f>N45/$N$43</f>
        <v/>
      </c>
      <c r="P45" s="10" t="n"/>
      <c r="Q45" s="15">
        <f>N45/F45</f>
        <v/>
      </c>
    </row>
    <row r="46" ht="24.7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2'!L6</f>
        <v/>
      </c>
      <c r="E46" s="15">
        <f>D46/$D$43</f>
        <v/>
      </c>
      <c r="F46" s="10">
        <f>D46+#REF!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2'!L6</f>
        <v/>
      </c>
      <c r="M46" s="15">
        <f>L46/$L$43</f>
        <v/>
      </c>
      <c r="N46" s="10">
        <f>L46+#REF!</f>
        <v/>
      </c>
      <c r="O46" s="15">
        <f>N46/$N$43</f>
        <v/>
      </c>
      <c r="P46" s="10" t="n"/>
      <c r="Q46" s="15">
        <f>N46/F46</f>
        <v/>
      </c>
    </row>
    <row r="47" ht="41.2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2'!L7</f>
        <v/>
      </c>
      <c r="E47" s="15">
        <f>D49/$D$43</f>
        <v/>
      </c>
      <c r="F47" s="10">
        <f>D49+#REF!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2'!L7</f>
        <v/>
      </c>
      <c r="M47" s="15">
        <f>L49/$L$43</f>
        <v/>
      </c>
      <c r="N47" s="10">
        <f>L49+#REF!</f>
        <v/>
      </c>
      <c r="O47" s="15">
        <f>N49/$N$43</f>
        <v/>
      </c>
      <c r="P47" s="10" t="n"/>
      <c r="Q47" s="15">
        <f>N49/F49</f>
        <v/>
      </c>
    </row>
    <row r="48" ht="41.2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2'!L8</f>
        <v/>
      </c>
      <c r="E48" s="15">
        <f>D50/$D$43</f>
        <v/>
      </c>
      <c r="F48" s="10">
        <f>D50+#REF!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2'!L8</f>
        <v/>
      </c>
      <c r="M48" s="15">
        <f>L50/$L$43</f>
        <v/>
      </c>
      <c r="N48" s="10">
        <f>L50+#REF!</f>
        <v/>
      </c>
      <c r="O48" s="15">
        <f>N50/$N$43</f>
        <v/>
      </c>
      <c r="P48" s="10" t="n"/>
      <c r="Q48" s="15">
        <f>N50/F50</f>
        <v/>
      </c>
    </row>
    <row r="49" ht="24.7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2'!L9</f>
        <v/>
      </c>
      <c r="E49" s="15">
        <f>D51/$D$43</f>
        <v/>
      </c>
      <c r="F49" s="10">
        <f>D51+#REF!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2'!L9</f>
        <v/>
      </c>
      <c r="M49" s="15">
        <f>L51/$L$43</f>
        <v/>
      </c>
      <c r="N49" s="10">
        <f>L51+#REF!</f>
        <v/>
      </c>
      <c r="O49" s="15">
        <f>N51/$N$43</f>
        <v/>
      </c>
      <c r="P49" s="10" t="n"/>
      <c r="Q49" s="15">
        <f>N51/F51</f>
        <v/>
      </c>
    </row>
    <row r="50" ht="24.7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2'!L10</f>
        <v/>
      </c>
      <c r="E50" s="15">
        <f>D54/$D$43</f>
        <v/>
      </c>
      <c r="F50" s="10">
        <f>D54+#REF!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2'!L10</f>
        <v/>
      </c>
      <c r="M50" s="15">
        <f>L54/$L$43</f>
        <v/>
      </c>
      <c r="N50" s="10">
        <f>L54+#REF!</f>
        <v/>
      </c>
      <c r="O50" s="15">
        <f>N54/$N$43</f>
        <v/>
      </c>
      <c r="P50" s="10" t="n"/>
      <c r="Q50" s="15">
        <f>N54/F54</f>
        <v/>
      </c>
    </row>
    <row r="51" ht="24.7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2'!L11</f>
        <v/>
      </c>
      <c r="E51" s="15">
        <f>D55/$D$43</f>
        <v/>
      </c>
      <c r="F51" s="10">
        <f>D55+#REF!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2'!L11</f>
        <v/>
      </c>
      <c r="M51" s="15">
        <f>L55/$L$43</f>
        <v/>
      </c>
      <c r="N51" s="10">
        <f>L55+#REF!</f>
        <v/>
      </c>
      <c r="O51" s="15">
        <f>N55/$N$43</f>
        <v/>
      </c>
      <c r="P51" s="10" t="n"/>
      <c r="Q51" s="15">
        <f>N55/F55</f>
        <v/>
      </c>
    </row>
    <row r="52" ht="41.2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2'!L12</f>
        <v/>
      </c>
      <c r="E52" s="15">
        <f>D56/$D$43</f>
        <v/>
      </c>
      <c r="F52" s="10">
        <f>D56+#REF!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2'!L12</f>
        <v/>
      </c>
      <c r="M52" s="15">
        <f>L56/$L$43</f>
        <v/>
      </c>
      <c r="N52" s="10">
        <f>L56+#REF!</f>
        <v/>
      </c>
      <c r="O52" s="15">
        <f>N56/$N$43</f>
        <v/>
      </c>
      <c r="P52" s="10" t="n"/>
      <c r="Q52" s="15">
        <f>N56/F56</f>
        <v/>
      </c>
    </row>
    <row r="53" ht="41.2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2'!L13</f>
        <v/>
      </c>
      <c r="E53" s="15">
        <f>D57/$D$43</f>
        <v/>
      </c>
      <c r="F53" s="10">
        <f>D57+#REF!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2'!L13</f>
        <v/>
      </c>
      <c r="M53" s="15">
        <f>L57/$L$43</f>
        <v/>
      </c>
      <c r="N53" s="10">
        <f>L57+#REF!</f>
        <v/>
      </c>
      <c r="O53" s="15">
        <f>N57/$N$43</f>
        <v/>
      </c>
      <c r="P53" s="10" t="n"/>
      <c r="Q53" s="15">
        <f>N57/F57</f>
        <v/>
      </c>
    </row>
    <row r="54" ht="24.7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2'!L14</f>
        <v/>
      </c>
      <c r="E54" s="15">
        <f>D58/$D$43</f>
        <v/>
      </c>
      <c r="F54" s="10">
        <f>D58+#REF!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2'!L14</f>
        <v/>
      </c>
      <c r="M54" s="15">
        <f>L58/$L$43</f>
        <v/>
      </c>
      <c r="N54" s="10">
        <f>L58+#REF!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2'!L15</f>
        <v/>
      </c>
      <c r="E55" s="15">
        <f>D59/$D$43</f>
        <v/>
      </c>
      <c r="F55" s="10">
        <f>D59+#REF!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2'!L15</f>
        <v/>
      </c>
      <c r="M55" s="15">
        <f>L59/$L$43</f>
        <v/>
      </c>
      <c r="N55" s="10">
        <f>L59+#REF!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2'!L16</f>
        <v/>
      </c>
      <c r="E56" s="15">
        <f>D60/$D$43</f>
        <v/>
      </c>
      <c r="F56" s="10">
        <f>D60+#REF!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2'!L16</f>
        <v/>
      </c>
      <c r="M56" s="15">
        <f>L60/$L$43</f>
        <v/>
      </c>
      <c r="N56" s="10">
        <f>L60+#REF!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2'!L17</f>
        <v/>
      </c>
      <c r="E57" s="15">
        <f>D61/$D$43</f>
        <v/>
      </c>
      <c r="F57" s="10">
        <f>D61+#REF!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2'!L17</f>
        <v/>
      </c>
      <c r="M57" s="15">
        <f>L61/$L$43</f>
        <v/>
      </c>
      <c r="N57" s="10">
        <f>L61+#REF!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2'!L18</f>
        <v/>
      </c>
      <c r="E58" s="15">
        <f>D62/$D$43</f>
        <v/>
      </c>
      <c r="F58" s="10">
        <f>D62+#REF!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2'!L18</f>
        <v/>
      </c>
      <c r="M58" s="15">
        <f>L62/$L$43</f>
        <v/>
      </c>
      <c r="N58" s="10">
        <f>L62+#REF!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2'!L19</f>
        <v/>
      </c>
      <c r="E59" s="15">
        <f>D63/$D$43</f>
        <v/>
      </c>
      <c r="F59" s="10">
        <f>D63+#REF!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2'!L19</f>
        <v/>
      </c>
      <c r="M59" s="15">
        <f>L63/$L$43</f>
        <v/>
      </c>
      <c r="N59" s="10">
        <f>L63+#REF!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2'!L20</f>
        <v/>
      </c>
      <c r="E60" s="15">
        <f>D64/$D$43</f>
        <v/>
      </c>
      <c r="F60" s="10">
        <f>D64+#REF!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2'!L20</f>
        <v/>
      </c>
      <c r="M60" s="15">
        <f>L64/$L$43</f>
        <v/>
      </c>
      <c r="N60" s="10">
        <f>L64+#REF!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2'!L21</f>
        <v/>
      </c>
      <c r="E61" s="15">
        <f>D65/$D$43</f>
        <v/>
      </c>
      <c r="F61" s="10">
        <f>D65+#REF!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2'!L21</f>
        <v/>
      </c>
      <c r="M61" s="15">
        <f>L65/$L$43</f>
        <v/>
      </c>
      <c r="N61" s="10">
        <f>L65+#REF!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2'!L22</f>
        <v/>
      </c>
      <c r="E62" s="15">
        <f>D66/$D$43</f>
        <v/>
      </c>
      <c r="F62" s="10">
        <f>D66+#REF!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2'!L22</f>
        <v/>
      </c>
      <c r="M62" s="15">
        <f>L66/$L$43</f>
        <v/>
      </c>
      <c r="N62" s="10">
        <f>L66+#REF!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2'!L23</f>
        <v/>
      </c>
      <c r="E63" s="15">
        <f>D67/$D$43</f>
        <v/>
      </c>
      <c r="F63" s="10">
        <f>D67+#REF!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2'!L23</f>
        <v/>
      </c>
      <c r="M63" s="15">
        <f>L67/$L$43</f>
        <v/>
      </c>
      <c r="N63" s="10">
        <f>L67+#REF!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2'!L24</f>
        <v/>
      </c>
      <c r="E64" s="15">
        <f>D68/$D$43</f>
        <v/>
      </c>
      <c r="F64" s="10">
        <f>D68+#REF!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2'!L24</f>
        <v/>
      </c>
      <c r="M64" s="15">
        <f>L68/$L$43</f>
        <v/>
      </c>
      <c r="N64" s="10">
        <f>L68+#REF!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2'!L25</f>
        <v/>
      </c>
      <c r="E65" s="15">
        <f>D69/$D$43</f>
        <v/>
      </c>
      <c r="F65" s="10">
        <f>D69+#REF!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2'!L25</f>
        <v/>
      </c>
      <c r="M65" s="15">
        <f>L69/$L$43</f>
        <v/>
      </c>
      <c r="N65" s="10">
        <f>L69+#REF!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2'!L26</f>
        <v/>
      </c>
      <c r="E66" s="15">
        <f>D70/$D$43</f>
        <v/>
      </c>
      <c r="F66" s="10">
        <f>D70+#REF!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2'!L26</f>
        <v/>
      </c>
      <c r="M66" s="15">
        <f>L70/$L$43</f>
        <v/>
      </c>
      <c r="N66" s="10">
        <f>L70+#REF!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2'!L27</f>
        <v/>
      </c>
      <c r="E67" s="15">
        <f>D71/$D$43</f>
        <v/>
      </c>
      <c r="F67" s="10">
        <f>D71+#REF!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2'!L27</f>
        <v/>
      </c>
      <c r="M67" s="15">
        <f>L71/$L$43</f>
        <v/>
      </c>
      <c r="N67" s="10">
        <f>L71+#REF!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2'!L28</f>
        <v/>
      </c>
      <c r="E68" s="15">
        <f>D72/$D$43</f>
        <v/>
      </c>
      <c r="F68" s="10">
        <f>D72+#REF!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2'!L28</f>
        <v/>
      </c>
      <c r="M68" s="15">
        <f>L72/$L$43</f>
        <v/>
      </c>
      <c r="N68" s="10">
        <f>L72+#REF!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2'!L29</f>
        <v/>
      </c>
      <c r="E69" s="15">
        <f>D73/$D$43</f>
        <v/>
      </c>
      <c r="F69" s="10">
        <f>D73+#REF!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2'!L29</f>
        <v/>
      </c>
      <c r="M69" s="15">
        <f>L73/$L$43</f>
        <v/>
      </c>
      <c r="N69" s="10">
        <f>L73+#REF!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D74+#REF!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2'!L30</f>
        <v/>
      </c>
      <c r="M70" s="15">
        <f>L74/$L$43</f>
        <v/>
      </c>
      <c r="N70" s="10">
        <f>L74+#REF!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2'!L31</f>
        <v/>
      </c>
      <c r="E71" s="15">
        <f>D75/$D$43</f>
        <v/>
      </c>
      <c r="F71" s="10">
        <f>D75+#REF!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2'!L31</f>
        <v/>
      </c>
      <c r="M71" s="15">
        <f>L75/$L$43</f>
        <v/>
      </c>
      <c r="N71" s="10">
        <f>L75+#REF!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2'!L32</f>
        <v/>
      </c>
      <c r="E72" s="15">
        <f>D76/$D$43</f>
        <v/>
      </c>
      <c r="F72" s="10">
        <f>D76+#REF!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2'!L32</f>
        <v/>
      </c>
      <c r="M72" s="15">
        <f>L76/$L$43</f>
        <v/>
      </c>
      <c r="N72" s="10">
        <f>L76+#REF!</f>
        <v/>
      </c>
      <c r="O72" s="15">
        <f>N76/$N$43</f>
        <v/>
      </c>
      <c r="P72" s="10" t="n"/>
      <c r="Q72" s="15" t="n"/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2'!L33</f>
        <v/>
      </c>
      <c r="E73" s="15">
        <f>D77/$D$43</f>
        <v/>
      </c>
      <c r="F73" s="10">
        <f>D77+#REF!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2'!L33</f>
        <v/>
      </c>
      <c r="M73" s="15">
        <f>L77/$L$43</f>
        <v/>
      </c>
      <c r="N73" s="10">
        <f>L77+#REF!</f>
        <v/>
      </c>
      <c r="O73" s="15">
        <f>N77/$N$43</f>
        <v/>
      </c>
      <c r="P73" s="10" t="n"/>
      <c r="Q73" s="15" t="n"/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2'!L3</f>
        <v/>
      </c>
      <c r="E74" s="21" t="n"/>
      <c r="F74" s="7">
        <f>'[1]2026_60-69 ΕΞΟΔΑ+ΟΜ 2'!Y3</f>
        <v/>
      </c>
      <c r="G74" s="21" t="n"/>
      <c r="H74" s="7">
        <f>SUM(H44:H75)</f>
        <v/>
      </c>
      <c r="I74" s="21" t="n"/>
      <c r="J74" s="7">
        <f>SUM(J44:J77)</f>
        <v/>
      </c>
      <c r="K74" s="21" t="n"/>
      <c r="L74" s="7">
        <f>SUM(L44:L77)</f>
        <v/>
      </c>
      <c r="M74" s="21" t="n"/>
      <c r="N74" s="7">
        <f>SUM(N44:N77)</f>
        <v/>
      </c>
      <c r="O74" s="21" t="n"/>
      <c r="P74" s="7">
        <f>SUM(P44:P77)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/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 t="n"/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[1]ΑΝΤΙΣΤΟΙΧΙΣΗ!$F$114</f>
        <v/>
      </c>
      <c r="E78" s="192" t="n"/>
      <c r="F78" s="56" t="n"/>
      <c r="G78" s="61">
        <f>[1]ΑΝΤΙΣΤΟΙΧΙΣΗ!$D$34</f>
        <v/>
      </c>
      <c r="H78" s="180">
        <f>[1]ΑΝΤΙΣΤΟΙΧΙΣΗ!$F$114</f>
        <v/>
      </c>
      <c r="I78" s="192" t="n"/>
      <c r="J78" s="56" t="n"/>
      <c r="K78" s="61">
        <f>[1]ΑΝΤΙΣΤΟΙΧΙΣΗ!$D$34</f>
        <v/>
      </c>
      <c r="L78" s="180">
        <f>[1]ΑΝΤΙΣΤΟΙΧΙΣΗ!$F$128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2'!L39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2'!L37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2'!L40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2'!L38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2'!L43</f>
        <v/>
      </c>
      <c r="E83" s="15">
        <f>D87/$D$84</f>
        <v/>
      </c>
      <c r="F83" s="79">
        <f>D87+#REF!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2'!L41</f>
        <v/>
      </c>
      <c r="M83" s="15">
        <f>L87/$L$84</f>
        <v/>
      </c>
      <c r="N83" s="10">
        <f>L87+#REF!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2'!L44</f>
        <v/>
      </c>
      <c r="E84" s="15">
        <f>D88/$D$84</f>
        <v/>
      </c>
      <c r="F84" s="79">
        <f>D88+#REF!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2'!L42</f>
        <v/>
      </c>
      <c r="M84" s="15">
        <f>L88/$L$84</f>
        <v/>
      </c>
      <c r="N84" s="10">
        <f>L88+#REF!</f>
        <v/>
      </c>
      <c r="O84" s="15">
        <f>N88/$N$84</f>
        <v/>
      </c>
      <c r="P84" s="27" t="n"/>
      <c r="Q84" s="28">
        <f>SUM(D88:P88)</f>
        <v/>
      </c>
    </row>
    <row r="85" ht="41.2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2'!L45</f>
        <v/>
      </c>
      <c r="E85" s="15">
        <f>D89/$D$84</f>
        <v/>
      </c>
      <c r="F85" s="79">
        <f>D89+#REF!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2'!L43</f>
        <v/>
      </c>
      <c r="M85" s="15">
        <f>L89/$L$84</f>
        <v/>
      </c>
      <c r="N85" s="10">
        <f>L89+#REF!</f>
        <v/>
      </c>
      <c r="O85" s="15">
        <f>N89/$N$84</f>
        <v/>
      </c>
      <c r="P85" s="80" t="n"/>
      <c r="Q85" s="28">
        <f>SUM(D89:P89)</f>
        <v/>
      </c>
    </row>
    <row r="86" ht="41.2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2'!L46</f>
        <v/>
      </c>
      <c r="E86" s="15">
        <f>D90/$D$84</f>
        <v/>
      </c>
      <c r="F86" s="79">
        <f>D90+#REF!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2'!L44</f>
        <v/>
      </c>
      <c r="M86" s="15">
        <f>L90/$L$84</f>
        <v/>
      </c>
      <c r="N86" s="10">
        <f>L90+#REF!</f>
        <v/>
      </c>
      <c r="O86" s="15">
        <f>N90/$N$84</f>
        <v/>
      </c>
      <c r="P86" s="80" t="n"/>
      <c r="Q86" s="28">
        <f>SUM(D90:P90)</f>
        <v/>
      </c>
    </row>
    <row r="87" ht="41.2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2'!L47</f>
        <v/>
      </c>
      <c r="E87" s="15">
        <f>D91/$D$84</f>
        <v/>
      </c>
      <c r="F87" s="79">
        <f>D91+#REF!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2'!L45</f>
        <v/>
      </c>
      <c r="M87" s="15">
        <f>L91/$L$84</f>
        <v/>
      </c>
      <c r="N87" s="10">
        <f>L91+#REF!</f>
        <v/>
      </c>
      <c r="O87" s="15">
        <f>N91/$N$84</f>
        <v/>
      </c>
      <c r="P87" s="80" t="n"/>
      <c r="Q87" s="28">
        <f>SUM(D91:P91)</f>
        <v/>
      </c>
    </row>
    <row r="88" ht="41.2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2'!L48</f>
        <v/>
      </c>
      <c r="E88" s="15">
        <f>D92/$D$84</f>
        <v/>
      </c>
      <c r="F88" s="79">
        <f>D92+#REF!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2'!L46</f>
        <v/>
      </c>
      <c r="M88" s="15">
        <f>L92/$L$84</f>
        <v/>
      </c>
      <c r="N88" s="10">
        <f>L92+#REF!</f>
        <v/>
      </c>
      <c r="O88" s="15">
        <f>N92/$N$84</f>
        <v/>
      </c>
      <c r="P88" s="27" t="n"/>
      <c r="Q88" s="28">
        <f>SUM(D92:P92)</f>
        <v/>
      </c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2'!L49</f>
        <v/>
      </c>
      <c r="E89" s="15">
        <f>D93/$D$84</f>
        <v/>
      </c>
      <c r="F89" s="79">
        <f>D93+#REF!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2'!L47</f>
        <v/>
      </c>
      <c r="M89" s="15">
        <f>L93/$L$84</f>
        <v/>
      </c>
      <c r="N89" s="10">
        <f>L93+#REF!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2'!L50</f>
        <v/>
      </c>
      <c r="E90" s="15">
        <f>D94/$D$84</f>
        <v/>
      </c>
      <c r="F90" s="79">
        <f>D94+#REF!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2'!L48</f>
        <v/>
      </c>
      <c r="M90" s="15">
        <f>L94/$L$84</f>
        <v/>
      </c>
      <c r="N90" s="10">
        <f>L94+#REF!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2'!L51</f>
        <v/>
      </c>
      <c r="E91" s="15">
        <f>D95/$D$84</f>
        <v/>
      </c>
      <c r="F91" s="79">
        <f>D95+#REF!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2'!L49</f>
        <v/>
      </c>
      <c r="M91" s="15">
        <f>L95/$L$84</f>
        <v/>
      </c>
      <c r="N91" s="10">
        <f>L95+#REF!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2'!L52</f>
        <v/>
      </c>
      <c r="E92" s="15">
        <f>D96/$D$84</f>
        <v/>
      </c>
      <c r="F92" s="79">
        <f>D96+#REF!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2'!L50</f>
        <v/>
      </c>
      <c r="M92" s="15">
        <f>L96/$L$84</f>
        <v/>
      </c>
      <c r="N92" s="10">
        <f>L96+#REF!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2'!L53</f>
        <v/>
      </c>
      <c r="E93" s="15">
        <f>D97/$D$84</f>
        <v/>
      </c>
      <c r="F93" s="79">
        <f>D97+#REF!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2'!L51</f>
        <v/>
      </c>
      <c r="M93" s="15">
        <f>L97/$L$84</f>
        <v/>
      </c>
      <c r="N93" s="10">
        <f>L97+#REF!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2'!L54</f>
        <v/>
      </c>
      <c r="E94" s="15">
        <f>D98/$D$84</f>
        <v/>
      </c>
      <c r="F94" s="79">
        <f>D98+#REF!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2'!L52</f>
        <v/>
      </c>
      <c r="M94" s="15">
        <f>L98/$L$84</f>
        <v/>
      </c>
      <c r="N94" s="10">
        <f>L98+#REF!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2'!L55</f>
        <v/>
      </c>
      <c r="E95" s="15">
        <f>D99/$D$84</f>
        <v/>
      </c>
      <c r="F95" s="79">
        <f>D99+#REF!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2'!L53</f>
        <v/>
      </c>
      <c r="M95" s="15">
        <f>L99/$L$84</f>
        <v/>
      </c>
      <c r="N95" s="10">
        <f>L99+#REF!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2'!L56</f>
        <v/>
      </c>
      <c r="E96" s="15">
        <f>D100/$D$84</f>
        <v/>
      </c>
      <c r="F96" s="79">
        <f>D100+#REF!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2'!L54</f>
        <v/>
      </c>
      <c r="M96" s="15">
        <f>L100/$L$84</f>
        <v/>
      </c>
      <c r="N96" s="10">
        <f>L100+#REF!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2'!L57</f>
        <v/>
      </c>
      <c r="E97" s="15">
        <f>D101/$D$84</f>
        <v/>
      </c>
      <c r="F97" s="79">
        <f>D101+#REF!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2'!L55</f>
        <v/>
      </c>
      <c r="M97" s="15">
        <f>L101/$L$84</f>
        <v/>
      </c>
      <c r="N97" s="10">
        <f>L101+#REF!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2'!L58</f>
        <v/>
      </c>
      <c r="E98" s="15">
        <f>D102/$D$84</f>
        <v/>
      </c>
      <c r="F98" s="79">
        <f>D102+#REF!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2'!L56</f>
        <v/>
      </c>
      <c r="M98" s="15">
        <f>L102/$L$84</f>
        <v/>
      </c>
      <c r="N98" s="10">
        <f>L102+#REF!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2'!L59</f>
        <v/>
      </c>
      <c r="E99" s="15">
        <f>D103/$D$84</f>
        <v/>
      </c>
      <c r="F99" s="79">
        <f>D103+#REF!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2'!L57</f>
        <v/>
      </c>
      <c r="M99" s="15">
        <f>L103/$L$84</f>
        <v/>
      </c>
      <c r="N99" s="10">
        <f>L103+#REF!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2'!L60</f>
        <v/>
      </c>
      <c r="E100" s="15">
        <f>D104/$D$84</f>
        <v/>
      </c>
      <c r="F100" s="79">
        <f>D104+#REF!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2'!L58</f>
        <v/>
      </c>
      <c r="M100" s="15">
        <f>L104/$L$84</f>
        <v/>
      </c>
      <c r="N100" s="10">
        <f>L104+#REF!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2'!L61</f>
        <v/>
      </c>
      <c r="E101" s="15">
        <f>D105/$D$84</f>
        <v/>
      </c>
      <c r="F101" s="79">
        <f>D105+#REF!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2'!L59</f>
        <v/>
      </c>
      <c r="M101" s="15">
        <f>L105/$L$84</f>
        <v/>
      </c>
      <c r="N101" s="10">
        <f>L105+#REF!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>
        <f>SUM(D106:P106)</f>
        <v/>
      </c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/>
      <c r="B107" s="60" t="n"/>
      <c r="C107" s="20" t="inlineStr">
        <is>
          <t>ΣΥΝΟΛΟ ΚΟΣΤΟΥΣ Sales-Marketing ΜΗΝΟΣ</t>
        </is>
      </c>
      <c r="D107" s="7">
        <f>'[1]2026_60-69 ΕΞΟΔΑ+ΟΜ 2'!L36</f>
        <v/>
      </c>
      <c r="E107" s="8" t="n"/>
      <c r="F107" s="7" t="n"/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[1]ΑΝΤΙΣΤΟΙΧΙΣΗ!$F$114</f>
        <v/>
      </c>
      <c r="E110" s="192" t="n"/>
      <c r="F110" s="56" t="n"/>
      <c r="G110" s="61">
        <f>[1]ΑΝΤΙΣΤΟΙΧΙΣΗ!$D$34</f>
        <v/>
      </c>
      <c r="H110" s="180">
        <f>[1]ΑΝΤΙΣΤΟΙΧΙΣΗ!$F$114</f>
        <v/>
      </c>
      <c r="I110" s="192" t="n"/>
      <c r="J110" s="56" t="n"/>
      <c r="K110" s="61">
        <f>[1]ΑΝΤΙΣΤΟΙΧΙΣΗ!$D$34</f>
        <v/>
      </c>
      <c r="L110" s="180">
        <f>[1]ΑΝΤΙΣΤΟΙΧΙΣΗ!$F$128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'[1]2026_60-69 ΕΞΟΔΑ+ΟΜ 2'!L74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2'!L66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'[1]2026_60-69 ΕΞΟΔΑ+ΟΜ 2'!L75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2'!L67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'[1]2026_60-69 ΕΞΟΔΑ+ΟΜ 2'!L76</f>
        <v/>
      </c>
      <c r="E115" s="15">
        <f>D119/$D$116</f>
        <v/>
      </c>
      <c r="F115" s="10">
        <f>D119+#REF!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2'!L68</f>
        <v/>
      </c>
      <c r="M115" s="15">
        <f>L119/$L$116</f>
        <v/>
      </c>
      <c r="N115" s="10">
        <f>L119+#REF!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'[1]2026_60-69 ΕΞΟΔΑ+ΟΜ 2'!L77</f>
        <v/>
      </c>
      <c r="E116" s="15">
        <f>D120/$D$116</f>
        <v/>
      </c>
      <c r="F116" s="10">
        <f>D120+#REF!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2'!L69</f>
        <v/>
      </c>
      <c r="M116" s="15">
        <f>L120/$L$116</f>
        <v/>
      </c>
      <c r="N116" s="10">
        <f>L120+#REF!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'[1]2026_60-69 ΕΞΟΔΑ+ΟΜ 2'!L78</f>
        <v/>
      </c>
      <c r="E117" s="15">
        <f>D121/$D$116</f>
        <v/>
      </c>
      <c r="F117" s="10">
        <f>D121+#REF!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2'!L70</f>
        <v/>
      </c>
      <c r="M117" s="15">
        <f>L121/$L$116</f>
        <v/>
      </c>
      <c r="N117" s="10">
        <f>L121+#REF!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'[1]2026_60-69 ΕΞΟΔΑ+ΟΜ 2'!L79</f>
        <v/>
      </c>
      <c r="E118" s="15">
        <f>D122/$D$116</f>
        <v/>
      </c>
      <c r="F118" s="10">
        <f>D122+#REF!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2'!L71</f>
        <v/>
      </c>
      <c r="M118" s="15">
        <f>L122/$L$116</f>
        <v/>
      </c>
      <c r="N118" s="10">
        <f>L122+#REF!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'[1]2026_60-69 ΕΞΟΔΑ+ΟΜ 2'!L80</f>
        <v/>
      </c>
      <c r="E119" s="15">
        <f>D123/$D$116</f>
        <v/>
      </c>
      <c r="F119" s="10">
        <f>D123+#REF!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2'!L72</f>
        <v/>
      </c>
      <c r="M119" s="15">
        <f>L123/$L$116</f>
        <v/>
      </c>
      <c r="N119" s="10">
        <f>L123+#REF!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'[1]2026_60-69 ΕΞΟΔΑ+ΟΜ 2'!L81</f>
        <v/>
      </c>
      <c r="E120" s="15">
        <f>D124/$D$116</f>
        <v/>
      </c>
      <c r="F120" s="10">
        <f>D124+#REF!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2'!L73</f>
        <v/>
      </c>
      <c r="M120" s="15">
        <f>L124/$L$116</f>
        <v/>
      </c>
      <c r="N120" s="10">
        <f>L124+#REF!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'[1]2026_60-69 ΕΞΟΔΑ+ΟΜ 2'!L82</f>
        <v/>
      </c>
      <c r="E121" s="15">
        <f>D125/$D$116</f>
        <v/>
      </c>
      <c r="F121" s="10">
        <f>D125+#REF!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2'!L74</f>
        <v/>
      </c>
      <c r="M121" s="15">
        <f>L125/$L$116</f>
        <v/>
      </c>
      <c r="N121" s="10">
        <f>L125+#REF!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'[1]2026_60-69 ΕΞΟΔΑ+ΟΜ 2'!L83</f>
        <v/>
      </c>
      <c r="E122" s="15">
        <f>D126/$D$116</f>
        <v/>
      </c>
      <c r="F122" s="10">
        <f>D126+#REF!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2'!L75</f>
        <v/>
      </c>
      <c r="M122" s="15">
        <f>L126/$L$116</f>
        <v/>
      </c>
      <c r="N122" s="10">
        <f>L126+#REF!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'[1]2026_60-69 ΕΞΟΔΑ+ΟΜ 2'!L84</f>
        <v/>
      </c>
      <c r="E123" s="15">
        <f>D127/$D$116</f>
        <v/>
      </c>
      <c r="F123" s="10">
        <f>D127+#REF!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2'!L76</f>
        <v/>
      </c>
      <c r="M123" s="15">
        <f>L127/$L$116</f>
        <v/>
      </c>
      <c r="N123" s="10">
        <f>L127+#REF!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'[1]2026_60-69 ΕΞΟΔΑ+ΟΜ 2'!L85</f>
        <v/>
      </c>
      <c r="E124" s="15">
        <f>D128/$D$116</f>
        <v/>
      </c>
      <c r="F124" s="10">
        <f>D128+#REF!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2'!L77</f>
        <v/>
      </c>
      <c r="M124" s="15">
        <f>L128/$L$116</f>
        <v/>
      </c>
      <c r="N124" s="10">
        <f>L128+#REF!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'[1]2026_60-69 ΕΞΟΔΑ+ΟΜ 2'!L86</f>
        <v/>
      </c>
      <c r="E125" s="15">
        <f>D129/$D$116</f>
        <v/>
      </c>
      <c r="F125" s="10">
        <f>D129+#REF!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2'!L78</f>
        <v/>
      </c>
      <c r="M125" s="15">
        <f>L129/$L$116</f>
        <v/>
      </c>
      <c r="N125" s="10">
        <f>L129+#REF!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'[1]2026_60-69 ΕΞΟΔΑ+ΟΜ 2'!L87</f>
        <v/>
      </c>
      <c r="E126" s="15">
        <f>D130/$D$116</f>
        <v/>
      </c>
      <c r="F126" s="10">
        <f>D130+#REF!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2'!L79</f>
        <v/>
      </c>
      <c r="M126" s="15">
        <f>L130/$L$116</f>
        <v/>
      </c>
      <c r="N126" s="10">
        <f>L130+#REF!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'[1]2026_60-69 ΕΞΟΔΑ+ΟΜ 2'!L88</f>
        <v/>
      </c>
      <c r="E127" s="15">
        <f>D131/$D$116</f>
        <v/>
      </c>
      <c r="F127" s="10">
        <f>D131+#REF!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2'!L80</f>
        <v/>
      </c>
      <c r="M127" s="15">
        <f>L131/$L$116</f>
        <v/>
      </c>
      <c r="N127" s="10">
        <f>L131+#REF!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'[1]2026_60-69 ΕΞΟΔΑ+ΟΜ 2'!L89</f>
        <v/>
      </c>
      <c r="E128" s="15">
        <f>D132/$D$116</f>
        <v/>
      </c>
      <c r="F128" s="10">
        <f>D132+#REF!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2'!L81</f>
        <v/>
      </c>
      <c r="M128" s="15">
        <f>L132/$L$116</f>
        <v/>
      </c>
      <c r="N128" s="10">
        <f>L132+#REF!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'[1]2026_60-69 ΕΞΟΔΑ+ΟΜ 2'!L90</f>
        <v/>
      </c>
      <c r="E129" s="15">
        <f>D133/$D$116</f>
        <v/>
      </c>
      <c r="F129" s="10">
        <f>D133+#REF!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2'!L82</f>
        <v/>
      </c>
      <c r="M129" s="15">
        <f>L133/$L$116</f>
        <v/>
      </c>
      <c r="N129" s="10">
        <f>L133+#REF!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'[1]2026_60-69 ΕΞΟΔΑ+ΟΜ 2'!L91</f>
        <v/>
      </c>
      <c r="E130" s="15">
        <f>D134/$D$116</f>
        <v/>
      </c>
      <c r="F130" s="10">
        <f>D134+#REF!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2'!L83</f>
        <v/>
      </c>
      <c r="M130" s="15">
        <f>L134/$L$116</f>
        <v/>
      </c>
      <c r="N130" s="10">
        <f>L134+#REF!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'[1]2026_60-69 ΕΞΟΔΑ+ΟΜ 2'!L92</f>
        <v/>
      </c>
      <c r="E131" s="15">
        <f>D135/$D$116</f>
        <v/>
      </c>
      <c r="F131" s="10">
        <f>D135+#REF!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2'!L84</f>
        <v/>
      </c>
      <c r="M131" s="15">
        <f>L135/$L$116</f>
        <v/>
      </c>
      <c r="N131" s="10">
        <f>L135+#REF!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'[1]2026_60-69 ΕΞΟΔΑ+ΟΜ 2'!L93</f>
        <v/>
      </c>
      <c r="E132" s="15">
        <f>D136/$D$116</f>
        <v/>
      </c>
      <c r="F132" s="10">
        <f>D136+#REF!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2'!L85</f>
        <v/>
      </c>
      <c r="M132" s="15">
        <f>L136/$L$116</f>
        <v/>
      </c>
      <c r="N132" s="10">
        <f>L136+#REF!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'[1]2026_60-69 ΕΞΟΔΑ+ΟΜ 2'!L94</f>
        <v/>
      </c>
      <c r="E133" s="15">
        <f>D137/$D$116</f>
        <v/>
      </c>
      <c r="F133" s="10">
        <f>D137+#REF!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2'!L86</f>
        <v/>
      </c>
      <c r="M133" s="15">
        <f>L137/$L$116</f>
        <v/>
      </c>
      <c r="N133" s="10">
        <f>L137+#REF!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'[1]2026_60-69 ΕΞΟΔΑ+ΟΜ 2'!L95</f>
        <v/>
      </c>
      <c r="E134" s="15">
        <f>D138/$D$116</f>
        <v/>
      </c>
      <c r="F134" s="10">
        <f>D138+#REF!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2'!L87</f>
        <v/>
      </c>
      <c r="M134" s="15">
        <f>L138/$L$116</f>
        <v/>
      </c>
      <c r="N134" s="10">
        <f>L138+#REF!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'[1]2026_60-69 ΕΞΟΔΑ+ΟΜ 2'!L96</f>
        <v/>
      </c>
      <c r="E135" s="15">
        <f>D139/$D$116</f>
        <v/>
      </c>
      <c r="F135" s="10">
        <f>D139+#REF!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2'!L88</f>
        <v/>
      </c>
      <c r="M135" s="15">
        <f>L139/$L$116</f>
        <v/>
      </c>
      <c r="N135" s="10">
        <f>L139+#REF!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'[1]2026_60-69 ΕΞΟΔΑ+ΟΜ 2'!L97</f>
        <v/>
      </c>
      <c r="E136" s="15">
        <f>D140/$D$116</f>
        <v/>
      </c>
      <c r="F136" s="10">
        <f>D140+#REF!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2'!L89</f>
        <v/>
      </c>
      <c r="M136" s="15">
        <f>L140/$L$116</f>
        <v/>
      </c>
      <c r="N136" s="10">
        <f>L140+#REF!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'[1]2026_60-69 ΕΞΟΔΑ+ΟΜ 2'!L98</f>
        <v/>
      </c>
      <c r="E137" s="15">
        <f>D141/$D$116</f>
        <v/>
      </c>
      <c r="F137" s="10">
        <f>D141+#REF!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2'!L90</f>
        <v/>
      </c>
      <c r="M137" s="15">
        <f>L141/$L$116</f>
        <v/>
      </c>
      <c r="N137" s="10">
        <f>L141+#REF!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'[1]2026_60-69 ΕΞΟΔΑ+ΟΜ 2'!L99</f>
        <v/>
      </c>
      <c r="E138" s="15">
        <f>D142/$D$116</f>
        <v/>
      </c>
      <c r="F138" s="10">
        <f>D142+#REF!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2'!L91</f>
        <v/>
      </c>
      <c r="M138" s="15">
        <f>L142/$L$116</f>
        <v/>
      </c>
      <c r="N138" s="10">
        <f>L142+#REF!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'[1]2026_60-69 ΕΞΟΔΑ+ΟΜ 2'!L100</f>
        <v/>
      </c>
      <c r="E139" s="15">
        <f>D143/$D$116</f>
        <v/>
      </c>
      <c r="F139" s="10">
        <f>D143+#REF!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2'!L92</f>
        <v/>
      </c>
      <c r="M139" s="15">
        <f>L143/$L$116</f>
        <v/>
      </c>
      <c r="N139" s="10">
        <f>L143+#REF!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'[1]2026_60-69 ΕΞΟΔΑ+ΟΜ 2'!L101</f>
        <v/>
      </c>
      <c r="E140" s="15">
        <f>D144/$D$116</f>
        <v/>
      </c>
      <c r="F140" s="10">
        <f>D144+#REF!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2'!L93</f>
        <v/>
      </c>
      <c r="M140" s="15">
        <f>L144/$L$116</f>
        <v/>
      </c>
      <c r="N140" s="10">
        <f>L144+#REF!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'[1]2026_60-69 ΕΞΟΔΑ+ΟΜ 2'!L102</f>
        <v/>
      </c>
      <c r="E141" s="15">
        <f>D145/$D$116</f>
        <v/>
      </c>
      <c r="F141" s="10">
        <f>D145+#REF!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2'!L94</f>
        <v/>
      </c>
      <c r="M141" s="15">
        <f>L145/$L$116</f>
        <v/>
      </c>
      <c r="N141" s="10">
        <f>L145+#REF!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'[1]2026_60-69 ΕΞΟΔΑ+ΟΜ 2'!L103</f>
        <v/>
      </c>
      <c r="E142" s="15">
        <f>D146/$D$116</f>
        <v/>
      </c>
      <c r="F142" s="10">
        <f>D146+#REF!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2'!L95</f>
        <v/>
      </c>
      <c r="M142" s="15">
        <f>L146/$L$116</f>
        <v/>
      </c>
      <c r="N142" s="10">
        <f>L146+#REF!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'[1]2026_60-69 ΕΞΟΔΑ+ΟΜ 2'!L104</f>
        <v/>
      </c>
      <c r="E143" s="15">
        <f>D147/$D$116</f>
        <v/>
      </c>
      <c r="F143" s="10">
        <f>D147+#REF!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2'!L96</f>
        <v/>
      </c>
      <c r="M143" s="15">
        <f>L147/$L$116</f>
        <v/>
      </c>
      <c r="N143" s="10">
        <f>L147+#REF!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'[1]2026_60-69 ΕΞΟΔΑ+ΟΜ 2'!L105</f>
        <v/>
      </c>
      <c r="E144" s="15">
        <f>D148/$D$116</f>
        <v/>
      </c>
      <c r="F144" s="10">
        <f>D148+#REF!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2'!L97</f>
        <v/>
      </c>
      <c r="M144" s="15">
        <f>L148/$L$116</f>
        <v/>
      </c>
      <c r="N144" s="10">
        <f>L148+#REF!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'[1]2026_60-69 ΕΞΟΔΑ+ΟΜ 2'!L106</f>
        <v/>
      </c>
      <c r="E145" s="15">
        <f>D149/$D$116</f>
        <v/>
      </c>
      <c r="F145" s="10">
        <f>D149+#REF!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2'!L98</f>
        <v/>
      </c>
      <c r="M145" s="15">
        <f>L149/$L$116</f>
        <v/>
      </c>
      <c r="N145" s="10">
        <f>L149+#REF!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'[1]2026_60-69 ΕΞΟΔΑ+ΟΜ 2'!L107</f>
        <v/>
      </c>
      <c r="E146" s="15">
        <f>D150/$D$116</f>
        <v/>
      </c>
      <c r="F146" s="10">
        <f>D150+#REF!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2'!L99</f>
        <v/>
      </c>
      <c r="M146" s="15">
        <f>L150/$L$116</f>
        <v/>
      </c>
      <c r="N146" s="10">
        <f>L150+#REF!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'[1]2026_60-69 ΕΞΟΔΑ+ΟΜ 2'!L108</f>
        <v/>
      </c>
      <c r="E147" s="15">
        <f>D151/$D$116</f>
        <v/>
      </c>
      <c r="F147" s="10">
        <f>D151+#REF!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2'!L100</f>
        <v/>
      </c>
      <c r="M147" s="15">
        <f>L151/$L$116</f>
        <v/>
      </c>
      <c r="N147" s="10">
        <f>L151+#REF!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'[1]2026_60-69 ΕΞΟΔΑ+ΟΜ 2'!L109</f>
        <v/>
      </c>
      <c r="E148" s="15">
        <f>D152/$D$116</f>
        <v/>
      </c>
      <c r="F148" s="10">
        <f>D152+#REF!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2'!L101</f>
        <v/>
      </c>
      <c r="M148" s="15">
        <f>L152/$L$116</f>
        <v/>
      </c>
      <c r="N148" s="10">
        <f>L152+#REF!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'[1]2026_60-69 ΕΞΟΔΑ+ΟΜ 2'!L110</f>
        <v/>
      </c>
      <c r="E149" s="15">
        <f>D153/$D$116</f>
        <v/>
      </c>
      <c r="F149" s="10">
        <f>D153+#REF!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2'!L102</f>
        <v/>
      </c>
      <c r="M149" s="15">
        <f>L153/$L$116</f>
        <v/>
      </c>
      <c r="N149" s="10">
        <f>L153+#REF!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2'!L73</f>
        <v/>
      </c>
      <c r="E153" s="8" t="n"/>
      <c r="F153" s="7">
        <f>'[1]2026_60-69 ΕΞΟΔΑ+ΟΜ 2'!Y73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>
      <c r="A156" s="57" t="n"/>
      <c r="B156" s="58" t="n"/>
      <c r="C156" s="58" t="n"/>
      <c r="D156" s="182" t="n"/>
      <c r="E156" s="192" t="n"/>
      <c r="F156" s="192" t="n"/>
      <c r="G156" s="56" t="n"/>
      <c r="H156" s="182" t="n"/>
      <c r="I156" s="192" t="n"/>
      <c r="J156" s="192" t="n"/>
      <c r="K156" s="56" t="n"/>
      <c r="L156" s="182" t="n"/>
      <c r="M156" s="192" t="n"/>
      <c r="N156" s="192" t="n"/>
      <c r="O156" s="56" t="n"/>
      <c r="P156" s="183" t="n"/>
      <c r="Q156" s="56" t="n"/>
    </row>
    <row r="157" ht="30" customHeight="1"/>
    <row r="158" ht="30" customHeight="1"/>
    <row r="159" ht="30" customHeight="1"/>
    <row r="160" ht="15" customHeight="1"/>
  </sheetData>
  <mergeCells count="37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H160:K160"/>
    <mergeCell ref="P40:Q40"/>
    <mergeCell ref="L114:N114"/>
    <mergeCell ref="L41:N41"/>
    <mergeCell ref="P81:Q81"/>
    <mergeCell ref="H114:J114"/>
    <mergeCell ref="P2:Q2"/>
    <mergeCell ref="L2:O2"/>
    <mergeCell ref="L160:O160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P160:Q160"/>
    <mergeCell ref="H82:J82"/>
    <mergeCell ref="D2:G2"/>
    <mergeCell ref="D160:G160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55"/>
  <sheetViews>
    <sheetView topLeftCell="A89" workbookViewId="0">
      <selection activeCell="B85" sqref="B85:B109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20.1406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2.7109375" customWidth="1" style="33" min="12" max="12"/>
    <col width="11.7109375" customWidth="1" style="33" min="13" max="13"/>
    <col width="14.5703125" customWidth="1" style="33" min="14" max="14"/>
    <col width="13.28515625" customWidth="1" style="33" min="15" max="16"/>
    <col width="11.42578125" customWidth="1" style="1" min="17" max="17"/>
    <col width="9.140625" customWidth="1" style="1" min="18" max="18"/>
    <col width="9.140625" customWidth="1" style="1" min="19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/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16.5" customHeight="1">
      <c r="A3" s="59" t="inlineStr">
        <is>
          <t>Α</t>
        </is>
      </c>
      <c r="B3" s="60" t="n"/>
      <c r="C3" s="5" t="inlineStr">
        <is>
          <t xml:space="preserve">ΠΕΡΙΟΔΟΣ </t>
        </is>
      </c>
      <c r="D3" s="180">
        <f>[1]ΑΝΤΙΣΤΟΙΧΙΣΗ!$F$115</f>
        <v/>
      </c>
      <c r="E3" s="192" t="n"/>
      <c r="F3" s="56" t="n"/>
      <c r="G3" s="61">
        <f>[1]ΑΝΤΙΣΤΟΙΧΙΣΗ!$D$34</f>
        <v/>
      </c>
      <c r="H3" s="180">
        <f>[1]ΑΝΤΙΣΤΟΙΧΙΣΗ!$F$115</f>
        <v/>
      </c>
      <c r="I3" s="192" t="n"/>
      <c r="J3" s="56" t="n"/>
      <c r="K3" s="61">
        <f>[1]ΑΝΤΙΣΤΟΙΧΙΣΗ!$D$34</f>
        <v/>
      </c>
      <c r="L3" s="180">
        <f>[1]ΑΝΤΙΣΤΟΙΧΙΣΗ!$F$129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/>
      <c r="B4" s="62" t="n"/>
      <c r="C4" s="62" t="n"/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/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/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/>
      <c r="B7" s="19" t="n"/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7</v>
      </c>
      <c r="B8" s="67" t="n">
        <v>1</v>
      </c>
      <c r="C8" s="44">
        <f>[1]ΑΝΤΙΣΤΟΙΧΙΣΗ!F187</f>
        <v/>
      </c>
      <c r="D8" s="10">
        <f>'[1]2026_ΕΣΟΔΑ'!L2</f>
        <v/>
      </c>
      <c r="E8" s="11">
        <f>D8/$D$7</f>
        <v/>
      </c>
      <c r="F8" s="12">
        <f>D8+#REF!</f>
        <v/>
      </c>
      <c r="G8" s="11">
        <f>F8/$F$7</f>
        <v/>
      </c>
      <c r="H8" s="12" t="n"/>
      <c r="I8" s="11">
        <f>H8/$H$7</f>
        <v/>
      </c>
      <c r="J8" s="12">
        <f>H8+#REF!</f>
        <v/>
      </c>
      <c r="K8" s="11">
        <f>J8/$J$7</f>
        <v/>
      </c>
      <c r="L8" s="68">
        <f>'[1]2024_60-69 ΕΞΟΔΑ+ΟΜ 2'!L114</f>
        <v/>
      </c>
      <c r="M8" s="11">
        <f>L8/$L$7</f>
        <v/>
      </c>
      <c r="N8" s="12">
        <f>L8+#REF!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8</v>
      </c>
      <c r="B9" s="67" t="n">
        <v>2</v>
      </c>
      <c r="C9" s="44">
        <f>[1]ΑΝΤΙΣΤΟΙΧΙΣΗ!F188</f>
        <v/>
      </c>
      <c r="D9" s="10">
        <f>'[1]2026_ΕΣΟΔΑ'!L3</f>
        <v/>
      </c>
      <c r="E9" s="11">
        <f>D9/$D$7</f>
        <v/>
      </c>
      <c r="F9" s="12">
        <f>D9+#REF!</f>
        <v/>
      </c>
      <c r="G9" s="11">
        <f>F9/$F$7</f>
        <v/>
      </c>
      <c r="H9" s="12" t="n"/>
      <c r="I9" s="11">
        <f>H9/$H$7</f>
        <v/>
      </c>
      <c r="J9" s="12">
        <f>H9+#REF!</f>
        <v/>
      </c>
      <c r="K9" s="11">
        <f>J9/$J$7</f>
        <v/>
      </c>
      <c r="L9" s="68">
        <f>'[1]2024_60-69 ΕΞΟΔΑ+ΟΜ 2'!L115</f>
        <v/>
      </c>
      <c r="M9" s="11">
        <f>L9/$L$7</f>
        <v/>
      </c>
      <c r="N9" s="12">
        <f>L9+#REF!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9</v>
      </c>
      <c r="B10" s="67" t="n">
        <v>3</v>
      </c>
      <c r="C10" s="44">
        <f>[1]ΑΝΤΙΣΤΟΙΧΙΣΗ!F189</f>
        <v/>
      </c>
      <c r="D10" s="10">
        <f>'[1]2026_ΕΣΟΔΑ'!L4</f>
        <v/>
      </c>
      <c r="E10" s="11">
        <f>D10/$D$7</f>
        <v/>
      </c>
      <c r="F10" s="12">
        <f>D10+#REF!</f>
        <v/>
      </c>
      <c r="G10" s="11">
        <f>F10/$F$7</f>
        <v/>
      </c>
      <c r="H10" s="12" t="n"/>
      <c r="I10" s="11">
        <f>H10/$H$7</f>
        <v/>
      </c>
      <c r="J10" s="12">
        <f>H10+#REF!</f>
        <v/>
      </c>
      <c r="K10" s="11">
        <f>J10/$J$7</f>
        <v/>
      </c>
      <c r="L10" s="68">
        <f>'[1]2024_60-69 ΕΞΟΔΑ+ΟΜ 2'!L116</f>
        <v/>
      </c>
      <c r="M10" s="11">
        <f>L10/$L$7</f>
        <v/>
      </c>
      <c r="N10" s="12">
        <f>L10+#REF!</f>
        <v/>
      </c>
      <c r="O10" s="11">
        <f>N10/$N$7</f>
        <v/>
      </c>
      <c r="P10" s="12">
        <f>F10-N10</f>
        <v/>
      </c>
      <c r="Q10" s="11">
        <f>N10/F10</f>
        <v/>
      </c>
    </row>
    <row r="11" ht="14.25" customHeight="1">
      <c r="A11" s="67" t="n">
        <v>10</v>
      </c>
      <c r="B11" s="67" t="n">
        <v>4</v>
      </c>
      <c r="C11" s="44">
        <f>[1]ΑΝΤΙΣΤΟΙΧΙΣΗ!F190</f>
        <v/>
      </c>
      <c r="D11" s="10">
        <f>'[1]2026_ΕΣΟΔΑ'!L5</f>
        <v/>
      </c>
      <c r="E11" s="11">
        <f>D11/$D$7</f>
        <v/>
      </c>
      <c r="F11" s="12">
        <f>D11+#REF!</f>
        <v/>
      </c>
      <c r="G11" s="11">
        <f>F11/$F$7</f>
        <v/>
      </c>
      <c r="H11" s="12" t="n"/>
      <c r="I11" s="11">
        <f>H11/$H$7</f>
        <v/>
      </c>
      <c r="J11" s="12">
        <f>H11+#REF!</f>
        <v/>
      </c>
      <c r="K11" s="11">
        <f>J11/$J$7</f>
        <v/>
      </c>
      <c r="L11" s="68">
        <f>'[1]2024_60-69 ΕΞΟΔΑ+ΟΜ 2'!L117</f>
        <v/>
      </c>
      <c r="M11" s="11">
        <f>L11/$L$7</f>
        <v/>
      </c>
      <c r="N11" s="12">
        <f>L11+#REF!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11</v>
      </c>
      <c r="B12" s="67" t="n">
        <v>5</v>
      </c>
      <c r="C12" s="44">
        <f>[1]ΑΝΤΙΣΤΟΙΧΙΣΗ!F191</f>
        <v/>
      </c>
      <c r="D12" s="10">
        <f>'[1]2026_ΕΣΟΔΑ'!L6</f>
        <v/>
      </c>
      <c r="E12" s="11">
        <f>D12/$D$7</f>
        <v/>
      </c>
      <c r="F12" s="12">
        <f>D12+#REF!</f>
        <v/>
      </c>
      <c r="G12" s="11">
        <f>F12/$F$7</f>
        <v/>
      </c>
      <c r="H12" s="12" t="n"/>
      <c r="I12" s="11">
        <f>H12/$H$7</f>
        <v/>
      </c>
      <c r="J12" s="12">
        <f>H12+#REF!</f>
        <v/>
      </c>
      <c r="K12" s="11">
        <f>J12/$J$7</f>
        <v/>
      </c>
      <c r="L12" s="68">
        <f>'[1]2024_60-69 ΕΞΟΔΑ+ΟΜ 2'!L118</f>
        <v/>
      </c>
      <c r="M12" s="11">
        <f>L12/$L$7</f>
        <v/>
      </c>
      <c r="N12" s="12">
        <f>L12+#REF!</f>
        <v/>
      </c>
      <c r="O12" s="11">
        <f>N12/$N$7</f>
        <v/>
      </c>
      <c r="P12" s="12">
        <f>F12-N12</f>
        <v/>
      </c>
      <c r="Q12" s="11">
        <f>N12/F12</f>
        <v/>
      </c>
    </row>
    <row r="13" ht="31.5" customHeight="1">
      <c r="A13" s="67" t="n">
        <v>12</v>
      </c>
      <c r="B13" s="67" t="n">
        <v>6</v>
      </c>
      <c r="C13" s="44">
        <f>[1]ΑΝΤΙΣΤΟΙΧΙΣΗ!F192</f>
        <v/>
      </c>
      <c r="D13" s="10">
        <f>'[1]2026_ΕΣΟΔΑ'!L7</f>
        <v/>
      </c>
      <c r="E13" s="11">
        <f>D13/$D$7</f>
        <v/>
      </c>
      <c r="F13" s="12">
        <f>D13+#REF!</f>
        <v/>
      </c>
      <c r="G13" s="11">
        <f>F13/$F$7</f>
        <v/>
      </c>
      <c r="H13" s="12" t="n"/>
      <c r="I13" s="11">
        <f>H13/$H$7</f>
        <v/>
      </c>
      <c r="J13" s="12">
        <f>H13+#REF!</f>
        <v/>
      </c>
      <c r="K13" s="11">
        <f>J13/$J$7</f>
        <v/>
      </c>
      <c r="L13" s="68">
        <f>'[1]2024_60-69 ΕΞΟΔΑ+ΟΜ 2'!L119</f>
        <v/>
      </c>
      <c r="M13" s="11">
        <f>L13/$L$7</f>
        <v/>
      </c>
      <c r="N13" s="12">
        <f>L13+#REF!</f>
        <v/>
      </c>
      <c r="O13" s="11">
        <f>N13/$N$7</f>
        <v/>
      </c>
      <c r="P13" s="12">
        <f>F13-N13</f>
        <v/>
      </c>
      <c r="Q13" s="11">
        <f>N13/F13</f>
        <v/>
      </c>
    </row>
    <row r="14" ht="32.25" customHeight="1">
      <c r="A14" s="67" t="n">
        <v>13</v>
      </c>
      <c r="B14" s="67" t="n">
        <v>7</v>
      </c>
      <c r="C14" s="44">
        <f>[1]ΑΝΤΙΣΤΟΙΧΙΣΗ!F193</f>
        <v/>
      </c>
      <c r="D14" s="10">
        <f>'[1]2026_ΕΣΟΔΑ'!L8</f>
        <v/>
      </c>
      <c r="E14" s="11">
        <f>D14/$D$7</f>
        <v/>
      </c>
      <c r="F14" s="12">
        <f>D14+#REF!</f>
        <v/>
      </c>
      <c r="G14" s="11">
        <f>F14/$F$7</f>
        <v/>
      </c>
      <c r="H14" s="12" t="n"/>
      <c r="I14" s="11">
        <f>H14/$H$7</f>
        <v/>
      </c>
      <c r="J14" s="12">
        <f>H14+#REF!</f>
        <v/>
      </c>
      <c r="K14" s="11">
        <f>J14/$J$7</f>
        <v/>
      </c>
      <c r="L14" s="68">
        <f>'[1]2024_60-69 ΕΞΟΔΑ+ΟΜ 2'!L120</f>
        <v/>
      </c>
      <c r="M14" s="11">
        <f>L14/$L$7</f>
        <v/>
      </c>
      <c r="N14" s="12">
        <f>L14+#REF!</f>
        <v/>
      </c>
      <c r="O14" s="11">
        <f>N14/$N$7</f>
        <v/>
      </c>
      <c r="P14" s="12">
        <f>F14-N14</f>
        <v/>
      </c>
      <c r="Q14" s="11">
        <f>N14/F14</f>
        <v/>
      </c>
    </row>
    <row r="15" ht="30.75" customHeight="1">
      <c r="A15" s="67" t="n">
        <v>14</v>
      </c>
      <c r="B15" s="67" t="n">
        <v>8</v>
      </c>
      <c r="C15" s="44">
        <f>[1]ΑΝΤΙΣΤΟΙΧΙΣΗ!F194</f>
        <v/>
      </c>
      <c r="D15" s="10">
        <f>'[1]2026_ΕΣΟΔΑ'!L9</f>
        <v/>
      </c>
      <c r="E15" s="11">
        <f>D15/$D$7</f>
        <v/>
      </c>
      <c r="F15" s="12">
        <f>D15+#REF!</f>
        <v/>
      </c>
      <c r="G15" s="11">
        <f>F15/$F$7</f>
        <v/>
      </c>
      <c r="H15" s="12" t="n"/>
      <c r="I15" s="11">
        <f>H15/$H$7</f>
        <v/>
      </c>
      <c r="J15" s="12">
        <f>H15+#REF!</f>
        <v/>
      </c>
      <c r="K15" s="11">
        <f>J15/$J$7</f>
        <v/>
      </c>
      <c r="L15" s="68">
        <f>'[1]2024_60-69 ΕΞΟΔΑ+ΟΜ 2'!L121</f>
        <v/>
      </c>
      <c r="M15" s="11">
        <f>L15/$L$7</f>
        <v/>
      </c>
      <c r="N15" s="12">
        <f>L15+#REF!</f>
        <v/>
      </c>
      <c r="O15" s="11">
        <f>N15/$N$7</f>
        <v/>
      </c>
      <c r="P15" s="12">
        <f>F15-N15</f>
        <v/>
      </c>
      <c r="Q15" s="11">
        <f>N15/F15</f>
        <v/>
      </c>
    </row>
    <row r="16" ht="29.25" customHeight="1">
      <c r="A16" s="67" t="n">
        <v>15</v>
      </c>
      <c r="B16" s="67" t="n">
        <v>9</v>
      </c>
      <c r="C16" s="44">
        <f>[1]ΑΝΤΙΣΤΟΙΧΙΣΗ!F195</f>
        <v/>
      </c>
      <c r="D16" s="10">
        <f>'[1]2026_ΕΣΟΔΑ'!L10</f>
        <v/>
      </c>
      <c r="E16" s="11">
        <f>D16/$D$7</f>
        <v/>
      </c>
      <c r="F16" s="12">
        <f>D16+#REF!</f>
        <v/>
      </c>
      <c r="G16" s="11">
        <f>F16/$F$7</f>
        <v/>
      </c>
      <c r="H16" s="12" t="n"/>
      <c r="I16" s="11">
        <f>H16/$H$7</f>
        <v/>
      </c>
      <c r="J16" s="12">
        <f>H16+#REF!</f>
        <v/>
      </c>
      <c r="K16" s="11">
        <f>J16/$J$7</f>
        <v/>
      </c>
      <c r="L16" s="68">
        <f>'[1]2024_60-69 ΕΞΟΔΑ+ΟΜ 2'!L122</f>
        <v/>
      </c>
      <c r="M16" s="11">
        <f>L16/$L$7</f>
        <v/>
      </c>
      <c r="N16" s="12">
        <f>L16+#REF!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16</v>
      </c>
      <c r="B17" s="67" t="n">
        <v>10</v>
      </c>
      <c r="C17" s="44">
        <f>[1]ΑΝΤΙΣΤΟΙΧΙΣΗ!F196</f>
        <v/>
      </c>
      <c r="D17" s="10">
        <f>'[1]2026_ΕΣΟΔΑ'!L11</f>
        <v/>
      </c>
      <c r="E17" s="11">
        <f>D17/$D$7</f>
        <v/>
      </c>
      <c r="F17" s="12">
        <f>D17+#REF!</f>
        <v/>
      </c>
      <c r="G17" s="11">
        <f>F17/$F$7</f>
        <v/>
      </c>
      <c r="H17" s="12" t="n"/>
      <c r="I17" s="11">
        <f>H17/$H$7</f>
        <v/>
      </c>
      <c r="J17" s="12">
        <f>H17+#REF!</f>
        <v/>
      </c>
      <c r="K17" s="11">
        <f>J17/$J$7</f>
        <v/>
      </c>
      <c r="L17" s="68">
        <f>'[1]2024_60-69 ΕΞΟΔΑ+ΟΜ 2'!L123</f>
        <v/>
      </c>
      <c r="M17" s="11">
        <f>L17/$L$7</f>
        <v/>
      </c>
      <c r="N17" s="12">
        <f>L17+#REF!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17</v>
      </c>
      <c r="B18" s="67" t="n">
        <v>11</v>
      </c>
      <c r="C18" s="44">
        <f>[1]ΑΝΤΙΣΤΟΙΧΙΣΗ!F197</f>
        <v/>
      </c>
      <c r="D18" s="10">
        <f>'[1]2026_ΕΣΟΔΑ'!L12</f>
        <v/>
      </c>
      <c r="E18" s="11">
        <f>D18/$D$7</f>
        <v/>
      </c>
      <c r="F18" s="12">
        <f>D18+#REF!</f>
        <v/>
      </c>
      <c r="G18" s="11">
        <f>F18/$F$7</f>
        <v/>
      </c>
      <c r="H18" s="12" t="n"/>
      <c r="I18" s="11">
        <f>H18/$H$7</f>
        <v/>
      </c>
      <c r="J18" s="12">
        <f>H18+#REF!</f>
        <v/>
      </c>
      <c r="K18" s="11">
        <f>J18/$J$7</f>
        <v/>
      </c>
      <c r="L18" s="68">
        <f>'[1]2024_60-69 ΕΞΟΔΑ+ΟΜ 2'!L124</f>
        <v/>
      </c>
      <c r="M18" s="11">
        <f>L18/$L$7</f>
        <v/>
      </c>
      <c r="N18" s="12">
        <f>L18+#REF!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18</v>
      </c>
      <c r="B19" s="67" t="n">
        <v>12</v>
      </c>
      <c r="C19" s="44">
        <f>[1]ΑΝΤΙΣΤΟΙΧΙΣΗ!F198</f>
        <v/>
      </c>
      <c r="D19" s="10">
        <f>'[1]2026_ΕΣΟΔΑ'!L13</f>
        <v/>
      </c>
      <c r="E19" s="11">
        <f>D19/$D$7</f>
        <v/>
      </c>
      <c r="F19" s="12">
        <f>D19+#REF!</f>
        <v/>
      </c>
      <c r="G19" s="11">
        <f>F19/$F$7</f>
        <v/>
      </c>
      <c r="H19" s="12" t="n"/>
      <c r="I19" s="11">
        <f>H19/$H$7</f>
        <v/>
      </c>
      <c r="J19" s="12">
        <f>H19+#REF!</f>
        <v/>
      </c>
      <c r="K19" s="11">
        <f>J19/$J$7</f>
        <v/>
      </c>
      <c r="L19" s="68">
        <f>'[1]2024_60-69 ΕΞΟΔΑ+ΟΜ 2'!L125</f>
        <v/>
      </c>
      <c r="M19" s="11">
        <f>L19/$L$7</f>
        <v/>
      </c>
      <c r="N19" s="12">
        <f>L19+#REF!</f>
        <v/>
      </c>
      <c r="O19" s="11">
        <f>N19/$N$7</f>
        <v/>
      </c>
      <c r="P19" s="12">
        <f>F19-N19</f>
        <v/>
      </c>
      <c r="Q19" s="11">
        <f>N19/F19</f>
        <v/>
      </c>
    </row>
    <row r="20" ht="31.5" customHeight="1">
      <c r="A20" s="67" t="n">
        <v>19</v>
      </c>
      <c r="B20" s="67" t="n">
        <v>13</v>
      </c>
      <c r="C20" s="44">
        <f>[1]ΑΝΤΙΣΤΟΙΧΙΣΗ!F199</f>
        <v/>
      </c>
      <c r="D20" s="10">
        <f>'[1]2026_ΕΣΟΔΑ'!L14</f>
        <v/>
      </c>
      <c r="E20" s="11">
        <f>D20/$D$7</f>
        <v/>
      </c>
      <c r="F20" s="12">
        <f>D20+#REF!</f>
        <v/>
      </c>
      <c r="G20" s="11">
        <f>F20/$F$7</f>
        <v/>
      </c>
      <c r="H20" s="12" t="n"/>
      <c r="I20" s="11">
        <f>H20/$H$7</f>
        <v/>
      </c>
      <c r="J20" s="12">
        <f>H20+#REF!</f>
        <v/>
      </c>
      <c r="K20" s="11">
        <f>J20/$J$7</f>
        <v/>
      </c>
      <c r="L20" s="68">
        <f>'[1]2024_60-69 ΕΞΟΔΑ+ΟΜ 2'!L126</f>
        <v/>
      </c>
      <c r="M20" s="11">
        <f>L20/$L$7</f>
        <v/>
      </c>
      <c r="N20" s="12">
        <f>L20+#REF!</f>
        <v/>
      </c>
      <c r="O20" s="11">
        <f>N20/$N$7</f>
        <v/>
      </c>
      <c r="P20" s="12">
        <f>F20-N20</f>
        <v/>
      </c>
      <c r="Q20" s="11">
        <f>N20/F20</f>
        <v/>
      </c>
    </row>
    <row r="21" ht="21" customHeight="1">
      <c r="A21" s="67" t="n">
        <v>20</v>
      </c>
      <c r="B21" s="67" t="n">
        <v>14</v>
      </c>
      <c r="C21" s="44">
        <f>[1]ΑΝΤΙΣΤΟΙΧΙΣΗ!F200</f>
        <v/>
      </c>
      <c r="D21" s="10">
        <f>'[1]2026_ΕΣΟΔΑ'!L15</f>
        <v/>
      </c>
      <c r="E21" s="11">
        <f>D21/$D$7</f>
        <v/>
      </c>
      <c r="F21" s="12">
        <f>D21+#REF!</f>
        <v/>
      </c>
      <c r="G21" s="11">
        <f>F21/$F$7</f>
        <v/>
      </c>
      <c r="H21" s="12" t="n"/>
      <c r="I21" s="11">
        <f>H21/$H$7</f>
        <v/>
      </c>
      <c r="J21" s="12">
        <f>H21+#REF!</f>
        <v/>
      </c>
      <c r="K21" s="11">
        <f>J21/$J$7</f>
        <v/>
      </c>
      <c r="L21" s="68">
        <f>'[1]2024_60-69 ΕΞΟΔΑ+ΟΜ 2'!L127</f>
        <v/>
      </c>
      <c r="M21" s="11">
        <f>L21/$L$7</f>
        <v/>
      </c>
      <c r="N21" s="12">
        <f>L21+#REF!</f>
        <v/>
      </c>
      <c r="O21" s="11">
        <f>N21/$N$7</f>
        <v/>
      </c>
      <c r="P21" s="12">
        <f>F21-N21</f>
        <v/>
      </c>
      <c r="Q21" s="11">
        <f>N21/F21</f>
        <v/>
      </c>
    </row>
    <row r="22" ht="18.75" customHeight="1">
      <c r="A22" s="67" t="n">
        <v>21</v>
      </c>
      <c r="B22" s="67" t="n">
        <v>15</v>
      </c>
      <c r="C22" s="44">
        <f>[1]ΑΝΤΙΣΤΟΙΧΙΣΗ!F201</f>
        <v/>
      </c>
      <c r="D22" s="10">
        <f>'[1]2026_ΕΣΟΔΑ'!L16</f>
        <v/>
      </c>
      <c r="E22" s="11">
        <f>D22/$D$7</f>
        <v/>
      </c>
      <c r="F22" s="12">
        <f>D22+#REF!</f>
        <v/>
      </c>
      <c r="G22" s="11">
        <f>F22/$F$7</f>
        <v/>
      </c>
      <c r="H22" s="12" t="n"/>
      <c r="I22" s="11">
        <f>H22/$H$7</f>
        <v/>
      </c>
      <c r="J22" s="12">
        <f>H22+#REF!</f>
        <v/>
      </c>
      <c r="K22" s="11">
        <f>J22/$J$7</f>
        <v/>
      </c>
      <c r="L22" s="68">
        <f>'[1]2024_60-69 ΕΞΟΔΑ+ΟΜ 2'!L128</f>
        <v/>
      </c>
      <c r="M22" s="11">
        <f>L22/$L$7</f>
        <v/>
      </c>
      <c r="N22" s="12">
        <f>L22+#REF!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22</v>
      </c>
      <c r="B23" s="67" t="n">
        <v>16</v>
      </c>
      <c r="C23" s="44">
        <f>[1]ΑΝΤΙΣΤΟΙΧΙΣΗ!F202</f>
        <v/>
      </c>
      <c r="D23" s="10">
        <f>'[1]2026_ΕΣΟΔΑ'!L17</f>
        <v/>
      </c>
      <c r="E23" s="11">
        <f>D23/$D$7</f>
        <v/>
      </c>
      <c r="F23" s="12">
        <f>D23+#REF!</f>
        <v/>
      </c>
      <c r="G23" s="11">
        <f>F23/$F$7</f>
        <v/>
      </c>
      <c r="H23" s="12" t="n"/>
      <c r="I23" s="11">
        <f>H23/$H$7</f>
        <v/>
      </c>
      <c r="J23" s="12">
        <f>H23+#REF!</f>
        <v/>
      </c>
      <c r="K23" s="11">
        <f>J23/$J$7</f>
        <v/>
      </c>
      <c r="L23" s="68">
        <f>'[1]2024_60-69 ΕΞΟΔΑ+ΟΜ 2'!L129</f>
        <v/>
      </c>
      <c r="M23" s="11">
        <f>L23/$L$7</f>
        <v/>
      </c>
      <c r="N23" s="12">
        <f>L23+#REF!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23</v>
      </c>
      <c r="B24" s="67" t="n">
        <v>17</v>
      </c>
      <c r="C24" s="44">
        <f>[1]ΑΝΤΙΣΤΟΙΧΙΣΗ!F203</f>
        <v/>
      </c>
      <c r="D24" s="10">
        <f>'[1]2026_ΕΣΟΔΑ'!L18</f>
        <v/>
      </c>
      <c r="E24" s="11">
        <f>D24/$D$7</f>
        <v/>
      </c>
      <c r="F24" s="12">
        <f>D24+'[1]2026 Σεπτέμβριος'!F24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Σεπτέμβριος'!J24</f>
        <v/>
      </c>
      <c r="K24" s="11">
        <f>J24/$J$7</f>
        <v/>
      </c>
      <c r="L24" s="68">
        <f>'[1]2024_60-69 ΕΞΟΔΑ+ΟΜ 2'!L130</f>
        <v/>
      </c>
      <c r="M24" s="11">
        <f>L24/$L$7</f>
        <v/>
      </c>
      <c r="N24" s="12">
        <f>L24+'[1]2026 Σεπτέμβριος'!N24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0.25" customHeight="1">
      <c r="A25" s="67" t="n">
        <v>24</v>
      </c>
      <c r="B25" s="67" t="n">
        <v>18</v>
      </c>
      <c r="C25" s="44">
        <f>[1]ΑΝΤΙΣΤΟΙΧΙΣΗ!F204</f>
        <v/>
      </c>
      <c r="D25" s="10">
        <f>'[1]2026_ΕΣΟΔΑ'!L19</f>
        <v/>
      </c>
      <c r="E25" s="11">
        <f>D25/$D$7</f>
        <v/>
      </c>
      <c r="F25" s="12">
        <f>D25+#REF!</f>
        <v/>
      </c>
      <c r="G25" s="11">
        <f>F25/$F$7</f>
        <v/>
      </c>
      <c r="H25" s="12" t="n"/>
      <c r="I25" s="11">
        <f>H25/$H$7</f>
        <v/>
      </c>
      <c r="J25" s="12">
        <f>H25+#REF!</f>
        <v/>
      </c>
      <c r="K25" s="11">
        <f>J25/$J$7</f>
        <v/>
      </c>
      <c r="L25" s="68">
        <f>'[1]2024_60-69 ΕΞΟΔΑ+ΟΜ 2'!L131</f>
        <v/>
      </c>
      <c r="M25" s="11">
        <f>L25/$L$7</f>
        <v/>
      </c>
      <c r="N25" s="12">
        <f>L25+#REF!</f>
        <v/>
      </c>
      <c r="O25" s="11">
        <f>N25/$N$7</f>
        <v/>
      </c>
      <c r="P25" s="12">
        <f>F25-N25</f>
        <v/>
      </c>
      <c r="Q25" s="11">
        <f>N25/F25</f>
        <v/>
      </c>
    </row>
    <row r="26" ht="18.75" customHeight="1">
      <c r="A26" s="67" t="n">
        <v>25</v>
      </c>
      <c r="B26" s="67" t="n">
        <v>19</v>
      </c>
      <c r="C26" s="44">
        <f>[1]ΑΝΤΙΣΤΟΙΧΙΣΗ!F205</f>
        <v/>
      </c>
      <c r="D26" s="10">
        <f>'[1]2026_ΕΣΟΔΑ'!L20</f>
        <v/>
      </c>
      <c r="E26" s="11">
        <f>D26/$D$7</f>
        <v/>
      </c>
      <c r="F26" s="12">
        <f>D26+#REF!</f>
        <v/>
      </c>
      <c r="G26" s="11">
        <f>F26/$F$7</f>
        <v/>
      </c>
      <c r="H26" s="12" t="n"/>
      <c r="I26" s="11">
        <f>H26/$H$7</f>
        <v/>
      </c>
      <c r="J26" s="12">
        <f>H26+#REF!</f>
        <v/>
      </c>
      <c r="K26" s="11">
        <f>J26/$J$7</f>
        <v/>
      </c>
      <c r="L26" s="68">
        <f>'[1]2024_60-69 ΕΞΟΔΑ+ΟΜ 2'!L132</f>
        <v/>
      </c>
      <c r="M26" s="11">
        <f>L26/$L$7</f>
        <v/>
      </c>
      <c r="N26" s="12">
        <f>L26+#REF!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26</v>
      </c>
      <c r="B27" s="67" t="n">
        <v>20</v>
      </c>
      <c r="C27" s="44">
        <f>[1]ΑΝΤΙΣΤΟΙΧΙΣΗ!F206</f>
        <v/>
      </c>
      <c r="D27" s="10">
        <f>'[1]2026_ΕΣΟΔΑ'!L21</f>
        <v/>
      </c>
      <c r="E27" s="11">
        <f>D27/$D$7</f>
        <v/>
      </c>
      <c r="F27" s="12">
        <f>D27+#REF!</f>
        <v/>
      </c>
      <c r="G27" s="11">
        <f>F27/$F$7</f>
        <v/>
      </c>
      <c r="H27" s="12" t="n"/>
      <c r="I27" s="11">
        <f>H27/$H$7</f>
        <v/>
      </c>
      <c r="J27" s="12">
        <f>H27+#REF!</f>
        <v/>
      </c>
      <c r="K27" s="11">
        <f>J27/$J$7</f>
        <v/>
      </c>
      <c r="L27" s="68">
        <f>'[1]2024_60-69 ΕΞΟΔΑ+ΟΜ 2'!L133</f>
        <v/>
      </c>
      <c r="M27" s="11">
        <f>L27/$L$7</f>
        <v/>
      </c>
      <c r="N27" s="12">
        <f>L27+#REF!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27</v>
      </c>
      <c r="B28" s="67" t="n">
        <v>21</v>
      </c>
      <c r="C28" s="44">
        <f>[1]ΑΝΤΙΣΤΟΙΧΙΣΗ!F207</f>
        <v/>
      </c>
      <c r="D28" s="10">
        <f>'[1]2026_ΕΣΟΔΑ'!L22</f>
        <v/>
      </c>
      <c r="E28" s="11">
        <f>D28/$D$7</f>
        <v/>
      </c>
      <c r="F28" s="12">
        <f>D28+#REF!</f>
        <v/>
      </c>
      <c r="G28" s="11">
        <f>F28/$F$7</f>
        <v/>
      </c>
      <c r="H28" s="12" t="n"/>
      <c r="I28" s="11">
        <f>H28/$H$7</f>
        <v/>
      </c>
      <c r="J28" s="12">
        <f>H28+#REF!</f>
        <v/>
      </c>
      <c r="K28" s="11">
        <f>J28/$J$7</f>
        <v/>
      </c>
      <c r="L28" s="68">
        <f>'[1]2024_60-69 ΕΞΟΔΑ+ΟΜ 2'!L134</f>
        <v/>
      </c>
      <c r="M28" s="11">
        <f>L28/$L$7</f>
        <v/>
      </c>
      <c r="N28" s="12">
        <f>L28+#REF!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28</v>
      </c>
      <c r="B29" s="67" t="n">
        <v>22</v>
      </c>
      <c r="C29" s="44">
        <f>[1]ΑΝΤΙΣΤΟΙΧΙΣΗ!F208</f>
        <v/>
      </c>
      <c r="D29" s="10">
        <f>'[1]2026_ΕΣΟΔΑ'!L23</f>
        <v/>
      </c>
      <c r="E29" s="11">
        <f>D29/$D$7</f>
        <v/>
      </c>
      <c r="F29" s="12">
        <f>D29+#REF!</f>
        <v/>
      </c>
      <c r="G29" s="11">
        <f>F29/$F$7</f>
        <v/>
      </c>
      <c r="H29" s="12" t="n"/>
      <c r="I29" s="11">
        <f>H29/$H$7</f>
        <v/>
      </c>
      <c r="J29" s="12">
        <f>H29+#REF!</f>
        <v/>
      </c>
      <c r="K29" s="11">
        <f>J29/$J$7</f>
        <v/>
      </c>
      <c r="L29" s="68">
        <f>'[1]2024_60-69 ΕΞΟΔΑ+ΟΜ 2'!L135</f>
        <v/>
      </c>
      <c r="M29" s="11">
        <f>L29/$L$7</f>
        <v/>
      </c>
      <c r="N29" s="12">
        <f>L29+#REF!</f>
        <v/>
      </c>
      <c r="O29" s="11">
        <f>N29/$N$7</f>
        <v/>
      </c>
      <c r="P29" s="12">
        <f>F29-N29</f>
        <v/>
      </c>
      <c r="Q29" s="11">
        <f>N29/F29</f>
        <v/>
      </c>
    </row>
    <row r="30" ht="25.5" customHeight="1">
      <c r="A30" s="67" t="n">
        <v>29</v>
      </c>
      <c r="B30" s="67" t="n">
        <v>23</v>
      </c>
      <c r="C30" s="44">
        <f>[1]ΑΝΤΙΣΤΟΙΧΙΣΗ!F209</f>
        <v/>
      </c>
      <c r="D30" s="10">
        <f>'[1]2026_ΕΣΟΔΑ'!L24</f>
        <v/>
      </c>
      <c r="E30" s="11">
        <f>D30/$D$7</f>
        <v/>
      </c>
      <c r="F30" s="12">
        <f>D30+#REF!</f>
        <v/>
      </c>
      <c r="G30" s="11">
        <f>F30/$F$7</f>
        <v/>
      </c>
      <c r="H30" s="12" t="n"/>
      <c r="I30" s="11">
        <f>H30/$H$7</f>
        <v/>
      </c>
      <c r="J30" s="12">
        <f>H30+#REF!</f>
        <v/>
      </c>
      <c r="K30" s="11">
        <f>J30/$J$7</f>
        <v/>
      </c>
      <c r="L30" s="68">
        <f>'[1]2024_60-69 ΕΞΟΔΑ+ΟΜ 2'!L136</f>
        <v/>
      </c>
      <c r="M30" s="11">
        <f>L30/$L$7</f>
        <v/>
      </c>
      <c r="N30" s="12">
        <f>L30+#REF!</f>
        <v/>
      </c>
      <c r="O30" s="11">
        <f>N30/$N$7</f>
        <v/>
      </c>
      <c r="P30" s="12">
        <f>F30-N30</f>
        <v/>
      </c>
      <c r="Q30" s="11">
        <f>N30/F30</f>
        <v/>
      </c>
    </row>
    <row r="31" ht="24" customHeight="1">
      <c r="A31" s="67" t="n">
        <v>30</v>
      </c>
      <c r="B31" s="67" t="n">
        <v>24</v>
      </c>
      <c r="C31" s="44">
        <f>[1]ΑΝΤΙΣΤΟΙΧΙΣΗ!F210</f>
        <v/>
      </c>
      <c r="D31" s="10">
        <f>'[1]2026_ΕΣΟΔΑ'!L25</f>
        <v/>
      </c>
      <c r="E31" s="11">
        <f>D31/$D$7</f>
        <v/>
      </c>
      <c r="F31" s="12">
        <f>D31+#REF!</f>
        <v/>
      </c>
      <c r="G31" s="11">
        <f>F31/$F$7</f>
        <v/>
      </c>
      <c r="H31" s="12" t="n"/>
      <c r="I31" s="11">
        <f>H31/$H$7</f>
        <v/>
      </c>
      <c r="J31" s="12">
        <f>H31+#REF!</f>
        <v/>
      </c>
      <c r="K31" s="11">
        <f>J31/$J$7</f>
        <v/>
      </c>
      <c r="L31" s="68">
        <f>'[1]2024_60-69 ΕΞΟΔΑ+ΟΜ 2'!L137</f>
        <v/>
      </c>
      <c r="M31" s="11">
        <f>L31/$L$7</f>
        <v/>
      </c>
      <c r="N31" s="12">
        <f>L31+#REF!</f>
        <v/>
      </c>
      <c r="O31" s="11">
        <f>N31/$N$7</f>
        <v/>
      </c>
      <c r="P31" s="12">
        <f>F31-N31</f>
        <v/>
      </c>
      <c r="Q31" s="11">
        <f>N31/F31</f>
        <v/>
      </c>
    </row>
    <row r="32" ht="15" customHeight="1">
      <c r="A32" s="67" t="n">
        <v>31</v>
      </c>
      <c r="B32" s="67" t="n">
        <v>25</v>
      </c>
      <c r="C32" s="44">
        <f>[1]ΑΝΤΙΣΤΟΙΧΙΣΗ!F211</f>
        <v/>
      </c>
      <c r="D32" s="10">
        <f>'[1]2026_ΕΣΟΔΑ'!L26</f>
        <v/>
      </c>
      <c r="E32" s="11">
        <f>D32/$D$7</f>
        <v/>
      </c>
      <c r="F32" s="12">
        <f>D32+#REF!</f>
        <v/>
      </c>
      <c r="G32" s="11">
        <f>F32/$F$7</f>
        <v/>
      </c>
      <c r="H32" s="12" t="n"/>
      <c r="I32" s="11">
        <f>H32/$H$7</f>
        <v/>
      </c>
      <c r="J32" s="12">
        <f>H32+#REF!</f>
        <v/>
      </c>
      <c r="K32" s="11">
        <f>J32/$J$7</f>
        <v/>
      </c>
      <c r="L32" s="68">
        <f>'[1]2024_60-69 ΕΞΟΔΑ+ΟΜ 2'!L138</f>
        <v/>
      </c>
      <c r="M32" s="11">
        <f>L32/$L$7</f>
        <v/>
      </c>
      <c r="N32" s="12">
        <f>L32+#REF!</f>
        <v/>
      </c>
      <c r="O32" s="11">
        <f>N32/$N$7</f>
        <v/>
      </c>
      <c r="P32" s="12">
        <f>F32-N32</f>
        <v/>
      </c>
      <c r="Q32" s="11">
        <f>N32/F32</f>
        <v/>
      </c>
    </row>
    <row r="33" ht="29.25" customHeight="1">
      <c r="A33" s="67" t="n">
        <v>32</v>
      </c>
      <c r="B33" s="67" t="n">
        <v>26</v>
      </c>
      <c r="C33" s="44">
        <f>[1]ΑΝΤΙΣΤΟΙΧΙΣΗ!F212</f>
        <v/>
      </c>
      <c r="D33" s="10">
        <f>'[1]2026_ΕΣΟΔΑ'!L27</f>
        <v/>
      </c>
      <c r="E33" s="11">
        <f>D33/$D$7</f>
        <v/>
      </c>
      <c r="F33" s="12">
        <f>D33+#REF!</f>
        <v/>
      </c>
      <c r="G33" s="11">
        <f>F33/$F$7</f>
        <v/>
      </c>
      <c r="H33" s="12" t="n"/>
      <c r="I33" s="11">
        <f>H33/$H$7</f>
        <v/>
      </c>
      <c r="J33" s="12">
        <f>H33+#REF!</f>
        <v/>
      </c>
      <c r="K33" s="11">
        <f>J33/$J$7</f>
        <v/>
      </c>
      <c r="L33" s="68">
        <f>'[1]2024_60-69 ΕΞΟΔΑ+ΟΜ 2'!L139</f>
        <v/>
      </c>
      <c r="M33" s="11">
        <f>L33/$L$7</f>
        <v/>
      </c>
      <c r="N33" s="12">
        <f>L33+#REF!</f>
        <v/>
      </c>
      <c r="O33" s="11">
        <f>N33/$N$7</f>
        <v/>
      </c>
      <c r="P33" s="12">
        <f>F33-N33</f>
        <v/>
      </c>
      <c r="Q33" s="11">
        <f>N33/F33</f>
        <v/>
      </c>
    </row>
    <row r="34" ht="41.25" customHeight="1">
      <c r="A34" s="67" t="n">
        <v>33</v>
      </c>
      <c r="B34" s="67" t="n">
        <v>27</v>
      </c>
      <c r="C34" s="44">
        <f>[1]ΑΝΤΙΣΤΟΙΧΙΣΗ!F213</f>
        <v/>
      </c>
      <c r="D34" s="10">
        <f>'[1]2026_ΕΣΟΔΑ'!L28</f>
        <v/>
      </c>
      <c r="E34" s="11">
        <f>D34/$D$7</f>
        <v/>
      </c>
      <c r="F34" s="12">
        <f>D34+#REF!</f>
        <v/>
      </c>
      <c r="G34" s="11">
        <f>F34/$F$7</f>
        <v/>
      </c>
      <c r="H34" s="12" t="n"/>
      <c r="I34" s="11">
        <f>H34/$H$7</f>
        <v/>
      </c>
      <c r="J34" s="12">
        <f>H34+#REF!</f>
        <v/>
      </c>
      <c r="K34" s="11">
        <f>J34/$J$7</f>
        <v/>
      </c>
      <c r="L34" s="68">
        <f>'[1]2024_60-69 ΕΞΟΔΑ+ΟΜ 2'!L140</f>
        <v/>
      </c>
      <c r="M34" s="11">
        <f>L34/$L$7</f>
        <v/>
      </c>
      <c r="N34" s="12">
        <f>L34+#REF!</f>
        <v/>
      </c>
      <c r="O34" s="11">
        <f>N34/$N$7</f>
        <v/>
      </c>
      <c r="P34" s="12">
        <f>F34-N34</f>
        <v/>
      </c>
      <c r="Q34" s="11">
        <f>N34/F34</f>
        <v/>
      </c>
    </row>
    <row r="35" ht="80.25" customHeight="1">
      <c r="A35" s="67" t="n">
        <v>34</v>
      </c>
      <c r="B35" s="67" t="n">
        <v>28</v>
      </c>
      <c r="C35" s="44">
        <f>[1]ΑΝΤΙΣΤΟΙΧΙΣΗ!F214</f>
        <v/>
      </c>
      <c r="D35" s="10">
        <f>'[1]2026_ΕΣΟΔΑ'!L29</f>
        <v/>
      </c>
      <c r="E35" s="11">
        <f>D35/$D$7</f>
        <v/>
      </c>
      <c r="F35" s="12">
        <f>D35+#REF!</f>
        <v/>
      </c>
      <c r="G35" s="11">
        <f>F35/$F$7</f>
        <v/>
      </c>
      <c r="H35" s="12" t="n"/>
      <c r="I35" s="11">
        <f>H35/$H$7</f>
        <v/>
      </c>
      <c r="J35" s="12">
        <f>H35+#REF!</f>
        <v/>
      </c>
      <c r="K35" s="11">
        <f>J35/$J$7</f>
        <v/>
      </c>
      <c r="L35" s="68">
        <f>'[1]2024_60-69 ΕΞΟΔΑ+ΟΜ 2'!L141</f>
        <v/>
      </c>
      <c r="M35" s="11">
        <f>L35/$L$7</f>
        <v/>
      </c>
      <c r="N35" s="12">
        <f>L35+#REF!</f>
        <v/>
      </c>
      <c r="O35" s="11">
        <f>N35/$N$7</f>
        <v/>
      </c>
      <c r="P35" s="12">
        <f>F35-N35</f>
        <v/>
      </c>
      <c r="Q35" s="11">
        <f>N35/F35</f>
        <v/>
      </c>
    </row>
    <row r="36" ht="21" customHeight="1">
      <c r="A36" s="67" t="n">
        <v>35</v>
      </c>
      <c r="B36" s="67" t="n">
        <v>29</v>
      </c>
      <c r="C36" s="44">
        <f>[1]ΑΝΤΙΣΤΟΙΧΙΣΗ!F215</f>
        <v/>
      </c>
      <c r="D36" s="10">
        <f>'[1]2026_ΕΣΟΔΑ'!L30</f>
        <v/>
      </c>
      <c r="E36" s="11">
        <f>D36/$D$7</f>
        <v/>
      </c>
      <c r="F36" s="12">
        <f>D36+#REF!</f>
        <v/>
      </c>
      <c r="G36" s="11">
        <f>F36/$F$7</f>
        <v/>
      </c>
      <c r="H36" s="12" t="n"/>
      <c r="I36" s="11">
        <f>H36/$H$7</f>
        <v/>
      </c>
      <c r="J36" s="12">
        <f>H36+#REF!</f>
        <v/>
      </c>
      <c r="K36" s="11">
        <f>J36/$J$7</f>
        <v/>
      </c>
      <c r="L36" s="68">
        <f>'[1]2024_60-69 ΕΞΟΔΑ+ΟΜ 2'!L142</f>
        <v/>
      </c>
      <c r="M36" s="11">
        <f>L36/$L$7</f>
        <v/>
      </c>
      <c r="N36" s="12">
        <f>L36+#REF!</f>
        <v/>
      </c>
      <c r="O36" s="11">
        <f>N36/$N$7</f>
        <v/>
      </c>
      <c r="P36" s="12">
        <f>F36-N36</f>
        <v/>
      </c>
      <c r="Q36" s="11">
        <f>N36/F36</f>
        <v/>
      </c>
    </row>
    <row r="37" ht="28.5" customHeight="1">
      <c r="A37" s="67" t="n">
        <v>36</v>
      </c>
      <c r="B37" s="67" t="n">
        <v>30</v>
      </c>
      <c r="C37" s="44">
        <f>[1]ΑΝΤΙΣΤΟΙΧΙΣΗ!F216</f>
        <v/>
      </c>
      <c r="D37" s="10">
        <f>'[1]2026_ΕΣΟΔΑ'!L31</f>
        <v/>
      </c>
      <c r="E37" s="11">
        <f>D37/$D$7</f>
        <v/>
      </c>
      <c r="F37" s="12">
        <f>D37+#REF!</f>
        <v/>
      </c>
      <c r="G37" s="11">
        <f>F37/$F$7</f>
        <v/>
      </c>
      <c r="H37" s="12" t="n"/>
      <c r="I37" s="11">
        <f>H37/$H$7</f>
        <v/>
      </c>
      <c r="J37" s="12">
        <f>H37+#REF!</f>
        <v/>
      </c>
      <c r="K37" s="11">
        <f>J37/$J$7</f>
        <v/>
      </c>
      <c r="L37" s="68">
        <f>'[1]2024_60-69 ΕΞΟΔΑ+ΟΜ 2'!L143</f>
        <v/>
      </c>
      <c r="M37" s="11">
        <f>L37/$L$7</f>
        <v/>
      </c>
      <c r="N37" s="12">
        <f>L37+#REF!</f>
        <v/>
      </c>
      <c r="O37" s="11">
        <f>N37/$N$7</f>
        <v/>
      </c>
      <c r="P37" s="12">
        <f>F37-N37</f>
        <v/>
      </c>
      <c r="Q37" s="11">
        <f>N37/F37</f>
        <v/>
      </c>
    </row>
    <row r="38" ht="28.5" customHeight="1">
      <c r="A38" s="60" t="n"/>
      <c r="B38" s="60" t="n"/>
      <c r="C38" s="6" t="inlineStr">
        <is>
          <t>ΣΥΝΟΛΟ ΕΣΟΔΩΝ ΜΗΝΟΣ</t>
        </is>
      </c>
      <c r="D38" s="7">
        <f>'[1]2026_ΕΣΟΔΑ'!L32</f>
        <v/>
      </c>
      <c r="E38" s="8" t="n"/>
      <c r="F38" s="7">
        <f>'[1]2026_ΕΣΟΔΑ'!L34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 t="n"/>
      <c r="Q38" s="8" t="n"/>
    </row>
    <row r="39" ht="28.5" customHeight="1">
      <c r="A39" s="60" t="n"/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 t="n"/>
      <c r="Q39" s="8" t="n"/>
    </row>
    <row r="40" ht="28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28.5" customHeight="1">
      <c r="A41" s="60" t="n">
        <v>39</v>
      </c>
      <c r="B41" s="60" t="n"/>
      <c r="C41" s="5" t="inlineStr">
        <is>
          <t xml:space="preserve">ΠΕΡΙΟΔΟΣ </t>
        </is>
      </c>
      <c r="D41" s="180">
        <f>[1]ΑΝΤΙΣΤΟΙΧΙΣΗ!$F$115</f>
        <v/>
      </c>
      <c r="E41" s="192" t="n"/>
      <c r="F41" s="56" t="n"/>
      <c r="G41" s="61">
        <f>[1]ΑΝΤΙΣΤΟΙΧΙΣΗ!$D$34</f>
        <v/>
      </c>
      <c r="H41" s="180">
        <f>[1]ΑΝΤΙΣΤΟΙΧΙΣΗ!$F$115</f>
        <v/>
      </c>
      <c r="I41" s="192" t="n"/>
      <c r="J41" s="56" t="n"/>
      <c r="K41" s="61">
        <f>[1]ΑΝΤΙΣΤΟΙΧΙΣΗ!$D$34</f>
        <v/>
      </c>
      <c r="L41" s="180">
        <f>[1]ΑΝΤΙΣΤΟΙΧΙΣΗ!$F$129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28.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15" customHeight="1">
      <c r="A43" s="60" t="n">
        <v>42</v>
      </c>
      <c r="B43" s="70" t="inlineStr">
        <is>
          <t>A/A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4.7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2'!M4</f>
        <v/>
      </c>
      <c r="E44" s="15">
        <f>D44/$D$43</f>
        <v/>
      </c>
      <c r="F44" s="10">
        <f>D44+#REF!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2'!M4</f>
        <v/>
      </c>
      <c r="M44" s="15">
        <f>L44/$L$43</f>
        <v/>
      </c>
      <c r="N44" s="10">
        <f>L44+#REF!</f>
        <v/>
      </c>
      <c r="O44" s="15">
        <f>N44/$N$43</f>
        <v/>
      </c>
      <c r="P44" s="10" t="n"/>
      <c r="Q44" s="15" t="n"/>
    </row>
    <row r="45" ht="24.7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2'!M5</f>
        <v/>
      </c>
      <c r="E45" s="15">
        <f>D45/$D$43</f>
        <v/>
      </c>
      <c r="F45" s="10">
        <f>D45+#REF!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2'!M5</f>
        <v/>
      </c>
      <c r="M45" s="15">
        <f>L45/$L$43</f>
        <v/>
      </c>
      <c r="N45" s="10">
        <f>L45+#REF!</f>
        <v/>
      </c>
      <c r="O45" s="15">
        <f>N45/$N$43</f>
        <v/>
      </c>
      <c r="P45" s="10" t="n"/>
      <c r="Q45" s="15">
        <f>N45/F45</f>
        <v/>
      </c>
    </row>
    <row r="46" ht="24.7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2'!M6</f>
        <v/>
      </c>
      <c r="E46" s="15">
        <f>D46/$D$43</f>
        <v/>
      </c>
      <c r="F46" s="10">
        <f>D46+#REF!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2'!M6</f>
        <v/>
      </c>
      <c r="M46" s="15">
        <f>L46/$L$43</f>
        <v/>
      </c>
      <c r="N46" s="10">
        <f>L46+#REF!</f>
        <v/>
      </c>
      <c r="O46" s="15">
        <f>N46/$N$43</f>
        <v/>
      </c>
      <c r="P46" s="10" t="n"/>
      <c r="Q46" s="15">
        <f>N46/F46</f>
        <v/>
      </c>
    </row>
    <row r="47" ht="43.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2'!M7</f>
        <v/>
      </c>
      <c r="E47" s="15">
        <f>D49/$D$43</f>
        <v/>
      </c>
      <c r="F47" s="10">
        <f>D49+#REF!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2'!M7</f>
        <v/>
      </c>
      <c r="M47" s="15">
        <f>L49/$L$43</f>
        <v/>
      </c>
      <c r="N47" s="10">
        <f>L49+#REF!</f>
        <v/>
      </c>
      <c r="O47" s="15">
        <f>N49/$N$43</f>
        <v/>
      </c>
      <c r="P47" s="10" t="n"/>
      <c r="Q47" s="15">
        <f>N49/F49</f>
        <v/>
      </c>
    </row>
    <row r="48" ht="43.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2'!M8</f>
        <v/>
      </c>
      <c r="E48" s="15">
        <f>D50/$D$43</f>
        <v/>
      </c>
      <c r="F48" s="10">
        <f>D50+#REF!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2'!M8</f>
        <v/>
      </c>
      <c r="M48" s="15">
        <f>L50/$L$43</f>
        <v/>
      </c>
      <c r="N48" s="10">
        <f>L50+#REF!</f>
        <v/>
      </c>
      <c r="O48" s="15">
        <f>N50/$N$43</f>
        <v/>
      </c>
      <c r="P48" s="10" t="n"/>
      <c r="Q48" s="15">
        <f>N50/F50</f>
        <v/>
      </c>
    </row>
    <row r="49" ht="24.7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2'!M9</f>
        <v/>
      </c>
      <c r="E49" s="15">
        <f>D51/$D$43</f>
        <v/>
      </c>
      <c r="F49" s="10">
        <f>D51+#REF!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2'!M9</f>
        <v/>
      </c>
      <c r="M49" s="15">
        <f>L51/$L$43</f>
        <v/>
      </c>
      <c r="N49" s="10">
        <f>L51+#REF!</f>
        <v/>
      </c>
      <c r="O49" s="15">
        <f>N51/$N$43</f>
        <v/>
      </c>
      <c r="P49" s="10" t="n"/>
      <c r="Q49" s="15">
        <f>N51/F51</f>
        <v/>
      </c>
    </row>
    <row r="50" ht="24.7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2'!M10</f>
        <v/>
      </c>
      <c r="E50" s="15">
        <f>D54/$D$43</f>
        <v/>
      </c>
      <c r="F50" s="10">
        <f>D54+#REF!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2'!M10</f>
        <v/>
      </c>
      <c r="M50" s="15">
        <f>L54/$L$43</f>
        <v/>
      </c>
      <c r="N50" s="10">
        <f>L54+#REF!</f>
        <v/>
      </c>
      <c r="O50" s="15">
        <f>N54/$N$43</f>
        <v/>
      </c>
      <c r="P50" s="10" t="n"/>
      <c r="Q50" s="15">
        <f>N54/F54</f>
        <v/>
      </c>
    </row>
    <row r="51" ht="24.7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2'!M11</f>
        <v/>
      </c>
      <c r="E51" s="15">
        <f>D55/$D$43</f>
        <v/>
      </c>
      <c r="F51" s="10">
        <f>D55+#REF!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2'!M11</f>
        <v/>
      </c>
      <c r="M51" s="15">
        <f>L55/$L$43</f>
        <v/>
      </c>
      <c r="N51" s="10">
        <f>L55+#REF!</f>
        <v/>
      </c>
      <c r="O51" s="15">
        <f>N55/$N$43</f>
        <v/>
      </c>
      <c r="P51" s="10" t="n"/>
      <c r="Q51" s="15">
        <f>N55/F55</f>
        <v/>
      </c>
    </row>
    <row r="52" ht="43.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2'!M12</f>
        <v/>
      </c>
      <c r="E52" s="15">
        <f>D56/$D$43</f>
        <v/>
      </c>
      <c r="F52" s="10">
        <f>D56+#REF!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2'!M12</f>
        <v/>
      </c>
      <c r="M52" s="15">
        <f>L56/$L$43</f>
        <v/>
      </c>
      <c r="N52" s="10">
        <f>L56+#REF!</f>
        <v/>
      </c>
      <c r="O52" s="15">
        <f>N56/$N$43</f>
        <v/>
      </c>
      <c r="P52" s="10" t="n"/>
      <c r="Q52" s="15">
        <f>N56/F56</f>
        <v/>
      </c>
    </row>
    <row r="53" ht="43.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2'!M13</f>
        <v/>
      </c>
      <c r="E53" s="15">
        <f>D57/$D$43</f>
        <v/>
      </c>
      <c r="F53" s="10">
        <f>D57+#REF!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2'!M13</f>
        <v/>
      </c>
      <c r="M53" s="15">
        <f>L57/$L$43</f>
        <v/>
      </c>
      <c r="N53" s="10">
        <f>L57+#REF!</f>
        <v/>
      </c>
      <c r="O53" s="15">
        <f>N57/$N$43</f>
        <v/>
      </c>
      <c r="P53" s="10" t="n"/>
      <c r="Q53" s="15">
        <f>N57/F57</f>
        <v/>
      </c>
    </row>
    <row r="54" ht="24.7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2'!M14</f>
        <v/>
      </c>
      <c r="E54" s="15">
        <f>D58/$D$43</f>
        <v/>
      </c>
      <c r="F54" s="10">
        <f>D58+#REF!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2'!M14</f>
        <v/>
      </c>
      <c r="M54" s="15">
        <f>L58/$L$43</f>
        <v/>
      </c>
      <c r="N54" s="10">
        <f>L58+#REF!</f>
        <v/>
      </c>
      <c r="O54" s="15">
        <f>N58/$N$43</f>
        <v/>
      </c>
      <c r="P54" s="10" t="n"/>
      <c r="Q54" s="15">
        <f>N58/F58</f>
        <v/>
      </c>
    </row>
    <row r="55" ht="24.7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2'!M15</f>
        <v/>
      </c>
      <c r="E55" s="15">
        <f>D59/$D$43</f>
        <v/>
      </c>
      <c r="F55" s="10">
        <f>D59+#REF!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2'!M15</f>
        <v/>
      </c>
      <c r="M55" s="15">
        <f>L59/$L$43</f>
        <v/>
      </c>
      <c r="N55" s="10">
        <f>L59+#REF!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2'!M16</f>
        <v/>
      </c>
      <c r="E56" s="15">
        <f>D60/$D$43</f>
        <v/>
      </c>
      <c r="F56" s="10">
        <f>D60+#REF!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2'!M16</f>
        <v/>
      </c>
      <c r="M56" s="15">
        <f>L60/$L$43</f>
        <v/>
      </c>
      <c r="N56" s="10">
        <f>L60+#REF!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2'!M17</f>
        <v/>
      </c>
      <c r="E57" s="15">
        <f>D61/$D$43</f>
        <v/>
      </c>
      <c r="F57" s="10">
        <f>D61+#REF!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2'!M17</f>
        <v/>
      </c>
      <c r="M57" s="15">
        <f>L61/$L$43</f>
        <v/>
      </c>
      <c r="N57" s="10">
        <f>L61+#REF!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2'!M18</f>
        <v/>
      </c>
      <c r="E58" s="15">
        <f>D62/$D$43</f>
        <v/>
      </c>
      <c r="F58" s="10">
        <f>D62+#REF!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2'!M18</f>
        <v/>
      </c>
      <c r="M58" s="15">
        <f>L62/$L$43</f>
        <v/>
      </c>
      <c r="N58" s="10">
        <f>L62+#REF!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2'!M19</f>
        <v/>
      </c>
      <c r="E59" s="15">
        <f>D63/$D$43</f>
        <v/>
      </c>
      <c r="F59" s="10">
        <f>D63+#REF!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2'!M19</f>
        <v/>
      </c>
      <c r="M59" s="15">
        <f>L63/$L$43</f>
        <v/>
      </c>
      <c r="N59" s="10">
        <f>L63+#REF!</f>
        <v/>
      </c>
      <c r="O59" s="15">
        <f>N63/$N$43</f>
        <v/>
      </c>
      <c r="P59" s="10" t="n"/>
      <c r="Q59" s="15">
        <f>N63/F63</f>
        <v/>
      </c>
    </row>
    <row r="60" ht="1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2'!M20</f>
        <v/>
      </c>
      <c r="E60" s="15">
        <f>D64/$D$43</f>
        <v/>
      </c>
      <c r="F60" s="10">
        <f>D64+#REF!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2'!M20</f>
        <v/>
      </c>
      <c r="M60" s="15">
        <f>L64/$L$43</f>
        <v/>
      </c>
      <c r="N60" s="10">
        <f>L64+#REF!</f>
        <v/>
      </c>
      <c r="O60" s="15">
        <f>N64/$N$43</f>
        <v/>
      </c>
      <c r="P60" s="10" t="n"/>
      <c r="Q60" s="15">
        <f>N64/F64</f>
        <v/>
      </c>
    </row>
    <row r="61" ht="42.7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2'!M21</f>
        <v/>
      </c>
      <c r="E61" s="15">
        <f>D65/$D$43</f>
        <v/>
      </c>
      <c r="F61" s="10">
        <f>D65+#REF!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2'!M21</f>
        <v/>
      </c>
      <c r="M61" s="15">
        <f>L65/$L$43</f>
        <v/>
      </c>
      <c r="N61" s="10">
        <f>L65+#REF!</f>
        <v/>
      </c>
      <c r="O61" s="15">
        <f>N65/$N$43</f>
        <v/>
      </c>
      <c r="P61" s="10" t="n"/>
      <c r="Q61" s="15">
        <f>N65/F65</f>
        <v/>
      </c>
    </row>
    <row r="62" ht="42.7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2'!M22</f>
        <v/>
      </c>
      <c r="E62" s="15">
        <f>D66/$D$43</f>
        <v/>
      </c>
      <c r="F62" s="10">
        <f>D66+#REF!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2'!M22</f>
        <v/>
      </c>
      <c r="M62" s="15">
        <f>L66/$L$43</f>
        <v/>
      </c>
      <c r="N62" s="10">
        <f>L66+#REF!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2'!M23</f>
        <v/>
      </c>
      <c r="E63" s="15">
        <f>D67/$D$43</f>
        <v/>
      </c>
      <c r="F63" s="10">
        <f>D67+#REF!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2'!M23</f>
        <v/>
      </c>
      <c r="M63" s="15">
        <f>L67/$L$43</f>
        <v/>
      </c>
      <c r="N63" s="10">
        <f>L67+#REF!</f>
        <v/>
      </c>
      <c r="O63" s="15">
        <f>N67/$N$43</f>
        <v/>
      </c>
      <c r="P63" s="10" t="n"/>
      <c r="Q63" s="15">
        <f>N67/F67</f>
        <v/>
      </c>
    </row>
    <row r="64" ht="42.7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2'!M24</f>
        <v/>
      </c>
      <c r="E64" s="15">
        <f>D68/$D$43</f>
        <v/>
      </c>
      <c r="F64" s="10">
        <f>D68+#REF!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2'!M24</f>
        <v/>
      </c>
      <c r="M64" s="15">
        <f>L68/$L$43</f>
        <v/>
      </c>
      <c r="N64" s="10">
        <f>L68+#REF!</f>
        <v/>
      </c>
      <c r="O64" s="15">
        <f>N68/$N$43</f>
        <v/>
      </c>
      <c r="P64" s="10" t="n"/>
      <c r="Q64" s="15">
        <f>N68/F68</f>
        <v/>
      </c>
    </row>
    <row r="65" ht="28.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2'!M25</f>
        <v/>
      </c>
      <c r="E65" s="15">
        <f>D69/$D$43</f>
        <v/>
      </c>
      <c r="F65" s="10">
        <f>D69+#REF!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2'!M25</f>
        <v/>
      </c>
      <c r="M65" s="15">
        <f>L69/$L$43</f>
        <v/>
      </c>
      <c r="N65" s="10">
        <f>L69+#REF!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2'!M26</f>
        <v/>
      </c>
      <c r="E66" s="15">
        <f>D70/$D$43</f>
        <v/>
      </c>
      <c r="F66" s="10">
        <f>D70+#REF!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2'!M26</f>
        <v/>
      </c>
      <c r="M66" s="15">
        <f>L70/$L$43</f>
        <v/>
      </c>
      <c r="N66" s="10">
        <f>L70+#REF!</f>
        <v/>
      </c>
      <c r="O66" s="15">
        <f>N70/$N$43</f>
        <v/>
      </c>
      <c r="P66" s="10" t="n"/>
      <c r="Q66" s="15">
        <f>N70/F70</f>
        <v/>
      </c>
    </row>
    <row r="67" ht="22.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2'!M27</f>
        <v/>
      </c>
      <c r="E67" s="15">
        <f>D71/$D$43</f>
        <v/>
      </c>
      <c r="F67" s="10">
        <f>D71+#REF!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2'!M27</f>
        <v/>
      </c>
      <c r="M67" s="15">
        <f>L71/$L$43</f>
        <v/>
      </c>
      <c r="N67" s="10">
        <f>L71+#REF!</f>
        <v/>
      </c>
      <c r="O67" s="15">
        <f>N71/$N$43</f>
        <v/>
      </c>
      <c r="P67" s="10" t="n"/>
      <c r="Q67" s="15">
        <f>N71/F71</f>
        <v/>
      </c>
    </row>
    <row r="68" ht="36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2'!M28</f>
        <v/>
      </c>
      <c r="E68" s="15">
        <f>D72/$D$43</f>
        <v/>
      </c>
      <c r="F68" s="10">
        <f>D72+#REF!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2'!M28</f>
        <v/>
      </c>
      <c r="M68" s="15">
        <f>L72/$L$43</f>
        <v/>
      </c>
      <c r="N68" s="10">
        <f>L72+#REF!</f>
        <v/>
      </c>
      <c r="O68" s="15">
        <f>N72/$N$43</f>
        <v/>
      </c>
      <c r="P68" s="10" t="n"/>
      <c r="Q68" s="15">
        <f>N72/F72</f>
        <v/>
      </c>
    </row>
    <row r="69" ht="36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2'!M29</f>
        <v/>
      </c>
      <c r="E69" s="15">
        <f>D73/$D$43</f>
        <v/>
      </c>
      <c r="F69" s="10">
        <f>D73+#REF!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2'!M29</f>
        <v/>
      </c>
      <c r="M69" s="15">
        <f>L73/$L$43</f>
        <v/>
      </c>
      <c r="N69" s="10">
        <f>L73+#REF!</f>
        <v/>
      </c>
      <c r="O69" s="15">
        <f>N73/$N$43</f>
        <v/>
      </c>
      <c r="P69" s="10" t="n"/>
      <c r="Q69" s="15">
        <f>N73/F73</f>
        <v/>
      </c>
    </row>
    <row r="70" ht="36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D74+#REF!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2'!M30</f>
        <v/>
      </c>
      <c r="M70" s="15">
        <f>L74/$L$43</f>
        <v/>
      </c>
      <c r="N70" s="10">
        <f>L74+#REF!</f>
        <v/>
      </c>
      <c r="O70" s="15">
        <f>N74/$N$43</f>
        <v/>
      </c>
      <c r="P70" s="10" t="n"/>
      <c r="Q70" s="15">
        <f>N74/F74</f>
        <v/>
      </c>
    </row>
    <row r="71" ht="15.7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2'!M31</f>
        <v/>
      </c>
      <c r="E71" s="15">
        <f>D75/$D$43</f>
        <v/>
      </c>
      <c r="F71" s="10">
        <f>D75+#REF!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2'!M31</f>
        <v/>
      </c>
      <c r="M71" s="15">
        <f>L75/$L$43</f>
        <v/>
      </c>
      <c r="N71" s="10">
        <f>L75+#REF!</f>
        <v/>
      </c>
      <c r="O71" s="15">
        <f>N75/$N$43</f>
        <v/>
      </c>
      <c r="P71" s="10" t="n"/>
      <c r="Q71" s="15">
        <f>N75/F75</f>
        <v/>
      </c>
    </row>
    <row r="72" ht="27.7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2'!M32</f>
        <v/>
      </c>
      <c r="E72" s="15">
        <f>D76/$D$43</f>
        <v/>
      </c>
      <c r="F72" s="10">
        <f>D76+#REF!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2'!M32</f>
        <v/>
      </c>
      <c r="M72" s="15">
        <f>L76/$L$43</f>
        <v/>
      </c>
      <c r="N72" s="10">
        <f>L76+#REF!</f>
        <v/>
      </c>
      <c r="O72" s="15">
        <f>N76/$N$43</f>
        <v/>
      </c>
      <c r="P72" s="10" t="n"/>
      <c r="Q72" s="15">
        <f>N76/F76</f>
        <v/>
      </c>
    </row>
    <row r="73" ht="78.7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2'!M33</f>
        <v/>
      </c>
      <c r="E73" s="15">
        <f>D77/$D$43</f>
        <v/>
      </c>
      <c r="F73" s="10">
        <f>D77+#REF!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2'!M33</f>
        <v/>
      </c>
      <c r="M73" s="15">
        <f>L77/$L$43</f>
        <v/>
      </c>
      <c r="N73" s="10">
        <f>L77+#REF!</f>
        <v/>
      </c>
      <c r="O73" s="15">
        <f>N77/$N$43</f>
        <v/>
      </c>
      <c r="P73" s="10" t="n"/>
      <c r="Q73" s="15">
        <f>N77/F77</f>
        <v/>
      </c>
    </row>
    <row r="74" ht="30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2'!M3</f>
        <v/>
      </c>
      <c r="E74" s="21" t="n"/>
      <c r="F74" s="7">
        <f>'[1]2026_60-69 ΕΞΟΔΑ+ΟΜ 2'!Z3</f>
        <v/>
      </c>
      <c r="G74" s="21" t="n"/>
      <c r="H74" s="7">
        <f>SUM(H44:H75)</f>
        <v/>
      </c>
      <c r="I74" s="21" t="n"/>
      <c r="J74" s="7">
        <f>SUM(J44:J75)</f>
        <v/>
      </c>
      <c r="K74" s="21" t="n"/>
      <c r="L74" s="7">
        <f>SUM(L44:L75)</f>
        <v/>
      </c>
      <c r="M74" s="21" t="n"/>
      <c r="N74" s="7">
        <f>SUM(N44:N75)</f>
        <v/>
      </c>
      <c r="O74" s="21" t="n"/>
      <c r="P74" s="7">
        <f>SUM(P44:P75)</f>
        <v/>
      </c>
      <c r="Q74" s="21" t="n"/>
    </row>
    <row r="75" ht="33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28.5" customHeight="1">
      <c r="A76" s="76" t="n">
        <v>79</v>
      </c>
      <c r="B76" s="76" t="n">
        <v>28</v>
      </c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28.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28.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[1]ΑΝΤΙΣΤΟΙΧΙΣΗ!$F$115</f>
        <v/>
      </c>
      <c r="E78" s="192" t="n"/>
      <c r="F78" s="56" t="n"/>
      <c r="G78" s="61">
        <f>[1]ΑΝΤΙΣΤΟΙΧΙΣΗ!$D$34</f>
        <v/>
      </c>
      <c r="H78" s="180">
        <f>[1]ΑΝΤΙΣΤΟΙΧΙΣΗ!$F$115</f>
        <v/>
      </c>
      <c r="I78" s="192" t="n"/>
      <c r="J78" s="56" t="n"/>
      <c r="K78" s="61">
        <f>[1]ΑΝΤΙΣΤΟΙΧΙΣΗ!$D$34</f>
        <v/>
      </c>
      <c r="L78" s="180">
        <f>[1]ΑΝΤΙΣΤΟΙΧΙΣΗ!$F$129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33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27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0.7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2'!M39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2'!M37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2'!M40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2'!M38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2'!M43</f>
        <v/>
      </c>
      <c r="E83" s="15">
        <f>D87/$D$84</f>
        <v/>
      </c>
      <c r="F83" s="79">
        <f>D87+#REF!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2'!M41</f>
        <v/>
      </c>
      <c r="M83" s="15">
        <f>L87/$L$84</f>
        <v/>
      </c>
      <c r="N83" s="10">
        <f>L87+#REF!</f>
        <v/>
      </c>
      <c r="O83" s="15">
        <f>N87/$N$84</f>
        <v/>
      </c>
      <c r="P83" s="27" t="n"/>
      <c r="Q83" s="28">
        <f>SUM(D87:P87)</f>
        <v/>
      </c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2'!M44</f>
        <v/>
      </c>
      <c r="E84" s="15">
        <f>D88/$D$84</f>
        <v/>
      </c>
      <c r="F84" s="79">
        <f>D88+#REF!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2'!M42</f>
        <v/>
      </c>
      <c r="M84" s="15">
        <f>L88/$L$84</f>
        <v/>
      </c>
      <c r="N84" s="10">
        <f>L88+#REF!</f>
        <v/>
      </c>
      <c r="O84" s="15">
        <f>N88/$N$84</f>
        <v/>
      </c>
      <c r="P84" s="27" t="n"/>
      <c r="Q84" s="28">
        <f>SUM(D88:P88)</f>
        <v/>
      </c>
    </row>
    <row r="85" ht="43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2'!M45</f>
        <v/>
      </c>
      <c r="E85" s="15">
        <f>D89/$D$84</f>
        <v/>
      </c>
      <c r="F85" s="79">
        <f>D89+#REF!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2'!M43</f>
        <v/>
      </c>
      <c r="M85" s="15">
        <f>L89/$L$84</f>
        <v/>
      </c>
      <c r="N85" s="10">
        <f>L89+#REF!</f>
        <v/>
      </c>
      <c r="O85" s="15">
        <f>N89/$N$84</f>
        <v/>
      </c>
      <c r="P85" s="80" t="n"/>
      <c r="Q85" s="28">
        <f>SUM(D89:P89)</f>
        <v/>
      </c>
    </row>
    <row r="86" ht="43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2'!M46</f>
        <v/>
      </c>
      <c r="E86" s="15">
        <f>D90/$D$84</f>
        <v/>
      </c>
      <c r="F86" s="79">
        <f>D90+#REF!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2'!M44</f>
        <v/>
      </c>
      <c r="M86" s="15">
        <f>L90/$L$84</f>
        <v/>
      </c>
      <c r="N86" s="10">
        <f>L90+#REF!</f>
        <v/>
      </c>
      <c r="O86" s="15">
        <f>N90/$N$84</f>
        <v/>
      </c>
      <c r="P86" s="80" t="n"/>
      <c r="Q86" s="28">
        <f>SUM(D90:P90)</f>
        <v/>
      </c>
    </row>
    <row r="87" ht="43.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2'!M47</f>
        <v/>
      </c>
      <c r="E87" s="15">
        <f>D91/$D$84</f>
        <v/>
      </c>
      <c r="F87" s="79">
        <f>D91+#REF!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2'!M45</f>
        <v/>
      </c>
      <c r="M87" s="15">
        <f>L91/$L$84</f>
        <v/>
      </c>
      <c r="N87" s="10">
        <f>L91+#REF!</f>
        <v/>
      </c>
      <c r="O87" s="15">
        <f>N91/$N$84</f>
        <v/>
      </c>
      <c r="P87" s="80" t="n"/>
      <c r="Q87" s="28">
        <f>SUM(D91:P91)</f>
        <v/>
      </c>
    </row>
    <row r="88" ht="43.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2'!M48</f>
        <v/>
      </c>
      <c r="E88" s="15">
        <f>D92/$D$84</f>
        <v/>
      </c>
      <c r="F88" s="79">
        <f>D92+#REF!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2'!M46</f>
        <v/>
      </c>
      <c r="M88" s="15">
        <f>L92/$L$84</f>
        <v/>
      </c>
      <c r="N88" s="10">
        <f>L92+#REF!</f>
        <v/>
      </c>
      <c r="O88" s="15">
        <f>N92/$N$84</f>
        <v/>
      </c>
      <c r="P88" s="27" t="n"/>
      <c r="Q88" s="28">
        <f>SUM(D92:P92)</f>
        <v/>
      </c>
    </row>
    <row r="89" ht="43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2'!M49</f>
        <v/>
      </c>
      <c r="E89" s="15">
        <f>D93/$D$84</f>
        <v/>
      </c>
      <c r="F89" s="79">
        <f>D93+#REF!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2'!M47</f>
        <v/>
      </c>
      <c r="M89" s="15">
        <f>L93/$L$84</f>
        <v/>
      </c>
      <c r="N89" s="10">
        <f>L93+#REF!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2'!M50</f>
        <v/>
      </c>
      <c r="E90" s="15">
        <f>D94/$D$84</f>
        <v/>
      </c>
      <c r="F90" s="79">
        <f>D94+#REF!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2'!M48</f>
        <v/>
      </c>
      <c r="M90" s="15">
        <f>L94/$L$84</f>
        <v/>
      </c>
      <c r="N90" s="10">
        <f>L94+#REF!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2'!M51</f>
        <v/>
      </c>
      <c r="E91" s="15">
        <f>D95/$D$84</f>
        <v/>
      </c>
      <c r="F91" s="79">
        <f>D95+#REF!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2'!M49</f>
        <v/>
      </c>
      <c r="M91" s="15">
        <f>L95/$L$84</f>
        <v/>
      </c>
      <c r="N91" s="10">
        <f>L95+#REF!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2'!M52</f>
        <v/>
      </c>
      <c r="E92" s="15">
        <f>D96/$D$84</f>
        <v/>
      </c>
      <c r="F92" s="79">
        <f>D96+#REF!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2'!M50</f>
        <v/>
      </c>
      <c r="M92" s="15">
        <f>L96/$L$84</f>
        <v/>
      </c>
      <c r="N92" s="10">
        <f>L96+#REF!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2'!M53</f>
        <v/>
      </c>
      <c r="E93" s="15">
        <f>D97/$D$84</f>
        <v/>
      </c>
      <c r="F93" s="79">
        <f>D97+#REF!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2'!M51</f>
        <v/>
      </c>
      <c r="M93" s="15">
        <f>L97/$L$84</f>
        <v/>
      </c>
      <c r="N93" s="10">
        <f>L97+#REF!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2'!M54</f>
        <v/>
      </c>
      <c r="E94" s="15">
        <f>D98/$D$84</f>
        <v/>
      </c>
      <c r="F94" s="79">
        <f>D98+#REF!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2'!M52</f>
        <v/>
      </c>
      <c r="M94" s="15">
        <f>L98/$L$84</f>
        <v/>
      </c>
      <c r="N94" s="10">
        <f>L98+#REF!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2'!M55</f>
        <v/>
      </c>
      <c r="E95" s="15">
        <f>D99/$D$84</f>
        <v/>
      </c>
      <c r="F95" s="79">
        <f>D99+#REF!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2'!M53</f>
        <v/>
      </c>
      <c r="M95" s="15">
        <f>L99/$L$84</f>
        <v/>
      </c>
      <c r="N95" s="10">
        <f>L99+#REF!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2'!M56</f>
        <v/>
      </c>
      <c r="E96" s="15">
        <f>D100/$D$84</f>
        <v/>
      </c>
      <c r="F96" s="79">
        <f>D100+#REF!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2'!M54</f>
        <v/>
      </c>
      <c r="M96" s="15">
        <f>L100/$L$84</f>
        <v/>
      </c>
      <c r="N96" s="10">
        <f>L100+#REF!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2'!M57</f>
        <v/>
      </c>
      <c r="E97" s="15">
        <f>D101/$D$84</f>
        <v/>
      </c>
      <c r="F97" s="79">
        <f>D101+#REF!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2'!M55</f>
        <v/>
      </c>
      <c r="M97" s="15">
        <f>L101/$L$84</f>
        <v/>
      </c>
      <c r="N97" s="10">
        <f>L101+#REF!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2'!M58</f>
        <v/>
      </c>
      <c r="E98" s="15">
        <f>D102/$D$84</f>
        <v/>
      </c>
      <c r="F98" s="79">
        <f>D102+#REF!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2'!M56</f>
        <v/>
      </c>
      <c r="M98" s="15">
        <f>L102/$L$84</f>
        <v/>
      </c>
      <c r="N98" s="10">
        <f>L102+#REF!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2'!M59</f>
        <v/>
      </c>
      <c r="E99" s="15">
        <f>D103/$D$84</f>
        <v/>
      </c>
      <c r="F99" s="79">
        <f>D103+#REF!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2'!M57</f>
        <v/>
      </c>
      <c r="M99" s="15">
        <f>L103/$L$84</f>
        <v/>
      </c>
      <c r="N99" s="10">
        <f>L103+#REF!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2'!M60</f>
        <v/>
      </c>
      <c r="E100" s="15">
        <f>D104/$D$84</f>
        <v/>
      </c>
      <c r="F100" s="79">
        <f>D104+#REF!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2'!M58</f>
        <v/>
      </c>
      <c r="M100" s="15">
        <f>L104/$L$84</f>
        <v/>
      </c>
      <c r="N100" s="10">
        <f>L104+#REF!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2'!M61</f>
        <v/>
      </c>
      <c r="E101" s="15">
        <f>D105/$D$84</f>
        <v/>
      </c>
      <c r="F101" s="79">
        <f>D105+#REF!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2'!M59</f>
        <v/>
      </c>
      <c r="M101" s="15">
        <f>L105/$L$84</f>
        <v/>
      </c>
      <c r="N101" s="10">
        <f>L105+#REF!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.7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15.7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30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/>
      <c r="B107" s="60" t="n"/>
      <c r="C107" s="20" t="inlineStr">
        <is>
          <t>ΣΥΝΟΛΟ ΚΟΣΤΟΥΣ Sales-Marketing ΜΗΝΟΣ</t>
        </is>
      </c>
      <c r="D107" s="7">
        <f>'[1]2026_60-69 ΕΞΟΔΑ+ΟΜ 2'!M36</f>
        <v/>
      </c>
      <c r="E107" s="8" t="n"/>
      <c r="F107" s="7">
        <f>'[1]2026_60-69 ΕΞΟΔΑ+ΟΜ 2'!Z36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[1]ΑΝΤΙΣΤΟΙΧΙΣΗ!$F$115</f>
        <v/>
      </c>
      <c r="E110" s="192" t="n"/>
      <c r="F110" s="56" t="n"/>
      <c r="G110" s="61">
        <f>[1]ΑΝΤΙΣΤΟΙΧΙΣΗ!$D$34</f>
        <v/>
      </c>
      <c r="H110" s="180">
        <f>[1]ΑΝΤΙΣΤΟΙΧΙΣΗ!$F$115</f>
        <v/>
      </c>
      <c r="I110" s="192" t="n"/>
      <c r="J110" s="56" t="n"/>
      <c r="K110" s="61">
        <f>[1]ΑΝΤΙΣΤΟΙΧΙΣΗ!$D$34</f>
        <v/>
      </c>
      <c r="L110" s="180">
        <f>[1]ΑΝΤΙΣΤΟΙΧΙΣΗ!$F$129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'[1]2026_60-69 ΕΞΟΔΑ+ΟΜ 2'!M74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2'!M66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'[1]2026_60-69 ΕΞΟΔΑ+ΟΜ 2'!M75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2'!M67</f>
        <v/>
      </c>
      <c r="M114" s="192" t="n"/>
      <c r="N114" s="56" t="n"/>
      <c r="O114" s="15">
        <f>N118/$N$116</f>
        <v/>
      </c>
      <c r="P114" s="10" t="n"/>
      <c r="Q114" s="56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'[1]2026_60-69 ΕΞΟΔΑ+ΟΜ 2'!M76</f>
        <v/>
      </c>
      <c r="E115" s="15">
        <f>D119/$D$116</f>
        <v/>
      </c>
      <c r="F115" s="10">
        <f>D119+#REF!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2'!M68</f>
        <v/>
      </c>
      <c r="M115" s="15">
        <f>L119/$L$116</f>
        <v/>
      </c>
      <c r="N115" s="10">
        <f>L119+#REF!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'[1]2026_60-69 ΕΞΟΔΑ+ΟΜ 2'!M77</f>
        <v/>
      </c>
      <c r="E116" s="15">
        <f>D120/$D$116</f>
        <v/>
      </c>
      <c r="F116" s="10">
        <f>D120+#REF!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2'!M69</f>
        <v/>
      </c>
      <c r="M116" s="15">
        <f>L120/$L$116</f>
        <v/>
      </c>
      <c r="N116" s="10">
        <f>L120+#REF!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'[1]2026_60-69 ΕΞΟΔΑ+ΟΜ 2'!M78</f>
        <v/>
      </c>
      <c r="E117" s="15">
        <f>D121/$D$116</f>
        <v/>
      </c>
      <c r="F117" s="10">
        <f>D121+#REF!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2'!M70</f>
        <v/>
      </c>
      <c r="M117" s="15">
        <f>L121/$L$116</f>
        <v/>
      </c>
      <c r="N117" s="10">
        <f>L121+#REF!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'[1]2026_60-69 ΕΞΟΔΑ+ΟΜ 2'!M79</f>
        <v/>
      </c>
      <c r="E118" s="15">
        <f>D122/$D$116</f>
        <v/>
      </c>
      <c r="F118" s="10">
        <f>D122+#REF!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2'!M71</f>
        <v/>
      </c>
      <c r="M118" s="15">
        <f>L122/$L$116</f>
        <v/>
      </c>
      <c r="N118" s="10">
        <f>L122+#REF!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'[1]2026_60-69 ΕΞΟΔΑ+ΟΜ 2'!M80</f>
        <v/>
      </c>
      <c r="E119" s="15">
        <f>D123/$D$116</f>
        <v/>
      </c>
      <c r="F119" s="10">
        <f>D123+#REF!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2'!M72</f>
        <v/>
      </c>
      <c r="M119" s="15">
        <f>L123/$L$116</f>
        <v/>
      </c>
      <c r="N119" s="10">
        <f>L123+#REF!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'[1]2026_60-69 ΕΞΟΔΑ+ΟΜ 2'!M81</f>
        <v/>
      </c>
      <c r="E120" s="15">
        <f>D124/$D$116</f>
        <v/>
      </c>
      <c r="F120" s="10">
        <f>D124+#REF!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2'!M73</f>
        <v/>
      </c>
      <c r="M120" s="15">
        <f>L124/$L$116</f>
        <v/>
      </c>
      <c r="N120" s="10">
        <f>L124+#REF!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'[1]2026_60-69 ΕΞΟΔΑ+ΟΜ 2'!M82</f>
        <v/>
      </c>
      <c r="E121" s="15">
        <f>D125/$D$116</f>
        <v/>
      </c>
      <c r="F121" s="10">
        <f>D125+#REF!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2'!M74</f>
        <v/>
      </c>
      <c r="M121" s="15">
        <f>L125/$L$116</f>
        <v/>
      </c>
      <c r="N121" s="10">
        <f>L125+#REF!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'[1]2026_60-69 ΕΞΟΔΑ+ΟΜ 2'!M83</f>
        <v/>
      </c>
      <c r="E122" s="15">
        <f>D126/$D$116</f>
        <v/>
      </c>
      <c r="F122" s="10">
        <f>D126+#REF!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2'!M75</f>
        <v/>
      </c>
      <c r="M122" s="15">
        <f>L126/$L$116</f>
        <v/>
      </c>
      <c r="N122" s="10">
        <f>L126+#REF!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'[1]2026_60-69 ΕΞΟΔΑ+ΟΜ 2'!M84</f>
        <v/>
      </c>
      <c r="E123" s="15">
        <f>D127/$D$116</f>
        <v/>
      </c>
      <c r="F123" s="10">
        <f>D127+#REF!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2'!M76</f>
        <v/>
      </c>
      <c r="M123" s="15">
        <f>L127/$L$116</f>
        <v/>
      </c>
      <c r="N123" s="10">
        <f>L127+#REF!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'[1]2026_60-69 ΕΞΟΔΑ+ΟΜ 2'!M85</f>
        <v/>
      </c>
      <c r="E124" s="15">
        <f>D128/$D$116</f>
        <v/>
      </c>
      <c r="F124" s="10">
        <f>D128+#REF!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2'!M77</f>
        <v/>
      </c>
      <c r="M124" s="15">
        <f>L128/$L$116</f>
        <v/>
      </c>
      <c r="N124" s="10">
        <f>L128+#REF!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'[1]2026_60-69 ΕΞΟΔΑ+ΟΜ 2'!M86</f>
        <v/>
      </c>
      <c r="E125" s="15">
        <f>D129/$D$116</f>
        <v/>
      </c>
      <c r="F125" s="10">
        <f>D129+#REF!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2'!M78</f>
        <v/>
      </c>
      <c r="M125" s="15">
        <f>L129/$L$116</f>
        <v/>
      </c>
      <c r="N125" s="10">
        <f>L129+#REF!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'[1]2026_60-69 ΕΞΟΔΑ+ΟΜ 2'!M87</f>
        <v/>
      </c>
      <c r="E126" s="15">
        <f>D130/$D$116</f>
        <v/>
      </c>
      <c r="F126" s="10">
        <f>D130+#REF!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2'!M79</f>
        <v/>
      </c>
      <c r="M126" s="15">
        <f>L130/$L$116</f>
        <v/>
      </c>
      <c r="N126" s="10">
        <f>L130+#REF!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'[1]2026_60-69 ΕΞΟΔΑ+ΟΜ 2'!M88</f>
        <v/>
      </c>
      <c r="E127" s="15">
        <f>D131/$D$116</f>
        <v/>
      </c>
      <c r="F127" s="10">
        <f>D131+#REF!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2'!M80</f>
        <v/>
      </c>
      <c r="M127" s="15">
        <f>L131/$L$116</f>
        <v/>
      </c>
      <c r="N127" s="10">
        <f>L131+#REF!</f>
        <v/>
      </c>
      <c r="O127" s="15">
        <f>N131/$N$116</f>
        <v/>
      </c>
      <c r="P127" s="10" t="n"/>
      <c r="Q127" s="30">
        <f>SUM(D131:P131)</f>
        <v/>
      </c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'[1]2026_60-69 ΕΞΟΔΑ+ΟΜ 2'!M89</f>
        <v/>
      </c>
      <c r="E128" s="15">
        <f>D132/$D$116</f>
        <v/>
      </c>
      <c r="F128" s="10">
        <f>D132+#REF!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2'!M81</f>
        <v/>
      </c>
      <c r="M128" s="15">
        <f>L132/$L$116</f>
        <v/>
      </c>
      <c r="N128" s="10">
        <f>L132+#REF!</f>
        <v/>
      </c>
      <c r="O128" s="15">
        <f>N132/$N$116</f>
        <v/>
      </c>
      <c r="P128" s="10" t="n"/>
      <c r="Q128" s="30">
        <f>SUM(D132:P132)</f>
        <v/>
      </c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'[1]2026_60-69 ΕΞΟΔΑ+ΟΜ 2'!M90</f>
        <v/>
      </c>
      <c r="E129" s="15">
        <f>D133/$D$116</f>
        <v/>
      </c>
      <c r="F129" s="10">
        <f>D133+#REF!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2'!M82</f>
        <v/>
      </c>
      <c r="M129" s="15">
        <f>L133/$L$116</f>
        <v/>
      </c>
      <c r="N129" s="10">
        <f>L133+#REF!</f>
        <v/>
      </c>
      <c r="O129" s="15">
        <f>N133/$N$116</f>
        <v/>
      </c>
      <c r="P129" s="10" t="n"/>
      <c r="Q129" s="30">
        <f>SUM(D133:P133)</f>
        <v/>
      </c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'[1]2026_60-69 ΕΞΟΔΑ+ΟΜ 2'!M91</f>
        <v/>
      </c>
      <c r="E130" s="15">
        <f>D134/$D$116</f>
        <v/>
      </c>
      <c r="F130" s="10">
        <f>D134+#REF!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2'!M83</f>
        <v/>
      </c>
      <c r="M130" s="15">
        <f>L134/$L$116</f>
        <v/>
      </c>
      <c r="N130" s="10">
        <f>L134+#REF!</f>
        <v/>
      </c>
      <c r="O130" s="15">
        <f>N134/$N$116</f>
        <v/>
      </c>
      <c r="P130" s="10" t="n"/>
      <c r="Q130" s="30">
        <f>SUM(D134:P134)</f>
        <v/>
      </c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'[1]2026_60-69 ΕΞΟΔΑ+ΟΜ 2'!M92</f>
        <v/>
      </c>
      <c r="E131" s="15">
        <f>D135/$D$116</f>
        <v/>
      </c>
      <c r="F131" s="10">
        <f>D135+#REF!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2'!M84</f>
        <v/>
      </c>
      <c r="M131" s="15">
        <f>L135/$L$116</f>
        <v/>
      </c>
      <c r="N131" s="10">
        <f>L135+#REF!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'[1]2026_60-69 ΕΞΟΔΑ+ΟΜ 2'!M93</f>
        <v/>
      </c>
      <c r="E132" s="15">
        <f>D136/$D$116</f>
        <v/>
      </c>
      <c r="F132" s="10">
        <f>D136+#REF!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2'!M85</f>
        <v/>
      </c>
      <c r="M132" s="15">
        <f>L136/$L$116</f>
        <v/>
      </c>
      <c r="N132" s="10">
        <f>L136+#REF!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'[1]2026_60-69 ΕΞΟΔΑ+ΟΜ 2'!M94</f>
        <v/>
      </c>
      <c r="E133" s="15">
        <f>D137/$D$116</f>
        <v/>
      </c>
      <c r="F133" s="10">
        <f>D137+#REF!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2'!M86</f>
        <v/>
      </c>
      <c r="M133" s="15">
        <f>L137/$L$116</f>
        <v/>
      </c>
      <c r="N133" s="10">
        <f>L137+#REF!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'[1]2026_60-69 ΕΞΟΔΑ+ΟΜ 2'!M95</f>
        <v/>
      </c>
      <c r="E134" s="15">
        <f>D138/$D$116</f>
        <v/>
      </c>
      <c r="F134" s="10">
        <f>D138+#REF!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2'!M87</f>
        <v/>
      </c>
      <c r="M134" s="15">
        <f>L138/$L$116</f>
        <v/>
      </c>
      <c r="N134" s="10">
        <f>L138+#REF!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'[1]2026_60-69 ΕΞΟΔΑ+ΟΜ 2'!M96</f>
        <v/>
      </c>
      <c r="E135" s="15">
        <f>D139/$D$116</f>
        <v/>
      </c>
      <c r="F135" s="10">
        <f>D139+#REF!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2'!M88</f>
        <v/>
      </c>
      <c r="M135" s="15">
        <f>L139/$L$116</f>
        <v/>
      </c>
      <c r="N135" s="10">
        <f>L139+#REF!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'[1]2026_60-69 ΕΞΟΔΑ+ΟΜ 2'!M97</f>
        <v/>
      </c>
      <c r="E136" s="15">
        <f>D140/$D$116</f>
        <v/>
      </c>
      <c r="F136" s="10">
        <f>D140+#REF!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2'!M89</f>
        <v/>
      </c>
      <c r="M136" s="15">
        <f>L140/$L$116</f>
        <v/>
      </c>
      <c r="N136" s="10">
        <f>L140+#REF!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'[1]2026_60-69 ΕΞΟΔΑ+ΟΜ 2'!M98</f>
        <v/>
      </c>
      <c r="E137" s="15">
        <f>D141/$D$116</f>
        <v/>
      </c>
      <c r="F137" s="10">
        <f>D141+#REF!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2'!M90</f>
        <v/>
      </c>
      <c r="M137" s="15">
        <f>L141/$L$116</f>
        <v/>
      </c>
      <c r="N137" s="10">
        <f>L141+#REF!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'[1]2026_60-69 ΕΞΟΔΑ+ΟΜ 2'!M99</f>
        <v/>
      </c>
      <c r="E138" s="15">
        <f>D142/$D$116</f>
        <v/>
      </c>
      <c r="F138" s="10">
        <f>D142+#REF!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2'!M91</f>
        <v/>
      </c>
      <c r="M138" s="15">
        <f>L142/$L$116</f>
        <v/>
      </c>
      <c r="N138" s="10">
        <f>L142+#REF!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'[1]2026_60-69 ΕΞΟΔΑ+ΟΜ 2'!M100</f>
        <v/>
      </c>
      <c r="E139" s="15">
        <f>D143/$D$116</f>
        <v/>
      </c>
      <c r="F139" s="10">
        <f>D143+#REF!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2'!M92</f>
        <v/>
      </c>
      <c r="M139" s="15">
        <f>L143/$L$116</f>
        <v/>
      </c>
      <c r="N139" s="10">
        <f>L143+#REF!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'[1]2026_60-69 ΕΞΟΔΑ+ΟΜ 2'!M101</f>
        <v/>
      </c>
      <c r="E140" s="15">
        <f>D144/$D$116</f>
        <v/>
      </c>
      <c r="F140" s="10">
        <f>D144+#REF!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2'!M93</f>
        <v/>
      </c>
      <c r="M140" s="15">
        <f>L144/$L$116</f>
        <v/>
      </c>
      <c r="N140" s="10">
        <f>L144+#REF!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'[1]2026_60-69 ΕΞΟΔΑ+ΟΜ 2'!M102</f>
        <v/>
      </c>
      <c r="E141" s="15">
        <f>D145/$D$116</f>
        <v/>
      </c>
      <c r="F141" s="10">
        <f>D145+#REF!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2'!M94</f>
        <v/>
      </c>
      <c r="M141" s="15">
        <f>L145/$L$116</f>
        <v/>
      </c>
      <c r="N141" s="10">
        <f>L145+#REF!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'[1]2026_60-69 ΕΞΟΔΑ+ΟΜ 2'!M103</f>
        <v/>
      </c>
      <c r="E142" s="15">
        <f>D146/$D$116</f>
        <v/>
      </c>
      <c r="F142" s="10">
        <f>D146+#REF!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2'!M95</f>
        <v/>
      </c>
      <c r="M142" s="15">
        <f>L146/$L$116</f>
        <v/>
      </c>
      <c r="N142" s="10">
        <f>L146+#REF!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'[1]2026_60-69 ΕΞΟΔΑ+ΟΜ 2'!M104</f>
        <v/>
      </c>
      <c r="E143" s="15">
        <f>D147/$D$116</f>
        <v/>
      </c>
      <c r="F143" s="10">
        <f>D147+#REF!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2'!M96</f>
        <v/>
      </c>
      <c r="M143" s="15">
        <f>L147/$L$116</f>
        <v/>
      </c>
      <c r="N143" s="10">
        <f>L147+#REF!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'[1]2026_60-69 ΕΞΟΔΑ+ΟΜ 2'!M105</f>
        <v/>
      </c>
      <c r="E144" s="15">
        <f>D148/$D$116</f>
        <v/>
      </c>
      <c r="F144" s="10">
        <f>D148+#REF!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2'!M97</f>
        <v/>
      </c>
      <c r="M144" s="15">
        <f>L148/$L$116</f>
        <v/>
      </c>
      <c r="N144" s="10">
        <f>L148+#REF!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'[1]2026_60-69 ΕΞΟΔΑ+ΟΜ 2'!M106</f>
        <v/>
      </c>
      <c r="E145" s="15">
        <f>D149/$D$116</f>
        <v/>
      </c>
      <c r="F145" s="10">
        <f>D149+#REF!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2'!M98</f>
        <v/>
      </c>
      <c r="M145" s="15">
        <f>L149/$L$116</f>
        <v/>
      </c>
      <c r="N145" s="10">
        <f>L149+#REF!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'[1]2026_60-69 ΕΞΟΔΑ+ΟΜ 2'!M107</f>
        <v/>
      </c>
      <c r="E146" s="15">
        <f>D150/$D$116</f>
        <v/>
      </c>
      <c r="F146" s="10">
        <f>D150+#REF!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2'!M99</f>
        <v/>
      </c>
      <c r="M146" s="15">
        <f>L150/$L$116</f>
        <v/>
      </c>
      <c r="N146" s="10">
        <f>L150+#REF!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'[1]2026_60-69 ΕΞΟΔΑ+ΟΜ 2'!M108</f>
        <v/>
      </c>
      <c r="E147" s="15">
        <f>D151/$D$116</f>
        <v/>
      </c>
      <c r="F147" s="10">
        <f>D151+#REF!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2'!M100</f>
        <v/>
      </c>
      <c r="M147" s="15">
        <f>L151/$L$116</f>
        <v/>
      </c>
      <c r="N147" s="10">
        <f>L151+#REF!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'[1]2026_60-69 ΕΞΟΔΑ+ΟΜ 2'!M109</f>
        <v/>
      </c>
      <c r="E148" s="15">
        <f>D152/$D$116</f>
        <v/>
      </c>
      <c r="F148" s="10">
        <f>D152+#REF!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2'!M101</f>
        <v/>
      </c>
      <c r="M148" s="15">
        <f>L152/$L$116</f>
        <v/>
      </c>
      <c r="N148" s="10">
        <f>L152+#REF!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'[1]2026_60-69 ΕΞΟΔΑ+ΟΜ 2'!M110</f>
        <v/>
      </c>
      <c r="E149" s="15">
        <f>D153/$D$116</f>
        <v/>
      </c>
      <c r="F149" s="10">
        <f>D153+#REF!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2'!M102</f>
        <v/>
      </c>
      <c r="M149" s="15">
        <f>L153/$L$116</f>
        <v/>
      </c>
      <c r="N149" s="10">
        <f>L153+#REF!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2'!M73</f>
        <v/>
      </c>
      <c r="E153" s="8" t="n"/>
      <c r="F153" s="7">
        <f>'[1]2026_60-69 ΕΞΟΔΑ+ΟΜ 2'!Z73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/>
    <row r="158" ht="30" customHeight="1"/>
    <row r="159" ht="30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89" zoomScale="85" zoomScaleNormal="85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13.5703125" bestFit="1" customWidth="1" style="33" min="6" max="6"/>
    <col width="11.7109375" customWidth="1" style="33" min="7" max="7"/>
    <col width="8.85546875" customWidth="1" style="33" min="8" max="9"/>
    <col width="11.42578125" customWidth="1" style="33" min="10" max="10"/>
    <col width="10.7109375" customWidth="1" style="33" min="11" max="11"/>
    <col width="14.28515625" customWidth="1" style="33" min="12" max="12"/>
    <col width="11.7109375" customWidth="1" style="33" min="13" max="13"/>
    <col width="16.7109375" customWidth="1" style="33" min="14" max="14"/>
    <col width="13.28515625" customWidth="1" style="33" min="15" max="15"/>
    <col width="19.28515625" customWidth="1" style="33" min="16" max="16"/>
    <col width="11.42578125" customWidth="1" style="1" min="17" max="17"/>
    <col width="9.140625" customWidth="1" style="1" min="18" max="21"/>
    <col width="42.42578125" customWidth="1" style="1" min="22" max="22"/>
    <col width="9.140625" customWidth="1" style="1" min="23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/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25.5" customHeight="1">
      <c r="A3" s="59" t="inlineStr">
        <is>
          <t>Α</t>
        </is>
      </c>
      <c r="B3" s="60" t="n"/>
      <c r="C3" s="5" t="inlineStr">
        <is>
          <t>ΕΙΔΟΣ ΕΣΟΔΩΝ</t>
        </is>
      </c>
      <c r="D3" s="180">
        <f>[1]ΑΝΤΙΣΤΟΙΧΙΣΗ!$F$116</f>
        <v/>
      </c>
      <c r="E3" s="192" t="n"/>
      <c r="F3" s="56" t="n"/>
      <c r="G3" s="61">
        <f>[1]ΑΝΤΙΣΤΟΙΧΙΣΗ!$D$34</f>
        <v/>
      </c>
      <c r="H3" s="180">
        <f>[1]ΑΝΤΙΣΤΟΙΧΙΣΗ!$F$116</f>
        <v/>
      </c>
      <c r="I3" s="192" t="n"/>
      <c r="J3" s="56" t="n"/>
      <c r="K3" s="61">
        <f>[1]ΑΝΤΙΣΤΟΙΧΙΣΗ!$D$34</f>
        <v/>
      </c>
      <c r="L3" s="180">
        <f>[1]ΑΝΤΙΣΤΟΙΧΙΣΗ!$F$130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/>
      <c r="B4" s="62" t="n"/>
      <c r="C4" s="62" t="n"/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/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/>
      <c r="B6" s="65" t="n"/>
      <c r="C6" s="2" t="inlineStr">
        <is>
          <t xml:space="preserve">Σύνολο Εξόδων Μηνός </t>
        </is>
      </c>
      <c r="D6" s="3">
        <f>D43+D84+D116</f>
        <v/>
      </c>
      <c r="E6" s="4" t="n"/>
      <c r="F6" s="3">
        <f>F78+F111+F157</f>
        <v/>
      </c>
      <c r="G6" s="4" t="n"/>
      <c r="H6" s="3">
        <f>H38-H43-H84</f>
        <v/>
      </c>
      <c r="I6" s="4" t="n"/>
      <c r="J6" s="66">
        <f>J38-J43-J84</f>
        <v/>
      </c>
      <c r="K6" s="4" t="n"/>
      <c r="L6" s="3">
        <f>L43+L84+L116</f>
        <v/>
      </c>
      <c r="M6" s="4" t="n"/>
      <c r="N6" s="66">
        <f>N78+N111+N157</f>
        <v/>
      </c>
      <c r="O6" s="4" t="n"/>
      <c r="P6" s="3">
        <f>P38-P43-P84</f>
        <v/>
      </c>
      <c r="Q6" s="4" t="n"/>
    </row>
    <row r="7" ht="15.75" customHeight="1">
      <c r="A7" s="19" t="n"/>
      <c r="B7" s="19" t="n"/>
      <c r="C7" s="6" t="inlineStr">
        <is>
          <t xml:space="preserve">Σύνολο Εσόδων  Μηνός </t>
        </is>
      </c>
      <c r="D7" s="7">
        <f>SUM(D8:D31)</f>
        <v/>
      </c>
      <c r="E7" s="8" t="n"/>
      <c r="F7" s="7">
        <f>SUM(F8:F31)</f>
        <v/>
      </c>
      <c r="G7" s="8" t="n"/>
      <c r="H7" s="7">
        <f>SUM(H8:H31)</f>
        <v/>
      </c>
      <c r="I7" s="8" t="n"/>
      <c r="J7" s="7">
        <f>SUM(J8:J31)</f>
        <v/>
      </c>
      <c r="K7" s="8" t="n"/>
      <c r="L7" s="7">
        <f>SUM(L8:L31)</f>
        <v/>
      </c>
      <c r="M7" s="8" t="n"/>
      <c r="N7" s="7">
        <f>L7+'[1]2026 Οκτώβριος'!N7</f>
        <v/>
      </c>
      <c r="O7" s="8" t="n"/>
      <c r="P7" s="7">
        <f>SUM(P8:P31)</f>
        <v/>
      </c>
      <c r="Q7" s="8" t="n"/>
    </row>
    <row r="8" ht="18.75" customHeight="1">
      <c r="A8" s="67" t="n">
        <v>1</v>
      </c>
      <c r="B8" s="67" t="n">
        <v>1</v>
      </c>
      <c r="C8" s="44">
        <f>[1]ΑΝΤΙΣΤΟΙΧΙΣΗ!F187</f>
        <v/>
      </c>
      <c r="D8" s="10">
        <f>'[1]2026_ΕΣΟΔΑ'!M2</f>
        <v/>
      </c>
      <c r="E8" s="11">
        <f>D8/$D$7</f>
        <v/>
      </c>
      <c r="F8" s="12">
        <f>D8+'[1]2026 Οκτώβριος'!F8</f>
        <v/>
      </c>
      <c r="G8" s="11">
        <f>F8/$F$7</f>
        <v/>
      </c>
      <c r="H8" s="12" t="n"/>
      <c r="I8" s="11">
        <f>H8/$H$7</f>
        <v/>
      </c>
      <c r="J8" s="12">
        <f>H8+'[1]2026 Οκτώβριος'!J8</f>
        <v/>
      </c>
      <c r="K8" s="11">
        <f>J8/$J$7</f>
        <v/>
      </c>
      <c r="L8" s="68">
        <f>'[1]2024_60-69 ΕΞΟΔΑ+ΟΜ 2'!M114</f>
        <v/>
      </c>
      <c r="M8" s="11">
        <f>L8/$L$7</f>
        <v/>
      </c>
      <c r="N8" s="12">
        <f>L8+'[1]2026 Οκτώβριος'!N8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2</v>
      </c>
      <c r="B9" s="67" t="n">
        <v>2</v>
      </c>
      <c r="C9" s="44">
        <f>[1]ΑΝΤΙΣΤΟΙΧΙΣΗ!F188</f>
        <v/>
      </c>
      <c r="D9" s="10">
        <f>'[1]2026_ΕΣΟΔΑ'!M3</f>
        <v/>
      </c>
      <c r="E9" s="11">
        <f>D9/$D$7</f>
        <v/>
      </c>
      <c r="F9" s="12">
        <f>D9+'[1]2026 Οκτώβριος'!F9</f>
        <v/>
      </c>
      <c r="G9" s="11">
        <f>F9/$F$7</f>
        <v/>
      </c>
      <c r="H9" s="12" t="n"/>
      <c r="I9" s="11">
        <f>H9/$H$7</f>
        <v/>
      </c>
      <c r="J9" s="12">
        <f>H9+'[1]2026 Οκτώβριος'!J9</f>
        <v/>
      </c>
      <c r="K9" s="11">
        <f>J9/$J$7</f>
        <v/>
      </c>
      <c r="L9" s="68">
        <f>'[1]2024_60-69 ΕΞΟΔΑ+ΟΜ 2'!M115</f>
        <v/>
      </c>
      <c r="M9" s="11">
        <f>L9/$L$7</f>
        <v/>
      </c>
      <c r="N9" s="12">
        <f>L9+'[1]2026 Οκτώβριος'!N9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3</v>
      </c>
      <c r="B10" s="67" t="n">
        <v>3</v>
      </c>
      <c r="C10" s="44">
        <f>[1]ΑΝΤΙΣΤΟΙΧΙΣΗ!F189</f>
        <v/>
      </c>
      <c r="D10" s="10">
        <f>'[1]2026_ΕΣΟΔΑ'!M4</f>
        <v/>
      </c>
      <c r="E10" s="11">
        <f>D10/$D$7</f>
        <v/>
      </c>
      <c r="F10" s="12">
        <f>D10+'[1]2026 Οκτώβριος'!F10</f>
        <v/>
      </c>
      <c r="G10" s="11">
        <f>F10/$F$7</f>
        <v/>
      </c>
      <c r="H10" s="12" t="n"/>
      <c r="I10" s="11">
        <f>H10/$H$7</f>
        <v/>
      </c>
      <c r="J10" s="12">
        <f>H10+'[1]2026 Οκτώβριος'!J10</f>
        <v/>
      </c>
      <c r="K10" s="11">
        <f>J10/$J$7</f>
        <v/>
      </c>
      <c r="L10" s="68">
        <f>'[1]2024_60-69 ΕΞΟΔΑ+ΟΜ 2'!M116</f>
        <v/>
      </c>
      <c r="M10" s="11">
        <f>L10/$L$7</f>
        <v/>
      </c>
      <c r="N10" s="12">
        <f>L10+'[1]2026 Οκτώβριος'!N10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5" customHeight="1">
      <c r="A11" s="67" t="n">
        <v>4</v>
      </c>
      <c r="B11" s="67" t="n">
        <v>4</v>
      </c>
      <c r="C11" s="44">
        <f>[1]ΑΝΤΙΣΤΟΙΧΙΣΗ!F190</f>
        <v/>
      </c>
      <c r="D11" s="10">
        <f>'[1]2026_ΕΣΟΔΑ'!M5</f>
        <v/>
      </c>
      <c r="E11" s="11">
        <f>D11/$D$7</f>
        <v/>
      </c>
      <c r="F11" s="12">
        <f>D11+'[1]2026 Οκτώβριος'!F11</f>
        <v/>
      </c>
      <c r="G11" s="11">
        <f>F11/$F$7</f>
        <v/>
      </c>
      <c r="H11" s="12" t="n"/>
      <c r="I11" s="11">
        <f>H11/$H$7</f>
        <v/>
      </c>
      <c r="J11" s="12">
        <f>H11+'[1]2026 Οκτώβριος'!J11</f>
        <v/>
      </c>
      <c r="K11" s="11">
        <f>J11/$J$7</f>
        <v/>
      </c>
      <c r="L11" s="68">
        <f>'[1]2024_60-69 ΕΞΟΔΑ+ΟΜ 2'!M117</f>
        <v/>
      </c>
      <c r="M11" s="11">
        <f>L11/$L$7</f>
        <v/>
      </c>
      <c r="N11" s="12">
        <f>L11+'[1]2026 Οκτώβριος'!N11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5</v>
      </c>
      <c r="B12" s="67" t="n">
        <v>5</v>
      </c>
      <c r="C12" s="44">
        <f>[1]ΑΝΤΙΣΤΟΙΧΙΣΗ!F191</f>
        <v/>
      </c>
      <c r="D12" s="10">
        <f>'[1]2026_ΕΣΟΔΑ'!M6</f>
        <v/>
      </c>
      <c r="E12" s="11">
        <f>D12/$D$7</f>
        <v/>
      </c>
      <c r="F12" s="12">
        <f>D12+'[1]2026 Οκτώβριος'!F12</f>
        <v/>
      </c>
      <c r="G12" s="11">
        <f>F12/$F$7</f>
        <v/>
      </c>
      <c r="H12" s="12" t="n"/>
      <c r="I12" s="11">
        <f>H12/$H$7</f>
        <v/>
      </c>
      <c r="J12" s="12">
        <f>H12+'[1]2026 Οκτώβριος'!J12</f>
        <v/>
      </c>
      <c r="K12" s="11">
        <f>J12/$J$7</f>
        <v/>
      </c>
      <c r="L12" s="68">
        <f>'[1]2024_60-69 ΕΞΟΔΑ+ΟΜ 2'!M118</f>
        <v/>
      </c>
      <c r="M12" s="11">
        <f>L12/$L$7</f>
        <v/>
      </c>
      <c r="N12" s="12">
        <f>L12+'[1]2026 Οκτώβριος'!N12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26.25" customHeight="1">
      <c r="A13" s="67" t="n">
        <v>6</v>
      </c>
      <c r="B13" s="67" t="n">
        <v>6</v>
      </c>
      <c r="C13" s="44">
        <f>[1]ΑΝΤΙΣΤΟΙΧΙΣΗ!F192</f>
        <v/>
      </c>
      <c r="D13" s="10">
        <f>'[1]2026_ΕΣΟΔΑ'!M7</f>
        <v/>
      </c>
      <c r="E13" s="11">
        <f>D13/$D$7</f>
        <v/>
      </c>
      <c r="F13" s="12">
        <f>D13+'[1]2026 Οκτώβριος'!F13</f>
        <v/>
      </c>
      <c r="G13" s="11">
        <f>F13/$F$7</f>
        <v/>
      </c>
      <c r="H13" s="12" t="n"/>
      <c r="I13" s="11">
        <f>H13/$H$7</f>
        <v/>
      </c>
      <c r="J13" s="12">
        <f>H13+'[1]2026 Οκτώβριος'!J13</f>
        <v/>
      </c>
      <c r="K13" s="11">
        <f>J13/$J$7</f>
        <v/>
      </c>
      <c r="L13" s="68">
        <f>'[1]2024_60-69 ΕΞΟΔΑ+ΟΜ 2'!M119</f>
        <v/>
      </c>
      <c r="M13" s="11">
        <f>L13/$L$7</f>
        <v/>
      </c>
      <c r="N13" s="12">
        <f>L13+'[1]2026 Οκτώβριος'!N13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23.25" customHeight="1">
      <c r="A14" s="67" t="n">
        <v>7</v>
      </c>
      <c r="B14" s="67" t="n">
        <v>7</v>
      </c>
      <c r="C14" s="44">
        <f>[1]ΑΝΤΙΣΤΟΙΧΙΣΗ!F193</f>
        <v/>
      </c>
      <c r="D14" s="10">
        <f>'[1]2026_ΕΣΟΔΑ'!M8</f>
        <v/>
      </c>
      <c r="E14" s="11">
        <f>D14/$D$7</f>
        <v/>
      </c>
      <c r="F14" s="12">
        <f>D14+'[1]2026 Οκτώβριος'!F14</f>
        <v/>
      </c>
      <c r="G14" s="11">
        <f>F14/$F$7</f>
        <v/>
      </c>
      <c r="H14" s="12" t="n"/>
      <c r="I14" s="11">
        <f>H14/$H$7</f>
        <v/>
      </c>
      <c r="J14" s="12">
        <f>H14+'[1]2026 Οκτώβριος'!J14</f>
        <v/>
      </c>
      <c r="K14" s="11">
        <f>J14/$J$7</f>
        <v/>
      </c>
      <c r="L14" s="68">
        <f>'[1]2024_60-69 ΕΞΟΔΑ+ΟΜ 2'!M120</f>
        <v/>
      </c>
      <c r="M14" s="11">
        <f>L14/$L$7</f>
        <v/>
      </c>
      <c r="N14" s="12">
        <f>L14+'[1]2026 Οκτώβριος'!N14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28.5" customHeight="1">
      <c r="A15" s="67" t="n">
        <v>8</v>
      </c>
      <c r="B15" s="67" t="n">
        <v>8</v>
      </c>
      <c r="C15" s="44">
        <f>[1]ΑΝΤΙΣΤΟΙΧΙΣΗ!F194</f>
        <v/>
      </c>
      <c r="D15" s="10">
        <f>'[1]2026_ΕΣΟΔΑ'!M9</f>
        <v/>
      </c>
      <c r="E15" s="11">
        <f>D15/$D$7</f>
        <v/>
      </c>
      <c r="F15" s="12">
        <f>D15+'[1]2026 Οκτώβριος'!F15</f>
        <v/>
      </c>
      <c r="G15" s="11">
        <f>F15/$F$7</f>
        <v/>
      </c>
      <c r="H15" s="12" t="n"/>
      <c r="I15" s="11">
        <f>H15/$H$7</f>
        <v/>
      </c>
      <c r="J15" s="12">
        <f>H15+'[1]2026 Οκτώβριος'!J15</f>
        <v/>
      </c>
      <c r="K15" s="11">
        <f>J15/$J$7</f>
        <v/>
      </c>
      <c r="L15" s="68">
        <f>'[1]2024_60-69 ΕΞΟΔΑ+ΟΜ 2'!M121</f>
        <v/>
      </c>
      <c r="M15" s="11">
        <f>L15/$L$7</f>
        <v/>
      </c>
      <c r="N15" s="12">
        <f>L15+'[1]2026 Οκτώβριος'!N15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31.5" customHeight="1">
      <c r="A16" s="67" t="n">
        <v>9</v>
      </c>
      <c r="B16" s="67" t="n">
        <v>9</v>
      </c>
      <c r="C16" s="44">
        <f>[1]ΑΝΤΙΣΤΟΙΧΙΣΗ!F195</f>
        <v/>
      </c>
      <c r="D16" s="10">
        <f>'[1]2026_ΕΣΟΔΑ'!M10</f>
        <v/>
      </c>
      <c r="E16" s="11">
        <f>D16/$D$7</f>
        <v/>
      </c>
      <c r="F16" s="12">
        <f>D16+'[1]2026 Οκτώβριος'!F16</f>
        <v/>
      </c>
      <c r="G16" s="11">
        <f>F16/$F$7</f>
        <v/>
      </c>
      <c r="H16" s="12" t="n"/>
      <c r="I16" s="11">
        <f>H16/$H$7</f>
        <v/>
      </c>
      <c r="J16" s="12">
        <f>H16+'[1]2026 Οκτώβριος'!J16</f>
        <v/>
      </c>
      <c r="K16" s="11">
        <f>J16/$J$7</f>
        <v/>
      </c>
      <c r="L16" s="68">
        <f>'[1]2024_60-69 ΕΞΟΔΑ+ΟΜ 2'!M122</f>
        <v/>
      </c>
      <c r="M16" s="11">
        <f>L16/$L$7</f>
        <v/>
      </c>
      <c r="N16" s="12">
        <f>L16+'[1]2026 Οκτώβριος'!N16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10</v>
      </c>
      <c r="B17" s="67" t="n">
        <v>10</v>
      </c>
      <c r="C17" s="44">
        <f>[1]ΑΝΤΙΣΤΟΙΧΙΣΗ!F196</f>
        <v/>
      </c>
      <c r="D17" s="10">
        <f>'[1]2026_ΕΣΟΔΑ'!M11</f>
        <v/>
      </c>
      <c r="E17" s="11">
        <f>D17/$D$7</f>
        <v/>
      </c>
      <c r="F17" s="12">
        <f>D17+'[1]2026 Οκτώβριος'!F17</f>
        <v/>
      </c>
      <c r="G17" s="11">
        <f>F17/$F$7</f>
        <v/>
      </c>
      <c r="H17" s="12" t="n"/>
      <c r="I17" s="11">
        <f>H17/$H$7</f>
        <v/>
      </c>
      <c r="J17" s="12">
        <f>H17+'[1]2026 Οκτώβριος'!J17</f>
        <v/>
      </c>
      <c r="K17" s="11">
        <f>J17/$J$7</f>
        <v/>
      </c>
      <c r="L17" s="68">
        <f>'[1]2024_60-69 ΕΞΟΔΑ+ΟΜ 2'!M123</f>
        <v/>
      </c>
      <c r="M17" s="11">
        <f>L17/$L$7</f>
        <v/>
      </c>
      <c r="N17" s="12">
        <f>L17+'[1]2026 Οκτώβριος'!N17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11</v>
      </c>
      <c r="B18" s="67" t="n">
        <v>11</v>
      </c>
      <c r="C18" s="44">
        <f>[1]ΑΝΤΙΣΤΟΙΧΙΣΗ!F197</f>
        <v/>
      </c>
      <c r="D18" s="10">
        <f>'[1]2026_ΕΣΟΔΑ'!M12</f>
        <v/>
      </c>
      <c r="E18" s="11">
        <f>D18/$D$7</f>
        <v/>
      </c>
      <c r="F18" s="12">
        <f>D18+'[1]2026 Οκτώβριος'!F18</f>
        <v/>
      </c>
      <c r="G18" s="11">
        <f>F18/$F$7</f>
        <v/>
      </c>
      <c r="H18" s="12" t="n"/>
      <c r="I18" s="11">
        <f>H18/$H$7</f>
        <v/>
      </c>
      <c r="J18" s="12">
        <f>H18+'[1]2026 Οκτώβριος'!J18</f>
        <v/>
      </c>
      <c r="K18" s="11">
        <f>J18/$J$7</f>
        <v/>
      </c>
      <c r="L18" s="68">
        <f>'[1]2024_60-69 ΕΞΟΔΑ+ΟΜ 2'!M124</f>
        <v/>
      </c>
      <c r="M18" s="11">
        <f>L18/$L$7</f>
        <v/>
      </c>
      <c r="N18" s="12">
        <f>L18+'[1]2026 Οκτώβριος'!N18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12</v>
      </c>
      <c r="B19" s="67" t="n">
        <v>12</v>
      </c>
      <c r="C19" s="44">
        <f>[1]ΑΝΤΙΣΤΟΙΧΙΣΗ!F198</f>
        <v/>
      </c>
      <c r="D19" s="10">
        <f>'[1]2026_ΕΣΟΔΑ'!M13</f>
        <v/>
      </c>
      <c r="E19" s="11">
        <f>D19/$D$7</f>
        <v/>
      </c>
      <c r="F19" s="12">
        <f>D19+'[1]2026 Οκτώβριος'!F19</f>
        <v/>
      </c>
      <c r="G19" s="11">
        <f>F19/$F$7</f>
        <v/>
      </c>
      <c r="H19" s="12" t="n"/>
      <c r="I19" s="11">
        <f>H19/$H$7</f>
        <v/>
      </c>
      <c r="J19" s="12">
        <f>H19+'[1]2026 Οκτώβριος'!J19</f>
        <v/>
      </c>
      <c r="K19" s="11">
        <f>J19/$J$7</f>
        <v/>
      </c>
      <c r="L19" s="68">
        <f>'[1]2024_60-69 ΕΞΟΔΑ+ΟΜ 2'!M125</f>
        <v/>
      </c>
      <c r="M19" s="11">
        <f>L19/$L$7</f>
        <v/>
      </c>
      <c r="N19" s="12">
        <f>L19+'[1]2026 Οκτώβριος'!N19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0" customHeight="1">
      <c r="A20" s="67" t="n">
        <v>13</v>
      </c>
      <c r="B20" s="67" t="n">
        <v>13</v>
      </c>
      <c r="C20" s="44">
        <f>[1]ΑΝΤΙΣΤΟΙΧΙΣΗ!F199</f>
        <v/>
      </c>
      <c r="D20" s="10">
        <f>'[1]2026_ΕΣΟΔΑ'!M14</f>
        <v/>
      </c>
      <c r="E20" s="11">
        <f>D20/$D$7</f>
        <v/>
      </c>
      <c r="F20" s="12">
        <f>D20+'[1]2026 Οκτώβριος'!F20</f>
        <v/>
      </c>
      <c r="G20" s="11">
        <f>F20/$F$7</f>
        <v/>
      </c>
      <c r="H20" s="12" t="n"/>
      <c r="I20" s="11">
        <f>H20/$H$7</f>
        <v/>
      </c>
      <c r="J20" s="12">
        <f>H20+'[1]2026 Οκτώβριος'!J20</f>
        <v/>
      </c>
      <c r="K20" s="11">
        <f>J20/$J$7</f>
        <v/>
      </c>
      <c r="L20" s="68">
        <f>'[1]2024_60-69 ΕΞΟΔΑ+ΟΜ 2'!M126</f>
        <v/>
      </c>
      <c r="M20" s="11">
        <f>L20/$L$7</f>
        <v/>
      </c>
      <c r="N20" s="12">
        <f>L20+'[1]2026 Οκτώβριος'!N20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2.5" customHeight="1">
      <c r="A21" s="67" t="n">
        <v>14</v>
      </c>
      <c r="B21" s="67" t="n">
        <v>14</v>
      </c>
      <c r="C21" s="44">
        <f>[1]ΑΝΤΙΣΤΟΙΧΙΣΗ!F200</f>
        <v/>
      </c>
      <c r="D21" s="10">
        <f>'[1]2026_ΕΣΟΔΑ'!M15</f>
        <v/>
      </c>
      <c r="E21" s="11">
        <f>D21/$D$7</f>
        <v/>
      </c>
      <c r="F21" s="12">
        <f>D21+'[1]2026 Οκτώβριος'!F21</f>
        <v/>
      </c>
      <c r="G21" s="11">
        <f>F21/$F$7</f>
        <v/>
      </c>
      <c r="H21" s="12" t="n"/>
      <c r="I21" s="11">
        <f>H21/$H$7</f>
        <v/>
      </c>
      <c r="J21" s="12">
        <f>H21+'[1]2026 Οκτώβριος'!J21</f>
        <v/>
      </c>
      <c r="K21" s="11">
        <f>J21/$J$7</f>
        <v/>
      </c>
      <c r="L21" s="68">
        <f>'[1]2024_60-69 ΕΞΟΔΑ+ΟΜ 2'!M127</f>
        <v/>
      </c>
      <c r="M21" s="11">
        <f>L21/$L$7</f>
        <v/>
      </c>
      <c r="N21" s="12">
        <f>L21+'[1]2026 Οκτώβριος'!N21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23.25" customHeight="1">
      <c r="A22" s="67" t="n">
        <v>15</v>
      </c>
      <c r="B22" s="67" t="n">
        <v>15</v>
      </c>
      <c r="C22" s="44">
        <f>[1]ΑΝΤΙΣΤΟΙΧΙΣΗ!F201</f>
        <v/>
      </c>
      <c r="D22" s="10">
        <f>'[1]2026_ΕΣΟΔΑ'!M16</f>
        <v/>
      </c>
      <c r="E22" s="11">
        <f>D22/$D$7</f>
        <v/>
      </c>
      <c r="F22" s="12">
        <f>D22+'[1]2026 Οκτώβριος'!F22</f>
        <v/>
      </c>
      <c r="G22" s="11">
        <f>F22/$F$7</f>
        <v/>
      </c>
      <c r="H22" s="12" t="n"/>
      <c r="I22" s="11">
        <f>H22/$H$7</f>
        <v/>
      </c>
      <c r="J22" s="12">
        <f>H22+'[1]2026 Οκτώβριος'!J22</f>
        <v/>
      </c>
      <c r="K22" s="11">
        <f>J22/$J$7</f>
        <v/>
      </c>
      <c r="L22" s="68">
        <f>'[1]2024_60-69 ΕΞΟΔΑ+ΟΜ 2'!M128</f>
        <v/>
      </c>
      <c r="M22" s="11">
        <f>L22/$L$7</f>
        <v/>
      </c>
      <c r="N22" s="12">
        <f>L22+'[1]2026 Οκτώβριος'!N22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27.75" customHeight="1">
      <c r="A23" s="67" t="n">
        <v>16</v>
      </c>
      <c r="B23" s="67" t="n">
        <v>16</v>
      </c>
      <c r="C23" s="44">
        <f>[1]ΑΝΤΙΣΤΟΙΧΙΣΗ!F202</f>
        <v/>
      </c>
      <c r="D23" s="10">
        <f>'[1]2026_ΕΣΟΔΑ'!M17</f>
        <v/>
      </c>
      <c r="E23" s="11">
        <f>D23/$D$7</f>
        <v/>
      </c>
      <c r="F23" s="12">
        <f>D23+'[1]2026 Οκτώβριος'!F23</f>
        <v/>
      </c>
      <c r="G23" s="11">
        <f>F23/$F$7</f>
        <v/>
      </c>
      <c r="H23" s="12" t="n"/>
      <c r="I23" s="11">
        <f>H23/$H$7</f>
        <v/>
      </c>
      <c r="J23" s="12">
        <f>H23+'[1]2026 Οκτώβριος'!J23</f>
        <v/>
      </c>
      <c r="K23" s="11">
        <f>J23/$J$7</f>
        <v/>
      </c>
      <c r="L23" s="68">
        <f>'[1]2024_60-69 ΕΞΟΔΑ+ΟΜ 2'!M129</f>
        <v/>
      </c>
      <c r="M23" s="11">
        <f>L23/$L$7</f>
        <v/>
      </c>
      <c r="N23" s="12">
        <f>L23+'[1]2026 Οκτώβριος'!N23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27.75" customHeight="1">
      <c r="A24" s="67" t="n">
        <v>17</v>
      </c>
      <c r="B24" s="67" t="n">
        <v>17</v>
      </c>
      <c r="C24" s="44">
        <f>[1]ΑΝΤΙΣΤΟΙΧΙΣΗ!F203</f>
        <v/>
      </c>
      <c r="D24" s="10">
        <f>'[1]2026_ΕΣΟΔΑ'!M18</f>
        <v/>
      </c>
      <c r="E24" s="11">
        <f>D24/$D$7</f>
        <v/>
      </c>
      <c r="F24" s="12">
        <f>D24+'[1]2026 Οκτώβριος'!F24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Οκτώβριος'!J24</f>
        <v/>
      </c>
      <c r="K24" s="11">
        <f>J24/$J$7</f>
        <v/>
      </c>
      <c r="L24" s="68">
        <f>'[1]2024_60-69 ΕΞΟΔΑ+ΟΜ 2'!M130</f>
        <v/>
      </c>
      <c r="M24" s="11">
        <f>L24/$L$7</f>
        <v/>
      </c>
      <c r="N24" s="12">
        <f>L24+'[1]2026 Οκτώβριος'!N24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2.5" customHeight="1">
      <c r="A25" s="67" t="n">
        <v>18</v>
      </c>
      <c r="B25" s="67" t="n">
        <v>18</v>
      </c>
      <c r="C25" s="44">
        <f>[1]ΑΝΤΙΣΤΟΙΧΙΣΗ!F204</f>
        <v/>
      </c>
      <c r="D25" s="10">
        <f>'[1]2026_ΕΣΟΔΑ'!M19</f>
        <v/>
      </c>
      <c r="E25" s="11">
        <f>D25/$D$7</f>
        <v/>
      </c>
      <c r="F25" s="12">
        <f>D25+'[1]2026 Οκτώβριος'!F25</f>
        <v/>
      </c>
      <c r="G25" s="11">
        <f>F25/$F$7</f>
        <v/>
      </c>
      <c r="H25" s="12" t="n"/>
      <c r="I25" s="11">
        <f>H25/$H$7</f>
        <v/>
      </c>
      <c r="J25" s="12">
        <f>H25+'[1]2026 Οκτώβριος'!J25</f>
        <v/>
      </c>
      <c r="K25" s="11">
        <f>J25/$J$7</f>
        <v/>
      </c>
      <c r="L25" s="68">
        <f>'[1]2024_60-69 ΕΞΟΔΑ+ΟΜ 2'!M131</f>
        <v/>
      </c>
      <c r="M25" s="11">
        <f>L25/$L$7</f>
        <v/>
      </c>
      <c r="N25" s="12">
        <f>L25+'[1]2026 Οκτώβριος'!N25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23.25" customHeight="1">
      <c r="A26" s="67" t="n">
        <v>19</v>
      </c>
      <c r="B26" s="67" t="n">
        <v>19</v>
      </c>
      <c r="C26" s="44">
        <f>[1]ΑΝΤΙΣΤΟΙΧΙΣΗ!F205</f>
        <v/>
      </c>
      <c r="D26" s="10">
        <f>'[1]2026_ΕΣΟΔΑ'!M20</f>
        <v/>
      </c>
      <c r="E26" s="11">
        <f>D26/$D$7</f>
        <v/>
      </c>
      <c r="F26" s="12">
        <f>D26+'[1]2026 Οκτώβριος'!F26</f>
        <v/>
      </c>
      <c r="G26" s="11">
        <f>F26/$F$7</f>
        <v/>
      </c>
      <c r="H26" s="12" t="n"/>
      <c r="I26" s="11">
        <f>H26/$H$7</f>
        <v/>
      </c>
      <c r="J26" s="12">
        <f>H26+'[1]2026 Οκτώβριος'!J26</f>
        <v/>
      </c>
      <c r="K26" s="11">
        <f>J26/$J$7</f>
        <v/>
      </c>
      <c r="L26" s="68">
        <f>'[1]2024_60-69 ΕΞΟΔΑ+ΟΜ 2'!M132</f>
        <v/>
      </c>
      <c r="M26" s="11">
        <f>L26/$L$7</f>
        <v/>
      </c>
      <c r="N26" s="12">
        <f>L26+'[1]2026 Οκτώβριος'!N26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20</v>
      </c>
      <c r="B27" s="67" t="n">
        <v>20</v>
      </c>
      <c r="C27" s="44">
        <f>[1]ΑΝΤΙΣΤΟΙΧΙΣΗ!F206</f>
        <v/>
      </c>
      <c r="D27" s="10">
        <f>'[1]2026_ΕΣΟΔΑ'!M21</f>
        <v/>
      </c>
      <c r="E27" s="11">
        <f>D27/$D$7</f>
        <v/>
      </c>
      <c r="F27" s="12">
        <f>D27+'[1]2026 Οκτώβριος'!F27</f>
        <v/>
      </c>
      <c r="G27" s="11">
        <f>F27/$F$7</f>
        <v/>
      </c>
      <c r="H27" s="12" t="n"/>
      <c r="I27" s="11">
        <f>H27/$H$7</f>
        <v/>
      </c>
      <c r="J27" s="12">
        <f>H27+'[1]2026 Οκτώβριος'!J27</f>
        <v/>
      </c>
      <c r="K27" s="11">
        <f>J27/$J$7</f>
        <v/>
      </c>
      <c r="L27" s="68">
        <f>'[1]2024_60-69 ΕΞΟΔΑ+ΟΜ 2'!M133</f>
        <v/>
      </c>
      <c r="M27" s="11">
        <f>L27/$L$7</f>
        <v/>
      </c>
      <c r="N27" s="12">
        <f>L27+'[1]2026 Οκτώβριος'!N27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21</v>
      </c>
      <c r="B28" s="67" t="n">
        <v>21</v>
      </c>
      <c r="C28" s="44">
        <f>[1]ΑΝΤΙΣΤΟΙΧΙΣΗ!F207</f>
        <v/>
      </c>
      <c r="D28" s="10">
        <f>'[1]2026_ΕΣΟΔΑ'!M22</f>
        <v/>
      </c>
      <c r="E28" s="11">
        <f>D28/$D$7</f>
        <v/>
      </c>
      <c r="F28" s="12">
        <f>D28+'[1]2026 Οκτώβριος'!F28</f>
        <v/>
      </c>
      <c r="G28" s="11">
        <f>F28/$F$7</f>
        <v/>
      </c>
      <c r="H28" s="12" t="n"/>
      <c r="I28" s="11">
        <f>H28/$H$7</f>
        <v/>
      </c>
      <c r="J28" s="12">
        <f>H28+'[1]2026 Οκτώβριος'!J28</f>
        <v/>
      </c>
      <c r="K28" s="11">
        <f>J28/$J$7</f>
        <v/>
      </c>
      <c r="L28" s="68">
        <f>'[1]2024_60-69 ΕΞΟΔΑ+ΟΜ 2'!M134</f>
        <v/>
      </c>
      <c r="M28" s="11">
        <f>L28/$L$7</f>
        <v/>
      </c>
      <c r="N28" s="12">
        <f>L28+'[1]2026 Οκτώβριος'!N28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22</v>
      </c>
      <c r="B29" s="67" t="n">
        <v>22</v>
      </c>
      <c r="C29" s="44">
        <f>[1]ΑΝΤΙΣΤΟΙΧΙΣΗ!F208</f>
        <v/>
      </c>
      <c r="D29" s="10">
        <f>'[1]2026_ΕΣΟΔΑ'!M23</f>
        <v/>
      </c>
      <c r="E29" s="11">
        <f>D29/$D$7</f>
        <v/>
      </c>
      <c r="F29" s="12">
        <f>D29+'[1]2026 Οκτώβριος'!F29</f>
        <v/>
      </c>
      <c r="G29" s="11">
        <f>F29/$F$7</f>
        <v/>
      </c>
      <c r="H29" s="12" t="n"/>
      <c r="I29" s="11">
        <f>H29/$H$7</f>
        <v/>
      </c>
      <c r="J29" s="12">
        <f>H29+'[1]2026 Οκτώβριος'!J29</f>
        <v/>
      </c>
      <c r="K29" s="11">
        <f>J29/$J$7</f>
        <v/>
      </c>
      <c r="L29" s="68">
        <f>'[1]2024_60-69 ΕΞΟΔΑ+ΟΜ 2'!M135</f>
        <v/>
      </c>
      <c r="M29" s="11">
        <f>L29/$L$7</f>
        <v/>
      </c>
      <c r="N29" s="12">
        <f>L29+'[1]2026 Οκτώβριος'!N29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3.25" customHeight="1">
      <c r="A30" s="67" t="n">
        <v>23</v>
      </c>
      <c r="B30" s="67" t="n">
        <v>23</v>
      </c>
      <c r="C30" s="44">
        <f>[1]ΑΝΤΙΣΤΟΙΧΙΣΗ!F209</f>
        <v/>
      </c>
      <c r="D30" s="10">
        <f>'[1]2026_ΕΣΟΔΑ'!M24</f>
        <v/>
      </c>
      <c r="E30" s="11">
        <f>D30/$D$7</f>
        <v/>
      </c>
      <c r="F30" s="12">
        <f>D30+'[1]2026 Οκτώβριος'!F30</f>
        <v/>
      </c>
      <c r="G30" s="11">
        <f>F30/$F$7</f>
        <v/>
      </c>
      <c r="H30" s="12" t="n"/>
      <c r="I30" s="11">
        <f>H30/$H$7</f>
        <v/>
      </c>
      <c r="J30" s="12">
        <f>H30+'[1]2026 Οκτώβριος'!J30</f>
        <v/>
      </c>
      <c r="K30" s="11">
        <f>J30/$J$7</f>
        <v/>
      </c>
      <c r="L30" s="68">
        <f>'[1]2024_60-69 ΕΞΟΔΑ+ΟΜ 2'!M136</f>
        <v/>
      </c>
      <c r="M30" s="11">
        <f>L30/$L$7</f>
        <v/>
      </c>
      <c r="N30" s="12">
        <f>L30+'[1]2026 Οκτώβριος'!N30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3.25" customHeight="1">
      <c r="A31" s="67" t="n">
        <v>24</v>
      </c>
      <c r="B31" s="67" t="n">
        <v>24</v>
      </c>
      <c r="C31" s="44">
        <f>[1]ΑΝΤΙΣΤΟΙΧΙΣΗ!F210</f>
        <v/>
      </c>
      <c r="D31" s="10">
        <f>'[1]2026_ΕΣΟΔΑ'!M25</f>
        <v/>
      </c>
      <c r="E31" s="11">
        <f>D31/$D$7</f>
        <v/>
      </c>
      <c r="F31" s="12">
        <f>D31+'[1]2026 Οκτώβριος'!F31</f>
        <v/>
      </c>
      <c r="G31" s="11">
        <f>F31/$F$7</f>
        <v/>
      </c>
      <c r="H31" s="12" t="n"/>
      <c r="I31" s="11">
        <f>H31/$H$7</f>
        <v/>
      </c>
      <c r="J31" s="12">
        <f>H31+'[1]2026 Οκτώβριος'!J31</f>
        <v/>
      </c>
      <c r="K31" s="11">
        <f>J31/$J$7</f>
        <v/>
      </c>
      <c r="L31" s="68">
        <f>'[1]2024_60-69 ΕΞΟΔΑ+ΟΜ 2'!M137</f>
        <v/>
      </c>
      <c r="M31" s="11">
        <f>L31/$L$7</f>
        <v/>
      </c>
      <c r="N31" s="12">
        <f>L31+'[1]2026 Οκτώβριος'!N31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23.25" customHeight="1">
      <c r="A32" s="67" t="n">
        <v>25</v>
      </c>
      <c r="B32" s="67" t="n">
        <v>25</v>
      </c>
      <c r="C32" s="44">
        <f>[1]ΑΝΤΙΣΤΟΙΧΙΣΗ!F211</f>
        <v/>
      </c>
      <c r="D32" s="10">
        <f>'[1]2026_ΕΣΟΔΑ'!M26</f>
        <v/>
      </c>
      <c r="E32" s="11">
        <f>D32/$D$7</f>
        <v/>
      </c>
      <c r="F32" s="12">
        <f>D32+'[1]2026 Οκτώβριος'!F32</f>
        <v/>
      </c>
      <c r="G32" s="11">
        <f>F32/$F$7</f>
        <v/>
      </c>
      <c r="H32" s="12" t="n"/>
      <c r="I32" s="11">
        <f>H32/$H$7</f>
        <v/>
      </c>
      <c r="J32" s="12">
        <f>H32+'[1]2026 Οκτώβριος'!J32</f>
        <v/>
      </c>
      <c r="K32" s="11">
        <f>J32/$J$7</f>
        <v/>
      </c>
      <c r="L32" s="68">
        <f>'[1]2024_60-69 ΕΞΟΔΑ+ΟΜ 2'!M138</f>
        <v/>
      </c>
      <c r="M32" s="11">
        <f>L32/$L$7</f>
        <v/>
      </c>
      <c r="N32" s="12">
        <f>L32+'[1]2026 Οκτώβριος'!N32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3.25" customHeight="1">
      <c r="A33" s="67" t="n">
        <v>26</v>
      </c>
      <c r="B33" s="67" t="n">
        <v>26</v>
      </c>
      <c r="C33" s="44">
        <f>[1]ΑΝΤΙΣΤΟΙΧΙΣΗ!F212</f>
        <v/>
      </c>
      <c r="D33" s="10">
        <f>'[1]2026_ΕΣΟΔΑ'!M27</f>
        <v/>
      </c>
      <c r="E33" s="11">
        <f>D33/$D$7</f>
        <v/>
      </c>
      <c r="F33" s="12">
        <f>D33+'[1]2026 Οκτώβριος'!F33</f>
        <v/>
      </c>
      <c r="G33" s="11">
        <f>F33/$F$7</f>
        <v/>
      </c>
      <c r="H33" s="12" t="n"/>
      <c r="I33" s="11">
        <f>H33/$H$7</f>
        <v/>
      </c>
      <c r="J33" s="12">
        <f>H33+'[1]2026 Οκτώβριος'!J33</f>
        <v/>
      </c>
      <c r="K33" s="11">
        <f>J33/$J$7</f>
        <v/>
      </c>
      <c r="L33" s="68">
        <f>'[1]2024_60-69 ΕΞΟΔΑ+ΟΜ 2'!M139</f>
        <v/>
      </c>
      <c r="M33" s="11">
        <f>L33/$L$7</f>
        <v/>
      </c>
      <c r="N33" s="12">
        <f>L33+'[1]2026 Οκτώβριος'!N33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23.25" customHeight="1">
      <c r="A34" s="67" t="n">
        <v>27</v>
      </c>
      <c r="B34" s="67" t="n">
        <v>27</v>
      </c>
      <c r="C34" s="44">
        <f>[1]ΑΝΤΙΣΤΟΙΧΙΣΗ!F213</f>
        <v/>
      </c>
      <c r="D34" s="10">
        <f>'[1]2026_ΕΣΟΔΑ'!M28</f>
        <v/>
      </c>
      <c r="E34" s="11">
        <f>D34/$D$7</f>
        <v/>
      </c>
      <c r="F34" s="12">
        <f>D34+'[1]2026 Οκτώβριος'!F34</f>
        <v/>
      </c>
      <c r="G34" s="11">
        <f>F34/$F$7</f>
        <v/>
      </c>
      <c r="H34" s="12" t="n"/>
      <c r="I34" s="11">
        <f>H34/$H$7</f>
        <v/>
      </c>
      <c r="J34" s="12">
        <f>H34+'[1]2026 Οκτώβριος'!J34</f>
        <v/>
      </c>
      <c r="K34" s="11">
        <f>J34/$J$7</f>
        <v/>
      </c>
      <c r="L34" s="68">
        <f>'[1]2024_60-69 ΕΞΟΔΑ+ΟΜ 2'!M140</f>
        <v/>
      </c>
      <c r="M34" s="11">
        <f>L34/$L$7</f>
        <v/>
      </c>
      <c r="N34" s="12">
        <f>L34+'[1]2026 Οκτώβριος'!N34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23.25" customHeight="1">
      <c r="A35" s="67" t="n">
        <v>28</v>
      </c>
      <c r="B35" s="67" t="n">
        <v>28</v>
      </c>
      <c r="C35" s="44">
        <f>[1]ΑΝΤΙΣΤΟΙΧΙΣΗ!F214</f>
        <v/>
      </c>
      <c r="D35" s="10">
        <f>'[1]2026_ΕΣΟΔΑ'!M29</f>
        <v/>
      </c>
      <c r="E35" s="11">
        <f>D35/$D$7</f>
        <v/>
      </c>
      <c r="F35" s="12">
        <f>D35+'[1]2026 Οκτώβριος'!F35</f>
        <v/>
      </c>
      <c r="G35" s="11">
        <f>F35/$F$7</f>
        <v/>
      </c>
      <c r="H35" s="12" t="n"/>
      <c r="I35" s="11">
        <f>H35/$H$7</f>
        <v/>
      </c>
      <c r="J35" s="12">
        <f>H35+'[1]2026 Οκτώβριος'!J35</f>
        <v/>
      </c>
      <c r="K35" s="11">
        <f>J35/$J$7</f>
        <v/>
      </c>
      <c r="L35" s="68">
        <f>'[1]2024_60-69 ΕΞΟΔΑ+ΟΜ 2'!M141</f>
        <v/>
      </c>
      <c r="M35" s="11">
        <f>L35/$L$7</f>
        <v/>
      </c>
      <c r="N35" s="12">
        <f>L35+'[1]2026 Οκτώβριος'!N35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3.25" customHeight="1">
      <c r="A36" s="67" t="n">
        <v>29</v>
      </c>
      <c r="B36" s="67" t="n">
        <v>29</v>
      </c>
      <c r="C36" s="44">
        <f>[1]ΑΝΤΙΣΤΟΙΧΙΣΗ!F215</f>
        <v/>
      </c>
      <c r="D36" s="10">
        <f>'[1]2026_ΕΣΟΔΑ'!M30</f>
        <v/>
      </c>
      <c r="E36" s="11">
        <f>D36/$D$7</f>
        <v/>
      </c>
      <c r="F36" s="12">
        <f>D36+'[1]2026 Οκτώβριος'!F36</f>
        <v/>
      </c>
      <c r="G36" s="11">
        <f>F36/$F$7</f>
        <v/>
      </c>
      <c r="H36" s="12" t="n"/>
      <c r="I36" s="11">
        <f>H36/$H$7</f>
        <v/>
      </c>
      <c r="J36" s="12">
        <f>H36+'[1]2026 Οκτώβριος'!J36</f>
        <v/>
      </c>
      <c r="K36" s="11">
        <f>J36/$J$7</f>
        <v/>
      </c>
      <c r="L36" s="68">
        <f>'[1]2024_60-69 ΕΞΟΔΑ+ΟΜ 2'!M142</f>
        <v/>
      </c>
      <c r="M36" s="11">
        <f>L36/$L$7</f>
        <v/>
      </c>
      <c r="N36" s="12">
        <f>L36+'[1]2026 Οκτώβριος'!N36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3.25" customHeight="1">
      <c r="A37" s="67" t="n">
        <v>30</v>
      </c>
      <c r="B37" s="67" t="n">
        <v>30</v>
      </c>
      <c r="C37" s="44">
        <f>[1]ΑΝΤΙΣΤΟΙΧΙΣΗ!F216</f>
        <v/>
      </c>
      <c r="D37" s="10">
        <f>'[1]2026_ΕΣΟΔΑ'!M31</f>
        <v/>
      </c>
      <c r="E37" s="11">
        <f>D37/$D$7</f>
        <v/>
      </c>
      <c r="F37" s="12">
        <f>D37+'[1]2026 Οκτώβριος'!F37</f>
        <v/>
      </c>
      <c r="G37" s="11">
        <f>F37/$F$7</f>
        <v/>
      </c>
      <c r="H37" s="12" t="n"/>
      <c r="I37" s="11">
        <f>H37/$H$7</f>
        <v/>
      </c>
      <c r="J37" s="12">
        <f>H37+'[1]2026 Οκτώβριος'!J37</f>
        <v/>
      </c>
      <c r="K37" s="11">
        <f>J37/$J$7</f>
        <v/>
      </c>
      <c r="L37" s="68">
        <f>'[1]2024_60-69 ΕΞΟΔΑ+ΟΜ 2'!M143</f>
        <v/>
      </c>
      <c r="M37" s="11">
        <f>L37/$L$7</f>
        <v/>
      </c>
      <c r="N37" s="12">
        <f>L37+'[1]2026 Οκτώβριος'!N37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15" customHeight="1">
      <c r="A38" s="60" t="n"/>
      <c r="B38" s="60" t="n"/>
      <c r="C38" s="6" t="inlineStr">
        <is>
          <t>ΣΥΝΟΛΟ ΕΣΟΔΩΝ ΜΗΝΟΣ</t>
        </is>
      </c>
      <c r="D38" s="7">
        <f>'[1]2026_ΕΣΟΔΑ'!M32</f>
        <v/>
      </c>
      <c r="E38" s="8" t="n"/>
      <c r="F38" s="7">
        <f>'[1]2026_ΕΣΟΔΑ'!M34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40.5" customHeight="1">
      <c r="A39" s="60" t="n"/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40.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41.25" customHeight="1">
      <c r="A41" s="60" t="n">
        <v>39</v>
      </c>
      <c r="B41" s="60" t="n"/>
      <c r="C41" s="5" t="inlineStr">
        <is>
          <t xml:space="preserve">ΠΕΡΙΟΔΟΣ </t>
        </is>
      </c>
      <c r="D41" s="180">
        <f>[1]ΑΝΤΙΣΤΟΙΧΙΣΗ!$F$116</f>
        <v/>
      </c>
      <c r="E41" s="192" t="n"/>
      <c r="F41" s="56" t="n"/>
      <c r="G41" s="61">
        <f>[1]ΑΝΤΙΣΤΟΙΧΙΣΗ!$D$34</f>
        <v/>
      </c>
      <c r="H41" s="180">
        <f>[1]ΑΝΤΙΣΤΟΙΧΙΣΗ!$F$116</f>
        <v/>
      </c>
      <c r="I41" s="192" t="n"/>
      <c r="J41" s="56" t="n"/>
      <c r="K41" s="61">
        <f>[1]ΑΝΤΙΣΤΟΙΧΙΣΗ!$D$34</f>
        <v/>
      </c>
      <c r="L41" s="180">
        <f>[1]ΑΝΤΙΣΤΟΙΧΙΣΗ!$F$130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80.2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22.5" customHeight="1">
      <c r="A43" s="60" t="n">
        <v>42</v>
      </c>
      <c r="B43" s="70" t="inlineStr">
        <is>
          <t>A/A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37.5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2'!N4</f>
        <v/>
      </c>
      <c r="E44" s="15">
        <f>D44/$D$43</f>
        <v/>
      </c>
      <c r="F44" s="10">
        <f>D44+'[1]2026 Οκτώβριος'!F44</f>
        <v/>
      </c>
      <c r="G44" s="15">
        <f>F44/$F$43</f>
        <v/>
      </c>
      <c r="H44" s="14" t="n"/>
      <c r="I44" s="16">
        <f>H44/$H$43</f>
        <v/>
      </c>
      <c r="J44" s="10">
        <f>H44</f>
        <v/>
      </c>
      <c r="K44" s="17">
        <f>J44/$J$43</f>
        <v/>
      </c>
      <c r="L44" s="14">
        <f>'[1]2024_60-69 ΕΞΟΔΑ+ΟΜ 2'!N4</f>
        <v/>
      </c>
      <c r="M44" s="15">
        <f>L44/$L$43</f>
        <v/>
      </c>
      <c r="N44" s="10">
        <f>L44+'[1]2026 Οκτώβριος'!N44</f>
        <v/>
      </c>
      <c r="O44" s="15">
        <f>N44/$N$43</f>
        <v/>
      </c>
      <c r="P44" s="10" t="n"/>
      <c r="Q44" s="15" t="n"/>
    </row>
    <row r="45" ht="28.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2'!N5</f>
        <v/>
      </c>
      <c r="E45" s="15">
        <f>D45/$D$43</f>
        <v/>
      </c>
      <c r="F45" s="10">
        <f>D45+'[1]2026 Οκτώβριος'!F45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2'!N5</f>
        <v/>
      </c>
      <c r="M45" s="15">
        <f>L45/$L$43</f>
        <v/>
      </c>
      <c r="N45" s="10">
        <f>L45+'[1]2026 Οκτώβριος'!N45</f>
        <v/>
      </c>
      <c r="O45" s="15">
        <f>N45/$N$43</f>
        <v/>
      </c>
      <c r="P45" s="10" t="n"/>
      <c r="Q45" s="15">
        <f>N45/F45</f>
        <v/>
      </c>
    </row>
    <row r="46" ht="28.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2'!N6</f>
        <v/>
      </c>
      <c r="E46" s="15">
        <f>D46/$D$43</f>
        <v/>
      </c>
      <c r="F46" s="10">
        <f>D46+'[1]2026 Οκτώβριος'!F46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2'!N6</f>
        <v/>
      </c>
      <c r="M46" s="15">
        <f>L46/$L$43</f>
        <v/>
      </c>
      <c r="N46" s="10">
        <f>L46+'[1]2026 Οκτώβριος'!N46</f>
        <v/>
      </c>
      <c r="O46" s="15">
        <f>N46/$N$43</f>
        <v/>
      </c>
      <c r="P46" s="10" t="n"/>
      <c r="Q46" s="15">
        <f>N46/F46</f>
        <v/>
      </c>
    </row>
    <row r="47" ht="28.5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2'!N7</f>
        <v/>
      </c>
      <c r="E47" s="15">
        <f>D49/$D$43</f>
        <v/>
      </c>
      <c r="F47" s="10">
        <f>D49+'[1]2026 Οκτώβριος'!F47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2'!N7</f>
        <v/>
      </c>
      <c r="M47" s="15">
        <f>L49/$L$43</f>
        <v/>
      </c>
      <c r="N47" s="10">
        <f>L49+'[1]2026 Οκτώβριος'!N47</f>
        <v/>
      </c>
      <c r="O47" s="15">
        <f>N49/$N$43</f>
        <v/>
      </c>
      <c r="P47" s="10" t="n"/>
      <c r="Q47" s="15">
        <f>N49/F49</f>
        <v/>
      </c>
      <c r="V47" s="160" t="n"/>
    </row>
    <row r="48" ht="33.75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2'!N8</f>
        <v/>
      </c>
      <c r="E48" s="15">
        <f>D50/$D$43</f>
        <v/>
      </c>
      <c r="F48" s="10">
        <f>D50+'[1]2026 Οκτώβριος'!F48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2'!N8</f>
        <v/>
      </c>
      <c r="M48" s="15">
        <f>L50/$L$43</f>
        <v/>
      </c>
      <c r="N48" s="10">
        <f>L50+'[1]2026 Οκτώβριος'!N48</f>
        <v/>
      </c>
      <c r="O48" s="15">
        <f>N50/$N$43</f>
        <v/>
      </c>
      <c r="P48" s="10" t="n"/>
      <c r="Q48" s="15">
        <f>N50/F50</f>
        <v/>
      </c>
      <c r="V48" s="160" t="n"/>
    </row>
    <row r="49" ht="28.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2'!N9</f>
        <v/>
      </c>
      <c r="E49" s="15">
        <f>D51/$D$43</f>
        <v/>
      </c>
      <c r="F49" s="10">
        <f>D51+'[1]2026 Οκτώβριος'!F49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2'!N9</f>
        <v/>
      </c>
      <c r="M49" s="15">
        <f>L51/$L$43</f>
        <v/>
      </c>
      <c r="N49" s="10">
        <f>L51+'[1]2026 Οκτώβριος'!N49</f>
        <v/>
      </c>
      <c r="O49" s="15">
        <f>N51/$N$43</f>
        <v/>
      </c>
      <c r="P49" s="10" t="n"/>
      <c r="Q49" s="15">
        <f>N51/F51</f>
        <v/>
      </c>
      <c r="V49" s="160" t="n"/>
    </row>
    <row r="50" ht="28.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2'!N10</f>
        <v/>
      </c>
      <c r="E50" s="15">
        <f>D54/$D$43</f>
        <v/>
      </c>
      <c r="F50" s="10">
        <f>D54+'[1]2026 Οκτώβριος'!F50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2'!N10</f>
        <v/>
      </c>
      <c r="M50" s="15">
        <f>L54/$L$43</f>
        <v/>
      </c>
      <c r="N50" s="10">
        <f>L54+'[1]2026 Οκτώβριος'!N50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2'!N11</f>
        <v/>
      </c>
      <c r="E51" s="15">
        <f>D55/$D$43</f>
        <v/>
      </c>
      <c r="F51" s="10">
        <f>D55+'[1]2026 Οκτώβριος'!F51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2'!N11</f>
        <v/>
      </c>
      <c r="M51" s="15">
        <f>L55/$L$43</f>
        <v/>
      </c>
      <c r="N51" s="10">
        <f>L55+'[1]2026 Οκτώβριος'!N51</f>
        <v/>
      </c>
      <c r="O51" s="15">
        <f>N55/$N$43</f>
        <v/>
      </c>
      <c r="P51" s="10" t="n"/>
      <c r="Q51" s="15">
        <f>N55/F55</f>
        <v/>
      </c>
    </row>
    <row r="52" ht="28.5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2'!N12</f>
        <v/>
      </c>
      <c r="E52" s="15">
        <f>D56/$D$43</f>
        <v/>
      </c>
      <c r="F52" s="10">
        <f>D56+'[1]2026 Οκτώβριος'!F52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2'!N12</f>
        <v/>
      </c>
      <c r="M52" s="15">
        <f>L56/$L$43</f>
        <v/>
      </c>
      <c r="N52" s="10">
        <f>L56+'[1]2026 Οκτώβριος'!N52</f>
        <v/>
      </c>
      <c r="O52" s="15">
        <f>N56/$N$43</f>
        <v/>
      </c>
      <c r="P52" s="10" t="n"/>
      <c r="Q52" s="15">
        <f>N56/F56</f>
        <v/>
      </c>
    </row>
    <row r="53" ht="33.75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2'!N13</f>
        <v/>
      </c>
      <c r="E53" s="15">
        <f>D57/$D$43</f>
        <v/>
      </c>
      <c r="F53" s="10">
        <f>D57+'[1]2026 Οκτώβριος'!F53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2'!N13</f>
        <v/>
      </c>
      <c r="M53" s="15">
        <f>L57/$L$43</f>
        <v/>
      </c>
      <c r="N53" s="10">
        <f>L57+'[1]2026 Οκτώβριος'!N53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2'!N14</f>
        <v/>
      </c>
      <c r="E54" s="15">
        <f>D58/$D$43</f>
        <v/>
      </c>
      <c r="F54" s="10">
        <f>D58+'[1]2026 Οκτώβριος'!F54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2'!N14</f>
        <v/>
      </c>
      <c r="M54" s="15">
        <f>L58/$L$43</f>
        <v/>
      </c>
      <c r="N54" s="10">
        <f>L58+'[1]2026 Οκτώβριος'!N54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2'!N15</f>
        <v/>
      </c>
      <c r="E55" s="15">
        <f>D59/$D$43</f>
        <v/>
      </c>
      <c r="F55" s="10">
        <f>D59+'[1]2026 Οκτώβριος'!F55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2'!N15</f>
        <v/>
      </c>
      <c r="M55" s="15">
        <f>L59/$L$43</f>
        <v/>
      </c>
      <c r="N55" s="10">
        <f>L59+'[1]2026 Οκτώβριος'!N55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2'!N16</f>
        <v/>
      </c>
      <c r="E56" s="15">
        <f>D60/$D$43</f>
        <v/>
      </c>
      <c r="F56" s="10">
        <f>D60+'[1]2026 Οκτώβριος'!F56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2'!N16</f>
        <v/>
      </c>
      <c r="M56" s="15">
        <f>L60/$L$43</f>
        <v/>
      </c>
      <c r="N56" s="10">
        <f>L60+'[1]2026 Οκτώβριος'!N56</f>
        <v/>
      </c>
      <c r="O56" s="15">
        <f>N60/$N$43</f>
        <v/>
      </c>
      <c r="P56" s="10" t="n"/>
      <c r="Q56" s="15" t="n"/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2'!N17</f>
        <v/>
      </c>
      <c r="E57" s="15">
        <f>D61/$D$43</f>
        <v/>
      </c>
      <c r="F57" s="10">
        <f>D61+'[1]2026 Οκτώβριος'!F57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2'!N17</f>
        <v/>
      </c>
      <c r="M57" s="15">
        <f>L61/$L$43</f>
        <v/>
      </c>
      <c r="N57" s="10">
        <f>L61+'[1]2026 Οκτώβριος'!N57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2'!N18</f>
        <v/>
      </c>
      <c r="E58" s="15">
        <f>D62/$D$43</f>
        <v/>
      </c>
      <c r="F58" s="10">
        <f>D62+'[1]2026 Οκτώβριος'!F58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2'!N18</f>
        <v/>
      </c>
      <c r="M58" s="15">
        <f>L62/$L$43</f>
        <v/>
      </c>
      <c r="N58" s="10">
        <f>L62+'[1]2026 Οκτώβριος'!N58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2'!N19</f>
        <v/>
      </c>
      <c r="E59" s="15">
        <f>D63/$D$43</f>
        <v/>
      </c>
      <c r="F59" s="10">
        <f>D63+'[1]2026 Οκτώβριος'!F59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2'!N19</f>
        <v/>
      </c>
      <c r="M59" s="15">
        <f>L63/$L$43</f>
        <v/>
      </c>
      <c r="N59" s="10">
        <f>L63+'[1]2026 Οκτώβριος'!N59</f>
        <v/>
      </c>
      <c r="O59" s="15">
        <f>N63/$N$43</f>
        <v/>
      </c>
      <c r="P59" s="10" t="n"/>
      <c r="Q59" s="15">
        <f>N63/F63</f>
        <v/>
      </c>
    </row>
    <row r="60" ht="28.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2'!N20</f>
        <v/>
      </c>
      <c r="E60" s="15">
        <f>D64/$D$43</f>
        <v/>
      </c>
      <c r="F60" s="10">
        <f>D64+'[1]2026 Οκτώβριος'!F60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2'!N20</f>
        <v/>
      </c>
      <c r="M60" s="15">
        <f>L64/$L$43</f>
        <v/>
      </c>
      <c r="N60" s="10">
        <f>L64+'[1]2026 Οκτώβριος'!N60</f>
        <v/>
      </c>
      <c r="O60" s="15">
        <f>N64/$N$43</f>
        <v/>
      </c>
      <c r="P60" s="10" t="n"/>
      <c r="Q60" s="15">
        <f>N64/F64</f>
        <v/>
      </c>
    </row>
    <row r="61" ht="1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2'!N21</f>
        <v/>
      </c>
      <c r="E61" s="15">
        <f>D65/$D$43</f>
        <v/>
      </c>
      <c r="F61" s="10">
        <f>D65+'[1]2026 Οκτώβριος'!F61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2'!N21</f>
        <v/>
      </c>
      <c r="M61" s="15">
        <f>L65/$L$43</f>
        <v/>
      </c>
      <c r="N61" s="10">
        <f>L65+'[1]2026 Οκτώβριος'!N61</f>
        <v/>
      </c>
      <c r="O61" s="15">
        <f>N65/$N$43</f>
        <v/>
      </c>
      <c r="P61" s="10" t="n"/>
      <c r="Q61" s="15">
        <f>N65/F65</f>
        <v/>
      </c>
    </row>
    <row r="62" ht="1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2'!N22</f>
        <v/>
      </c>
      <c r="E62" s="15">
        <f>D66/$D$43</f>
        <v/>
      </c>
      <c r="F62" s="10">
        <f>D66+'[1]2026 Οκτώβριος'!F62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2'!N22</f>
        <v/>
      </c>
      <c r="M62" s="15">
        <f>L66/$L$43</f>
        <v/>
      </c>
      <c r="N62" s="10">
        <f>L66+'[1]2026 Οκτώβριος'!N62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2'!N23</f>
        <v/>
      </c>
      <c r="E63" s="15">
        <f>D67/$D$43</f>
        <v/>
      </c>
      <c r="F63" s="10">
        <f>D67+'[1]2026 Οκτώβριος'!F63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2'!N23</f>
        <v/>
      </c>
      <c r="M63" s="15">
        <f>L67/$L$43</f>
        <v/>
      </c>
      <c r="N63" s="10">
        <f>L67+'[1]2026 Οκτώβριος'!N63</f>
        <v/>
      </c>
      <c r="O63" s="15">
        <f>N67/$N$43</f>
        <v/>
      </c>
      <c r="P63" s="10" t="n"/>
      <c r="Q63" s="15">
        <f>N67/F67</f>
        <v/>
      </c>
    </row>
    <row r="64" ht="1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2'!N24</f>
        <v/>
      </c>
      <c r="E64" s="15">
        <f>D68/$D$43</f>
        <v/>
      </c>
      <c r="F64" s="10">
        <f>D68+'[1]2026 Οκτώβριος'!F64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2'!N24</f>
        <v/>
      </c>
      <c r="M64" s="15">
        <f>L68/$L$43</f>
        <v/>
      </c>
      <c r="N64" s="10">
        <f>L68+'[1]2026 Οκτώβριος'!N64</f>
        <v/>
      </c>
      <c r="O64" s="15">
        <f>N68/$N$43</f>
        <v/>
      </c>
      <c r="P64" s="10" t="n"/>
      <c r="Q64" s="15">
        <f>N68/F68</f>
        <v/>
      </c>
    </row>
    <row r="65" ht="1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2'!N25</f>
        <v/>
      </c>
      <c r="E65" s="15">
        <f>D69/$D$43</f>
        <v/>
      </c>
      <c r="F65" s="10">
        <f>D69+'[1]2026 Οκτώβριος'!F65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2'!N25</f>
        <v/>
      </c>
      <c r="M65" s="15">
        <f>L69/$L$43</f>
        <v/>
      </c>
      <c r="N65" s="10">
        <f>L69+'[1]2026 Οκτώβριος'!N65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2'!N26</f>
        <v/>
      </c>
      <c r="E66" s="15">
        <f>D70/$D$43</f>
        <v/>
      </c>
      <c r="F66" s="10">
        <f>D70+'[1]2026 Οκτώβριος'!F66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2'!N26</f>
        <v/>
      </c>
      <c r="M66" s="15">
        <f>L70/$L$43</f>
        <v/>
      </c>
      <c r="N66" s="10">
        <f>L70+'[1]2026 Οκτώβριος'!N66</f>
        <v/>
      </c>
      <c r="O66" s="15">
        <f>N70/$N$43</f>
        <v/>
      </c>
      <c r="P66" s="10" t="n"/>
      <c r="Q66" s="15">
        <f>N70/F70</f>
        <v/>
      </c>
    </row>
    <row r="67" ht="1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2'!N27</f>
        <v/>
      </c>
      <c r="E67" s="15">
        <f>D71/$D$43</f>
        <v/>
      </c>
      <c r="F67" s="10">
        <f>D71+'[1]2026 Οκτώβριος'!F67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2'!N27</f>
        <v/>
      </c>
      <c r="M67" s="15">
        <f>L71/$L$43</f>
        <v/>
      </c>
      <c r="N67" s="10">
        <f>L71+'[1]2026 Οκτώβριος'!N67</f>
        <v/>
      </c>
      <c r="O67" s="15">
        <f>N71/$N$43</f>
        <v/>
      </c>
      <c r="P67" s="10" t="n"/>
      <c r="Q67" s="15">
        <f>N71/F71</f>
        <v/>
      </c>
    </row>
    <row r="68" ht="15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2'!N28</f>
        <v/>
      </c>
      <c r="E68" s="15">
        <f>D72/$D$43</f>
        <v/>
      </c>
      <c r="F68" s="10">
        <f>D72+'[1]2026 Οκτώβριος'!F68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2'!N28</f>
        <v/>
      </c>
      <c r="M68" s="15">
        <f>L72/$L$43</f>
        <v/>
      </c>
      <c r="N68" s="10">
        <f>L72+'[1]2026 Οκτώβριος'!N68</f>
        <v/>
      </c>
      <c r="O68" s="15">
        <f>N72/$N$43</f>
        <v/>
      </c>
      <c r="P68" s="10" t="n"/>
      <c r="Q68" s="15">
        <f>N72/F72</f>
        <v/>
      </c>
    </row>
    <row r="69" ht="42.75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2'!N29</f>
        <v/>
      </c>
      <c r="E69" s="15">
        <f>D73/$D$43</f>
        <v/>
      </c>
      <c r="F69" s="10">
        <f>D73+'[1]2026 Οκτώβριος'!F69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2'!N29</f>
        <v/>
      </c>
      <c r="M69" s="15">
        <f>L73/$L$43</f>
        <v/>
      </c>
      <c r="N69" s="10">
        <f>L73+'[1]2026 Οκτώβριος'!N69</f>
        <v/>
      </c>
      <c r="O69" s="15">
        <f>N73/$N$43</f>
        <v/>
      </c>
      <c r="P69" s="10" t="n"/>
      <c r="Q69" s="15">
        <f>N73/F73</f>
        <v/>
      </c>
    </row>
    <row r="70" ht="15" customHeight="1">
      <c r="A70" s="67" t="n">
        <v>73</v>
      </c>
      <c r="B70" s="67" t="n">
        <v>31</v>
      </c>
      <c r="C70" s="45">
        <f>[1]ΑΝΤΙΣΤΟΙΧΙΣΗ!I213</f>
        <v/>
      </c>
      <c r="D70" s="14" t="n">
        <v>0</v>
      </c>
      <c r="E70" s="15">
        <f>D74/$D$43</f>
        <v/>
      </c>
      <c r="F70" s="10">
        <f>D74+'[1]2026 Οκτώβριος'!F70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2'!N30</f>
        <v/>
      </c>
      <c r="M70" s="15">
        <f>L74/$L$43</f>
        <v/>
      </c>
      <c r="N70" s="10">
        <f>L74+'[1]2026 Οκτώβριος'!N70</f>
        <v/>
      </c>
      <c r="O70" s="15">
        <f>N74/$N$43</f>
        <v/>
      </c>
      <c r="P70" s="10" t="n"/>
      <c r="Q70" s="15">
        <f>N74/F74</f>
        <v/>
      </c>
    </row>
    <row r="71" ht="1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2'!N31</f>
        <v/>
      </c>
      <c r="E71" s="15">
        <f>D75/$D$43</f>
        <v/>
      </c>
      <c r="F71" s="10">
        <f>D75+'[1]2026 Οκτώβριος'!F71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2'!N31</f>
        <v/>
      </c>
      <c r="M71" s="15">
        <f>L75/$L$43</f>
        <v/>
      </c>
      <c r="N71" s="10">
        <f>L75+'[1]2026 Οκτώβριος'!N71</f>
        <v/>
      </c>
      <c r="O71" s="15">
        <f>N75/$N$43</f>
        <v/>
      </c>
      <c r="P71" s="10" t="n"/>
      <c r="Q71" s="15">
        <f>N75/F75</f>
        <v/>
      </c>
    </row>
    <row r="72" ht="28.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2'!N32</f>
        <v/>
      </c>
      <c r="E72" s="15">
        <f>D76/$D$43</f>
        <v/>
      </c>
      <c r="F72" s="10">
        <f>D76+'[1]2026 Οκτώβριος'!F72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2'!N32</f>
        <v/>
      </c>
      <c r="M72" s="15">
        <f>L76/$L$43</f>
        <v/>
      </c>
      <c r="N72" s="10">
        <f>L76+'[1]2026 Οκτώβριος'!N72</f>
        <v/>
      </c>
      <c r="O72" s="15">
        <f>N76/$N$43</f>
        <v/>
      </c>
      <c r="P72" s="10" t="n"/>
      <c r="Q72" s="15">
        <f>N76/F76</f>
        <v/>
      </c>
    </row>
    <row r="73" ht="28.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2'!N33</f>
        <v/>
      </c>
      <c r="E73" s="15">
        <f>D77/$D$43</f>
        <v/>
      </c>
      <c r="F73" s="10">
        <f>D77+'[1]2026 Οκτώβριος'!F73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2'!N33</f>
        <v/>
      </c>
      <c r="M73" s="15">
        <f>L77/$L$43</f>
        <v/>
      </c>
      <c r="N73" s="10">
        <f>L77+'[1]2026 Οκτώβριος'!N73</f>
        <v/>
      </c>
      <c r="O73" s="15">
        <f>N77/$N$43</f>
        <v/>
      </c>
      <c r="P73" s="10" t="n"/>
      <c r="Q73" s="15">
        <f>N77/F77</f>
        <v/>
      </c>
    </row>
    <row r="74" ht="15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2'!N3</f>
        <v/>
      </c>
      <c r="E74" s="21" t="n"/>
      <c r="F74" s="7">
        <f>'[1]2026_60-69 ΕΞΟΔΑ+ΟΜ 2'!AA3</f>
        <v/>
      </c>
      <c r="G74" s="21" t="n"/>
      <c r="H74" s="7">
        <f>SUM(H44:H75)</f>
        <v/>
      </c>
      <c r="I74" s="21" t="n"/>
      <c r="J74" s="7">
        <f>SUM(J44:J75)</f>
        <v/>
      </c>
      <c r="K74" s="21" t="n"/>
      <c r="L74" s="7">
        <f>SUM(L44:L75)</f>
        <v/>
      </c>
      <c r="M74" s="21" t="n"/>
      <c r="N74" s="7">
        <f>SUM(N44:N75)</f>
        <v/>
      </c>
      <c r="O74" s="21" t="n"/>
      <c r="P74" s="7">
        <f>SUM(P44:P75)</f>
        <v/>
      </c>
      <c r="Q74" s="21" t="n"/>
    </row>
    <row r="75" ht="36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36" customHeight="1">
      <c r="A76" s="76" t="n">
        <v>79</v>
      </c>
      <c r="B76" s="76" t="n">
        <v>28</v>
      </c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 t="n"/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36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30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[1]ΑΝΤΙΣΤΟΙΧΙΣΗ!$F$116</f>
        <v/>
      </c>
      <c r="E78" s="192" t="n"/>
      <c r="F78" s="56" t="n"/>
      <c r="G78" s="61">
        <f>[1]ΑΝΤΙΣΤΟΙΧΙΣΗ!$D$34</f>
        <v/>
      </c>
      <c r="H78" s="180">
        <f>[1]ΑΝΤΙΣΤΟΙΧΙΣΗ!$F$116</f>
        <v/>
      </c>
      <c r="I78" s="192" t="n"/>
      <c r="J78" s="56" t="n"/>
      <c r="K78" s="61">
        <f>[1]ΑΝΤΙΣΤΟΙΧΙΣΗ!$D$34</f>
        <v/>
      </c>
      <c r="L78" s="180">
        <f>[1]ΑΝΤΙΣΤΟΙΧΙΣΗ!$F$130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22.5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36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6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2'!N39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2'!N37</f>
        <v/>
      </c>
      <c r="M81" s="192" t="n"/>
      <c r="N81" s="192" t="n"/>
      <c r="O81" s="56" t="n"/>
      <c r="P81" s="27" t="n"/>
      <c r="Q81" s="56" t="n"/>
    </row>
    <row r="82" ht="15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2'!N40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2'!N38</f>
        <v/>
      </c>
      <c r="M82" s="192" t="n"/>
      <c r="N82" s="56" t="n"/>
      <c r="O82" s="15">
        <f>N86/$N$84</f>
        <v/>
      </c>
      <c r="P82" s="27" t="n"/>
      <c r="Q82" s="56" t="n"/>
    </row>
    <row r="83" ht="56.2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2'!N43</f>
        <v/>
      </c>
      <c r="E83" s="15">
        <f>D87/$D$84</f>
        <v/>
      </c>
      <c r="F83" s="79">
        <f>D87+'[1]2026 Οκτώβριος'!F87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2'!N41</f>
        <v/>
      </c>
      <c r="M83" s="15">
        <f>L87/$L$84</f>
        <v/>
      </c>
      <c r="N83" s="10">
        <f>L87+'[1]2026 Οκτώβριος'!N87</f>
        <v/>
      </c>
      <c r="O83" s="15">
        <f>N87/$N$84</f>
        <v/>
      </c>
      <c r="P83" s="27" t="n"/>
      <c r="Q83" s="28">
        <f>SUM(D87:P87)</f>
        <v/>
      </c>
      <c r="V83" s="160" t="n"/>
    </row>
    <row r="84" ht="15.7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2'!N44</f>
        <v/>
      </c>
      <c r="E84" s="15">
        <f>D88/$D$84</f>
        <v/>
      </c>
      <c r="F84" s="79">
        <f>D88+'[1]2026 Οκτώβριος'!F88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2'!N42</f>
        <v/>
      </c>
      <c r="M84" s="15">
        <f>L88/$L$84</f>
        <v/>
      </c>
      <c r="N84" s="10">
        <f>L88+'[1]2026 Οκτώβριος'!N88</f>
        <v/>
      </c>
      <c r="O84" s="15">
        <f>N88/$N$84</f>
        <v/>
      </c>
      <c r="P84" s="27" t="n"/>
      <c r="Q84" s="28">
        <f>SUM(D88:P88)</f>
        <v/>
      </c>
      <c r="V84" s="160" t="n"/>
    </row>
    <row r="85" ht="28.5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2'!N45</f>
        <v/>
      </c>
      <c r="E85" s="15">
        <f>D89/$D$84</f>
        <v/>
      </c>
      <c r="F85" s="79">
        <f>D89+'[1]2026 Οκτώβριος'!F89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2'!N43</f>
        <v/>
      </c>
      <c r="M85" s="15">
        <f>L89/$L$84</f>
        <v/>
      </c>
      <c r="N85" s="10">
        <f>L89+'[1]2026 Οκτώβριος'!N89</f>
        <v/>
      </c>
      <c r="O85" s="15">
        <f>N89/$N$84</f>
        <v/>
      </c>
      <c r="P85" s="80" t="n"/>
      <c r="Q85" s="28">
        <f>SUM(D89:P89)</f>
        <v/>
      </c>
    </row>
    <row r="86" ht="28.5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2'!N46</f>
        <v/>
      </c>
      <c r="E86" s="15">
        <f>D90/$D$84</f>
        <v/>
      </c>
      <c r="F86" s="79">
        <f>D90+'[1]2026 Οκτώβριος'!F90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2'!N44</f>
        <v/>
      </c>
      <c r="M86" s="15">
        <f>L90/$L$84</f>
        <v/>
      </c>
      <c r="N86" s="10">
        <f>L90+'[1]2026 Οκτώβριος'!N90</f>
        <v/>
      </c>
      <c r="O86" s="15">
        <f>N90/$N$84</f>
        <v/>
      </c>
      <c r="P86" s="80" t="n"/>
      <c r="Q86" s="28">
        <f>SUM(D90:P90)</f>
        <v/>
      </c>
    </row>
    <row r="87" ht="36.75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2'!N47</f>
        <v/>
      </c>
      <c r="E87" s="15">
        <f>D91/$D$84</f>
        <v/>
      </c>
      <c r="F87" s="79">
        <f>D91+'[1]2026 Οκτώβριος'!F91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2'!N45</f>
        <v/>
      </c>
      <c r="M87" s="15">
        <f>L91/$L$84</f>
        <v/>
      </c>
      <c r="N87" s="10">
        <f>L91+'[1]2026 Οκτώβριος'!N91</f>
        <v/>
      </c>
      <c r="O87" s="15">
        <f>N91/$N$84</f>
        <v/>
      </c>
      <c r="P87" s="80" t="n"/>
      <c r="Q87" s="28">
        <f>SUM(D91:P91)</f>
        <v/>
      </c>
    </row>
    <row r="88" ht="33.75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2'!N48</f>
        <v/>
      </c>
      <c r="E88" s="15">
        <f>D92/$D$84</f>
        <v/>
      </c>
      <c r="F88" s="79">
        <f>D92+'[1]2026 Οκτώβριος'!F92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2'!N46</f>
        <v/>
      </c>
      <c r="M88" s="15">
        <f>L92/$L$84</f>
        <v/>
      </c>
      <c r="N88" s="10">
        <f>L92+'[1]2026 Οκτώβριος'!N92</f>
        <v/>
      </c>
      <c r="O88" s="15">
        <f>N92/$N$84</f>
        <v/>
      </c>
      <c r="P88" s="27" t="n"/>
      <c r="Q88" s="28">
        <f>SUM(D92:P92)</f>
        <v/>
      </c>
      <c r="V88" s="160" t="n"/>
    </row>
    <row r="89" ht="27.7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2'!N49</f>
        <v/>
      </c>
      <c r="E89" s="15">
        <f>D93/$D$84</f>
        <v/>
      </c>
      <c r="F89" s="79">
        <f>D93+'[1]2026 Οκτώβριος'!F93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2'!N47</f>
        <v/>
      </c>
      <c r="M89" s="15">
        <f>L93/$L$84</f>
        <v/>
      </c>
      <c r="N89" s="10">
        <f>L93+'[1]2026 Οκτώβριος'!N93</f>
        <v/>
      </c>
      <c r="O89" s="15">
        <f>N93/$N$84</f>
        <v/>
      </c>
      <c r="P89" s="27" t="n"/>
      <c r="Q89" s="28">
        <f>SUM(D93:P93)</f>
        <v/>
      </c>
    </row>
    <row r="90" ht="1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2'!N50</f>
        <v/>
      </c>
      <c r="E90" s="15">
        <f>D94/$D$84</f>
        <v/>
      </c>
      <c r="F90" s="79">
        <f>D94+'[1]2026 Οκτώβριος'!F94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2'!N48</f>
        <v/>
      </c>
      <c r="M90" s="15">
        <f>L94/$L$84</f>
        <v/>
      </c>
      <c r="N90" s="10">
        <f>L94+'[1]2026 Οκτώβριος'!N94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2'!N51</f>
        <v/>
      </c>
      <c r="E91" s="15">
        <f>D95/$D$84</f>
        <v/>
      </c>
      <c r="F91" s="79">
        <f>D95+'[1]2026 Οκτώβριος'!F95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2'!N49</f>
        <v/>
      </c>
      <c r="M91" s="15">
        <f>L95/$L$84</f>
        <v/>
      </c>
      <c r="N91" s="10">
        <f>L95+'[1]2026 Οκτώβριος'!N95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2'!N52</f>
        <v/>
      </c>
      <c r="E92" s="15">
        <f>D96/$D$84</f>
        <v/>
      </c>
      <c r="F92" s="79">
        <f>D96+'[1]2026 Οκτώβριος'!F96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2'!N50</f>
        <v/>
      </c>
      <c r="M92" s="15">
        <f>L96/$L$84</f>
        <v/>
      </c>
      <c r="N92" s="10">
        <f>L96+'[1]2026 Οκτώβριος'!N96</f>
        <v/>
      </c>
      <c r="O92" s="15">
        <f>N96/$N$84</f>
        <v/>
      </c>
      <c r="P92" s="27" t="n"/>
      <c r="Q92" s="28">
        <f>SUM(D96:P96)</f>
        <v/>
      </c>
    </row>
    <row r="93" ht="28.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2'!N53</f>
        <v/>
      </c>
      <c r="E93" s="15">
        <f>D97/$D$84</f>
        <v/>
      </c>
      <c r="F93" s="79">
        <f>D97+'[1]2026 Οκτώβριος'!F97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2'!N51</f>
        <v/>
      </c>
      <c r="M93" s="15">
        <f>L97/$L$84</f>
        <v/>
      </c>
      <c r="N93" s="10">
        <f>L97+'[1]2026 Οκτώβριος'!N97</f>
        <v/>
      </c>
      <c r="O93" s="15">
        <f>N97/$N$84</f>
        <v/>
      </c>
      <c r="P93" s="27" t="n"/>
      <c r="Q93" s="28">
        <f>SUM(D97:P97)</f>
        <v/>
      </c>
    </row>
    <row r="94" ht="32.2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2'!N54</f>
        <v/>
      </c>
      <c r="E94" s="15">
        <f>D98/$D$84</f>
        <v/>
      </c>
      <c r="F94" s="79">
        <f>D98+'[1]2026 Οκτώβριος'!F98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2'!N52</f>
        <v/>
      </c>
      <c r="M94" s="15">
        <f>L98/$L$84</f>
        <v/>
      </c>
      <c r="N94" s="10">
        <f>L98+'[1]2026 Οκτώβριος'!N98</f>
        <v/>
      </c>
      <c r="O94" s="15">
        <f>N98/$N$84</f>
        <v/>
      </c>
      <c r="P94" s="27" t="n"/>
      <c r="Q94" s="28">
        <f>SUM(D98:P98)</f>
        <v/>
      </c>
    </row>
    <row r="95" ht="1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2'!N55</f>
        <v/>
      </c>
      <c r="E95" s="15">
        <f>D99/$D$84</f>
        <v/>
      </c>
      <c r="F95" s="79">
        <f>D99+'[1]2026 Οκτώβριος'!F99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2'!N53</f>
        <v/>
      </c>
      <c r="M95" s="15">
        <f>L99/$L$84</f>
        <v/>
      </c>
      <c r="N95" s="10">
        <f>L99+'[1]2026 Οκτώβριος'!N99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2'!N56</f>
        <v/>
      </c>
      <c r="E96" s="15">
        <f>D100/$D$84</f>
        <v/>
      </c>
      <c r="F96" s="79">
        <f>D100+'[1]2026 Οκτώβριος'!F100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2'!N54</f>
        <v/>
      </c>
      <c r="M96" s="15">
        <f>L100/$L$84</f>
        <v/>
      </c>
      <c r="N96" s="10">
        <f>L100+'[1]2026 Οκτώβριος'!N100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2'!N57</f>
        <v/>
      </c>
      <c r="E97" s="15">
        <f>D101/$D$84</f>
        <v/>
      </c>
      <c r="F97" s="79">
        <f>D101+'[1]2026 Οκτώβριος'!F101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2'!N55</f>
        <v/>
      </c>
      <c r="M97" s="15">
        <f>L101/$L$84</f>
        <v/>
      </c>
      <c r="N97" s="10">
        <f>L101+'[1]2026 Οκτώβριος'!N101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2'!N58</f>
        <v/>
      </c>
      <c r="E98" s="15">
        <f>D102/$D$84</f>
        <v/>
      </c>
      <c r="F98" s="79">
        <f>D102+'[1]2026 Οκτώβριος'!F102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2'!N56</f>
        <v/>
      </c>
      <c r="M98" s="15">
        <f>L102/$L$84</f>
        <v/>
      </c>
      <c r="N98" s="10">
        <f>L102+'[1]2026 Οκτώβριος'!N102</f>
        <v/>
      </c>
      <c r="O98" s="15">
        <f>N102/$N$84</f>
        <v/>
      </c>
      <c r="P98" s="27" t="n"/>
      <c r="Q98" s="28">
        <f>SUM(D102:P102)</f>
        <v/>
      </c>
    </row>
    <row r="99" ht="24.7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2'!N59</f>
        <v/>
      </c>
      <c r="E99" s="15">
        <f>D103/$D$84</f>
        <v/>
      </c>
      <c r="F99" s="79">
        <f>D103+'[1]2026 Οκτώβριος'!F103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2'!N57</f>
        <v/>
      </c>
      <c r="M99" s="15">
        <f>L103/$L$84</f>
        <v/>
      </c>
      <c r="N99" s="10">
        <f>L103+'[1]2026 Οκτώβριος'!N103</f>
        <v/>
      </c>
      <c r="O99" s="15">
        <f>N103/$N$84</f>
        <v/>
      </c>
      <c r="P99" s="27" t="n"/>
      <c r="Q99" s="28">
        <f>SUM(D103:P103)</f>
        <v/>
      </c>
    </row>
    <row r="100" ht="28.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2'!N60</f>
        <v/>
      </c>
      <c r="E100" s="15">
        <f>D104/$D$84</f>
        <v/>
      </c>
      <c r="F100" s="79">
        <f>D104+'[1]2026 Οκτώβριος'!F104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2'!N58</f>
        <v/>
      </c>
      <c r="M100" s="15">
        <f>L104/$L$84</f>
        <v/>
      </c>
      <c r="N100" s="10">
        <f>L104+'[1]2026 Οκτώβριος'!N104</f>
        <v/>
      </c>
      <c r="O100" s="15">
        <f>N104/$N$84</f>
        <v/>
      </c>
      <c r="P100" s="27" t="n"/>
      <c r="Q100" s="28">
        <f>SUM(D104:P104)</f>
        <v/>
      </c>
    </row>
    <row r="101" ht="42.7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2'!N61</f>
        <v/>
      </c>
      <c r="E101" s="15">
        <f>D105/$D$84</f>
        <v/>
      </c>
      <c r="F101" s="79">
        <f>D105+'[1]2026 Οκτώβριος'!F105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2'!N59</f>
        <v/>
      </c>
      <c r="M101" s="15">
        <f>L105/$L$84</f>
        <v/>
      </c>
      <c r="N101" s="10">
        <f>L105+'[1]2026 Οκτώβριος'!N105</f>
        <v/>
      </c>
      <c r="O101" s="15">
        <f>N105/$N$84</f>
        <v/>
      </c>
      <c r="P101" s="27" t="n"/>
      <c r="Q101" s="28">
        <f>SUM(D105:P105)</f>
        <v/>
      </c>
    </row>
    <row r="102" ht="15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t="1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t="28.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28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28.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15" customHeight="1">
      <c r="A107" s="60" t="n"/>
      <c r="B107" s="60" t="n"/>
      <c r="C107" s="20" t="inlineStr">
        <is>
          <t>ΣΥΝΟΛΟ ΚΟΣΤΟΥΣ Sales-Marketing ΜΗΝΟΣ</t>
        </is>
      </c>
      <c r="D107" s="7">
        <f>'[1]2026_60-69 ΕΞΟΔΑ+ΟΜ 2'!N36</f>
        <v/>
      </c>
      <c r="E107" s="8" t="n"/>
      <c r="F107" s="7">
        <f>'[1]2026_60-69 ΕΞΟΔΑ+ΟΜ 2'!AA36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25.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1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[1]ΑΝΤΙΣΤΟΙΧΙΣΗ!$F$116</f>
        <v/>
      </c>
      <c r="E110" s="192" t="n"/>
      <c r="F110" s="56" t="n"/>
      <c r="G110" s="61">
        <f>[1]ΑΝΤΙΣΤΟΙΧΙΣΗ!$D$34</f>
        <v/>
      </c>
      <c r="H110" s="180">
        <f>[1]ΑΝΤΙΣΤΟΙΧΙΣΗ!$F$116</f>
        <v/>
      </c>
      <c r="I110" s="192" t="n"/>
      <c r="J110" s="56" t="n"/>
      <c r="K110" s="61">
        <f>[1]ΑΝΤΙΣΤΟΙΧΙΣΗ!$D$34</f>
        <v/>
      </c>
      <c r="L110" s="180">
        <f>[1]ΑΝΤΙΣΤΟΙΧΙΣΗ!$F$130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31.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24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'[1]2026_60-69 ΕΞΟΔΑ+ΟΜ 2'!N74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2'!N66</f>
        <v/>
      </c>
      <c r="M113" s="192" t="n"/>
      <c r="N113" s="192" t="n"/>
      <c r="O113" s="56" t="n"/>
      <c r="P113" s="10" t="n"/>
      <c r="Q113" s="56" t="n"/>
    </row>
    <row r="114" ht="15.7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'[1]2026_60-69 ΕΞΟΔΑ+ΟΜ 2'!N75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2'!N67</f>
        <v/>
      </c>
      <c r="M114" s="192" t="n"/>
      <c r="N114" s="56" t="n"/>
      <c r="O114" s="15">
        <f>N118/$N$116</f>
        <v/>
      </c>
      <c r="P114" s="10" t="n"/>
      <c r="Q114" s="56" t="n"/>
      <c r="V114" s="160" t="n"/>
    </row>
    <row r="115" ht="81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'[1]2026_60-69 ΕΞΟΔΑ+ΟΜ 2'!N76</f>
        <v/>
      </c>
      <c r="E115" s="15">
        <f>D119/$D$116</f>
        <v/>
      </c>
      <c r="F115" s="10">
        <f>D119+'[1]2026 Οκτώβριος'!F119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2'!N68</f>
        <v/>
      </c>
      <c r="M115" s="15">
        <f>L119/$L$116</f>
        <v/>
      </c>
      <c r="N115" s="10">
        <f>L119+'[1]2026 Οκτώβριος'!N119</f>
        <v/>
      </c>
      <c r="O115" s="15">
        <f>N119/$N$116</f>
        <v/>
      </c>
      <c r="P115" s="10" t="n"/>
      <c r="Q115" s="30">
        <f>SUM(D119:P119)</f>
        <v/>
      </c>
    </row>
    <row r="116" ht="30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'[1]2026_60-69 ΕΞΟΔΑ+ΟΜ 2'!N77</f>
        <v/>
      </c>
      <c r="E116" s="15">
        <f>D120/$D$116</f>
        <v/>
      </c>
      <c r="F116" s="10">
        <f>D120+'[1]2026 Οκτώβριος'!F120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2'!N69</f>
        <v/>
      </c>
      <c r="M116" s="15">
        <f>L120/$L$116</f>
        <v/>
      </c>
      <c r="N116" s="10">
        <f>L120+'[1]2026 Οκτώβριος'!N120</f>
        <v/>
      </c>
      <c r="O116" s="15">
        <f>N120/$N$116</f>
        <v/>
      </c>
      <c r="P116" s="10" t="n"/>
      <c r="Q116" s="30">
        <f>SUM(D120:P120)</f>
        <v/>
      </c>
    </row>
    <row r="117" ht="1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'[1]2026_60-69 ΕΞΟΔΑ+ΟΜ 2'!N78</f>
        <v/>
      </c>
      <c r="E117" s="15">
        <f>D121/$D$116</f>
        <v/>
      </c>
      <c r="F117" s="10">
        <f>D121+'[1]2026 Οκτώβριος'!F121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2'!N70</f>
        <v/>
      </c>
      <c r="M117" s="15">
        <f>L121/$L$116</f>
        <v/>
      </c>
      <c r="N117" s="10">
        <f>L121+'[1]2026 Οκτώβριος'!N121</f>
        <v/>
      </c>
      <c r="O117" s="15">
        <f>N121/$N$116</f>
        <v/>
      </c>
      <c r="P117" s="10" t="n"/>
      <c r="Q117" s="30">
        <f>SUM(D121:P121)</f>
        <v/>
      </c>
    </row>
    <row r="118" ht="28.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'[1]2026_60-69 ΕΞΟΔΑ+ΟΜ 2'!N79</f>
        <v/>
      </c>
      <c r="E118" s="15">
        <f>D122/$D$116</f>
        <v/>
      </c>
      <c r="F118" s="10">
        <f>D122+'[1]2026 Οκτώβριος'!F122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2'!N71</f>
        <v/>
      </c>
      <c r="M118" s="15">
        <f>L122/$L$116</f>
        <v/>
      </c>
      <c r="N118" s="10">
        <f>L122+'[1]2026 Οκτώβριος'!N122</f>
        <v/>
      </c>
      <c r="O118" s="15">
        <f>N122/$N$116</f>
        <v/>
      </c>
      <c r="P118" s="10" t="n"/>
      <c r="Q118" s="30">
        <f>SUM(D122:P122)</f>
        <v/>
      </c>
    </row>
    <row r="119" ht="1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'[1]2026_60-69 ΕΞΟΔΑ+ΟΜ 2'!N80</f>
        <v/>
      </c>
      <c r="E119" s="15">
        <f>D123/$D$116</f>
        <v/>
      </c>
      <c r="F119" s="10">
        <f>D123+'[1]2026 Οκτώβριος'!F123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2'!N72</f>
        <v/>
      </c>
      <c r="M119" s="15">
        <f>L123/$L$116</f>
        <v/>
      </c>
      <c r="N119" s="10">
        <f>L123+'[1]2026 Οκτώβριος'!N123</f>
        <v/>
      </c>
      <c r="O119" s="15">
        <f>N123/$N$116</f>
        <v/>
      </c>
      <c r="P119" s="10" t="n"/>
      <c r="Q119" s="30">
        <f>SUM(D123:P123)</f>
        <v/>
      </c>
    </row>
    <row r="120" ht="1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'[1]2026_60-69 ΕΞΟΔΑ+ΟΜ 2'!N81</f>
        <v/>
      </c>
      <c r="E120" s="15">
        <f>D124/$D$116</f>
        <v/>
      </c>
      <c r="F120" s="10">
        <f>D124+'[1]2026 Οκτώβριος'!F124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2'!N73</f>
        <v/>
      </c>
      <c r="M120" s="15">
        <f>L124/$L$116</f>
        <v/>
      </c>
      <c r="N120" s="10">
        <f>L124+'[1]2026 Οκτώβριος'!N124</f>
        <v/>
      </c>
      <c r="O120" s="15">
        <f>N124/$N$116</f>
        <v/>
      </c>
      <c r="P120" s="10" t="n"/>
      <c r="Q120" s="30">
        <f>SUM(D124:P124)</f>
        <v/>
      </c>
    </row>
    <row r="121" ht="1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'[1]2026_60-69 ΕΞΟΔΑ+ΟΜ 2'!N82</f>
        <v/>
      </c>
      <c r="E121" s="15">
        <f>D125/$D$116</f>
        <v/>
      </c>
      <c r="F121" s="10">
        <f>D125+'[1]2026 Οκτώβριος'!F125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2'!N74</f>
        <v/>
      </c>
      <c r="M121" s="15">
        <f>L125/$L$116</f>
        <v/>
      </c>
      <c r="N121" s="10">
        <f>L125+'[1]2026 Οκτώβριος'!N125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'[1]2026_60-69 ΕΞΟΔΑ+ΟΜ 2'!N83</f>
        <v/>
      </c>
      <c r="E122" s="15">
        <f>D126/$D$116</f>
        <v/>
      </c>
      <c r="F122" s="10">
        <f>D126+'[1]2026 Οκτώβριος'!F126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2'!N75</f>
        <v/>
      </c>
      <c r="M122" s="15">
        <f>L126/$L$116</f>
        <v/>
      </c>
      <c r="N122" s="10">
        <f>L126+'[1]2026 Οκτώβριος'!N126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'[1]2026_60-69 ΕΞΟΔΑ+ΟΜ 2'!N84</f>
        <v/>
      </c>
      <c r="E123" s="15">
        <f>D127/$D$116</f>
        <v/>
      </c>
      <c r="F123" s="10">
        <f>D127+'[1]2026 Οκτώβριος'!F127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2'!N76</f>
        <v/>
      </c>
      <c r="M123" s="15">
        <f>L127/$L$116</f>
        <v/>
      </c>
      <c r="N123" s="10">
        <f>L127+'[1]2026 Οκτώβριος'!N127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'[1]2026_60-69 ΕΞΟΔΑ+ΟΜ 2'!N85</f>
        <v/>
      </c>
      <c r="E124" s="15">
        <f>D128/$D$116</f>
        <v/>
      </c>
      <c r="F124" s="10">
        <f>D128+'[1]2026 Οκτώβριος'!F128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2'!N77</f>
        <v/>
      </c>
      <c r="M124" s="15">
        <f>L128/$L$116</f>
        <v/>
      </c>
      <c r="N124" s="10">
        <f>L128+'[1]2026 Οκτώβριος'!N128</f>
        <v/>
      </c>
      <c r="O124" s="15">
        <f>N128/$N$116</f>
        <v/>
      </c>
      <c r="P124" s="10" t="n"/>
      <c r="Q124" s="30">
        <f>SUM(D128:P128)</f>
        <v/>
      </c>
    </row>
    <row r="125" ht="28.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'[1]2026_60-69 ΕΞΟΔΑ+ΟΜ 2'!N86</f>
        <v/>
      </c>
      <c r="E125" s="15">
        <f>D129/$D$116</f>
        <v/>
      </c>
      <c r="F125" s="10">
        <f>D129+'[1]2026 Οκτώβριος'!F129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2'!N78</f>
        <v/>
      </c>
      <c r="M125" s="15">
        <f>L129/$L$116</f>
        <v/>
      </c>
      <c r="N125" s="10">
        <f>L129+'[1]2026 Οκτώβριος'!N129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'[1]2026_60-69 ΕΞΟΔΑ+ΟΜ 2'!N87</f>
        <v/>
      </c>
      <c r="E126" s="15">
        <f>D130/$D$116</f>
        <v/>
      </c>
      <c r="F126" s="10">
        <f>D130+'[1]2026 Οκτώβριος'!F130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2'!N79</f>
        <v/>
      </c>
      <c r="M126" s="15">
        <f>L130/$L$116</f>
        <v/>
      </c>
      <c r="N126" s="10">
        <f>L130+'[1]2026 Οκτώβριος'!N130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'[1]2026_60-69 ΕΞΟΔΑ+ΟΜ 2'!N88</f>
        <v/>
      </c>
      <c r="E127" s="15">
        <f>D131/$D$116</f>
        <v/>
      </c>
      <c r="F127" s="10">
        <f>D131+'[1]2026 Οκτώβριος'!F131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2'!N80</f>
        <v/>
      </c>
      <c r="M127" s="15">
        <f>L131/$L$116</f>
        <v/>
      </c>
      <c r="N127" s="10">
        <f>L131+'[1]2026 Οκτώβριος'!N131</f>
        <v/>
      </c>
      <c r="O127" s="15">
        <f>N131/$N$116</f>
        <v/>
      </c>
      <c r="P127" s="10" t="n"/>
      <c r="Q127" s="30">
        <f>SUM(D131:P131)</f>
        <v/>
      </c>
      <c r="V127" s="160" t="n"/>
    </row>
    <row r="128" ht="28.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'[1]2026_60-69 ΕΞΟΔΑ+ΟΜ 2'!N89</f>
        <v/>
      </c>
      <c r="E128" s="15">
        <f>D132/$D$116</f>
        <v/>
      </c>
      <c r="F128" s="10">
        <f>D132+'[1]2026 Οκτώβριος'!F132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2'!N81</f>
        <v/>
      </c>
      <c r="M128" s="15">
        <f>L132/$L$116</f>
        <v/>
      </c>
      <c r="N128" s="10">
        <f>L132+'[1]2026 Οκτώβριος'!N132</f>
        <v/>
      </c>
      <c r="O128" s="15">
        <f>N132/$N$116</f>
        <v/>
      </c>
      <c r="P128" s="10" t="n"/>
      <c r="Q128" s="30">
        <f>SUM(D132:P132)</f>
        <v/>
      </c>
      <c r="V128" s="160" t="n"/>
    </row>
    <row r="129" ht="28.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'[1]2026_60-69 ΕΞΟΔΑ+ΟΜ 2'!N90</f>
        <v/>
      </c>
      <c r="E129" s="15">
        <f>D133/$D$116</f>
        <v/>
      </c>
      <c r="F129" s="10">
        <f>D133+'[1]2026 Οκτώβριος'!F133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2'!N82</f>
        <v/>
      </c>
      <c r="M129" s="15">
        <f>L133/$L$116</f>
        <v/>
      </c>
      <c r="N129" s="10">
        <f>L133+'[1]2026 Οκτώβριος'!N133</f>
        <v/>
      </c>
      <c r="O129" s="15">
        <f>N133/$N$116</f>
        <v/>
      </c>
      <c r="P129" s="10" t="n"/>
      <c r="Q129" s="30">
        <f>SUM(D133:P133)</f>
        <v/>
      </c>
      <c r="V129" s="160" t="n"/>
    </row>
    <row r="130" ht="28.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'[1]2026_60-69 ΕΞΟΔΑ+ΟΜ 2'!N91</f>
        <v/>
      </c>
      <c r="E130" s="15">
        <f>D134/$D$116</f>
        <v/>
      </c>
      <c r="F130" s="10">
        <f>D134+'[1]2026 Οκτώβριος'!F134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2'!N83</f>
        <v/>
      </c>
      <c r="M130" s="15">
        <f>L134/$L$116</f>
        <v/>
      </c>
      <c r="N130" s="10">
        <f>L134+'[1]2026 Οκτώβριος'!N134</f>
        <v/>
      </c>
      <c r="O130" s="15">
        <f>N134/$N$116</f>
        <v/>
      </c>
      <c r="P130" s="10" t="n"/>
      <c r="Q130" s="30">
        <f>SUM(D134:P134)</f>
        <v/>
      </c>
      <c r="V130" s="160" t="n"/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'[1]2026_60-69 ΕΞΟΔΑ+ΟΜ 2'!N92</f>
        <v/>
      </c>
      <c r="E131" s="15">
        <f>D135/$D$116</f>
        <v/>
      </c>
      <c r="F131" s="10">
        <f>D135+'[1]2026 Οκτώβριος'!F135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2'!N84</f>
        <v/>
      </c>
      <c r="M131" s="15">
        <f>L135/$L$116</f>
        <v/>
      </c>
      <c r="N131" s="10">
        <f>L135+'[1]2026 Οκτώβριος'!N135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'[1]2026_60-69 ΕΞΟΔΑ+ΟΜ 2'!N93</f>
        <v/>
      </c>
      <c r="E132" s="15">
        <f>D136/$D$116</f>
        <v/>
      </c>
      <c r="F132" s="10">
        <f>D136+'[1]2026 Οκτώβριος'!F136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2'!N85</f>
        <v/>
      </c>
      <c r="M132" s="15">
        <f>L136/$L$116</f>
        <v/>
      </c>
      <c r="N132" s="10">
        <f>L136+'[1]2026 Οκτώβριος'!N136</f>
        <v/>
      </c>
      <c r="O132" s="15">
        <f>N136/$N$116</f>
        <v/>
      </c>
      <c r="P132" s="10" t="n"/>
      <c r="Q132" s="30">
        <f>SUM(D136:P136)</f>
        <v/>
      </c>
    </row>
    <row r="133" ht="15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'[1]2026_60-69 ΕΞΟΔΑ+ΟΜ 2'!N94</f>
        <v/>
      </c>
      <c r="E133" s="15">
        <f>D137/$D$116</f>
        <v/>
      </c>
      <c r="F133" s="10">
        <f>D137+'[1]2026 Οκτώβριος'!F137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2'!N86</f>
        <v/>
      </c>
      <c r="M133" s="15">
        <f>L137/$L$116</f>
        <v/>
      </c>
      <c r="N133" s="10">
        <f>L137+'[1]2026 Οκτώβριος'!N137</f>
        <v/>
      </c>
      <c r="O133" s="15">
        <f>N137/$N$116</f>
        <v/>
      </c>
      <c r="P133" s="10" t="n"/>
      <c r="Q133" s="30">
        <f>SUM(D137:P137)</f>
        <v/>
      </c>
    </row>
    <row r="134" ht="28.5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'[1]2026_60-69 ΕΞΟΔΑ+ΟΜ 2'!N95</f>
        <v/>
      </c>
      <c r="E134" s="15">
        <f>D138/$D$116</f>
        <v/>
      </c>
      <c r="F134" s="10">
        <f>D138+'[1]2026 Οκτώβριος'!F138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2'!N87</f>
        <v/>
      </c>
      <c r="M134" s="15">
        <f>L138/$L$116</f>
        <v/>
      </c>
      <c r="N134" s="10">
        <f>L138+'[1]2026 Οκτώβριος'!N138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'[1]2026_60-69 ΕΞΟΔΑ+ΟΜ 2'!N96</f>
        <v/>
      </c>
      <c r="E135" s="15">
        <f>D139/$D$116</f>
        <v/>
      </c>
      <c r="F135" s="10">
        <f>D139+'[1]2026 Οκτώβριος'!F139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2'!N88</f>
        <v/>
      </c>
      <c r="M135" s="15">
        <f>L139/$L$116</f>
        <v/>
      </c>
      <c r="N135" s="10">
        <f>L139+'[1]2026 Οκτώβριος'!N139</f>
        <v/>
      </c>
      <c r="O135" s="15">
        <f>N139/$N$116</f>
        <v/>
      </c>
      <c r="P135" s="10" t="n"/>
      <c r="Q135" s="30">
        <f>SUM(D139:P139)</f>
        <v/>
      </c>
    </row>
    <row r="136" ht="28.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'[1]2026_60-69 ΕΞΟΔΑ+ΟΜ 2'!N97</f>
        <v/>
      </c>
      <c r="E136" s="15">
        <f>D140/$D$116</f>
        <v/>
      </c>
      <c r="F136" s="10">
        <f>D140+'[1]2026 Οκτώβριος'!F140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2'!N89</f>
        <v/>
      </c>
      <c r="M136" s="15">
        <f>L140/$L$116</f>
        <v/>
      </c>
      <c r="N136" s="10">
        <f>L140+'[1]2026 Οκτώβριος'!N140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'[1]2026_60-69 ΕΞΟΔΑ+ΟΜ 2'!N98</f>
        <v/>
      </c>
      <c r="E137" s="15">
        <f>D141/$D$116</f>
        <v/>
      </c>
      <c r="F137" s="10">
        <f>D141+'[1]2026 Οκτώβριος'!F141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2'!N90</f>
        <v/>
      </c>
      <c r="M137" s="15">
        <f>L141/$L$116</f>
        <v/>
      </c>
      <c r="N137" s="10">
        <f>L141+'[1]2026 Οκτώβριος'!N141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'[1]2026_60-69 ΕΞΟΔΑ+ΟΜ 2'!N99</f>
        <v/>
      </c>
      <c r="E138" s="15">
        <f>D142/$D$116</f>
        <v/>
      </c>
      <c r="F138" s="10">
        <f>D142+'[1]2026 Οκτώβριος'!F142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2'!N91</f>
        <v/>
      </c>
      <c r="M138" s="15">
        <f>L142/$L$116</f>
        <v/>
      </c>
      <c r="N138" s="10">
        <f>L142+'[1]2026 Οκτώβριος'!N142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'[1]2026_60-69 ΕΞΟΔΑ+ΟΜ 2'!N100</f>
        <v/>
      </c>
      <c r="E139" s="15">
        <f>D143/$D$116</f>
        <v/>
      </c>
      <c r="F139" s="10">
        <f>D143+'[1]2026 Οκτώβριος'!F143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2'!N92</f>
        <v/>
      </c>
      <c r="M139" s="15">
        <f>L143/$L$116</f>
        <v/>
      </c>
      <c r="N139" s="10">
        <f>L143+'[1]2026 Οκτώβριος'!N143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'[1]2026_60-69 ΕΞΟΔΑ+ΟΜ 2'!N101</f>
        <v/>
      </c>
      <c r="E140" s="15">
        <f>D144/$D$116</f>
        <v/>
      </c>
      <c r="F140" s="10">
        <f>D144+'[1]2026 Οκτώβριος'!F144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2'!N93</f>
        <v/>
      </c>
      <c r="M140" s="15">
        <f>L144/$L$116</f>
        <v/>
      </c>
      <c r="N140" s="10">
        <f>L144+'[1]2026 Οκτώβριος'!N144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'[1]2026_60-69 ΕΞΟΔΑ+ΟΜ 2'!N102</f>
        <v/>
      </c>
      <c r="E141" s="15">
        <f>D145/$D$116</f>
        <v/>
      </c>
      <c r="F141" s="10">
        <f>D145+'[1]2026 Οκτώβριος'!F145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2'!N94</f>
        <v/>
      </c>
      <c r="M141" s="15">
        <f>L145/$L$116</f>
        <v/>
      </c>
      <c r="N141" s="10">
        <f>L145+'[1]2026 Οκτώβριος'!N145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'[1]2026_60-69 ΕΞΟΔΑ+ΟΜ 2'!N103</f>
        <v/>
      </c>
      <c r="E142" s="15">
        <f>D146/$D$116</f>
        <v/>
      </c>
      <c r="F142" s="10">
        <f>D146+'[1]2026 Οκτώβριος'!F146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2'!N95</f>
        <v/>
      </c>
      <c r="M142" s="15">
        <f>L146/$L$116</f>
        <v/>
      </c>
      <c r="N142" s="10">
        <f>L146+'[1]2026 Οκτώβριος'!N146</f>
        <v/>
      </c>
      <c r="O142" s="15">
        <f>N146/$N$116</f>
        <v/>
      </c>
      <c r="P142" s="10" t="n"/>
      <c r="Q142" s="30">
        <f>SUM(D146:P146)</f>
        <v/>
      </c>
    </row>
    <row r="143" ht="57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'[1]2026_60-69 ΕΞΟΔΑ+ΟΜ 2'!N104</f>
        <v/>
      </c>
      <c r="E143" s="15">
        <f>D147/$D$116</f>
        <v/>
      </c>
      <c r="F143" s="10">
        <f>D147+'[1]2026 Οκτώβριος'!F147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2'!N96</f>
        <v/>
      </c>
      <c r="M143" s="15">
        <f>L147/$L$116</f>
        <v/>
      </c>
      <c r="N143" s="10">
        <f>L147+'[1]2026 Οκτώβριος'!N147</f>
        <v/>
      </c>
      <c r="O143" s="15">
        <f>N147/$N$116</f>
        <v/>
      </c>
      <c r="P143" s="10" t="n"/>
      <c r="Q143" s="30">
        <f>SUM(D147:P147)</f>
        <v/>
      </c>
    </row>
    <row r="144" ht="57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'[1]2026_60-69 ΕΞΟΔΑ+ΟΜ 2'!N105</f>
        <v/>
      </c>
      <c r="E144" s="15">
        <f>D148/$D$116</f>
        <v/>
      </c>
      <c r="F144" s="10">
        <f>D148+'[1]2026 Οκτώβριος'!F148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2'!N97</f>
        <v/>
      </c>
      <c r="M144" s="15">
        <f>L148/$L$116</f>
        <v/>
      </c>
      <c r="N144" s="10">
        <f>L148+'[1]2026 Οκτώβριος'!N148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'[1]2026_60-69 ΕΞΟΔΑ+ΟΜ 2'!N106</f>
        <v/>
      </c>
      <c r="E145" s="15">
        <f>D149/$D$116</f>
        <v/>
      </c>
      <c r="F145" s="10">
        <f>D149+'[1]2026 Οκτώβριος'!F149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2'!N98</f>
        <v/>
      </c>
      <c r="M145" s="15">
        <f>L149/$L$116</f>
        <v/>
      </c>
      <c r="N145" s="10">
        <f>L149+'[1]2026 Οκτώβριος'!N149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'[1]2026_60-69 ΕΞΟΔΑ+ΟΜ 2'!N107</f>
        <v/>
      </c>
      <c r="E146" s="15">
        <f>D150/$D$116</f>
        <v/>
      </c>
      <c r="F146" s="10">
        <f>D150+'[1]2026 Οκτώβριος'!F150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2'!N99</f>
        <v/>
      </c>
      <c r="M146" s="15">
        <f>L150/$L$116</f>
        <v/>
      </c>
      <c r="N146" s="10">
        <f>L150+'[1]2026 Οκτώβριος'!N150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'[1]2026_60-69 ΕΞΟΔΑ+ΟΜ 2'!N108</f>
        <v/>
      </c>
      <c r="E147" s="15">
        <f>D151/$D$116</f>
        <v/>
      </c>
      <c r="F147" s="10">
        <f>D151+'[1]2026 Οκτώβριος'!F151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2'!N100</f>
        <v/>
      </c>
      <c r="M147" s="15">
        <f>L151/$L$116</f>
        <v/>
      </c>
      <c r="N147" s="10">
        <f>L151+'[1]2026 Οκτώβριος'!N151</f>
        <v/>
      </c>
      <c r="O147" s="15">
        <f>N151/$N$116</f>
        <v/>
      </c>
      <c r="P147" s="10" t="n"/>
      <c r="Q147" s="30">
        <f>SUM(D151:P151)</f>
        <v/>
      </c>
    </row>
    <row r="148" ht="15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'[1]2026_60-69 ΕΞΟΔΑ+ΟΜ 2'!N109</f>
        <v/>
      </c>
      <c r="E148" s="15">
        <f>D152/$D$116</f>
        <v/>
      </c>
      <c r="F148" s="10">
        <f>D152+'[1]2026 Οκτώβριος'!F152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2'!N101</f>
        <v/>
      </c>
      <c r="M148" s="15">
        <f>L152/$L$116</f>
        <v/>
      </c>
      <c r="N148" s="10">
        <f>L152+'[1]2026 Οκτώβριος'!N152</f>
        <v/>
      </c>
      <c r="O148" s="15">
        <f>N152/$N$116</f>
        <v/>
      </c>
      <c r="P148" s="10" t="n"/>
      <c r="Q148" s="30">
        <f>SUM(D152:P152)</f>
        <v/>
      </c>
    </row>
    <row r="149" ht="15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'[1]2026_60-69 ΕΞΟΔΑ+ΟΜ 2'!N110</f>
        <v/>
      </c>
      <c r="E149" s="15">
        <f>D153/$D$116</f>
        <v/>
      </c>
      <c r="F149" s="10">
        <f>D153+'[1]2026 Οκτώβριος'!F153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2'!N102</f>
        <v/>
      </c>
      <c r="M149" s="15">
        <f>L153/$L$116</f>
        <v/>
      </c>
      <c r="N149" s="10">
        <f>L153+'[1]2026 Οκτώβριος'!N153</f>
        <v/>
      </c>
      <c r="O149" s="15">
        <f>N153/$N$116</f>
        <v/>
      </c>
      <c r="P149" s="10" t="n"/>
      <c r="Q149" s="30">
        <f>SUM(D153:P153)</f>
        <v/>
      </c>
    </row>
    <row r="150" ht="15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42.7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2'!N73</f>
        <v/>
      </c>
      <c r="E153" s="8" t="n"/>
      <c r="F153" s="7">
        <f>'[1]2026_60-69 ΕΞΟΔΑ+ΟΜ 2'!AA73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>
      <c r="A156" s="57" t="n"/>
      <c r="B156" s="58" t="n"/>
      <c r="C156" s="58" t="n"/>
      <c r="D156" s="182" t="n"/>
      <c r="E156" s="192" t="n"/>
      <c r="F156" s="192" t="n"/>
      <c r="G156" s="56" t="n"/>
      <c r="H156" s="182" t="n"/>
      <c r="I156" s="192" t="n"/>
      <c r="J156" s="192" t="n"/>
      <c r="K156" s="56" t="n"/>
      <c r="L156" s="182" t="n"/>
      <c r="M156" s="192" t="n"/>
      <c r="N156" s="192" t="n"/>
      <c r="O156" s="56" t="n"/>
      <c r="P156" s="183" t="n"/>
      <c r="Q156" s="56" t="n"/>
    </row>
    <row r="157" ht="30" customHeight="1"/>
    <row r="158" ht="30" customHeight="1"/>
    <row r="159" ht="30" customHeight="1"/>
    <row r="160" ht="15" customHeight="1"/>
  </sheetData>
  <mergeCells count="37">
    <mergeCell ref="L113:O113"/>
    <mergeCell ref="L40:O40"/>
    <mergeCell ref="D41:F41"/>
    <mergeCell ref="P113:Q113"/>
    <mergeCell ref="P114:Q114"/>
    <mergeCell ref="L81:O81"/>
    <mergeCell ref="P41:Q41"/>
    <mergeCell ref="D113:G113"/>
    <mergeCell ref="A1:Q1"/>
    <mergeCell ref="H160:K160"/>
    <mergeCell ref="P40:Q40"/>
    <mergeCell ref="L114:N114"/>
    <mergeCell ref="L41:N41"/>
    <mergeCell ref="P81:Q81"/>
    <mergeCell ref="H114:J114"/>
    <mergeCell ref="P2:Q2"/>
    <mergeCell ref="L2:O2"/>
    <mergeCell ref="L160:O160"/>
    <mergeCell ref="D3:F3"/>
    <mergeCell ref="D114:F114"/>
    <mergeCell ref="H3:J3"/>
    <mergeCell ref="D81:G81"/>
    <mergeCell ref="D40:G40"/>
    <mergeCell ref="D82:F82"/>
    <mergeCell ref="H113:K113"/>
    <mergeCell ref="H40:K40"/>
    <mergeCell ref="P82:Q82"/>
    <mergeCell ref="P160:Q160"/>
    <mergeCell ref="H82:J82"/>
    <mergeCell ref="D2:G2"/>
    <mergeCell ref="D160:G160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60"/>
  <sheetViews>
    <sheetView topLeftCell="A90" zoomScaleNormal="100" workbookViewId="0">
      <selection activeCell="B85" sqref="B85:B110"/>
    </sheetView>
  </sheetViews>
  <sheetFormatPr baseColWidth="8" defaultColWidth="9.140625" defaultRowHeight="12"/>
  <cols>
    <col width="4.7109375" customWidth="1" style="1" min="1" max="1"/>
    <col width="4.7109375" customWidth="1" style="32" min="2" max="2"/>
    <col width="30.7109375" customWidth="1" style="33" min="3" max="3"/>
    <col width="13.85546875" customWidth="1" style="33" min="4" max="4"/>
    <col width="10.85546875" customWidth="1" style="33" min="5" max="5"/>
    <col width="14.28515625" bestFit="1" customWidth="1" style="33" min="6" max="6"/>
    <col width="11.7109375" customWidth="1" style="33" min="7" max="7"/>
    <col width="11.5703125" bestFit="1" customWidth="1" style="33" min="8" max="8"/>
    <col width="8.85546875" customWidth="1" style="33" min="9" max="9"/>
    <col width="11.42578125" customWidth="1" style="33" min="10" max="10"/>
    <col width="10.7109375" customWidth="1" style="33" min="11" max="11"/>
    <col width="13.42578125" bestFit="1" customWidth="1" style="33" min="12" max="12"/>
    <col width="11.7109375" customWidth="1" style="33" min="13" max="13"/>
    <col width="13.85546875" customWidth="1" style="33" min="14" max="14"/>
    <col width="13.28515625" customWidth="1" style="33" min="15" max="15"/>
    <col width="14.7109375" bestFit="1" customWidth="1" style="33" min="16" max="16"/>
    <col width="11.42578125" customWidth="1" style="1" min="17" max="17"/>
    <col width="12.7109375" bestFit="1" customWidth="1" style="1" min="18" max="18"/>
    <col width="9.140625" customWidth="1" style="1" min="19" max="21"/>
    <col width="34.5703125" customWidth="1" style="1" min="22" max="22"/>
    <col width="9.140625" customWidth="1" style="1" min="23" max="16384"/>
  </cols>
  <sheetData>
    <row r="1" ht="15" customHeight="1">
      <c r="A1" s="181" t="inlineStr">
        <is>
          <t xml:space="preserve">ΑΝΑΛΥΣΗ ΑΠΟΤΕΛΕΣΜΑΤΟΣ ΜΗΝΟΣ </t>
        </is>
      </c>
      <c r="B1" s="192" t="n"/>
      <c r="C1" s="192" t="n"/>
      <c r="D1" s="192" t="n"/>
      <c r="E1" s="192" t="n"/>
      <c r="F1" s="192" t="n"/>
      <c r="G1" s="192" t="n"/>
      <c r="H1" s="192" t="n"/>
      <c r="I1" s="192" t="n"/>
      <c r="J1" s="192" t="n"/>
      <c r="K1" s="192" t="n"/>
      <c r="L1" s="192" t="n"/>
      <c r="M1" s="192" t="n"/>
      <c r="N1" s="192" t="n"/>
      <c r="O1" s="192" t="n"/>
      <c r="P1" s="192" t="n"/>
      <c r="Q1" s="56" t="n"/>
    </row>
    <row r="2" ht="41.25" customHeight="1">
      <c r="A2" s="57" t="n"/>
      <c r="B2" s="58" t="n"/>
      <c r="C2" s="58" t="inlineStr">
        <is>
          <t>ΑΝΑΛΥΣΗ ΕΤΟΥΣ 2026</t>
        </is>
      </c>
      <c r="D2" s="182">
        <f>[1]ΑΝΤΙΣΤΟΙΧΙΣΗ!$F$32</f>
        <v/>
      </c>
      <c r="E2" s="192" t="n"/>
      <c r="F2" s="192" t="n"/>
      <c r="G2" s="56" t="n"/>
      <c r="H2" s="182">
        <f>[1]ΑΝΤΙΣΤΟΙΧΙΣΗ!$F$35</f>
        <v/>
      </c>
      <c r="I2" s="192" t="n"/>
      <c r="J2" s="192" t="n"/>
      <c r="K2" s="56" t="n"/>
      <c r="L2" s="182">
        <f>[1]ΑΝΤΙΣΤΟΙΧΙΣΗ!$F$68</f>
        <v/>
      </c>
      <c r="M2" s="192" t="n"/>
      <c r="N2" s="192" t="n"/>
      <c r="O2" s="56" t="n"/>
      <c r="P2" s="183">
        <f>[1]ΑΝΤΙΣΤΟΙΧΙΣΗ!$F$100</f>
        <v/>
      </c>
      <c r="Q2" s="56" t="n"/>
    </row>
    <row r="3" ht="25.5" customHeight="1">
      <c r="A3" s="59" t="inlineStr">
        <is>
          <t>Α</t>
        </is>
      </c>
      <c r="B3" s="60" t="n"/>
      <c r="C3" s="5" t="inlineStr">
        <is>
          <t>ΕΙΔΟΣ ΕΣΟΔΩΝ</t>
        </is>
      </c>
      <c r="D3" s="180">
        <f>[1]ΑΝΤΙΣΤΟΙΧΙΣΗ!$F$117</f>
        <v/>
      </c>
      <c r="E3" s="192" t="n"/>
      <c r="F3" s="56" t="n"/>
      <c r="G3" s="61">
        <f>[1]ΑΝΤΙΣΤΟΙΧΙΣΗ!$D$34</f>
        <v/>
      </c>
      <c r="H3" s="180">
        <f>[1]ΑΝΤΙΣΤΟΙΧΙΣΗ!$F$117</f>
        <v/>
      </c>
      <c r="I3" s="192" t="n"/>
      <c r="J3" s="56" t="n"/>
      <c r="K3" s="61">
        <f>[1]ΑΝΤΙΣΤΟΙΧΙΣΗ!$D$34</f>
        <v/>
      </c>
      <c r="L3" s="180">
        <f>[1]ΑΝΤΙΣΤΟΙΧΙΣΗ!$F$131</f>
        <v/>
      </c>
      <c r="M3" s="192" t="n"/>
      <c r="N3" s="56" t="n"/>
      <c r="O3" s="61">
        <f>[1]ΑΝΤΙΣΤΟΙΧΙΣΗ!$D$33</f>
        <v/>
      </c>
      <c r="P3" s="180" t="n"/>
      <c r="Q3" s="56" t="n"/>
    </row>
    <row r="4" ht="78.75" customHeight="1">
      <c r="A4" s="62" t="n"/>
      <c r="B4" s="62" t="n"/>
      <c r="C4" s="62" t="inlineStr">
        <is>
          <t xml:space="preserve">Κατηγορία Εσόδου </t>
        </is>
      </c>
      <c r="D4" s="62" t="inlineStr">
        <is>
          <t xml:space="preserve">Εσοδο Μηνός </t>
        </is>
      </c>
      <c r="E4" s="63" t="inlineStr">
        <is>
          <t xml:space="preserve">% Εσοδο Γραμμής/Σύν.Εσ.Μηνός </t>
        </is>
      </c>
      <c r="F4" s="63" t="inlineStr">
        <is>
          <t xml:space="preserve">Προοδευτικό Σύνολο Εσόδων έως σήμερα </t>
        </is>
      </c>
      <c r="G4" s="63" t="inlineStr">
        <is>
          <t xml:space="preserve">% Προοδ.Σύνολο Κατηγ. Εσ.  /Προοδ.Σύν.Εσ. Έως σήμερα  </t>
        </is>
      </c>
      <c r="H4" s="63" t="inlineStr">
        <is>
          <t xml:space="preserve">Εσοδο Μηνός </t>
        </is>
      </c>
      <c r="I4" s="63" t="inlineStr">
        <is>
          <t xml:space="preserve">% Εσοδο Γραμμής /Σύν.Εσ.Μηνός </t>
        </is>
      </c>
      <c r="J4" s="63" t="inlineStr">
        <is>
          <t xml:space="preserve">Προοδευτικό έως σήμερα </t>
        </is>
      </c>
      <c r="K4" s="63" t="inlineStr">
        <is>
          <t xml:space="preserve">% Προοδ.Σύνολο Κατηγ. Εσ.  /Προοδ.Σύν.Εσ. Έως σήμερα  </t>
        </is>
      </c>
      <c r="L4" s="63" t="inlineStr">
        <is>
          <t>Εσοδο Μηνός  2024</t>
        </is>
      </c>
      <c r="M4" s="63" t="inlineStr">
        <is>
          <t xml:space="preserve">% Εσοδο Γραμμής/Σύν.Εσ.Μηνός </t>
        </is>
      </c>
      <c r="N4" s="63" t="inlineStr">
        <is>
          <t xml:space="preserve">Προοδευτικό Σύνολο Εσόδων έως Τρέχοντα μήνα </t>
        </is>
      </c>
      <c r="O4" s="63" t="inlineStr">
        <is>
          <t xml:space="preserve">% Προοδ.Σύνολο Κατηγ. Εσ.  /Προοδ.Σύν.Εσ. Έως σήμερα  </t>
        </is>
      </c>
      <c r="P4" s="63" t="inlineStr">
        <is>
          <t xml:space="preserve">Προοδ. Διαφορά Συν. Πραγμ.Τρ. Έτους - Αντιστ. Προοδ. Σύν. Πραγμ. Προηγ. Έτους </t>
        </is>
      </c>
      <c r="Q4" s="63" t="inlineStr">
        <is>
          <t xml:space="preserve">% Προοδ. Διαφορά Κατηγ. Εσ.  / Προοδ.Σύν.Προυπ. Εσ. Τρέχοντος Έτους </t>
        </is>
      </c>
    </row>
    <row r="5" ht="30" customHeight="1">
      <c r="A5" s="64" t="n"/>
      <c r="B5" s="65" t="n"/>
      <c r="C5" s="2" t="inlineStr">
        <is>
          <t xml:space="preserve">Λογιστικό Αποτέλεσμα μηνός </t>
        </is>
      </c>
      <c r="D5" s="3">
        <f>D7-D6</f>
        <v/>
      </c>
      <c r="E5" s="4" t="n"/>
      <c r="F5" s="3">
        <f>F7-F6</f>
        <v/>
      </c>
      <c r="G5" s="4" t="n"/>
      <c r="H5" s="3">
        <f>H159-H6</f>
        <v/>
      </c>
      <c r="I5" s="4" t="n"/>
      <c r="J5" s="3">
        <f>J159-J6</f>
        <v/>
      </c>
      <c r="K5" s="4" t="n"/>
      <c r="L5" s="3">
        <f>L7-L6</f>
        <v/>
      </c>
      <c r="M5" s="4" t="n"/>
      <c r="N5" s="3">
        <f>N7-N6</f>
        <v/>
      </c>
      <c r="O5" s="4" t="n"/>
      <c r="P5" s="3">
        <f>P159-P6</f>
        <v/>
      </c>
      <c r="Q5" s="4" t="n"/>
    </row>
    <row r="6" ht="25.5" customHeight="1">
      <c r="A6" s="64" t="n"/>
      <c r="B6" s="65" t="n"/>
      <c r="C6" s="2" t="inlineStr">
        <is>
          <t xml:space="preserve">Σύνολο Εξόδων Μηνός </t>
        </is>
      </c>
      <c r="D6" s="3">
        <f>D43+D83+D116</f>
        <v/>
      </c>
      <c r="E6" s="4" t="n"/>
      <c r="F6" s="3">
        <f>F78+F111+F157</f>
        <v/>
      </c>
      <c r="G6" s="4" t="n"/>
      <c r="H6" s="3">
        <f>H38-H43-H83</f>
        <v/>
      </c>
      <c r="I6" s="4" t="n"/>
      <c r="J6" s="66">
        <f>J38-J43-J83</f>
        <v/>
      </c>
      <c r="K6" s="4" t="n"/>
      <c r="L6" s="3">
        <f>L43+L83+L116</f>
        <v/>
      </c>
      <c r="M6" s="4" t="n"/>
      <c r="N6" s="66">
        <f>N78+N111+N157</f>
        <v/>
      </c>
      <c r="O6" s="4" t="n"/>
      <c r="P6" s="3">
        <f>P38-P43-P83</f>
        <v/>
      </c>
      <c r="Q6" s="4" t="n"/>
    </row>
    <row r="7" ht="15.75" customHeight="1">
      <c r="A7" s="19" t="n"/>
      <c r="B7" s="19" t="n"/>
      <c r="C7" s="6" t="inlineStr">
        <is>
          <t xml:space="preserve">Σύνολο Εσόδων  Μηνός </t>
        </is>
      </c>
      <c r="D7" s="7">
        <f>SUM(D8:D37)</f>
        <v/>
      </c>
      <c r="E7" s="8" t="n"/>
      <c r="F7" s="7">
        <f>SUM(F8:F37)</f>
        <v/>
      </c>
      <c r="G7" s="8" t="n"/>
      <c r="H7" s="7">
        <f>SUM(H8:H37)</f>
        <v/>
      </c>
      <c r="I7" s="8" t="n"/>
      <c r="J7" s="7">
        <f>SUM(J8:J37)</f>
        <v/>
      </c>
      <c r="K7" s="8" t="n"/>
      <c r="L7" s="7">
        <f>SUM(L8:L37)</f>
        <v/>
      </c>
      <c r="M7" s="8" t="n"/>
      <c r="N7" s="7">
        <f>SUM(N8:N37)</f>
        <v/>
      </c>
      <c r="O7" s="8" t="n"/>
      <c r="P7" s="7">
        <f>SUM(P8:P37)</f>
        <v/>
      </c>
      <c r="Q7" s="8" t="n"/>
    </row>
    <row r="8" ht="18.75" customHeight="1">
      <c r="A8" s="67" t="n">
        <v>1</v>
      </c>
      <c r="B8" s="67" t="n">
        <v>1</v>
      </c>
      <c r="C8" s="44">
        <f>[1]ΑΝΤΙΣΤΟΙΧΙΣΗ!F187</f>
        <v/>
      </c>
      <c r="D8" s="10">
        <f>'[1]2026_ΕΣΟΔΑ'!N2</f>
        <v/>
      </c>
      <c r="E8" s="11">
        <f>D8/$D$7</f>
        <v/>
      </c>
      <c r="F8" s="12">
        <f>D8+'[1]2026 Νοέμβριος'!F8</f>
        <v/>
      </c>
      <c r="G8" s="11">
        <f>F8/$F$7</f>
        <v/>
      </c>
      <c r="H8" s="12" t="n"/>
      <c r="I8" s="11">
        <f>H8/$H$7</f>
        <v/>
      </c>
      <c r="J8" s="12">
        <f>H8+'[1]2026 Νοέμβριος'!J8</f>
        <v/>
      </c>
      <c r="K8" s="11">
        <f>J8/$J$7</f>
        <v/>
      </c>
      <c r="L8" s="68">
        <f>'[1]2024_60-69 ΕΞΟΔΑ+ΟΜ 2'!N114</f>
        <v/>
      </c>
      <c r="M8" s="11">
        <f>L8/$L$7</f>
        <v/>
      </c>
      <c r="N8" s="12">
        <f>L8+'[1]2026 Νοέμβριος'!N8</f>
        <v/>
      </c>
      <c r="O8" s="11">
        <f>N8/$N$7</f>
        <v/>
      </c>
      <c r="P8" s="12">
        <f>F8-N8</f>
        <v/>
      </c>
      <c r="Q8" s="11">
        <f>N8/F8</f>
        <v/>
      </c>
    </row>
    <row r="9" ht="16.5" customHeight="1">
      <c r="A9" s="67" t="n">
        <v>2</v>
      </c>
      <c r="B9" s="67" t="n">
        <v>2</v>
      </c>
      <c r="C9" s="44">
        <f>[1]ΑΝΤΙΣΤΟΙΧΙΣΗ!F188</f>
        <v/>
      </c>
      <c r="D9" s="10">
        <f>'[1]2026_ΕΣΟΔΑ'!N3</f>
        <v/>
      </c>
      <c r="E9" s="11">
        <f>D9/$D$7</f>
        <v/>
      </c>
      <c r="F9" s="12">
        <f>D9+'[1]2026 Νοέμβριος'!F9</f>
        <v/>
      </c>
      <c r="G9" s="11">
        <f>F9/$F$7</f>
        <v/>
      </c>
      <c r="H9" s="12" t="n"/>
      <c r="I9" s="11">
        <f>H9/$H$7</f>
        <v/>
      </c>
      <c r="J9" s="12">
        <f>H9+'[1]2026 Νοέμβριος'!J9</f>
        <v/>
      </c>
      <c r="K9" s="11">
        <f>J9/$J$7</f>
        <v/>
      </c>
      <c r="L9" s="68">
        <f>'[1]2024_60-69 ΕΞΟΔΑ+ΟΜ 2'!N115</f>
        <v/>
      </c>
      <c r="M9" s="11">
        <f>L9/$L$7</f>
        <v/>
      </c>
      <c r="N9" s="12">
        <f>L9+'[1]2026 Νοέμβριος'!N9</f>
        <v/>
      </c>
      <c r="O9" s="11">
        <f>N9/$N$7</f>
        <v/>
      </c>
      <c r="P9" s="12">
        <f>F9-N9</f>
        <v/>
      </c>
      <c r="Q9" s="11">
        <f>N9/F9</f>
        <v/>
      </c>
    </row>
    <row r="10" ht="16.5" customHeight="1">
      <c r="A10" s="67" t="n">
        <v>3</v>
      </c>
      <c r="B10" s="67" t="n">
        <v>3</v>
      </c>
      <c r="C10" s="44">
        <f>[1]ΑΝΤΙΣΤΟΙΧΙΣΗ!F189</f>
        <v/>
      </c>
      <c r="D10" s="10">
        <f>'[1]2026_ΕΣΟΔΑ'!N4</f>
        <v/>
      </c>
      <c r="E10" s="11">
        <f>D10/$D$7</f>
        <v/>
      </c>
      <c r="F10" s="12">
        <f>D10+'[1]2026 Νοέμβριος'!F10</f>
        <v/>
      </c>
      <c r="G10" s="11">
        <f>F10/$F$7</f>
        <v/>
      </c>
      <c r="H10" s="12" t="n"/>
      <c r="I10" s="11">
        <f>H10/$H$7</f>
        <v/>
      </c>
      <c r="J10" s="12">
        <f>H10+'[1]2026 Νοέμβριος'!J10</f>
        <v/>
      </c>
      <c r="K10" s="11">
        <f>J10/$J$7</f>
        <v/>
      </c>
      <c r="L10" s="68">
        <f>'[1]2024_60-69 ΕΞΟΔΑ+ΟΜ 2'!N116</f>
        <v/>
      </c>
      <c r="M10" s="11">
        <f>L10/$L$7</f>
        <v/>
      </c>
      <c r="N10" s="12">
        <f>L10+'[1]2026 Νοέμβριος'!N10</f>
        <v/>
      </c>
      <c r="O10" s="11">
        <f>N10/$N$7</f>
        <v/>
      </c>
      <c r="P10" s="12">
        <f>F10-N10</f>
        <v/>
      </c>
      <c r="Q10" s="11">
        <f>N10/F10</f>
        <v/>
      </c>
    </row>
    <row r="11" ht="15" customHeight="1">
      <c r="A11" s="67" t="n">
        <v>4</v>
      </c>
      <c r="B11" s="67" t="n">
        <v>4</v>
      </c>
      <c r="C11" s="44">
        <f>[1]ΑΝΤΙΣΤΟΙΧΙΣΗ!F190</f>
        <v/>
      </c>
      <c r="D11" s="10">
        <f>'[1]2026_ΕΣΟΔΑ'!N5</f>
        <v/>
      </c>
      <c r="E11" s="11">
        <f>D11/$D$7</f>
        <v/>
      </c>
      <c r="F11" s="12">
        <f>D11+'[1]2026 Νοέμβριος'!F11</f>
        <v/>
      </c>
      <c r="G11" s="11">
        <f>F11/$F$7</f>
        <v/>
      </c>
      <c r="H11" s="12" t="n"/>
      <c r="I11" s="11">
        <f>H11/$H$7</f>
        <v/>
      </c>
      <c r="J11" s="12">
        <f>H11+'[1]2026 Νοέμβριος'!J11</f>
        <v/>
      </c>
      <c r="K11" s="11">
        <f>J11/$J$7</f>
        <v/>
      </c>
      <c r="L11" s="68">
        <f>'[1]2024_60-69 ΕΞΟΔΑ+ΟΜ 2'!N117</f>
        <v/>
      </c>
      <c r="M11" s="11">
        <f>L11/$L$7</f>
        <v/>
      </c>
      <c r="N11" s="12">
        <f>L11+'[1]2026 Νοέμβριος'!N11</f>
        <v/>
      </c>
      <c r="O11" s="11">
        <f>N11/$N$7</f>
        <v/>
      </c>
      <c r="P11" s="12">
        <f>F11-N11</f>
        <v/>
      </c>
      <c r="Q11" s="11">
        <f>N11/F11</f>
        <v/>
      </c>
    </row>
    <row r="12" ht="17.25" customHeight="1">
      <c r="A12" s="67" t="n">
        <v>5</v>
      </c>
      <c r="B12" s="67" t="n">
        <v>5</v>
      </c>
      <c r="C12" s="44">
        <f>[1]ΑΝΤΙΣΤΟΙΧΙΣΗ!F191</f>
        <v/>
      </c>
      <c r="D12" s="10">
        <f>'[1]2026_ΕΣΟΔΑ'!N6</f>
        <v/>
      </c>
      <c r="E12" s="11">
        <f>D12/$D$7</f>
        <v/>
      </c>
      <c r="F12" s="12">
        <f>D12+'[1]2026 Νοέμβριος'!F12</f>
        <v/>
      </c>
      <c r="G12" s="11">
        <f>F12/$F$7</f>
        <v/>
      </c>
      <c r="H12" s="12" t="n"/>
      <c r="I12" s="11">
        <f>H12/$H$7</f>
        <v/>
      </c>
      <c r="J12" s="12">
        <f>H12+'[1]2026 Νοέμβριος'!J12</f>
        <v/>
      </c>
      <c r="K12" s="11">
        <f>J12/$J$7</f>
        <v/>
      </c>
      <c r="L12" s="68">
        <f>'[1]2024_60-69 ΕΞΟΔΑ+ΟΜ 2'!N118</f>
        <v/>
      </c>
      <c r="M12" s="11">
        <f>L12/$L$7</f>
        <v/>
      </c>
      <c r="N12" s="12">
        <f>L12+'[1]2026 Νοέμβριος'!N12</f>
        <v/>
      </c>
      <c r="O12" s="11">
        <f>N12/$N$7</f>
        <v/>
      </c>
      <c r="P12" s="12">
        <f>F12-N12</f>
        <v/>
      </c>
      <c r="Q12" s="11">
        <f>N12/F12</f>
        <v/>
      </c>
    </row>
    <row r="13" ht="32.25" customHeight="1">
      <c r="A13" s="67" t="n">
        <v>6</v>
      </c>
      <c r="B13" s="67" t="n">
        <v>6</v>
      </c>
      <c r="C13" s="44">
        <f>[1]ΑΝΤΙΣΤΟΙΧΙΣΗ!F192</f>
        <v/>
      </c>
      <c r="D13" s="10">
        <f>'[1]2026_ΕΣΟΔΑ'!N7</f>
        <v/>
      </c>
      <c r="E13" s="11">
        <f>D13/$D$7</f>
        <v/>
      </c>
      <c r="F13" s="12">
        <f>D13+'[1]2026 Νοέμβριος'!F13</f>
        <v/>
      </c>
      <c r="G13" s="11">
        <f>F13/$F$7</f>
        <v/>
      </c>
      <c r="H13" s="12" t="n"/>
      <c r="I13" s="11">
        <f>H13/$H$7</f>
        <v/>
      </c>
      <c r="J13" s="12">
        <f>H13+'[1]2026 Νοέμβριος'!J13</f>
        <v/>
      </c>
      <c r="K13" s="11">
        <f>J13/$J$7</f>
        <v/>
      </c>
      <c r="L13" s="68">
        <f>'[1]2024_60-69 ΕΞΟΔΑ+ΟΜ 2'!N119</f>
        <v/>
      </c>
      <c r="M13" s="11">
        <f>L13/$L$7</f>
        <v/>
      </c>
      <c r="N13" s="12">
        <f>L13+'[1]2026 Νοέμβριος'!N13</f>
        <v/>
      </c>
      <c r="O13" s="11">
        <f>N13/$N$7</f>
        <v/>
      </c>
      <c r="P13" s="12">
        <f>F13-N13</f>
        <v/>
      </c>
      <c r="Q13" s="11">
        <f>N13/F13</f>
        <v/>
      </c>
    </row>
    <row r="14" ht="23.25" customHeight="1">
      <c r="A14" s="67" t="n">
        <v>7</v>
      </c>
      <c r="B14" s="67" t="n">
        <v>7</v>
      </c>
      <c r="C14" s="44">
        <f>[1]ΑΝΤΙΣΤΟΙΧΙΣΗ!F193</f>
        <v/>
      </c>
      <c r="D14" s="10">
        <f>'[1]2026_ΕΣΟΔΑ'!N8</f>
        <v/>
      </c>
      <c r="E14" s="11">
        <f>D14/$D$7</f>
        <v/>
      </c>
      <c r="F14" s="12">
        <f>D14+'[1]2026 Νοέμβριος'!F14</f>
        <v/>
      </c>
      <c r="G14" s="11">
        <f>F14/$F$7</f>
        <v/>
      </c>
      <c r="H14" s="12" t="n"/>
      <c r="I14" s="11">
        <f>H14/$H$7</f>
        <v/>
      </c>
      <c r="J14" s="12">
        <f>H14+'[1]2026 Νοέμβριος'!J14</f>
        <v/>
      </c>
      <c r="K14" s="11">
        <f>J14/$J$7</f>
        <v/>
      </c>
      <c r="L14" s="68">
        <f>'[1]2024_60-69 ΕΞΟΔΑ+ΟΜ 2'!N120</f>
        <v/>
      </c>
      <c r="M14" s="11">
        <f>L14/$L$7</f>
        <v/>
      </c>
      <c r="N14" s="12">
        <f>L14+'[1]2026 Νοέμβριος'!N14</f>
        <v/>
      </c>
      <c r="O14" s="11">
        <f>N14/$N$7</f>
        <v/>
      </c>
      <c r="P14" s="12">
        <f>F14-N14</f>
        <v/>
      </c>
      <c r="Q14" s="11">
        <f>N14/F14</f>
        <v/>
      </c>
    </row>
    <row r="15" ht="28.5" customHeight="1">
      <c r="A15" s="67" t="n">
        <v>8</v>
      </c>
      <c r="B15" s="67" t="n">
        <v>8</v>
      </c>
      <c r="C15" s="44">
        <f>[1]ΑΝΤΙΣΤΟΙΧΙΣΗ!F194</f>
        <v/>
      </c>
      <c r="D15" s="10">
        <f>'[1]2026_ΕΣΟΔΑ'!N9</f>
        <v/>
      </c>
      <c r="E15" s="11">
        <f>D15/$D$7</f>
        <v/>
      </c>
      <c r="F15" s="12">
        <f>D15+'[1]2026 Νοέμβριος'!F15</f>
        <v/>
      </c>
      <c r="G15" s="11">
        <f>F15/$F$7</f>
        <v/>
      </c>
      <c r="H15" s="12" t="n"/>
      <c r="I15" s="11">
        <f>H15/$H$7</f>
        <v/>
      </c>
      <c r="J15" s="12">
        <f>H15+'[1]2026 Νοέμβριος'!J15</f>
        <v/>
      </c>
      <c r="K15" s="11">
        <f>J15/$J$7</f>
        <v/>
      </c>
      <c r="L15" s="68">
        <f>'[1]2024_60-69 ΕΞΟΔΑ+ΟΜ 2'!N121</f>
        <v/>
      </c>
      <c r="M15" s="11">
        <f>L15/$L$7</f>
        <v/>
      </c>
      <c r="N15" s="12">
        <f>L15+'[1]2026 Νοέμβριος'!N15</f>
        <v/>
      </c>
      <c r="O15" s="11">
        <f>N15/$N$7</f>
        <v/>
      </c>
      <c r="P15" s="12">
        <f>F15-N15</f>
        <v/>
      </c>
      <c r="Q15" s="11">
        <f>N15/F15</f>
        <v/>
      </c>
    </row>
    <row r="16" ht="36" customHeight="1">
      <c r="A16" s="67" t="n">
        <v>9</v>
      </c>
      <c r="B16" s="67" t="n">
        <v>9</v>
      </c>
      <c r="C16" s="44">
        <f>[1]ΑΝΤΙΣΤΟΙΧΙΣΗ!F195</f>
        <v/>
      </c>
      <c r="D16" s="10">
        <f>'[1]2026_ΕΣΟΔΑ'!N10</f>
        <v/>
      </c>
      <c r="E16" s="11">
        <f>D16/$D$7</f>
        <v/>
      </c>
      <c r="F16" s="12">
        <f>D16+'[1]2026 Νοέμβριος'!F16</f>
        <v/>
      </c>
      <c r="G16" s="11">
        <f>F16/$F$7</f>
        <v/>
      </c>
      <c r="H16" s="12" t="n"/>
      <c r="I16" s="11">
        <f>H16/$H$7</f>
        <v/>
      </c>
      <c r="J16" s="12">
        <f>H16+'[1]2026 Νοέμβριος'!J16</f>
        <v/>
      </c>
      <c r="K16" s="11">
        <f>J16/$J$7</f>
        <v/>
      </c>
      <c r="L16" s="68">
        <f>'[1]2024_60-69 ΕΞΟΔΑ+ΟΜ 2'!N122</f>
        <v/>
      </c>
      <c r="M16" s="11">
        <f>L16/$L$7</f>
        <v/>
      </c>
      <c r="N16" s="12">
        <f>L16+'[1]2026 Νοέμβριος'!N16</f>
        <v/>
      </c>
      <c r="O16" s="11">
        <f>N16/$N$7</f>
        <v/>
      </c>
      <c r="P16" s="12">
        <f>F16-N16</f>
        <v/>
      </c>
      <c r="Q16" s="11">
        <f>N16/F16</f>
        <v/>
      </c>
    </row>
    <row r="17" ht="34.5" customHeight="1">
      <c r="A17" s="67" t="n">
        <v>10</v>
      </c>
      <c r="B17" s="67" t="n">
        <v>10</v>
      </c>
      <c r="C17" s="44">
        <f>[1]ΑΝΤΙΣΤΟΙΧΙΣΗ!F196</f>
        <v/>
      </c>
      <c r="D17" s="10">
        <f>'[1]2026_ΕΣΟΔΑ'!N11</f>
        <v/>
      </c>
      <c r="E17" s="11">
        <f>D17/$D$7</f>
        <v/>
      </c>
      <c r="F17" s="12">
        <f>D17+'[1]2026 Νοέμβριος'!F17</f>
        <v/>
      </c>
      <c r="G17" s="11">
        <f>F17/$F$7</f>
        <v/>
      </c>
      <c r="H17" s="12" t="n"/>
      <c r="I17" s="11">
        <f>H17/$H$7</f>
        <v/>
      </c>
      <c r="J17" s="12">
        <f>H17+'[1]2026 Νοέμβριος'!J17</f>
        <v/>
      </c>
      <c r="K17" s="11">
        <f>J17/$J$7</f>
        <v/>
      </c>
      <c r="L17" s="68">
        <f>'[1]2024_60-69 ΕΞΟΔΑ+ΟΜ 2'!N123</f>
        <v/>
      </c>
      <c r="M17" s="11">
        <f>L17/$L$7</f>
        <v/>
      </c>
      <c r="N17" s="12">
        <f>L17+'[1]2026 Νοέμβριος'!N17</f>
        <v/>
      </c>
      <c r="O17" s="11">
        <f>N17/$N$7</f>
        <v/>
      </c>
      <c r="P17" s="12">
        <f>F17-N17</f>
        <v/>
      </c>
      <c r="Q17" s="11">
        <f>N17/F17</f>
        <v/>
      </c>
    </row>
    <row r="18" ht="27" customHeight="1">
      <c r="A18" s="67" t="n">
        <v>11</v>
      </c>
      <c r="B18" s="67" t="n">
        <v>11</v>
      </c>
      <c r="C18" s="44">
        <f>[1]ΑΝΤΙΣΤΟΙΧΙΣΗ!F197</f>
        <v/>
      </c>
      <c r="D18" s="10">
        <f>'[1]2026_ΕΣΟΔΑ'!N12</f>
        <v/>
      </c>
      <c r="E18" s="11">
        <f>D18/$D$7</f>
        <v/>
      </c>
      <c r="F18" s="12">
        <f>D18+'[1]2026 Νοέμβριος'!F18</f>
        <v/>
      </c>
      <c r="G18" s="11">
        <f>F18/$F$7</f>
        <v/>
      </c>
      <c r="H18" s="12" t="n"/>
      <c r="I18" s="11">
        <f>H18/$H$7</f>
        <v/>
      </c>
      <c r="J18" s="12">
        <f>H18+'[1]2026 Νοέμβριος'!J18</f>
        <v/>
      </c>
      <c r="K18" s="11">
        <f>J18/$J$7</f>
        <v/>
      </c>
      <c r="L18" s="68">
        <f>'[1]2024_60-69 ΕΞΟΔΑ+ΟΜ 2'!N124</f>
        <v/>
      </c>
      <c r="M18" s="11">
        <f>L18/$L$7</f>
        <v/>
      </c>
      <c r="N18" s="12">
        <f>L18+'[1]2026 Νοέμβριος'!N18</f>
        <v/>
      </c>
      <c r="O18" s="11">
        <f>N18/$N$7</f>
        <v/>
      </c>
      <c r="P18" s="12">
        <f>F18-N18</f>
        <v/>
      </c>
      <c r="Q18" s="11">
        <f>N18/F18</f>
        <v/>
      </c>
    </row>
    <row r="19" ht="33" customHeight="1">
      <c r="A19" s="67" t="n">
        <v>12</v>
      </c>
      <c r="B19" s="67" t="n">
        <v>12</v>
      </c>
      <c r="C19" s="44">
        <f>[1]ΑΝΤΙΣΤΟΙΧΙΣΗ!F198</f>
        <v/>
      </c>
      <c r="D19" s="10">
        <f>'[1]2026_ΕΣΟΔΑ'!N13</f>
        <v/>
      </c>
      <c r="E19" s="11">
        <f>D19/$D$7</f>
        <v/>
      </c>
      <c r="F19" s="12">
        <f>D19+'[1]2026 Νοέμβριος'!F19</f>
        <v/>
      </c>
      <c r="G19" s="11">
        <f>F19/$F$7</f>
        <v/>
      </c>
      <c r="H19" s="12" t="n"/>
      <c r="I19" s="11">
        <f>H19/$H$7</f>
        <v/>
      </c>
      <c r="J19" s="12">
        <f>H19+'[1]2026 Νοέμβριος'!J19</f>
        <v/>
      </c>
      <c r="K19" s="11">
        <f>J19/$J$7</f>
        <v/>
      </c>
      <c r="L19" s="68">
        <f>'[1]2024_60-69 ΕΞΟΔΑ+ΟΜ 2'!N125</f>
        <v/>
      </c>
      <c r="M19" s="11">
        <f>L19/$L$7</f>
        <v/>
      </c>
      <c r="N19" s="12">
        <f>L19+'[1]2026 Νοέμβριος'!N19</f>
        <v/>
      </c>
      <c r="O19" s="11">
        <f>N19/$N$7</f>
        <v/>
      </c>
      <c r="P19" s="12">
        <f>F19-N19</f>
        <v/>
      </c>
      <c r="Q19" s="11">
        <f>N19/F19</f>
        <v/>
      </c>
    </row>
    <row r="20" ht="30" customHeight="1">
      <c r="A20" s="67" t="n">
        <v>13</v>
      </c>
      <c r="B20" s="67" t="n">
        <v>13</v>
      </c>
      <c r="C20" s="44">
        <f>[1]ΑΝΤΙΣΤΟΙΧΙΣΗ!F199</f>
        <v/>
      </c>
      <c r="D20" s="10">
        <f>'[1]2026_ΕΣΟΔΑ'!N14</f>
        <v/>
      </c>
      <c r="E20" s="11">
        <f>D20/$D$7</f>
        <v/>
      </c>
      <c r="F20" s="12">
        <f>D20+'[1]2026 Νοέμβριος'!F20</f>
        <v/>
      </c>
      <c r="G20" s="11">
        <f>F20/$F$7</f>
        <v/>
      </c>
      <c r="H20" s="12" t="n"/>
      <c r="I20" s="11">
        <f>H20/$H$7</f>
        <v/>
      </c>
      <c r="J20" s="12">
        <f>H20+'[1]2026 Νοέμβριος'!J20</f>
        <v/>
      </c>
      <c r="K20" s="11">
        <f>J20/$J$7</f>
        <v/>
      </c>
      <c r="L20" s="68">
        <f>'[1]2024_60-69 ΕΞΟΔΑ+ΟΜ 2'!N126</f>
        <v/>
      </c>
      <c r="M20" s="11">
        <f>L20/$L$7</f>
        <v/>
      </c>
      <c r="N20" s="12">
        <f>L20+'[1]2026 Νοέμβριος'!N20</f>
        <v/>
      </c>
      <c r="O20" s="11">
        <f>N20/$N$7</f>
        <v/>
      </c>
      <c r="P20" s="12">
        <f>F20-N20</f>
        <v/>
      </c>
      <c r="Q20" s="11">
        <f>N20/F20</f>
        <v/>
      </c>
    </row>
    <row r="21" ht="25.5" customHeight="1">
      <c r="A21" s="67" t="n">
        <v>14</v>
      </c>
      <c r="B21" s="67" t="n">
        <v>14</v>
      </c>
      <c r="C21" s="44">
        <f>[1]ΑΝΤΙΣΤΟΙΧΙΣΗ!F200</f>
        <v/>
      </c>
      <c r="D21" s="10">
        <f>'[1]2026_ΕΣΟΔΑ'!N15</f>
        <v/>
      </c>
      <c r="E21" s="11">
        <f>D21/$D$7</f>
        <v/>
      </c>
      <c r="F21" s="12">
        <f>D21+'[1]2026 Νοέμβριος'!F21</f>
        <v/>
      </c>
      <c r="G21" s="11">
        <f>F21/$F$7</f>
        <v/>
      </c>
      <c r="H21" s="12" t="n"/>
      <c r="I21" s="11">
        <f>H21/$H$7</f>
        <v/>
      </c>
      <c r="J21" s="12">
        <f>H21+'[1]2026 Νοέμβριος'!J21</f>
        <v/>
      </c>
      <c r="K21" s="11">
        <f>J21/$J$7</f>
        <v/>
      </c>
      <c r="L21" s="68">
        <f>'[1]2024_60-69 ΕΞΟΔΑ+ΟΜ 2'!N127</f>
        <v/>
      </c>
      <c r="M21" s="11">
        <f>L21/$L$7</f>
        <v/>
      </c>
      <c r="N21" s="12">
        <f>L21+'[1]2026 Νοέμβριος'!N21</f>
        <v/>
      </c>
      <c r="O21" s="11">
        <f>N21/$N$7</f>
        <v/>
      </c>
      <c r="P21" s="12">
        <f>F21-N21</f>
        <v/>
      </c>
      <c r="Q21" s="11">
        <f>N21/F21</f>
        <v/>
      </c>
    </row>
    <row r="22" ht="16.5" customHeight="1">
      <c r="A22" s="67" t="n">
        <v>15</v>
      </c>
      <c r="B22" s="67" t="n">
        <v>15</v>
      </c>
      <c r="C22" s="44">
        <f>[1]ΑΝΤΙΣΤΟΙΧΙΣΗ!F201</f>
        <v/>
      </c>
      <c r="D22" s="10">
        <f>'[1]2026_ΕΣΟΔΑ'!N16</f>
        <v/>
      </c>
      <c r="E22" s="11">
        <f>D22/$D$7</f>
        <v/>
      </c>
      <c r="F22" s="12">
        <f>D22+'[1]2026 Νοέμβριος'!F22</f>
        <v/>
      </c>
      <c r="G22" s="11">
        <f>F22/$F$7</f>
        <v/>
      </c>
      <c r="H22" s="12" t="n"/>
      <c r="I22" s="11">
        <f>H22/$H$7</f>
        <v/>
      </c>
      <c r="J22" s="12">
        <f>H22+'[1]2026 Νοέμβριος'!J22</f>
        <v/>
      </c>
      <c r="K22" s="11">
        <f>J22/$J$7</f>
        <v/>
      </c>
      <c r="L22" s="68">
        <f>'[1]2024_60-69 ΕΞΟΔΑ+ΟΜ 2'!N128</f>
        <v/>
      </c>
      <c r="M22" s="11">
        <f>L22/$L$7</f>
        <v/>
      </c>
      <c r="N22" s="12">
        <f>L22+'[1]2026 Νοέμβριος'!N22</f>
        <v/>
      </c>
      <c r="O22" s="11">
        <f>N22/$N$7</f>
        <v/>
      </c>
      <c r="P22" s="12">
        <f>F22-N22</f>
        <v/>
      </c>
      <c r="Q22" s="11">
        <f>N22/F22</f>
        <v/>
      </c>
    </row>
    <row r="23" ht="31.5" customHeight="1">
      <c r="A23" s="67" t="n">
        <v>16</v>
      </c>
      <c r="B23" s="67" t="n">
        <v>16</v>
      </c>
      <c r="C23" s="44">
        <f>[1]ΑΝΤΙΣΤΟΙΧΙΣΗ!F202</f>
        <v/>
      </c>
      <c r="D23" s="10">
        <f>'[1]2026_ΕΣΟΔΑ'!N17</f>
        <v/>
      </c>
      <c r="E23" s="11">
        <f>D23/$D$7</f>
        <v/>
      </c>
      <c r="F23" s="12">
        <f>D23+'[1]2026 Νοέμβριος'!F23</f>
        <v/>
      </c>
      <c r="G23" s="11">
        <f>F23/$F$7</f>
        <v/>
      </c>
      <c r="H23" s="12" t="n"/>
      <c r="I23" s="11">
        <f>H23/$H$7</f>
        <v/>
      </c>
      <c r="J23" s="12">
        <f>H23+'[1]2026 Νοέμβριος'!J23</f>
        <v/>
      </c>
      <c r="K23" s="11">
        <f>J23/$J$7</f>
        <v/>
      </c>
      <c r="L23" s="68">
        <f>'[1]2024_60-69 ΕΞΟΔΑ+ΟΜ 2'!N129</f>
        <v/>
      </c>
      <c r="M23" s="11">
        <f>L23/$L$7</f>
        <v/>
      </c>
      <c r="N23" s="12">
        <f>L23+'[1]2026 Νοέμβριος'!N23</f>
        <v/>
      </c>
      <c r="O23" s="11">
        <f>N23/$N$7</f>
        <v/>
      </c>
      <c r="P23" s="12">
        <f>F23-N23</f>
        <v/>
      </c>
      <c r="Q23" s="11">
        <f>N23/F23</f>
        <v/>
      </c>
    </row>
    <row r="24" ht="31.5" customHeight="1">
      <c r="A24" s="67" t="n">
        <v>17</v>
      </c>
      <c r="B24" s="67" t="n">
        <v>17</v>
      </c>
      <c r="C24" s="44">
        <f>[1]ΑΝΤΙΣΤΟΙΧΙΣΗ!F203</f>
        <v/>
      </c>
      <c r="D24" s="10">
        <f>'[1]2026_ΕΣΟΔΑ'!N18</f>
        <v/>
      </c>
      <c r="E24" s="11">
        <f>D24/$D$7</f>
        <v/>
      </c>
      <c r="F24" s="12">
        <f>D24+'[1]2026 Νοέμβριος'!F24</f>
        <v/>
      </c>
      <c r="G24" s="11">
        <f>F24/$F$7</f>
        <v/>
      </c>
      <c r="H24" s="12">
        <f>[1]ΠΡΟΥΠΟΛΟΓΙΣΜΟΣ_ΕΣΟΔΑ!E225</f>
        <v/>
      </c>
      <c r="I24" s="11">
        <f>H24/$H$7</f>
        <v/>
      </c>
      <c r="J24" s="12">
        <f>H24+'[1]2026 Νοέμβριος'!J24</f>
        <v/>
      </c>
      <c r="K24" s="11">
        <f>J24/$J$7</f>
        <v/>
      </c>
      <c r="L24" s="68">
        <f>'[1]2024_60-69 ΕΞΟΔΑ+ΟΜ 2'!N130</f>
        <v/>
      </c>
      <c r="M24" s="11">
        <f>L24/$L$7</f>
        <v/>
      </c>
      <c r="N24" s="12">
        <f>L24+'[1]2026 Νοέμβριος'!N24</f>
        <v/>
      </c>
      <c r="O24" s="11">
        <f>N24/$N$7</f>
        <v/>
      </c>
      <c r="P24" s="12">
        <f>F24-N24</f>
        <v/>
      </c>
      <c r="Q24" s="11">
        <f>N24/F24</f>
        <v/>
      </c>
    </row>
    <row r="25" ht="23.25" customHeight="1">
      <c r="A25" s="67" t="n">
        <v>18</v>
      </c>
      <c r="B25" s="67" t="n">
        <v>18</v>
      </c>
      <c r="C25" s="44">
        <f>[1]ΑΝΤΙΣΤΟΙΧΙΣΗ!F204</f>
        <v/>
      </c>
      <c r="D25" s="10">
        <f>'[1]2026_ΕΣΟΔΑ'!N19</f>
        <v/>
      </c>
      <c r="E25" s="11">
        <f>D25/$D$7</f>
        <v/>
      </c>
      <c r="F25" s="12">
        <f>D25+'[1]2026 Νοέμβριος'!F25</f>
        <v/>
      </c>
      <c r="G25" s="11">
        <f>F25/$F$7</f>
        <v/>
      </c>
      <c r="H25" s="12" t="n"/>
      <c r="I25" s="11">
        <f>H25/$H$7</f>
        <v/>
      </c>
      <c r="J25" s="12">
        <f>H25+'[1]2026 Νοέμβριος'!J25</f>
        <v/>
      </c>
      <c r="K25" s="11">
        <f>J25/$J$7</f>
        <v/>
      </c>
      <c r="L25" s="68">
        <f>'[1]2024_60-69 ΕΞΟΔΑ+ΟΜ 2'!N131</f>
        <v/>
      </c>
      <c r="M25" s="11">
        <f>L25/$L$7</f>
        <v/>
      </c>
      <c r="N25" s="12">
        <f>L25+'[1]2026 Νοέμβριος'!N25</f>
        <v/>
      </c>
      <c r="O25" s="11">
        <f>N25/$N$7</f>
        <v/>
      </c>
      <c r="P25" s="12">
        <f>F25-N25</f>
        <v/>
      </c>
      <c r="Q25" s="11">
        <f>N25/F25</f>
        <v/>
      </c>
    </row>
    <row r="26" ht="23.25" customHeight="1">
      <c r="A26" s="67" t="n">
        <v>19</v>
      </c>
      <c r="B26" s="67" t="n">
        <v>19</v>
      </c>
      <c r="C26" s="44">
        <f>[1]ΑΝΤΙΣΤΟΙΧΙΣΗ!F205</f>
        <v/>
      </c>
      <c r="D26" s="10">
        <f>'[1]2026_ΕΣΟΔΑ'!N20</f>
        <v/>
      </c>
      <c r="E26" s="11">
        <f>D26/$D$7</f>
        <v/>
      </c>
      <c r="F26" s="12">
        <f>D26+'[1]2026 Νοέμβριος'!F26</f>
        <v/>
      </c>
      <c r="G26" s="11">
        <f>F26/$F$7</f>
        <v/>
      </c>
      <c r="H26" s="12" t="n"/>
      <c r="I26" s="11">
        <f>H26/$H$7</f>
        <v/>
      </c>
      <c r="J26" s="12">
        <f>H26+'[1]2026 Νοέμβριος'!J26</f>
        <v/>
      </c>
      <c r="K26" s="11">
        <f>J26/$J$7</f>
        <v/>
      </c>
      <c r="L26" s="68">
        <f>'[1]2024_60-69 ΕΞΟΔΑ+ΟΜ 2'!N132</f>
        <v/>
      </c>
      <c r="M26" s="11">
        <f>L26/$L$7</f>
        <v/>
      </c>
      <c r="N26" s="12">
        <f>L26+'[1]2026 Νοέμβριος'!N26</f>
        <v/>
      </c>
      <c r="O26" s="11">
        <f>N26/$N$7</f>
        <v/>
      </c>
      <c r="P26" s="12">
        <f>F26-N26</f>
        <v/>
      </c>
      <c r="Q26" s="11">
        <f>N26/F26</f>
        <v/>
      </c>
    </row>
    <row r="27" ht="23.25" customHeight="1">
      <c r="A27" s="67" t="n">
        <v>20</v>
      </c>
      <c r="B27" s="67" t="n">
        <v>20</v>
      </c>
      <c r="C27" s="44">
        <f>[1]ΑΝΤΙΣΤΟΙΧΙΣΗ!F206</f>
        <v/>
      </c>
      <c r="D27" s="10">
        <f>'[1]2026_ΕΣΟΔΑ'!N21</f>
        <v/>
      </c>
      <c r="E27" s="11">
        <f>D27/$D$7</f>
        <v/>
      </c>
      <c r="F27" s="12">
        <f>D27+'[1]2026 Νοέμβριος'!F27</f>
        <v/>
      </c>
      <c r="G27" s="11">
        <f>F27/$F$7</f>
        <v/>
      </c>
      <c r="H27" s="12" t="n"/>
      <c r="I27" s="11">
        <f>H27/$H$7</f>
        <v/>
      </c>
      <c r="J27" s="12">
        <f>H27+'[1]2026 Νοέμβριος'!J27</f>
        <v/>
      </c>
      <c r="K27" s="11">
        <f>J27/$J$7</f>
        <v/>
      </c>
      <c r="L27" s="68">
        <f>'[1]2024_60-69 ΕΞΟΔΑ+ΟΜ 2'!N133</f>
        <v/>
      </c>
      <c r="M27" s="11">
        <f>L27/$L$7</f>
        <v/>
      </c>
      <c r="N27" s="12">
        <f>L27+'[1]2026 Νοέμβριος'!N27</f>
        <v/>
      </c>
      <c r="O27" s="11">
        <f>N27/$N$7</f>
        <v/>
      </c>
      <c r="P27" s="12">
        <f>F27-N27</f>
        <v/>
      </c>
      <c r="Q27" s="11">
        <f>N27/F27</f>
        <v/>
      </c>
    </row>
    <row r="28" ht="23.25" customHeight="1">
      <c r="A28" s="67" t="n">
        <v>21</v>
      </c>
      <c r="B28" s="67" t="n">
        <v>21</v>
      </c>
      <c r="C28" s="44">
        <f>[1]ΑΝΤΙΣΤΟΙΧΙΣΗ!F207</f>
        <v/>
      </c>
      <c r="D28" s="10">
        <f>'[1]2026_ΕΣΟΔΑ'!N22</f>
        <v/>
      </c>
      <c r="E28" s="11">
        <f>D28/$D$7</f>
        <v/>
      </c>
      <c r="F28" s="12">
        <f>D28+'[1]2026 Νοέμβριος'!F28</f>
        <v/>
      </c>
      <c r="G28" s="11">
        <f>F28/$F$7</f>
        <v/>
      </c>
      <c r="H28" s="12" t="n"/>
      <c r="I28" s="11">
        <f>H28/$H$7</f>
        <v/>
      </c>
      <c r="J28" s="12">
        <f>H28+'[1]2026 Νοέμβριος'!J28</f>
        <v/>
      </c>
      <c r="K28" s="11">
        <f>J28/$J$7</f>
        <v/>
      </c>
      <c r="L28" s="68">
        <f>'[1]2024_60-69 ΕΞΟΔΑ+ΟΜ 2'!N134</f>
        <v/>
      </c>
      <c r="M28" s="11">
        <f>L28/$L$7</f>
        <v/>
      </c>
      <c r="N28" s="12">
        <f>L28+'[1]2026 Νοέμβριος'!N28</f>
        <v/>
      </c>
      <c r="O28" s="11">
        <f>N28/$N$7</f>
        <v/>
      </c>
      <c r="P28" s="12">
        <f>F28-N28</f>
        <v/>
      </c>
      <c r="Q28" s="11">
        <f>N28/F28</f>
        <v/>
      </c>
    </row>
    <row r="29" ht="23.25" customHeight="1">
      <c r="A29" s="67" t="n">
        <v>22</v>
      </c>
      <c r="B29" s="67" t="n">
        <v>22</v>
      </c>
      <c r="C29" s="44">
        <f>[1]ΑΝΤΙΣΤΟΙΧΙΣΗ!F208</f>
        <v/>
      </c>
      <c r="D29" s="10">
        <f>'[1]2026_ΕΣΟΔΑ'!N23</f>
        <v/>
      </c>
      <c r="E29" s="11">
        <f>D29/$D$7</f>
        <v/>
      </c>
      <c r="F29" s="12">
        <f>D29+'[1]2026 Νοέμβριος'!F29</f>
        <v/>
      </c>
      <c r="G29" s="11">
        <f>F29/$F$7</f>
        <v/>
      </c>
      <c r="H29" s="12" t="n"/>
      <c r="I29" s="11">
        <f>H29/$H$7</f>
        <v/>
      </c>
      <c r="J29" s="12">
        <f>H29+'[1]2026 Νοέμβριος'!J29</f>
        <v/>
      </c>
      <c r="K29" s="11">
        <f>J29/$J$7</f>
        <v/>
      </c>
      <c r="L29" s="68">
        <f>'[1]2024_60-69 ΕΞΟΔΑ+ΟΜ 2'!N135</f>
        <v/>
      </c>
      <c r="M29" s="11">
        <f>L29/$L$7</f>
        <v/>
      </c>
      <c r="N29" s="12">
        <f>L29+'[1]2026 Νοέμβριος'!N29</f>
        <v/>
      </c>
      <c r="O29" s="11">
        <f>N29/$N$7</f>
        <v/>
      </c>
      <c r="P29" s="12">
        <f>F29-N29</f>
        <v/>
      </c>
      <c r="Q29" s="11">
        <f>N29/F29</f>
        <v/>
      </c>
    </row>
    <row r="30" ht="23.25" customHeight="1">
      <c r="A30" s="67" t="n">
        <v>23</v>
      </c>
      <c r="B30" s="67" t="n">
        <v>23</v>
      </c>
      <c r="C30" s="44">
        <f>[1]ΑΝΤΙΣΤΟΙΧΙΣΗ!F209</f>
        <v/>
      </c>
      <c r="D30" s="10">
        <f>'[1]2026_ΕΣΟΔΑ'!N24</f>
        <v/>
      </c>
      <c r="E30" s="11">
        <f>D30/$D$7</f>
        <v/>
      </c>
      <c r="F30" s="12">
        <f>D30+'[1]2026 Νοέμβριος'!F30</f>
        <v/>
      </c>
      <c r="G30" s="11">
        <f>F30/$F$7</f>
        <v/>
      </c>
      <c r="H30" s="12" t="n"/>
      <c r="I30" s="11">
        <f>H30/$H$7</f>
        <v/>
      </c>
      <c r="J30" s="12">
        <f>H30+'[1]2026 Νοέμβριος'!J30</f>
        <v/>
      </c>
      <c r="K30" s="11">
        <f>J30/$J$7</f>
        <v/>
      </c>
      <c r="L30" s="68">
        <f>'[1]2024_60-69 ΕΞΟΔΑ+ΟΜ 2'!N136</f>
        <v/>
      </c>
      <c r="M30" s="11">
        <f>L30/$L$7</f>
        <v/>
      </c>
      <c r="N30" s="12">
        <f>L30+'[1]2026 Νοέμβριος'!N30</f>
        <v/>
      </c>
      <c r="O30" s="11">
        <f>N30/$N$7</f>
        <v/>
      </c>
      <c r="P30" s="12">
        <f>F30-N30</f>
        <v/>
      </c>
      <c r="Q30" s="11">
        <f>N30/F30</f>
        <v/>
      </c>
    </row>
    <row r="31" ht="23.25" customHeight="1">
      <c r="A31" s="67" t="n">
        <v>24</v>
      </c>
      <c r="B31" s="67" t="n">
        <v>24</v>
      </c>
      <c r="C31" s="44">
        <f>[1]ΑΝΤΙΣΤΟΙΧΙΣΗ!F210</f>
        <v/>
      </c>
      <c r="D31" s="10">
        <f>'[1]2026_ΕΣΟΔΑ'!N25</f>
        <v/>
      </c>
      <c r="E31" s="11">
        <f>D31/$D$7</f>
        <v/>
      </c>
      <c r="F31" s="12">
        <f>D31+'[1]2026 Νοέμβριος'!F31</f>
        <v/>
      </c>
      <c r="G31" s="11">
        <f>F31/$F$7</f>
        <v/>
      </c>
      <c r="H31" s="12" t="n"/>
      <c r="I31" s="11">
        <f>H31/$H$7</f>
        <v/>
      </c>
      <c r="J31" s="12">
        <f>H31+'[1]2026 Νοέμβριος'!J31</f>
        <v/>
      </c>
      <c r="K31" s="11">
        <f>J31/$J$7</f>
        <v/>
      </c>
      <c r="L31" s="68">
        <f>'[1]2024_60-69 ΕΞΟΔΑ+ΟΜ 2'!N137</f>
        <v/>
      </c>
      <c r="M31" s="11">
        <f>L31/$L$7</f>
        <v/>
      </c>
      <c r="N31" s="12">
        <f>L31+'[1]2026 Νοέμβριος'!N31</f>
        <v/>
      </c>
      <c r="O31" s="11">
        <f>N31/$N$7</f>
        <v/>
      </c>
      <c r="P31" s="12">
        <f>F31-N31</f>
        <v/>
      </c>
      <c r="Q31" s="11">
        <f>N31/F31</f>
        <v/>
      </c>
    </row>
    <row r="32" ht="23.25" customHeight="1">
      <c r="A32" s="67" t="n">
        <v>25</v>
      </c>
      <c r="B32" s="67" t="n">
        <v>25</v>
      </c>
      <c r="C32" s="44">
        <f>[1]ΑΝΤΙΣΤΟΙΧΙΣΗ!F211</f>
        <v/>
      </c>
      <c r="D32" s="10">
        <f>'[1]2026_ΕΣΟΔΑ'!N26</f>
        <v/>
      </c>
      <c r="E32" s="11">
        <f>D32/$D$7</f>
        <v/>
      </c>
      <c r="F32" s="12">
        <f>D32+'[1]2026 Νοέμβριος'!F32</f>
        <v/>
      </c>
      <c r="G32" s="11">
        <f>F32/$F$7</f>
        <v/>
      </c>
      <c r="H32" s="12" t="n"/>
      <c r="I32" s="11">
        <f>H32/$H$7</f>
        <v/>
      </c>
      <c r="J32" s="12">
        <f>H32+'[1]2026 Νοέμβριος'!J32</f>
        <v/>
      </c>
      <c r="K32" s="11">
        <f>J32/$J$7</f>
        <v/>
      </c>
      <c r="L32" s="68">
        <f>'[1]2024_60-69 ΕΞΟΔΑ+ΟΜ 2'!N138</f>
        <v/>
      </c>
      <c r="M32" s="11">
        <f>L32/$L$7</f>
        <v/>
      </c>
      <c r="N32" s="12">
        <f>L32+'[1]2026 Νοέμβριος'!N32</f>
        <v/>
      </c>
      <c r="O32" s="11">
        <f>N32/$N$7</f>
        <v/>
      </c>
      <c r="P32" s="12">
        <f>F32-N32</f>
        <v/>
      </c>
      <c r="Q32" s="11">
        <f>N32/F32</f>
        <v/>
      </c>
    </row>
    <row r="33" ht="23.25" customHeight="1">
      <c r="A33" s="67" t="n">
        <v>26</v>
      </c>
      <c r="B33" s="67" t="n">
        <v>26</v>
      </c>
      <c r="C33" s="44">
        <f>[1]ΑΝΤΙΣΤΟΙΧΙΣΗ!F212</f>
        <v/>
      </c>
      <c r="D33" s="10">
        <f>'[1]2026_ΕΣΟΔΑ'!N27</f>
        <v/>
      </c>
      <c r="E33" s="11">
        <f>D33/$D$7</f>
        <v/>
      </c>
      <c r="F33" s="12">
        <f>D33+'[1]2026 Νοέμβριος'!F33</f>
        <v/>
      </c>
      <c r="G33" s="11">
        <f>F33/$F$7</f>
        <v/>
      </c>
      <c r="H33" s="12" t="n"/>
      <c r="I33" s="11">
        <f>H33/$H$7</f>
        <v/>
      </c>
      <c r="J33" s="12">
        <f>H33+'[1]2026 Νοέμβριος'!J33</f>
        <v/>
      </c>
      <c r="K33" s="11">
        <f>J33/$J$7</f>
        <v/>
      </c>
      <c r="L33" s="68">
        <f>'[1]2024_60-69 ΕΞΟΔΑ+ΟΜ 2'!N139</f>
        <v/>
      </c>
      <c r="M33" s="11">
        <f>L33/$L$7</f>
        <v/>
      </c>
      <c r="N33" s="12">
        <f>L33+'[1]2026 Νοέμβριος'!N33</f>
        <v/>
      </c>
      <c r="O33" s="11">
        <f>N33/$N$7</f>
        <v/>
      </c>
      <c r="P33" s="12">
        <f>F33-N33</f>
        <v/>
      </c>
      <c r="Q33" s="11">
        <f>N33/F33</f>
        <v/>
      </c>
    </row>
    <row r="34" ht="23.25" customHeight="1">
      <c r="A34" s="67" t="n">
        <v>27</v>
      </c>
      <c r="B34" s="67" t="n">
        <v>27</v>
      </c>
      <c r="C34" s="44">
        <f>[1]ΑΝΤΙΣΤΟΙΧΙΣΗ!F213</f>
        <v/>
      </c>
      <c r="D34" s="10">
        <f>'[1]2026_ΕΣΟΔΑ'!N28</f>
        <v/>
      </c>
      <c r="E34" s="11">
        <f>D34/$D$7</f>
        <v/>
      </c>
      <c r="F34" s="12">
        <f>D34+'[1]2026 Νοέμβριος'!F34</f>
        <v/>
      </c>
      <c r="G34" s="11">
        <f>F34/$F$7</f>
        <v/>
      </c>
      <c r="H34" s="12" t="n"/>
      <c r="I34" s="11">
        <f>H34/$H$7</f>
        <v/>
      </c>
      <c r="J34" s="12">
        <f>H34+'[1]2026 Νοέμβριος'!J34</f>
        <v/>
      </c>
      <c r="K34" s="11">
        <f>J34/$J$7</f>
        <v/>
      </c>
      <c r="L34" s="68">
        <f>'[1]2024_60-69 ΕΞΟΔΑ+ΟΜ 2'!N140</f>
        <v/>
      </c>
      <c r="M34" s="11">
        <f>L34/$L$7</f>
        <v/>
      </c>
      <c r="N34" s="12">
        <f>L34+'[1]2026 Νοέμβριος'!N34</f>
        <v/>
      </c>
      <c r="O34" s="11">
        <f>N34/$N$7</f>
        <v/>
      </c>
      <c r="P34" s="12">
        <f>F34-N34</f>
        <v/>
      </c>
      <c r="Q34" s="11">
        <f>N34/F34</f>
        <v/>
      </c>
    </row>
    <row r="35" ht="23.25" customHeight="1">
      <c r="A35" s="67" t="n">
        <v>28</v>
      </c>
      <c r="B35" s="67" t="n">
        <v>28</v>
      </c>
      <c r="C35" s="44">
        <f>[1]ΑΝΤΙΣΤΟΙΧΙΣΗ!F214</f>
        <v/>
      </c>
      <c r="D35" s="10">
        <f>'[1]2026_ΕΣΟΔΑ'!N29</f>
        <v/>
      </c>
      <c r="E35" s="11">
        <f>D35/$D$7</f>
        <v/>
      </c>
      <c r="F35" s="12">
        <f>D35+'[1]2026 Νοέμβριος'!F35</f>
        <v/>
      </c>
      <c r="G35" s="11">
        <f>F35/$F$7</f>
        <v/>
      </c>
      <c r="H35" s="12" t="n"/>
      <c r="I35" s="11">
        <f>H35/$H$7</f>
        <v/>
      </c>
      <c r="J35" s="12">
        <f>H35+'[1]2026 Νοέμβριος'!J35</f>
        <v/>
      </c>
      <c r="K35" s="11">
        <f>J35/$J$7</f>
        <v/>
      </c>
      <c r="L35" s="68">
        <f>'[1]2024_60-69 ΕΞΟΔΑ+ΟΜ 2'!N141</f>
        <v/>
      </c>
      <c r="M35" s="11">
        <f>L35/$L$7</f>
        <v/>
      </c>
      <c r="N35" s="12">
        <f>L35+'[1]2026 Νοέμβριος'!N35</f>
        <v/>
      </c>
      <c r="O35" s="11">
        <f>N35/$N$7</f>
        <v/>
      </c>
      <c r="P35" s="12">
        <f>F35-N35</f>
        <v/>
      </c>
      <c r="Q35" s="11">
        <f>N35/F35</f>
        <v/>
      </c>
    </row>
    <row r="36" ht="23.25" customHeight="1">
      <c r="A36" s="67" t="n">
        <v>29</v>
      </c>
      <c r="B36" s="67" t="n">
        <v>29</v>
      </c>
      <c r="C36" s="44">
        <f>[1]ΑΝΤΙΣΤΟΙΧΙΣΗ!F215</f>
        <v/>
      </c>
      <c r="D36" s="10">
        <f>'[1]2026_ΕΣΟΔΑ'!N30</f>
        <v/>
      </c>
      <c r="E36" s="11">
        <f>D36/$D$7</f>
        <v/>
      </c>
      <c r="F36" s="12">
        <f>D36+'[1]2026 Νοέμβριος'!F36</f>
        <v/>
      </c>
      <c r="G36" s="11">
        <f>F36/$F$7</f>
        <v/>
      </c>
      <c r="H36" s="12" t="n"/>
      <c r="I36" s="11">
        <f>H36/$H$7</f>
        <v/>
      </c>
      <c r="J36" s="12">
        <f>H36+'[1]2026 Νοέμβριος'!J36</f>
        <v/>
      </c>
      <c r="K36" s="11">
        <f>J36/$J$7</f>
        <v/>
      </c>
      <c r="L36" s="68">
        <f>'[1]2024_60-69 ΕΞΟΔΑ+ΟΜ 2'!N142</f>
        <v/>
      </c>
      <c r="M36" s="11">
        <f>L36/$L$7</f>
        <v/>
      </c>
      <c r="N36" s="12">
        <f>L36+'[1]2026 Νοέμβριος'!N36</f>
        <v/>
      </c>
      <c r="O36" s="11">
        <f>N36/$N$7</f>
        <v/>
      </c>
      <c r="P36" s="12">
        <f>F36-N36</f>
        <v/>
      </c>
      <c r="Q36" s="11">
        <f>N36/F36</f>
        <v/>
      </c>
    </row>
    <row r="37" ht="23.25" customHeight="1">
      <c r="A37" s="67" t="n">
        <v>30</v>
      </c>
      <c r="B37" s="67" t="n">
        <v>30</v>
      </c>
      <c r="C37" s="44">
        <f>[1]ΑΝΤΙΣΤΟΙΧΙΣΗ!F216</f>
        <v/>
      </c>
      <c r="D37" s="10">
        <f>'[1]2026_ΕΣΟΔΑ'!N31</f>
        <v/>
      </c>
      <c r="E37" s="11">
        <f>D37/$D$7</f>
        <v/>
      </c>
      <c r="F37" s="12">
        <f>D37+'[1]2026 Νοέμβριος'!F37</f>
        <v/>
      </c>
      <c r="G37" s="11">
        <f>F37/$F$7</f>
        <v/>
      </c>
      <c r="H37" s="12" t="n"/>
      <c r="I37" s="11">
        <f>H37/$H$7</f>
        <v/>
      </c>
      <c r="J37" s="12">
        <f>H37+'[1]2026 Νοέμβριος'!J37</f>
        <v/>
      </c>
      <c r="K37" s="11">
        <f>J37/$J$7</f>
        <v/>
      </c>
      <c r="L37" s="68">
        <f>'[1]2024_60-69 ΕΞΟΔΑ+ΟΜ 2'!N143</f>
        <v/>
      </c>
      <c r="M37" s="11">
        <f>L37/$L$7</f>
        <v/>
      </c>
      <c r="N37" s="12">
        <f>L37+'[1]2026 Νοέμβριος'!N37</f>
        <v/>
      </c>
      <c r="O37" s="11">
        <f>N37/$N$7</f>
        <v/>
      </c>
      <c r="P37" s="12">
        <f>F37-N37</f>
        <v/>
      </c>
      <c r="Q37" s="11">
        <f>N37/F37</f>
        <v/>
      </c>
    </row>
    <row r="38" ht="15" customHeight="1">
      <c r="A38" s="60" t="n"/>
      <c r="B38" s="60" t="n"/>
      <c r="C38" s="6" t="inlineStr">
        <is>
          <t>ΣΥΝΟΛΟ ΕΣΟΔΩΝ ΜΗΝΟΣ</t>
        </is>
      </c>
      <c r="D38" s="7">
        <f>'[1]2026_ΕΣΟΔΑ'!N32</f>
        <v/>
      </c>
      <c r="E38" s="8" t="n"/>
      <c r="F38" s="7">
        <f>'[1]2026_ΕΣΟΔΑ'!N34</f>
        <v/>
      </c>
      <c r="G38" s="8" t="n"/>
      <c r="H38" s="7">
        <f>SUM(H8:H31)</f>
        <v/>
      </c>
      <c r="I38" s="8" t="n"/>
      <c r="J38" s="7">
        <f>SUM(J8:J31)</f>
        <v/>
      </c>
      <c r="K38" s="8" t="n"/>
      <c r="L38" s="7">
        <f>SUM(L8:L31)</f>
        <v/>
      </c>
      <c r="M38" s="8" t="n"/>
      <c r="N38" s="7">
        <f>SUM(N8:N31)</f>
        <v/>
      </c>
      <c r="O38" s="8" t="n"/>
      <c r="P38" s="7">
        <f>SUM(P8:P31)</f>
        <v/>
      </c>
      <c r="Q38" s="8" t="n"/>
    </row>
    <row r="39" ht="36.75" customHeight="1">
      <c r="A39" s="60" t="n"/>
      <c r="B39" s="60" t="n"/>
      <c r="C39" s="6" t="inlineStr">
        <is>
          <t>Ελεγχος Ορθότητας ( πρέπει να είναι 0)</t>
        </is>
      </c>
      <c r="D39" s="7">
        <f>D7-D38</f>
        <v/>
      </c>
      <c r="E39" s="8" t="n"/>
      <c r="F39" s="7">
        <f>F7-F38</f>
        <v/>
      </c>
      <c r="G39" s="8" t="n"/>
      <c r="H39" s="7">
        <f>H7-H38</f>
        <v/>
      </c>
      <c r="I39" s="8" t="n"/>
      <c r="J39" s="7">
        <f>J7-J38</f>
        <v/>
      </c>
      <c r="K39" s="8" t="n"/>
      <c r="L39" s="7">
        <f>L7-L38</f>
        <v/>
      </c>
      <c r="M39" s="8" t="n"/>
      <c r="N39" s="7">
        <f>N7-N38</f>
        <v/>
      </c>
      <c r="O39" s="8" t="n"/>
      <c r="P39" s="7">
        <f>P7-P38</f>
        <v/>
      </c>
      <c r="Q39" s="8" t="n"/>
    </row>
    <row r="40" ht="36.75" customHeight="1">
      <c r="A40" s="58" t="n">
        <v>39</v>
      </c>
      <c r="B40" s="58" t="n"/>
      <c r="C40" s="58" t="inlineStr">
        <is>
          <t>ΑΝΑΛΥΣΗ ΕΤΟΥΣ 2026</t>
        </is>
      </c>
      <c r="D40" s="182">
        <f>[1]ΑΝΤΙΣΤΟΙΧΙΣΗ!$F$32</f>
        <v/>
      </c>
      <c r="E40" s="192" t="n"/>
      <c r="F40" s="192" t="n"/>
      <c r="G40" s="56" t="n"/>
      <c r="H40" s="182">
        <f>[1]ΑΝΤΙΣΤΟΙΧΙΣΗ!$F$35</f>
        <v/>
      </c>
      <c r="I40" s="192" t="n"/>
      <c r="J40" s="192" t="n"/>
      <c r="K40" s="56" t="n"/>
      <c r="L40" s="182">
        <f>[1]ΑΝΤΙΣΤΟΙΧΙΣΗ!$F$68</f>
        <v/>
      </c>
      <c r="M40" s="192" t="n"/>
      <c r="N40" s="192" t="n"/>
      <c r="O40" s="56" t="n"/>
      <c r="P40" s="183">
        <f>[1]ΑΝΤΙΣΤΟΙΧΙΣΗ!$F$100</f>
        <v/>
      </c>
      <c r="Q40" s="56" t="n"/>
    </row>
    <row r="41" ht="41.25" customHeight="1">
      <c r="A41" s="60" t="n">
        <v>39</v>
      </c>
      <c r="B41" s="60" t="n"/>
      <c r="C41" s="5" t="inlineStr">
        <is>
          <t xml:space="preserve">ΠΕΡΙΟΔΟΣ </t>
        </is>
      </c>
      <c r="D41" s="180">
        <f>[1]ΑΝΤΙΣΤΟΙΧΙΣΗ!$F$117</f>
        <v/>
      </c>
      <c r="E41" s="192" t="n"/>
      <c r="F41" s="56" t="n"/>
      <c r="G41" s="61">
        <f>[1]ΑΝΤΙΣΤΟΙΧΙΣΗ!$D$34</f>
        <v/>
      </c>
      <c r="H41" s="180">
        <f>[1]ΑΝΤΙΣΤΟΙΧΙΣΗ!$F$117</f>
        <v/>
      </c>
      <c r="I41" s="192" t="n"/>
      <c r="J41" s="56" t="n"/>
      <c r="K41" s="61">
        <f>[1]ΑΝΤΙΣΤΟΙΧΙΣΗ!$D$34</f>
        <v/>
      </c>
      <c r="L41" s="180">
        <f>[1]ΑΝΤΙΣΤΟΙΧΙΣΗ!$F$131</f>
        <v/>
      </c>
      <c r="M41" s="192" t="n"/>
      <c r="N41" s="56" t="n"/>
      <c r="O41" s="61">
        <f>[1]ΑΝΤΙΣΤΟΙΧΙΣΗ!$D$33</f>
        <v/>
      </c>
      <c r="P41" s="180" t="n"/>
      <c r="Q41" s="56" t="n"/>
    </row>
    <row r="42" ht="80.25" customHeight="1">
      <c r="A42" s="69" t="n">
        <v>41</v>
      </c>
      <c r="B42" s="69" t="inlineStr">
        <is>
          <t>Β</t>
        </is>
      </c>
      <c r="C42" s="62" t="inlineStr">
        <is>
          <t xml:space="preserve">ΚΑΤΗΓΟΡΙΑ ΕΞΟΔΟΥ </t>
        </is>
      </c>
      <c r="D42" s="62" t="n"/>
      <c r="E42" s="63" t="inlineStr">
        <is>
          <t>% Εξοδο Γραμμής /Σύν.Εξόδων μηνός</t>
        </is>
      </c>
      <c r="F42" s="63" t="inlineStr">
        <is>
          <t xml:space="preserve">Προοδ Σύν. Κατηγ. Εξόδων έως Σήμερα </t>
        </is>
      </c>
      <c r="G42" s="63" t="inlineStr">
        <is>
          <t xml:space="preserve">% Προοδ. Σύνολο Κατηγ. Εξ./ Προοδ. Σύνολο Εξόδων Έως σήμερα </t>
        </is>
      </c>
      <c r="H42" s="63" t="inlineStr">
        <is>
          <t xml:space="preserve">Αμ. Κόστ. Υπηρ. Μηνός </t>
        </is>
      </c>
      <c r="I42" s="63" t="inlineStr">
        <is>
          <t>% Εξοδο Γραμμής /Σύν.Εξόδων μηνός</t>
        </is>
      </c>
      <c r="J42" s="63" t="inlineStr">
        <is>
          <t xml:space="preserve">Προοδ Σύν. Κατηγ. Εξόδων έως Σήμερα </t>
        </is>
      </c>
      <c r="K42" s="63" t="inlineStr">
        <is>
          <t xml:space="preserve">% Προοδ. Σύνολο Κατηγ. Εξ./ Προοδ. Σύνολο Εξόδων Έως σήμερα </t>
        </is>
      </c>
      <c r="L42" s="63" t="inlineStr">
        <is>
          <t xml:space="preserve">Αμ. Κόστ. Υπηρ. Μηνός </t>
        </is>
      </c>
      <c r="M42" s="63" t="inlineStr">
        <is>
          <t xml:space="preserve">% Κατηγ.Εξ/Σύν.Αμ.Κο.Υπ.μηνός </t>
        </is>
      </c>
      <c r="N42" s="63" t="inlineStr">
        <is>
          <t xml:space="preserve">Προοδ Σύν. Κατηγ. Εξ έως Σήμερα </t>
        </is>
      </c>
      <c r="O42" s="63" t="inlineStr">
        <is>
          <t xml:space="preserve">% Προοδ. Σύν. Κατηγ. Εξ/ Προοδ. Σύνολο ΕΞόδων </t>
        </is>
      </c>
      <c r="P42" s="63" t="inlineStr">
        <is>
          <t xml:space="preserve">Προοδ. Διαφορά με Προηγ. Έτος ( Τρέχον Έτος - Προηγ. Έτος) </t>
        </is>
      </c>
      <c r="Q42" s="63" t="inlineStr">
        <is>
          <t xml:space="preserve">% Προοδ.Σύν Κατηγ. Εξ. Πρ. Έτους / Προοδ.Σύν.Εξ. Τρέχοντος Έτους </t>
        </is>
      </c>
    </row>
    <row r="43" ht="22.5" customHeight="1">
      <c r="A43" s="60" t="n">
        <v>42</v>
      </c>
      <c r="B43" s="70" t="inlineStr">
        <is>
          <t>A/A</t>
        </is>
      </c>
      <c r="C43" s="6" t="inlineStr">
        <is>
          <t xml:space="preserve">Αμεσο Κόστος Υπηρεσιών </t>
        </is>
      </c>
      <c r="D43" s="7">
        <f>SUM(D44:D77)</f>
        <v/>
      </c>
      <c r="E43" s="8" t="n"/>
      <c r="F43" s="7">
        <f>SUM(F44:F77)</f>
        <v/>
      </c>
      <c r="G43" s="8" t="n"/>
      <c r="H43" s="7">
        <f>SUM(H44:H77)</f>
        <v/>
      </c>
      <c r="I43" s="8" t="n"/>
      <c r="J43" s="7">
        <f>SUM(J44:J77)</f>
        <v/>
      </c>
      <c r="K43" s="8" t="n"/>
      <c r="L43" s="7">
        <f>SUM(L44:L77)</f>
        <v/>
      </c>
      <c r="M43" s="8" t="n"/>
      <c r="N43" s="7">
        <f>SUM(N44:N77)</f>
        <v/>
      </c>
      <c r="O43" s="8" t="n"/>
      <c r="P43" s="7">
        <f>SUM(P44:P77)</f>
        <v/>
      </c>
      <c r="Q43" s="8" t="n"/>
    </row>
    <row r="44" ht="21" customHeight="1">
      <c r="A44" s="67" t="n">
        <v>43</v>
      </c>
      <c r="B44" s="67" t="n">
        <v>1</v>
      </c>
      <c r="C44" s="44">
        <f>[1]ΑΝΤΙΣΤΟΙΧΙΣΗ!I187</f>
        <v/>
      </c>
      <c r="D44" s="14">
        <f>'[1]2026_60-69 ΕΞΟΔΑ+ΟΜ 2'!O4</f>
        <v/>
      </c>
      <c r="E44" s="15">
        <f>D44/$D$43</f>
        <v/>
      </c>
      <c r="F44" s="10">
        <f>D44+'[1]2026 Νοέμβριος'!F44</f>
        <v/>
      </c>
      <c r="G44" s="15">
        <f>F44/$F$43</f>
        <v/>
      </c>
      <c r="H44" s="14" t="n"/>
      <c r="I44" s="16">
        <f>H44/$H$43</f>
        <v/>
      </c>
      <c r="J44" s="10" t="n"/>
      <c r="K44" s="17">
        <f>J44/$J$43</f>
        <v/>
      </c>
      <c r="L44" s="14">
        <f>'[1]2024_60-69 ΕΞΟΔΑ+ΟΜ 2'!O4</f>
        <v/>
      </c>
      <c r="M44" s="15">
        <f>L44/$L$43</f>
        <v/>
      </c>
      <c r="N44" s="10">
        <f>L44+'[1]2026 Νοέμβριος'!N44</f>
        <v/>
      </c>
      <c r="O44" s="15">
        <f>N44/$N$43</f>
        <v/>
      </c>
      <c r="P44" s="10" t="n"/>
      <c r="Q44" s="15">
        <f>N44/F44</f>
        <v/>
      </c>
    </row>
    <row r="45" ht="28.5" customHeight="1">
      <c r="A45" s="67" t="n">
        <v>44</v>
      </c>
      <c r="B45" s="67" t="n">
        <v>2</v>
      </c>
      <c r="C45" s="44">
        <f>[1]ΑΝΤΙΣΤΟΙΧΙΣΗ!I188</f>
        <v/>
      </c>
      <c r="D45" s="14">
        <f>'[1]2026_60-69 ΕΞΟΔΑ+ΟΜ 2'!O5</f>
        <v/>
      </c>
      <c r="E45" s="15">
        <f>D45/$D$43</f>
        <v/>
      </c>
      <c r="F45" s="10">
        <f>D45+'[1]2026 Νοέμβριος'!F45</f>
        <v/>
      </c>
      <c r="G45" s="15">
        <f>F45/$F$43</f>
        <v/>
      </c>
      <c r="H45" s="14" t="n"/>
      <c r="I45" s="16">
        <f>H45/$H$43</f>
        <v/>
      </c>
      <c r="J45" s="10">
        <f>H45</f>
        <v/>
      </c>
      <c r="K45" s="17">
        <f>J45/$J$43</f>
        <v/>
      </c>
      <c r="L45" s="14">
        <f>'[1]2024_60-69 ΕΞΟΔΑ+ΟΜ 2'!O5</f>
        <v/>
      </c>
      <c r="M45" s="15">
        <f>L45/$L$43</f>
        <v/>
      </c>
      <c r="N45" s="10">
        <f>L45+'[1]2026 Νοέμβριος'!N45</f>
        <v/>
      </c>
      <c r="O45" s="15">
        <f>N45/$N$43</f>
        <v/>
      </c>
      <c r="P45" s="10" t="n"/>
      <c r="Q45" s="15">
        <f>N45/F45</f>
        <v/>
      </c>
    </row>
    <row r="46" ht="28.5" customHeight="1">
      <c r="A46" s="67" t="n">
        <v>45</v>
      </c>
      <c r="B46" s="67" t="n">
        <v>3</v>
      </c>
      <c r="C46" s="44">
        <f>[1]ΑΝΤΙΣΤΟΙΧΙΣΗ!I189</f>
        <v/>
      </c>
      <c r="D46" s="14">
        <f>'[1]2026_60-69 ΕΞΟΔΑ+ΟΜ 2'!O6</f>
        <v/>
      </c>
      <c r="E46" s="15">
        <f>D46/$D$43</f>
        <v/>
      </c>
      <c r="F46" s="10">
        <f>D46+'[1]2026 Νοέμβριος'!F46</f>
        <v/>
      </c>
      <c r="G46" s="15">
        <f>F46/$F$43</f>
        <v/>
      </c>
      <c r="H46" s="14" t="n"/>
      <c r="I46" s="16">
        <f>H46/$H$43</f>
        <v/>
      </c>
      <c r="J46" s="10">
        <f>H46</f>
        <v/>
      </c>
      <c r="K46" s="17">
        <f>J46/$J$43</f>
        <v/>
      </c>
      <c r="L46" s="14">
        <f>'[1]2024_60-69 ΕΞΟΔΑ+ΟΜ 2'!O6</f>
        <v/>
      </c>
      <c r="M46" s="15">
        <f>L46/$L$43</f>
        <v/>
      </c>
      <c r="N46" s="10">
        <f>L46+'[1]2026 Νοέμβριος'!N46</f>
        <v/>
      </c>
      <c r="O46" s="15">
        <f>N46/$N$43</f>
        <v/>
      </c>
      <c r="P46" s="10" t="n"/>
      <c r="Q46" s="15">
        <f>N46/F46</f>
        <v/>
      </c>
    </row>
    <row r="47" ht="24" customHeight="1">
      <c r="A47" s="67" t="n">
        <v>48</v>
      </c>
      <c r="B47" s="67" t="n">
        <v>6</v>
      </c>
      <c r="C47" s="71">
        <f>[1]ΑΝΤΙΣΤΟΙΧΙΣΗ!I190</f>
        <v/>
      </c>
      <c r="D47" s="14">
        <f>'[1]2026_60-69 ΕΞΟΔΑ+ΟΜ 2'!O7</f>
        <v/>
      </c>
      <c r="E47" s="15">
        <f>D49/$D$43</f>
        <v/>
      </c>
      <c r="F47" s="10">
        <f>D49+'[1]2026 Νοέμβριος'!F47</f>
        <v/>
      </c>
      <c r="G47" s="15">
        <f>F49/$F$43</f>
        <v/>
      </c>
      <c r="H47" s="14" t="n"/>
      <c r="I47" s="16">
        <f>H49/$H$43</f>
        <v/>
      </c>
      <c r="J47" s="10">
        <f>H49</f>
        <v/>
      </c>
      <c r="K47" s="17">
        <f>J49/$J$43</f>
        <v/>
      </c>
      <c r="L47" s="14">
        <f>'[1]2024_60-69 ΕΞΟΔΑ+ΟΜ 2'!O7</f>
        <v/>
      </c>
      <c r="M47" s="15">
        <f>L49/$L$43</f>
        <v/>
      </c>
      <c r="N47" s="10">
        <f>L49+'[1]2026 Νοέμβριος'!N47</f>
        <v/>
      </c>
      <c r="O47" s="15">
        <f>N49/$N$43</f>
        <v/>
      </c>
      <c r="P47" s="10" t="n"/>
      <c r="Q47" s="15">
        <f>N49/F49</f>
        <v/>
      </c>
      <c r="V47" s="160" t="n"/>
    </row>
    <row r="48" ht="24" customHeight="1">
      <c r="A48" s="67" t="n">
        <v>49</v>
      </c>
      <c r="B48" s="67" t="n">
        <v>7</v>
      </c>
      <c r="C48" s="71">
        <f>[1]ΑΝΤΙΣΤΟΙΧΙΣΗ!I191</f>
        <v/>
      </c>
      <c r="D48" s="14">
        <f>'[1]2026_60-69 ΕΞΟΔΑ+ΟΜ 2'!O8</f>
        <v/>
      </c>
      <c r="E48" s="15">
        <f>D50/$D$43</f>
        <v/>
      </c>
      <c r="F48" s="10">
        <f>D50+'[1]2026 Νοέμβριος'!F48</f>
        <v/>
      </c>
      <c r="G48" s="15">
        <f>F50/$F$43</f>
        <v/>
      </c>
      <c r="H48" s="14" t="n"/>
      <c r="I48" s="16">
        <f>H50/$H$43</f>
        <v/>
      </c>
      <c r="J48" s="10">
        <f>H50</f>
        <v/>
      </c>
      <c r="K48" s="17">
        <f>J50/$J$43</f>
        <v/>
      </c>
      <c r="L48" s="14">
        <f>'[1]2024_60-69 ΕΞΟΔΑ+ΟΜ 2'!O8</f>
        <v/>
      </c>
      <c r="M48" s="15">
        <f>L50/$L$43</f>
        <v/>
      </c>
      <c r="N48" s="10">
        <f>L50+'[1]2026 Νοέμβριος'!N48</f>
        <v/>
      </c>
      <c r="O48" s="15">
        <f>N50/$N$43</f>
        <v/>
      </c>
      <c r="P48" s="10" t="n"/>
      <c r="Q48" s="15">
        <f>N50/F50</f>
        <v/>
      </c>
      <c r="V48" s="160" t="n"/>
    </row>
    <row r="49" ht="28.5" customHeight="1">
      <c r="A49" s="67" t="n">
        <v>50</v>
      </c>
      <c r="B49" s="67" t="n">
        <v>8</v>
      </c>
      <c r="C49" s="71">
        <f>[1]ΑΝΤΙΣΤΟΙΧΙΣΗ!I192</f>
        <v/>
      </c>
      <c r="D49" s="14">
        <f>'[1]2026_60-69 ΕΞΟΔΑ+ΟΜ 2'!O9</f>
        <v/>
      </c>
      <c r="E49" s="15">
        <f>D51/$D$43</f>
        <v/>
      </c>
      <c r="F49" s="10">
        <f>D51+'[1]2026 Νοέμβριος'!F49</f>
        <v/>
      </c>
      <c r="G49" s="15">
        <f>F51/$F$43</f>
        <v/>
      </c>
      <c r="H49" s="14" t="n"/>
      <c r="I49" s="16">
        <f>H51/$H$43</f>
        <v/>
      </c>
      <c r="J49" s="10">
        <f>H51</f>
        <v/>
      </c>
      <c r="K49" s="17">
        <f>J51/$J$43</f>
        <v/>
      </c>
      <c r="L49" s="14">
        <f>'[1]2024_60-69 ΕΞΟΔΑ+ΟΜ 2'!O9</f>
        <v/>
      </c>
      <c r="M49" s="15">
        <f>L51/$L$43</f>
        <v/>
      </c>
      <c r="N49" s="10">
        <f>L51+'[1]2026 Νοέμβριος'!N49</f>
        <v/>
      </c>
      <c r="O49" s="15">
        <f>N51/$N$43</f>
        <v/>
      </c>
      <c r="P49" s="10" t="n"/>
      <c r="Q49" s="15">
        <f>N51/F51</f>
        <v/>
      </c>
      <c r="V49" s="160" t="n"/>
    </row>
    <row r="50" ht="28.5" customHeight="1">
      <c r="A50" s="67" t="n">
        <v>53</v>
      </c>
      <c r="B50" s="67" t="n">
        <v>11</v>
      </c>
      <c r="C50" s="45">
        <f>[1]ΑΝΤΙΣΤΟΙΧΙΣΗ!I193</f>
        <v/>
      </c>
      <c r="D50" s="14">
        <f>'[1]2026_60-69 ΕΞΟΔΑ+ΟΜ 2'!O10</f>
        <v/>
      </c>
      <c r="E50" s="15">
        <f>D54/$D$43</f>
        <v/>
      </c>
      <c r="F50" s="10">
        <f>D54+'[1]2026 Νοέμβριος'!F50</f>
        <v/>
      </c>
      <c r="G50" s="15">
        <f>F54/$F$43</f>
        <v/>
      </c>
      <c r="H50" s="14" t="n"/>
      <c r="I50" s="16">
        <f>H54/$H$43</f>
        <v/>
      </c>
      <c r="J50" s="10">
        <f>H54</f>
        <v/>
      </c>
      <c r="K50" s="17">
        <f>J54/$J$43</f>
        <v/>
      </c>
      <c r="L50" s="14">
        <f>'[1]2024_60-69 ΕΞΟΔΑ+ΟΜ 2'!O10</f>
        <v/>
      </c>
      <c r="M50" s="15">
        <f>L54/$L$43</f>
        <v/>
      </c>
      <c r="N50" s="10">
        <f>L54+'[1]2026 Νοέμβριος'!N50</f>
        <v/>
      </c>
      <c r="O50" s="15">
        <f>N54/$N$43</f>
        <v/>
      </c>
      <c r="P50" s="10" t="n"/>
      <c r="Q50" s="15">
        <f>N54/F54</f>
        <v/>
      </c>
    </row>
    <row r="51" ht="28.5" customHeight="1">
      <c r="A51" s="67" t="n">
        <v>54</v>
      </c>
      <c r="B51" s="67" t="n">
        <v>12</v>
      </c>
      <c r="C51" s="45">
        <f>[1]ΑΝΤΙΣΤΟΙΧΙΣΗ!I194</f>
        <v/>
      </c>
      <c r="D51" s="14">
        <f>'[1]2026_60-69 ΕΞΟΔΑ+ΟΜ 2'!O11</f>
        <v/>
      </c>
      <c r="E51" s="15">
        <f>D55/$D$43</f>
        <v/>
      </c>
      <c r="F51" s="10">
        <f>D55+'[1]2026 Νοέμβριος'!F51</f>
        <v/>
      </c>
      <c r="G51" s="15">
        <f>F55/$F$43</f>
        <v/>
      </c>
      <c r="H51" s="14" t="n"/>
      <c r="I51" s="16">
        <f>H55/$H$43</f>
        <v/>
      </c>
      <c r="J51" s="10">
        <f>H55</f>
        <v/>
      </c>
      <c r="K51" s="17">
        <f>J55/$J$43</f>
        <v/>
      </c>
      <c r="L51" s="14">
        <f>'[1]2024_60-69 ΕΞΟΔΑ+ΟΜ 2'!O11</f>
        <v/>
      </c>
      <c r="M51" s="15">
        <f>L55/$L$43</f>
        <v/>
      </c>
      <c r="N51" s="10">
        <f>L55+'[1]2026 Νοέμβριος'!N51</f>
        <v/>
      </c>
      <c r="O51" s="15">
        <f>N55/$N$43</f>
        <v/>
      </c>
      <c r="P51" s="10" t="n"/>
      <c r="Q51" s="15">
        <f>N55/F55</f>
        <v/>
      </c>
    </row>
    <row r="52" ht="24" customHeight="1">
      <c r="A52" s="67" t="n">
        <v>55</v>
      </c>
      <c r="B52" s="67" t="n">
        <v>13</v>
      </c>
      <c r="C52" s="45">
        <f>[1]ΑΝΤΙΣΤΟΙΧΙΣΗ!I195</f>
        <v/>
      </c>
      <c r="D52" s="14">
        <f>'[1]2026_60-69 ΕΞΟΔΑ+ΟΜ 2'!O12</f>
        <v/>
      </c>
      <c r="E52" s="15">
        <f>D56/$D$43</f>
        <v/>
      </c>
      <c r="F52" s="10">
        <f>D56+'[1]2026 Νοέμβριος'!F52</f>
        <v/>
      </c>
      <c r="G52" s="15">
        <f>F56/$F$43</f>
        <v/>
      </c>
      <c r="H52" s="14" t="n"/>
      <c r="I52" s="16">
        <f>H56/$H$43</f>
        <v/>
      </c>
      <c r="J52" s="10">
        <f>H56</f>
        <v/>
      </c>
      <c r="K52" s="17">
        <f>J56/$J$43</f>
        <v/>
      </c>
      <c r="L52" s="14">
        <f>'[1]2024_60-69 ΕΞΟΔΑ+ΟΜ 2'!O12</f>
        <v/>
      </c>
      <c r="M52" s="15">
        <f>L56/$L$43</f>
        <v/>
      </c>
      <c r="N52" s="10">
        <f>L56+'[1]2026 Νοέμβριος'!N52</f>
        <v/>
      </c>
      <c r="O52" s="15">
        <f>N56/$N$43</f>
        <v/>
      </c>
      <c r="P52" s="10" t="n"/>
      <c r="Q52" s="15">
        <f>N56/F56</f>
        <v/>
      </c>
    </row>
    <row r="53" ht="24" customHeight="1">
      <c r="A53" s="67" t="n">
        <v>56</v>
      </c>
      <c r="B53" s="67" t="n">
        <v>14</v>
      </c>
      <c r="C53" s="45">
        <f>[1]ΑΝΤΙΣΤΟΙΧΙΣΗ!I196</f>
        <v/>
      </c>
      <c r="D53" s="14">
        <f>'[1]2026_60-69 ΕΞΟΔΑ+ΟΜ 2'!O13</f>
        <v/>
      </c>
      <c r="E53" s="15">
        <f>D57/$D$43</f>
        <v/>
      </c>
      <c r="F53" s="10">
        <f>D57+'[1]2026 Νοέμβριος'!F53</f>
        <v/>
      </c>
      <c r="G53" s="15">
        <f>F57/$F$43</f>
        <v/>
      </c>
      <c r="H53" s="14" t="n"/>
      <c r="I53" s="16">
        <f>H57/$H$43</f>
        <v/>
      </c>
      <c r="J53" s="10">
        <f>H57</f>
        <v/>
      </c>
      <c r="K53" s="17">
        <f>J57/$J$43</f>
        <v/>
      </c>
      <c r="L53" s="14">
        <f>'[1]2024_60-69 ΕΞΟΔΑ+ΟΜ 2'!O13</f>
        <v/>
      </c>
      <c r="M53" s="15">
        <f>L57/$L$43</f>
        <v/>
      </c>
      <c r="N53" s="10">
        <f>L57+'[1]2026 Νοέμβριος'!N53</f>
        <v/>
      </c>
      <c r="O53" s="15">
        <f>N57/$N$43</f>
        <v/>
      </c>
      <c r="P53" s="10" t="n"/>
      <c r="Q53" s="15">
        <f>N57/F57</f>
        <v/>
      </c>
    </row>
    <row r="54" ht="15" customHeight="1">
      <c r="A54" s="67" t="n">
        <v>57</v>
      </c>
      <c r="B54" s="67" t="n">
        <v>15</v>
      </c>
      <c r="C54" s="45">
        <f>[1]ΑΝΤΙΣΤΟΙΧΙΣΗ!I197</f>
        <v/>
      </c>
      <c r="D54" s="14">
        <f>'[1]2026_60-69 ΕΞΟΔΑ+ΟΜ 2'!O14</f>
        <v/>
      </c>
      <c r="E54" s="15">
        <f>D58/$D$43</f>
        <v/>
      </c>
      <c r="F54" s="10">
        <f>D58+'[1]2026 Νοέμβριος'!F54</f>
        <v/>
      </c>
      <c r="G54" s="15">
        <f>F58/$F$43</f>
        <v/>
      </c>
      <c r="H54" s="14" t="n"/>
      <c r="I54" s="16">
        <f>H58/$H$43</f>
        <v/>
      </c>
      <c r="J54" s="10">
        <f>H58</f>
        <v/>
      </c>
      <c r="K54" s="17">
        <f>J58/$J$43</f>
        <v/>
      </c>
      <c r="L54" s="14">
        <f>'[1]2024_60-69 ΕΞΟΔΑ+ΟΜ 2'!O14</f>
        <v/>
      </c>
      <c r="M54" s="15">
        <f>L58/$L$43</f>
        <v/>
      </c>
      <c r="N54" s="10">
        <f>L58+'[1]2026 Νοέμβριος'!N54</f>
        <v/>
      </c>
      <c r="O54" s="15">
        <f>N58/$N$43</f>
        <v/>
      </c>
      <c r="P54" s="10" t="n"/>
      <c r="Q54" s="15">
        <f>N58/F58</f>
        <v/>
      </c>
    </row>
    <row r="55" ht="15" customHeight="1">
      <c r="A55" s="67" t="n">
        <v>58</v>
      </c>
      <c r="B55" s="67" t="n">
        <v>16</v>
      </c>
      <c r="C55" s="45">
        <f>[1]ΑΝΤΙΣΤΟΙΧΙΣΗ!I198</f>
        <v/>
      </c>
      <c r="D55" s="14">
        <f>'[1]2026_60-69 ΕΞΟΔΑ+ΟΜ 2'!O15</f>
        <v/>
      </c>
      <c r="E55" s="15">
        <f>D59/$D$43</f>
        <v/>
      </c>
      <c r="F55" s="10">
        <f>D59+'[1]2026 Νοέμβριος'!F55</f>
        <v/>
      </c>
      <c r="G55" s="15">
        <f>F59/$F$43</f>
        <v/>
      </c>
      <c r="H55" s="14" t="n"/>
      <c r="I55" s="16">
        <f>H59/$H$43</f>
        <v/>
      </c>
      <c r="J55" s="10">
        <f>H59</f>
        <v/>
      </c>
      <c r="K55" s="17">
        <f>J59/$J$43</f>
        <v/>
      </c>
      <c r="L55" s="14">
        <f>'[1]2024_60-69 ΕΞΟΔΑ+ΟΜ 2'!O15</f>
        <v/>
      </c>
      <c r="M55" s="15">
        <f>L59/$L$43</f>
        <v/>
      </c>
      <c r="N55" s="10">
        <f>L59+'[1]2026 Νοέμβριος'!N55</f>
        <v/>
      </c>
      <c r="O55" s="15">
        <f>N59/$N$43</f>
        <v/>
      </c>
      <c r="P55" s="10" t="n"/>
      <c r="Q55" s="15">
        <f>N59/F59</f>
        <v/>
      </c>
    </row>
    <row r="56" ht="15" customHeight="1">
      <c r="A56" s="67" t="n">
        <v>59</v>
      </c>
      <c r="B56" s="67" t="n">
        <v>17</v>
      </c>
      <c r="C56" s="45">
        <f>[1]ΑΝΤΙΣΤΟΙΧΙΣΗ!I199</f>
        <v/>
      </c>
      <c r="D56" s="14">
        <f>'[1]2026_60-69 ΕΞΟΔΑ+ΟΜ 2'!O16</f>
        <v/>
      </c>
      <c r="E56" s="15">
        <f>D60/$D$43</f>
        <v/>
      </c>
      <c r="F56" s="10">
        <f>D60+'[1]2026 Νοέμβριος'!F56</f>
        <v/>
      </c>
      <c r="G56" s="15">
        <f>F60/$F$43</f>
        <v/>
      </c>
      <c r="H56" s="14" t="n"/>
      <c r="I56" s="16">
        <f>H60/$H$43</f>
        <v/>
      </c>
      <c r="J56" s="10" t="n"/>
      <c r="K56" s="17">
        <f>J60/$J$43</f>
        <v/>
      </c>
      <c r="L56" s="14">
        <f>'[1]2024_60-69 ΕΞΟΔΑ+ΟΜ 2'!O16</f>
        <v/>
      </c>
      <c r="M56" s="15">
        <f>L60/$L$43</f>
        <v/>
      </c>
      <c r="N56" s="10">
        <f>L60+'[1]2026 Νοέμβριος'!N56</f>
        <v/>
      </c>
      <c r="O56" s="15">
        <f>N60/$N$43</f>
        <v/>
      </c>
      <c r="P56" s="10" t="n"/>
      <c r="Q56" s="15">
        <f>N60/F60</f>
        <v/>
      </c>
    </row>
    <row r="57" ht="15" customHeight="1">
      <c r="A57" s="67" t="n">
        <v>60</v>
      </c>
      <c r="B57" s="67" t="n">
        <v>18</v>
      </c>
      <c r="C57" s="45">
        <f>[1]ΑΝΤΙΣΤΟΙΧΙΣΗ!I200</f>
        <v/>
      </c>
      <c r="D57" s="14">
        <f>'[1]2026_60-69 ΕΞΟΔΑ+ΟΜ 2'!O17</f>
        <v/>
      </c>
      <c r="E57" s="15">
        <f>D61/$D$43</f>
        <v/>
      </c>
      <c r="F57" s="10">
        <f>D61+'[1]2026 Νοέμβριος'!F57</f>
        <v/>
      </c>
      <c r="G57" s="15">
        <f>F61/$F$43</f>
        <v/>
      </c>
      <c r="H57" s="14" t="n"/>
      <c r="I57" s="16">
        <f>H61/$H$43</f>
        <v/>
      </c>
      <c r="J57" s="10">
        <f>H61</f>
        <v/>
      </c>
      <c r="K57" s="17">
        <f>J61/$J$43</f>
        <v/>
      </c>
      <c r="L57" s="14">
        <f>'[1]2024_60-69 ΕΞΟΔΑ+ΟΜ 2'!O17</f>
        <v/>
      </c>
      <c r="M57" s="15">
        <f>L61/$L$43</f>
        <v/>
      </c>
      <c r="N57" s="10">
        <f>L61+'[1]2026 Νοέμβριος'!N57</f>
        <v/>
      </c>
      <c r="O57" s="15">
        <f>N61/$N$43</f>
        <v/>
      </c>
      <c r="P57" s="10" t="n"/>
      <c r="Q57" s="15">
        <f>N61/F61</f>
        <v/>
      </c>
    </row>
    <row r="58" ht="15" customHeight="1">
      <c r="A58" s="67" t="n">
        <v>61</v>
      </c>
      <c r="B58" s="67" t="n">
        <v>19</v>
      </c>
      <c r="C58" s="45">
        <f>[1]ΑΝΤΙΣΤΟΙΧΙΣΗ!I201</f>
        <v/>
      </c>
      <c r="D58" s="14">
        <f>'[1]2026_60-69 ΕΞΟΔΑ+ΟΜ 2'!O18</f>
        <v/>
      </c>
      <c r="E58" s="15">
        <f>D62/$D$43</f>
        <v/>
      </c>
      <c r="F58" s="10">
        <f>D62+'[1]2026 Νοέμβριος'!F58</f>
        <v/>
      </c>
      <c r="G58" s="15">
        <f>F62/$F$43</f>
        <v/>
      </c>
      <c r="H58" s="14" t="n"/>
      <c r="I58" s="16">
        <f>H62/$H$43</f>
        <v/>
      </c>
      <c r="J58" s="10">
        <f>H62</f>
        <v/>
      </c>
      <c r="K58" s="17">
        <f>J62/$J$43</f>
        <v/>
      </c>
      <c r="L58" s="14">
        <f>'[1]2024_60-69 ΕΞΟΔΑ+ΟΜ 2'!O18</f>
        <v/>
      </c>
      <c r="M58" s="15">
        <f>L62/$L$43</f>
        <v/>
      </c>
      <c r="N58" s="10">
        <f>L62+'[1]2026 Νοέμβριος'!N58</f>
        <v/>
      </c>
      <c r="O58" s="15">
        <f>N62/$N$43</f>
        <v/>
      </c>
      <c r="P58" s="10" t="n"/>
      <c r="Q58" s="15">
        <f>N62/F62</f>
        <v/>
      </c>
    </row>
    <row r="59" ht="15" customHeight="1">
      <c r="A59" s="67" t="n">
        <v>62</v>
      </c>
      <c r="B59" s="67" t="n">
        <v>20</v>
      </c>
      <c r="C59" s="45">
        <f>[1]ΑΝΤΙΣΤΟΙΧΙΣΗ!I202</f>
        <v/>
      </c>
      <c r="D59" s="14">
        <f>'[1]2026_60-69 ΕΞΟΔΑ+ΟΜ 2'!O19</f>
        <v/>
      </c>
      <c r="E59" s="15">
        <f>D63/$D$43</f>
        <v/>
      </c>
      <c r="F59" s="10">
        <f>D63+'[1]2026 Νοέμβριος'!F59</f>
        <v/>
      </c>
      <c r="G59" s="15">
        <f>F63/$F$43</f>
        <v/>
      </c>
      <c r="H59" s="14" t="n"/>
      <c r="I59" s="16">
        <f>H63/$H$43</f>
        <v/>
      </c>
      <c r="J59" s="10">
        <f>H63</f>
        <v/>
      </c>
      <c r="K59" s="17">
        <f>J63/$J$43</f>
        <v/>
      </c>
      <c r="L59" s="14">
        <f>'[1]2024_60-69 ΕΞΟΔΑ+ΟΜ 2'!O19</f>
        <v/>
      </c>
      <c r="M59" s="15">
        <f>L63/$L$43</f>
        <v/>
      </c>
      <c r="N59" s="10">
        <f>L63+'[1]2026 Νοέμβριος'!N59</f>
        <v/>
      </c>
      <c r="O59" s="15">
        <f>N63/$N$43</f>
        <v/>
      </c>
      <c r="P59" s="10" t="n"/>
      <c r="Q59" s="15">
        <f>N63/F63</f>
        <v/>
      </c>
    </row>
    <row r="60" ht="28.5" customHeight="1">
      <c r="A60" s="67" t="n">
        <v>63</v>
      </c>
      <c r="B60" s="67" t="n">
        <v>21</v>
      </c>
      <c r="C60" s="45">
        <f>[1]ΑΝΤΙΣΤΟΙΧΙΣΗ!I203</f>
        <v/>
      </c>
      <c r="D60" s="14">
        <f>'[1]2026_60-69 ΕΞΟΔΑ+ΟΜ 2'!O20</f>
        <v/>
      </c>
      <c r="E60" s="15">
        <f>D64/$D$43</f>
        <v/>
      </c>
      <c r="F60" s="10">
        <f>D64+'[1]2026 Νοέμβριος'!F60</f>
        <v/>
      </c>
      <c r="G60" s="15">
        <f>F64/$F$43</f>
        <v/>
      </c>
      <c r="H60" s="14" t="n"/>
      <c r="I60" s="16">
        <f>H64/$H$43</f>
        <v/>
      </c>
      <c r="J60" s="10">
        <f>H64</f>
        <v/>
      </c>
      <c r="K60" s="17">
        <f>J64/$J$43</f>
        <v/>
      </c>
      <c r="L60" s="14">
        <f>'[1]2024_60-69 ΕΞΟΔΑ+ΟΜ 2'!O20</f>
        <v/>
      </c>
      <c r="M60" s="15">
        <f>L64/$L$43</f>
        <v/>
      </c>
      <c r="N60" s="10">
        <f>L64+'[1]2026 Νοέμβριος'!N60</f>
        <v/>
      </c>
      <c r="O60" s="15">
        <f>N64/$N$43</f>
        <v/>
      </c>
      <c r="P60" s="10" t="n"/>
      <c r="Q60" s="15">
        <f>N64/F64</f>
        <v/>
      </c>
    </row>
    <row r="61" ht="15" customHeight="1">
      <c r="A61" s="67" t="n">
        <v>64</v>
      </c>
      <c r="B61" s="67" t="n">
        <v>22</v>
      </c>
      <c r="C61" s="45">
        <f>[1]ΑΝΤΙΣΤΟΙΧΙΣΗ!I204</f>
        <v/>
      </c>
      <c r="D61" s="14">
        <f>'[1]2026_60-69 ΕΞΟΔΑ+ΟΜ 2'!O21</f>
        <v/>
      </c>
      <c r="E61" s="15">
        <f>D65/$D$43</f>
        <v/>
      </c>
      <c r="F61" s="10">
        <f>D65+'[1]2026 Νοέμβριος'!F61</f>
        <v/>
      </c>
      <c r="G61" s="15">
        <f>F65/$F$43</f>
        <v/>
      </c>
      <c r="H61" s="14" t="n"/>
      <c r="I61" s="16">
        <f>H65/$H$43</f>
        <v/>
      </c>
      <c r="J61" s="10">
        <f>H65</f>
        <v/>
      </c>
      <c r="K61" s="17">
        <f>J65/$J$43</f>
        <v/>
      </c>
      <c r="L61" s="14">
        <f>'[1]2024_60-69 ΕΞΟΔΑ+ΟΜ 2'!O21</f>
        <v/>
      </c>
      <c r="M61" s="15">
        <f>L65/$L$43</f>
        <v/>
      </c>
      <c r="N61" s="10">
        <f>L65+'[1]2026 Νοέμβριος'!N61</f>
        <v/>
      </c>
      <c r="O61" s="15">
        <f>N65/$N$43</f>
        <v/>
      </c>
      <c r="P61" s="10" t="n"/>
      <c r="Q61" s="15">
        <f>N65/F65</f>
        <v/>
      </c>
    </row>
    <row r="62" ht="15" customHeight="1">
      <c r="A62" s="67" t="n">
        <v>65</v>
      </c>
      <c r="B62" s="67" t="n">
        <v>23</v>
      </c>
      <c r="C62" s="72">
        <f>[1]ΑΝΤΙΣΤΟΙΧΙΣΗ!I205</f>
        <v/>
      </c>
      <c r="D62" s="14">
        <f>'[1]2026_60-69 ΕΞΟΔΑ+ΟΜ 2'!O22</f>
        <v/>
      </c>
      <c r="E62" s="15">
        <f>D66/$D$43</f>
        <v/>
      </c>
      <c r="F62" s="10">
        <f>D66+'[1]2026 Νοέμβριος'!F62</f>
        <v/>
      </c>
      <c r="G62" s="15">
        <f>F66/$F$43</f>
        <v/>
      </c>
      <c r="H62" s="14" t="n"/>
      <c r="I62" s="16">
        <f>H66/$H$43</f>
        <v/>
      </c>
      <c r="J62" s="10">
        <f>H66</f>
        <v/>
      </c>
      <c r="K62" s="17">
        <f>J66/$J$43</f>
        <v/>
      </c>
      <c r="L62" s="14">
        <f>'[1]2024_60-69 ΕΞΟΔΑ+ΟΜ 2'!O22</f>
        <v/>
      </c>
      <c r="M62" s="15">
        <f>L66/$L$43</f>
        <v/>
      </c>
      <c r="N62" s="10">
        <f>L66+'[1]2026 Νοέμβριος'!N62</f>
        <v/>
      </c>
      <c r="O62" s="15">
        <f>N66/$N$43</f>
        <v/>
      </c>
      <c r="P62" s="10" t="n"/>
      <c r="Q62" s="15">
        <f>N66/F66</f>
        <v/>
      </c>
    </row>
    <row r="63" ht="15" customHeight="1">
      <c r="A63" s="67" t="n">
        <v>66</v>
      </c>
      <c r="B63" s="67" t="n">
        <v>24</v>
      </c>
      <c r="C63" s="73">
        <f>[1]ΑΝΤΙΣΤΟΙΧΙΣΗ!I206</f>
        <v/>
      </c>
      <c r="D63" s="14">
        <f>'[1]2026_60-69 ΕΞΟΔΑ+ΟΜ 2'!O23</f>
        <v/>
      </c>
      <c r="E63" s="15">
        <f>D67/$D$43</f>
        <v/>
      </c>
      <c r="F63" s="10">
        <f>D67+'[1]2026 Νοέμβριος'!F63</f>
        <v/>
      </c>
      <c r="G63" s="15">
        <f>F67/$F$43</f>
        <v/>
      </c>
      <c r="H63" s="14" t="n"/>
      <c r="I63" s="16">
        <f>H67/$H$43</f>
        <v/>
      </c>
      <c r="J63" s="10">
        <f>H67</f>
        <v/>
      </c>
      <c r="K63" s="17">
        <f>J67/$J$43</f>
        <v/>
      </c>
      <c r="L63" s="14">
        <f>'[1]2024_60-69 ΕΞΟΔΑ+ΟΜ 2'!O23</f>
        <v/>
      </c>
      <c r="M63" s="15">
        <f>L67/$L$43</f>
        <v/>
      </c>
      <c r="N63" s="10">
        <f>L67+'[1]2026 Νοέμβριος'!N63</f>
        <v/>
      </c>
      <c r="O63" s="15">
        <f>N67/$N$43</f>
        <v/>
      </c>
      <c r="P63" s="10" t="n"/>
      <c r="Q63" s="15">
        <f>N67/F67</f>
        <v/>
      </c>
    </row>
    <row r="64" ht="15" customHeight="1">
      <c r="A64" s="67" t="n">
        <v>67</v>
      </c>
      <c r="B64" s="67" t="n">
        <v>25</v>
      </c>
      <c r="C64" s="74">
        <f>[1]ΑΝΤΙΣΤΟΙΧΙΣΗ!I207</f>
        <v/>
      </c>
      <c r="D64" s="14">
        <f>'[1]2026_60-69 ΕΞΟΔΑ+ΟΜ 2'!O24</f>
        <v/>
      </c>
      <c r="E64" s="15">
        <f>D68/$D$43</f>
        <v/>
      </c>
      <c r="F64" s="10">
        <f>D68+'[1]2026 Νοέμβριος'!F64</f>
        <v/>
      </c>
      <c r="G64" s="15">
        <f>F68/$F$43</f>
        <v/>
      </c>
      <c r="H64" s="14" t="n"/>
      <c r="I64" s="16">
        <f>H68/$H$43</f>
        <v/>
      </c>
      <c r="J64" s="10">
        <f>H68</f>
        <v/>
      </c>
      <c r="K64" s="17">
        <f>J68/$J$43</f>
        <v/>
      </c>
      <c r="L64" s="14">
        <f>'[1]2024_60-69 ΕΞΟΔΑ+ΟΜ 2'!O24</f>
        <v/>
      </c>
      <c r="M64" s="15">
        <f>L68/$L$43</f>
        <v/>
      </c>
      <c r="N64" s="10">
        <f>L68+'[1]2026 Νοέμβριος'!N64</f>
        <v/>
      </c>
      <c r="O64" s="15">
        <f>N68/$N$43</f>
        <v/>
      </c>
      <c r="P64" s="10" t="n"/>
      <c r="Q64" s="15">
        <f>N68/F68</f>
        <v/>
      </c>
    </row>
    <row r="65" ht="15" customHeight="1">
      <c r="A65" s="67" t="n">
        <v>68</v>
      </c>
      <c r="B65" s="67" t="n">
        <v>26</v>
      </c>
      <c r="C65" s="74">
        <f>[1]ΑΝΤΙΣΤΟΙΧΙΣΗ!I208</f>
        <v/>
      </c>
      <c r="D65" s="14">
        <f>'[1]2026_60-69 ΕΞΟΔΑ+ΟΜ 2'!O25</f>
        <v/>
      </c>
      <c r="E65" s="15">
        <f>D69/$D$43</f>
        <v/>
      </c>
      <c r="F65" s="10">
        <f>D69+'[1]2026 Νοέμβριος'!F65</f>
        <v/>
      </c>
      <c r="G65" s="15">
        <f>F69/$F$43</f>
        <v/>
      </c>
      <c r="H65" s="14" t="n"/>
      <c r="I65" s="16">
        <f>H69/$H$43</f>
        <v/>
      </c>
      <c r="J65" s="10">
        <f>H69</f>
        <v/>
      </c>
      <c r="K65" s="17">
        <f>J69/$J$43</f>
        <v/>
      </c>
      <c r="L65" s="14">
        <f>'[1]2024_60-69 ΕΞΟΔΑ+ΟΜ 2'!O25</f>
        <v/>
      </c>
      <c r="M65" s="15">
        <f>L69/$L$43</f>
        <v/>
      </c>
      <c r="N65" s="10">
        <f>L69+'[1]2026 Νοέμβριος'!N65</f>
        <v/>
      </c>
      <c r="O65" s="15">
        <f>N69/$N$43</f>
        <v/>
      </c>
      <c r="P65" s="10" t="n"/>
      <c r="Q65" s="15">
        <f>N69/F69</f>
        <v/>
      </c>
    </row>
    <row r="66" ht="15" customHeight="1">
      <c r="A66" s="67" t="n">
        <v>69</v>
      </c>
      <c r="B66" s="67" t="n">
        <v>27</v>
      </c>
      <c r="C66" s="72">
        <f>[1]ΑΝΤΙΣΤΟΙΧΙΣΗ!I209</f>
        <v/>
      </c>
      <c r="D66" s="14">
        <f>'[1]2026_60-69 ΕΞΟΔΑ+ΟΜ 2'!O26</f>
        <v/>
      </c>
      <c r="E66" s="15">
        <f>D70/$D$43</f>
        <v/>
      </c>
      <c r="F66" s="10">
        <f>D70+'[1]2026 Νοέμβριος'!F66</f>
        <v/>
      </c>
      <c r="G66" s="15">
        <f>F70/$F$43</f>
        <v/>
      </c>
      <c r="H66" s="14" t="n"/>
      <c r="I66" s="16">
        <f>H70/$H$43</f>
        <v/>
      </c>
      <c r="J66" s="10">
        <f>H70</f>
        <v/>
      </c>
      <c r="K66" s="17">
        <f>J70/$J$43</f>
        <v/>
      </c>
      <c r="L66" s="14">
        <f>'[1]2024_60-69 ΕΞΟΔΑ+ΟΜ 2'!O26</f>
        <v/>
      </c>
      <c r="M66" s="15">
        <f>L70/$L$43</f>
        <v/>
      </c>
      <c r="N66" s="10">
        <f>L70+'[1]2026 Νοέμβριος'!N66</f>
        <v/>
      </c>
      <c r="O66" s="15">
        <f>N70/$N$43</f>
        <v/>
      </c>
      <c r="P66" s="10" t="n"/>
      <c r="Q66" s="15">
        <f>N70/F70</f>
        <v/>
      </c>
    </row>
    <row r="67" ht="15" customHeight="1">
      <c r="A67" s="67" t="n">
        <v>70</v>
      </c>
      <c r="B67" s="67" t="n">
        <v>28</v>
      </c>
      <c r="C67" s="74">
        <f>[1]ΑΝΤΙΣΤΟΙΧΙΣΗ!I210</f>
        <v/>
      </c>
      <c r="D67" s="14">
        <f>'[1]2026_60-69 ΕΞΟΔΑ+ΟΜ 2'!O27</f>
        <v/>
      </c>
      <c r="E67" s="15">
        <f>D71/$D$43</f>
        <v/>
      </c>
      <c r="F67" s="10">
        <f>D71+'[1]2026 Νοέμβριος'!F67</f>
        <v/>
      </c>
      <c r="G67" s="15">
        <f>F71/$F$43</f>
        <v/>
      </c>
      <c r="H67" s="14" t="n"/>
      <c r="I67" s="16">
        <f>H71/$H$43</f>
        <v/>
      </c>
      <c r="J67" s="10">
        <f>H71</f>
        <v/>
      </c>
      <c r="K67" s="17">
        <f>J71/$J$43</f>
        <v/>
      </c>
      <c r="L67" s="14">
        <f>'[1]2024_60-69 ΕΞΟΔΑ+ΟΜ 2'!O27</f>
        <v/>
      </c>
      <c r="M67" s="15">
        <f>L71/$L$43</f>
        <v/>
      </c>
      <c r="N67" s="10">
        <f>L71+'[1]2026 Νοέμβριος'!N67</f>
        <v/>
      </c>
      <c r="O67" s="15">
        <f>N71/$N$43</f>
        <v/>
      </c>
      <c r="P67" s="10" t="n"/>
      <c r="Q67" s="15">
        <f>N71/F71</f>
        <v/>
      </c>
    </row>
    <row r="68" ht="15" customHeight="1">
      <c r="A68" s="67" t="n">
        <v>71</v>
      </c>
      <c r="B68" s="67" t="n">
        <v>29</v>
      </c>
      <c r="C68" s="74">
        <f>[1]ΑΝΤΙΣΤΟΙΧΙΣΗ!I211</f>
        <v/>
      </c>
      <c r="D68" s="14">
        <f>'[1]2026_60-69 ΕΞΟΔΑ+ΟΜ 2'!O28</f>
        <v/>
      </c>
      <c r="E68" s="15">
        <f>D72/$D$43</f>
        <v/>
      </c>
      <c r="F68" s="10">
        <f>D72+'[1]2026 Νοέμβριος'!F68</f>
        <v/>
      </c>
      <c r="G68" s="15">
        <f>F72/$F$43</f>
        <v/>
      </c>
      <c r="H68" s="14" t="n"/>
      <c r="I68" s="16">
        <f>H72/$H$43</f>
        <v/>
      </c>
      <c r="J68" s="10">
        <f>H72</f>
        <v/>
      </c>
      <c r="K68" s="17">
        <f>J72/$J$43</f>
        <v/>
      </c>
      <c r="L68" s="14">
        <f>'[1]2024_60-69 ΕΞΟΔΑ+ΟΜ 2'!O28</f>
        <v/>
      </c>
      <c r="M68" s="15">
        <f>L72/$L$43</f>
        <v/>
      </c>
      <c r="N68" s="10">
        <f>L72+'[1]2026 Νοέμβριος'!N68</f>
        <v/>
      </c>
      <c r="O68" s="15">
        <f>N72/$N$43</f>
        <v/>
      </c>
      <c r="P68" s="10" t="n"/>
      <c r="Q68" s="15">
        <f>N72/F72</f>
        <v/>
      </c>
    </row>
    <row r="69" ht="42.75" customHeight="1">
      <c r="A69" s="67" t="n">
        <v>72</v>
      </c>
      <c r="B69" s="67" t="n">
        <v>30</v>
      </c>
      <c r="C69" s="45">
        <f>[1]ΑΝΤΙΣΤΟΙΧΙΣΗ!I212</f>
        <v/>
      </c>
      <c r="D69" s="14">
        <f>'[1]2026_60-69 ΕΞΟΔΑ+ΟΜ 2'!O29</f>
        <v/>
      </c>
      <c r="E69" s="15">
        <f>D73/$D$43</f>
        <v/>
      </c>
      <c r="F69" s="10">
        <f>D73+'[1]2026 Νοέμβριος'!F69</f>
        <v/>
      </c>
      <c r="G69" s="15">
        <f>F73/$F$43</f>
        <v/>
      </c>
      <c r="H69" s="14" t="n"/>
      <c r="I69" s="16">
        <f>H73/$H$43</f>
        <v/>
      </c>
      <c r="J69" s="10">
        <f>H73</f>
        <v/>
      </c>
      <c r="K69" s="17">
        <f>J73/$J$43</f>
        <v/>
      </c>
      <c r="L69" s="14">
        <f>'[1]2024_60-69 ΕΞΟΔΑ+ΟΜ 2'!O29</f>
        <v/>
      </c>
      <c r="M69" s="15">
        <f>L73/$L$43</f>
        <v/>
      </c>
      <c r="N69" s="10">
        <f>L73+'[1]2026 Νοέμβριος'!N69</f>
        <v/>
      </c>
      <c r="O69" s="15">
        <f>N73/$N$43</f>
        <v/>
      </c>
      <c r="P69" s="10" t="n"/>
      <c r="Q69" s="15">
        <f>N73/F73</f>
        <v/>
      </c>
    </row>
    <row r="70" ht="15" customHeight="1">
      <c r="A70" s="67" t="n">
        <v>73</v>
      </c>
      <c r="B70" s="67" t="n">
        <v>31</v>
      </c>
      <c r="C70" s="45">
        <f>[1]ΑΝΤΙΣΤΟΙΧΙΣΗ!I213</f>
        <v/>
      </c>
      <c r="D70" s="14">
        <f>'[1]2026_60-69 ΕΞΟΔΑ+ΟΜ 2'!O30</f>
        <v/>
      </c>
      <c r="E70" s="15">
        <f>D74/$D$43</f>
        <v/>
      </c>
      <c r="F70" s="10">
        <f>D74+'[1]2026 Νοέμβριος'!F70</f>
        <v/>
      </c>
      <c r="G70" s="15">
        <f>F74/$F$43</f>
        <v/>
      </c>
      <c r="H70" s="14" t="n"/>
      <c r="I70" s="16">
        <f>H74/$H$43</f>
        <v/>
      </c>
      <c r="J70" s="10">
        <f>H74</f>
        <v/>
      </c>
      <c r="K70" s="17">
        <f>J74/$J$43</f>
        <v/>
      </c>
      <c r="L70" s="14">
        <f>'[1]2024_60-69 ΕΞΟΔΑ+ΟΜ 2'!O30</f>
        <v/>
      </c>
      <c r="M70" s="15">
        <f>L74/$L$43</f>
        <v/>
      </c>
      <c r="N70" s="10">
        <f>L74+'[1]2026 Νοέμβριος'!N70</f>
        <v/>
      </c>
      <c r="O70" s="15">
        <f>N74/$N$43</f>
        <v/>
      </c>
      <c r="P70" s="10" t="n"/>
      <c r="Q70" s="15">
        <f>N74/F74</f>
        <v/>
      </c>
    </row>
    <row r="71" ht="15" customHeight="1">
      <c r="A71" s="67" t="n">
        <v>74</v>
      </c>
      <c r="B71" s="67" t="n">
        <v>32</v>
      </c>
      <c r="C71" s="74">
        <f>[1]ΑΝΤΙΣΤΟΙΧΙΣΗ!I214</f>
        <v/>
      </c>
      <c r="D71" s="14">
        <f>'[1]2026_60-69 ΕΞΟΔΑ+ΟΜ 2'!O31</f>
        <v/>
      </c>
      <c r="E71" s="15">
        <f>D75/$D$43</f>
        <v/>
      </c>
      <c r="F71" s="10">
        <f>D75+'[1]2026 Νοέμβριος'!F71</f>
        <v/>
      </c>
      <c r="G71" s="15">
        <f>F75/$F$43</f>
        <v/>
      </c>
      <c r="H71" s="14" t="n"/>
      <c r="I71" s="16">
        <f>H75/$H$43</f>
        <v/>
      </c>
      <c r="J71" s="10">
        <f>H75</f>
        <v/>
      </c>
      <c r="K71" s="17">
        <f>J75/$J$43</f>
        <v/>
      </c>
      <c r="L71" s="14">
        <f>'[1]2024_60-69 ΕΞΟΔΑ+ΟΜ 2'!O31</f>
        <v/>
      </c>
      <c r="M71" s="15">
        <f>L75/$L$43</f>
        <v/>
      </c>
      <c r="N71" s="10">
        <f>L75+'[1]2026 Νοέμβριος'!N71</f>
        <v/>
      </c>
      <c r="O71" s="15">
        <f>N75/$N$43</f>
        <v/>
      </c>
      <c r="P71" s="10" t="n"/>
      <c r="Q71" s="15">
        <f>N75/F75</f>
        <v/>
      </c>
    </row>
    <row r="72" ht="28.5" customHeight="1">
      <c r="A72" s="67" t="n">
        <v>75</v>
      </c>
      <c r="B72" s="67" t="n">
        <v>33</v>
      </c>
      <c r="C72" s="74">
        <f>[1]ΑΝΤΙΣΤΟΙΧΙΣΗ!I215</f>
        <v/>
      </c>
      <c r="D72" s="14">
        <f>'[1]2026_60-69 ΕΞΟΔΑ+ΟΜ 2'!O32</f>
        <v/>
      </c>
      <c r="E72" s="15">
        <f>D76/$D$43</f>
        <v/>
      </c>
      <c r="F72" s="10">
        <f>D76+'[1]2026 Νοέμβριος'!F72</f>
        <v/>
      </c>
      <c r="G72" s="15">
        <f>F76/$F$43</f>
        <v/>
      </c>
      <c r="H72" s="14" t="n"/>
      <c r="I72" s="16">
        <f>H76/$H$43</f>
        <v/>
      </c>
      <c r="J72" s="10">
        <f>H76</f>
        <v/>
      </c>
      <c r="K72" s="17">
        <f>J76/$J$43</f>
        <v/>
      </c>
      <c r="L72" s="14">
        <f>'[1]2024_60-69 ΕΞΟΔΑ+ΟΜ 2'!O32</f>
        <v/>
      </c>
      <c r="M72" s="15">
        <f>L76/$L$43</f>
        <v/>
      </c>
      <c r="N72" s="10">
        <f>L76+'[1]2026 Νοέμβριος'!N72</f>
        <v/>
      </c>
      <c r="O72" s="15">
        <f>N76/$N$43</f>
        <v/>
      </c>
      <c r="P72" s="10" t="n"/>
      <c r="Q72" s="15">
        <f>N76/F76</f>
        <v/>
      </c>
    </row>
    <row r="73" ht="23.25" customHeight="1">
      <c r="A73" s="67" t="n">
        <v>76</v>
      </c>
      <c r="B73" s="67" t="n">
        <v>34</v>
      </c>
      <c r="C73" s="74">
        <f>[1]ΑΝΤΙΣΤΟΙΧΙΣΗ!I216</f>
        <v/>
      </c>
      <c r="D73" s="14">
        <f>'[1]2026_60-69 ΕΞΟΔΑ+ΟΜ 2'!O33</f>
        <v/>
      </c>
      <c r="E73" s="15">
        <f>D77/$D$43</f>
        <v/>
      </c>
      <c r="F73" s="10">
        <f>D77+'[1]2026 Νοέμβριος'!F73</f>
        <v/>
      </c>
      <c r="G73" s="15">
        <f>F77/$F$43</f>
        <v/>
      </c>
      <c r="H73" s="14" t="n"/>
      <c r="I73" s="16">
        <f>H77/$H$43</f>
        <v/>
      </c>
      <c r="J73" s="10">
        <f>H77</f>
        <v/>
      </c>
      <c r="K73" s="17">
        <f>J77/$J$43</f>
        <v/>
      </c>
      <c r="L73" s="14">
        <f>'[1]2024_60-69 ΕΞΟΔΑ+ΟΜ 2'!O33</f>
        <v/>
      </c>
      <c r="M73" s="15">
        <f>L77/$L$43</f>
        <v/>
      </c>
      <c r="N73" s="10">
        <f>L77+'[1]2026 Νοέμβριος'!N73</f>
        <v/>
      </c>
      <c r="O73" s="15">
        <f>N77/$N$43</f>
        <v/>
      </c>
      <c r="P73" s="10" t="n"/>
      <c r="Q73" s="15">
        <f>N77/F77</f>
        <v/>
      </c>
    </row>
    <row r="74" ht="15" customHeight="1">
      <c r="A74" s="60" t="n">
        <v>77</v>
      </c>
      <c r="B74" s="60" t="n"/>
      <c r="C74" s="75" t="inlineStr">
        <is>
          <t>ΣΥΝΟΛΟ ΑΜΕΣΟΥ ΚΟΣΤΟΥΣ</t>
        </is>
      </c>
      <c r="D74" s="7">
        <f>'[1]2026_60-69 ΕΞΟΔΑ+ΟΜ 2'!O3</f>
        <v/>
      </c>
      <c r="E74" s="21" t="n"/>
      <c r="F74" s="7">
        <f>'[1]2026_60-69 ΕΞΟΔΑ+ΟΜ 2'!AB3</f>
        <v/>
      </c>
      <c r="G74" s="21" t="n"/>
      <c r="H74" s="7">
        <f>SUM(H44:H75)</f>
        <v/>
      </c>
      <c r="I74" s="21" t="n"/>
      <c r="J74" s="7">
        <f>SUM(J44:J75)</f>
        <v/>
      </c>
      <c r="K74" s="21" t="n"/>
      <c r="L74" s="7">
        <f>SUM(L44:L75)</f>
        <v/>
      </c>
      <c r="M74" s="21" t="n"/>
      <c r="N74" s="7">
        <f>SUM(N44:N75)</f>
        <v/>
      </c>
      <c r="O74" s="21" t="n"/>
      <c r="P74" s="7">
        <f>SUM(P44:P75)</f>
        <v/>
      </c>
      <c r="Q74" s="21" t="n"/>
    </row>
    <row r="75" ht="30.75" customHeight="1">
      <c r="A75" s="60" t="n">
        <v>78</v>
      </c>
      <c r="B75" s="60" t="n"/>
      <c r="C75" s="22" t="inlineStr">
        <is>
          <t>Ελεγχος Ορθότητας ( πρέπει να είναι 0)</t>
        </is>
      </c>
      <c r="D75" s="7">
        <f>D43-D78</f>
        <v/>
      </c>
      <c r="E75" s="21" t="n"/>
      <c r="F75" s="7">
        <f>F43-F78</f>
        <v/>
      </c>
      <c r="G75" s="21" t="n"/>
      <c r="H75" s="7">
        <f>H43-H78</f>
        <v/>
      </c>
      <c r="I75" s="21" t="n"/>
      <c r="J75" s="7">
        <f>J43-J78</f>
        <v/>
      </c>
      <c r="K75" s="21" t="n"/>
      <c r="L75" s="7">
        <f>L43-L78</f>
        <v/>
      </c>
      <c r="M75" s="21" t="n"/>
      <c r="N75" s="7">
        <f>N43-N78</f>
        <v/>
      </c>
      <c r="O75" s="21" t="n"/>
      <c r="P75" s="7">
        <f>P43-P78</f>
        <v/>
      </c>
      <c r="Q75" s="21" t="n"/>
    </row>
    <row r="76" ht="30.75" customHeight="1">
      <c r="A76" s="76" t="n">
        <v>79</v>
      </c>
      <c r="B76" s="76" t="n">
        <v>28</v>
      </c>
      <c r="C76" s="13" t="inlineStr">
        <is>
          <t xml:space="preserve">Μεικτό περιθώριο Κέρδους </t>
        </is>
      </c>
      <c r="D76" s="23">
        <f>D38-D78</f>
        <v/>
      </c>
      <c r="E76" s="24" t="n"/>
      <c r="F76" s="23">
        <f>F38-F78</f>
        <v/>
      </c>
      <c r="G76" s="24" t="n"/>
      <c r="H76" s="25">
        <f>H38-H78</f>
        <v/>
      </c>
      <c r="I76" s="24">
        <f>H80/$I$39</f>
        <v/>
      </c>
      <c r="J76" s="25">
        <f>J38-J78</f>
        <v/>
      </c>
      <c r="K76" s="24" t="n"/>
      <c r="L76" s="77">
        <f>L38-L78</f>
        <v/>
      </c>
      <c r="M76" s="24" t="n"/>
      <c r="N76" s="23">
        <f>N38-N78</f>
        <v/>
      </c>
      <c r="O76" s="24" t="n"/>
      <c r="P76" s="23">
        <f>P38-P78</f>
        <v/>
      </c>
      <c r="Q76" s="24" t="n"/>
    </row>
    <row r="77" ht="30.75" customHeight="1">
      <c r="A77" s="78" t="n">
        <v>80</v>
      </c>
      <c r="B77" s="78" t="n"/>
      <c r="C77" s="78" t="inlineStr">
        <is>
          <t>ΑΝΑΛΥΣΗ ΕΤΟΥΣ 2026</t>
        </is>
      </c>
      <c r="D77" s="182">
        <f>[1]ΑΝΤΙΣΤΟΙΧΙΣΗ!$F$32</f>
        <v/>
      </c>
      <c r="E77" s="192" t="n"/>
      <c r="F77" s="192" t="n"/>
      <c r="G77" s="56" t="n"/>
      <c r="H77" s="182">
        <f>[1]ΑΝΤΙΣΤΟΙΧΙΣΗ!$F$35</f>
        <v/>
      </c>
      <c r="I77" s="192" t="n"/>
      <c r="J77" s="192" t="n"/>
      <c r="K77" s="56" t="n"/>
      <c r="L77" s="182">
        <f>[1]ΑΝΤΙΣΤΟΙΧΙΣΗ!$F$68</f>
        <v/>
      </c>
      <c r="M77" s="192" t="n"/>
      <c r="N77" s="192" t="n"/>
      <c r="O77" s="56" t="n"/>
      <c r="P77" s="183">
        <f>[1]ΑΝΤΙΣΤΟΙΧΙΣΗ!$F$100</f>
        <v/>
      </c>
      <c r="Q77" s="56" t="n"/>
    </row>
    <row r="78" ht="36.75" customHeight="1">
      <c r="A78" s="19" t="n">
        <v>81</v>
      </c>
      <c r="B78" s="19" t="n"/>
      <c r="C78" s="5" t="inlineStr">
        <is>
          <t>ΕΙΔΟΣ ΕΣΟΔΩΝ</t>
        </is>
      </c>
      <c r="D78" s="180">
        <f>[1]ΑΝΤΙΣΤΟΙΧΙΣΗ!$F$117</f>
        <v/>
      </c>
      <c r="E78" s="192" t="n"/>
      <c r="F78" s="56" t="n"/>
      <c r="G78" s="61">
        <f>[1]ΑΝΤΙΣΤΟΙΧΙΣΗ!$D$34</f>
        <v/>
      </c>
      <c r="H78" s="180">
        <f>[1]ΑΝΤΙΣΤΟΙΧΙΣΗ!$F$117</f>
        <v/>
      </c>
      <c r="I78" s="192" t="n"/>
      <c r="J78" s="56" t="n"/>
      <c r="K78" s="61">
        <f>[1]ΑΝΤΙΣΤΟΙΧΙΣΗ!$D$34</f>
        <v/>
      </c>
      <c r="L78" s="180">
        <f>[1]ΑΝΤΙΣΤΟΙΧΙΣΗ!$F$131</f>
        <v/>
      </c>
      <c r="M78" s="192" t="n"/>
      <c r="N78" s="56" t="n"/>
      <c r="O78" s="61">
        <f>[1]ΑΝΤΙΣΤΟΙΧΙΣΗ!$D$33</f>
        <v/>
      </c>
      <c r="P78" s="180" t="n"/>
      <c r="Q78" s="56" t="n"/>
    </row>
    <row r="79" ht="22.5" customHeight="1">
      <c r="A79" s="69" t="n">
        <v>82</v>
      </c>
      <c r="B79" s="69" t="inlineStr">
        <is>
          <t>Γ</t>
        </is>
      </c>
      <c r="C79" s="62" t="inlineStr">
        <is>
          <t xml:space="preserve">Κατηγορία Εξόδου </t>
        </is>
      </c>
      <c r="D79" s="62" t="inlineStr">
        <is>
          <t xml:space="preserve">Ποσά </t>
        </is>
      </c>
      <c r="E79" s="63" t="inlineStr">
        <is>
          <t xml:space="preserve">% Κατηγ.Εξ/Σύν.Κδιάθ.μηνός </t>
        </is>
      </c>
      <c r="F79" s="63" t="inlineStr">
        <is>
          <t xml:space="preserve">Προοδευτικό Σύνολο Κατηγ. Εξόδων έως Σήμερα </t>
        </is>
      </c>
      <c r="G79" s="63" t="inlineStr">
        <is>
          <t xml:space="preserve">% Προοδ. Σύν. Κατηγ. Εξ/ Προοδ. Σύνολο Εξόδων </t>
        </is>
      </c>
      <c r="H79" s="63" t="inlineStr">
        <is>
          <t xml:space="preserve">Εξοδα Μηνός </t>
        </is>
      </c>
      <c r="I79" s="63" t="inlineStr">
        <is>
          <t xml:space="preserve">% Κατηγ.Εξ/Σύν.Κδιά .μηνός </t>
        </is>
      </c>
      <c r="J79" s="63" t="inlineStr">
        <is>
          <t xml:space="preserve">Προοδευτικό Σύνολο Κατηγ. Εξόδων έως Σήμερα </t>
        </is>
      </c>
      <c r="K79" s="63" t="inlineStr">
        <is>
          <t xml:space="preserve">% Προοδ. Σύν. Κατηγ. Εξ/ Προοδ. Σύνολο Εξόδων </t>
        </is>
      </c>
      <c r="L79" s="63" t="inlineStr">
        <is>
          <t xml:space="preserve">Εξοδα Μηνός </t>
        </is>
      </c>
      <c r="M79" s="63" t="inlineStr">
        <is>
          <t xml:space="preserve">% Κατηγ.Εξ/Σύν.Κδιά .μηνός </t>
        </is>
      </c>
      <c r="N79" s="63" t="inlineStr">
        <is>
          <t xml:space="preserve">Προοδευτικό Σύνολο Κατηγ. Εξόδων έως Σήμερα </t>
        </is>
      </c>
      <c r="O79" s="63" t="inlineStr">
        <is>
          <t xml:space="preserve">% Προοδ. Σύν. Κατηγ. Εξ/ Προοδ. Σύνολο Εξόδων </t>
        </is>
      </c>
      <c r="P79" s="63" t="inlineStr">
        <is>
          <t xml:space="preserve">Προοδ. Διαφορά με Προηγ. Έτος ( Τρέχον Έτος - Προηγ. Έτος) </t>
        </is>
      </c>
      <c r="Q79" s="63" t="inlineStr">
        <is>
          <t xml:space="preserve">% Προοδ.Σύνολο Κατηγ. Εσ. Πρ. Έτους / Προοδ.Σύν.Εσ. Τρέχοντος Έτους </t>
        </is>
      </c>
    </row>
    <row r="80" ht="36" customHeight="1">
      <c r="A80" s="19" t="n">
        <v>83</v>
      </c>
      <c r="B80" s="19" t="inlineStr">
        <is>
          <t>Α/Α</t>
        </is>
      </c>
      <c r="C80" s="75" t="inlineStr">
        <is>
          <t>ΚΟΣΤΟΣ Sales - Marketing</t>
        </is>
      </c>
      <c r="D80" s="7">
        <f>SUM(D47:D110)</f>
        <v/>
      </c>
      <c r="E80" s="8" t="n"/>
      <c r="F80" s="7">
        <f>SUM(F47:F110)</f>
        <v/>
      </c>
      <c r="G80" s="8" t="n"/>
      <c r="H80" s="7">
        <f>SUM(H47:H110)</f>
        <v/>
      </c>
      <c r="I80" s="8" t="n"/>
      <c r="J80" s="7">
        <f>SUM(J47:J110)</f>
        <v/>
      </c>
      <c r="K80" s="8" t="n"/>
      <c r="L80" s="7">
        <f>SUM(L47:L110)</f>
        <v/>
      </c>
      <c r="M80" s="8" t="n"/>
      <c r="N80" s="7">
        <f>SUM(N47:N110)</f>
        <v/>
      </c>
      <c r="O80" s="8" t="n"/>
      <c r="P80" s="7">
        <f>SUM(P47:P110)</f>
        <v/>
      </c>
      <c r="Q80" s="8" t="n"/>
    </row>
    <row r="81" ht="31.5" customHeight="1">
      <c r="A81" s="67" t="n">
        <v>84</v>
      </c>
      <c r="B81" s="67" t="n">
        <v>1</v>
      </c>
      <c r="C81" s="44">
        <f>[1]ΑΝΤΙΣΤΟΙΧΙΣΗ!L189</f>
        <v/>
      </c>
      <c r="D81" s="79">
        <f>'[1]2026_60-69 ΕΞΟΔΑ+ΟΜ 2'!O39</f>
        <v/>
      </c>
      <c r="E81" s="192" t="n"/>
      <c r="F81" s="192" t="n"/>
      <c r="G81" s="56" t="n"/>
      <c r="H81" s="14" t="n"/>
      <c r="I81" s="192" t="n"/>
      <c r="J81" s="192" t="n"/>
      <c r="K81" s="56" t="n"/>
      <c r="L81" s="79">
        <f>'[1]2024_60-69 ΕΞΟΔΑ+ΟΜ 2'!O37</f>
        <v/>
      </c>
      <c r="M81" s="192" t="n"/>
      <c r="N81" s="192" t="n"/>
      <c r="O81" s="56" t="n"/>
      <c r="P81" s="27" t="n"/>
      <c r="Q81" s="56" t="n"/>
    </row>
    <row r="82" ht="24.75" customHeight="1">
      <c r="A82" s="67" t="n">
        <v>85</v>
      </c>
      <c r="B82" s="67" t="n">
        <v>2</v>
      </c>
      <c r="C82" s="44">
        <f>[1]ΑΝΤΙΣΤΟΙΧΙΣΗ!L190</f>
        <v/>
      </c>
      <c r="D82" s="79">
        <f>'[1]2026_60-69 ΕΞΟΔΑ+ΟΜ 2'!O40</f>
        <v/>
      </c>
      <c r="E82" s="192" t="n"/>
      <c r="F82" s="56" t="n"/>
      <c r="G82" s="15">
        <f>F86/$F$84</f>
        <v/>
      </c>
      <c r="H82" s="14" t="n"/>
      <c r="I82" s="192" t="n"/>
      <c r="J82" s="56" t="n"/>
      <c r="K82" s="27">
        <f>J86/$J$84</f>
        <v/>
      </c>
      <c r="L82" s="79">
        <f>'[1]2024_60-69 ΕΞΟΔΑ+ΟΜ 2'!O38</f>
        <v/>
      </c>
      <c r="M82" s="192" t="n"/>
      <c r="N82" s="56" t="n"/>
      <c r="O82" s="15">
        <f>N86/$N$84</f>
        <v/>
      </c>
      <c r="P82" s="27" t="n"/>
      <c r="Q82" s="56" t="n"/>
    </row>
    <row r="83" ht="15" customHeight="1">
      <c r="A83" s="67" t="n">
        <v>86</v>
      </c>
      <c r="B83" s="67" t="n">
        <v>3</v>
      </c>
      <c r="C83" s="71">
        <f>[1]ΑΝΤΙΣΤΟΙΧΙΣΗ!L193</f>
        <v/>
      </c>
      <c r="D83" s="79">
        <f>'[1]2026_60-69 ΕΞΟΔΑ+ΟΜ 2'!O43</f>
        <v/>
      </c>
      <c r="E83" s="15">
        <f>D87/$D$84</f>
        <v/>
      </c>
      <c r="F83" s="79">
        <f>D87+'[1]2026 Νοέμβριος'!F87</f>
        <v/>
      </c>
      <c r="G83" s="15">
        <f>F87/$F$84</f>
        <v/>
      </c>
      <c r="H83" s="14" t="n"/>
      <c r="I83" s="26">
        <f>H87/$H$84</f>
        <v/>
      </c>
      <c r="J83" s="27" t="n"/>
      <c r="K83" s="27">
        <f>J87/$J$84</f>
        <v/>
      </c>
      <c r="L83" s="79">
        <f>'[1]2024_60-69 ΕΞΟΔΑ+ΟΜ 2'!O41</f>
        <v/>
      </c>
      <c r="M83" s="15">
        <f>L87/$L$84</f>
        <v/>
      </c>
      <c r="N83" s="10">
        <f>L87+'[1]2026 Νοέμβριος'!N87</f>
        <v/>
      </c>
      <c r="O83" s="15">
        <f>N87/$N$84</f>
        <v/>
      </c>
      <c r="P83" s="27" t="n"/>
      <c r="Q83" s="28">
        <f>SUM(D87:P87)</f>
        <v/>
      </c>
      <c r="V83" s="160" t="n"/>
    </row>
    <row r="84" ht="15" customHeight="1">
      <c r="A84" s="67" t="n">
        <v>87</v>
      </c>
      <c r="B84" s="67" t="n">
        <v>4</v>
      </c>
      <c r="C84" s="71">
        <f>[1]ΑΝΤΙΣΤΟΙΧΙΣΗ!L194</f>
        <v/>
      </c>
      <c r="D84" s="79">
        <f>'[1]2026_60-69 ΕΞΟΔΑ+ΟΜ 2'!O44</f>
        <v/>
      </c>
      <c r="E84" s="15">
        <f>D88/$D$84</f>
        <v/>
      </c>
      <c r="F84" s="79">
        <f>D88+'[1]2026 Νοέμβριος'!F88</f>
        <v/>
      </c>
      <c r="G84" s="15">
        <f>F88/$F$84</f>
        <v/>
      </c>
      <c r="H84" s="14" t="n"/>
      <c r="I84" s="26">
        <f>H88/$H$84</f>
        <v/>
      </c>
      <c r="J84" s="27" t="n"/>
      <c r="K84" s="27">
        <f>J88/$J$84</f>
        <v/>
      </c>
      <c r="L84" s="79">
        <f>'[1]2024_60-69 ΕΞΟΔΑ+ΟΜ 2'!O42</f>
        <v/>
      </c>
      <c r="M84" s="15">
        <f>L88/$L$84</f>
        <v/>
      </c>
      <c r="N84" s="10">
        <f>L88+'[1]2026 Νοέμβριος'!N88</f>
        <v/>
      </c>
      <c r="O84" s="15">
        <f>N88/$N$84</f>
        <v/>
      </c>
      <c r="P84" s="27" t="n"/>
      <c r="Q84" s="28">
        <f>SUM(D88:P88)</f>
        <v/>
      </c>
      <c r="V84" s="160" t="n"/>
    </row>
    <row r="85" ht="24" customHeight="1">
      <c r="A85" s="67" t="n">
        <v>88</v>
      </c>
      <c r="B85" s="67" t="n">
        <v>5</v>
      </c>
      <c r="C85" s="72">
        <f>[1]ΑΝΤΙΣΤΟΙΧΙΣΗ!L195</f>
        <v/>
      </c>
      <c r="D85" s="79">
        <f>'[1]2026_60-69 ΕΞΟΔΑ+ΟΜ 2'!O45</f>
        <v/>
      </c>
      <c r="E85" s="15">
        <f>D89/$D$84</f>
        <v/>
      </c>
      <c r="F85" s="79">
        <f>D89+'[1]2026 Νοέμβριος'!F89</f>
        <v/>
      </c>
      <c r="G85" s="15">
        <f>F89/$F$84</f>
        <v/>
      </c>
      <c r="H85" s="80" t="n"/>
      <c r="I85" s="26">
        <f>H89/$H$84</f>
        <v/>
      </c>
      <c r="J85" s="80" t="n"/>
      <c r="K85" s="27">
        <f>J89/$J$84</f>
        <v/>
      </c>
      <c r="L85" s="79">
        <f>'[1]2024_60-69 ΕΞΟΔΑ+ΟΜ 2'!O43</f>
        <v/>
      </c>
      <c r="M85" s="15">
        <f>L89/$L$84</f>
        <v/>
      </c>
      <c r="N85" s="10">
        <f>L89+'[1]2026 Νοέμβριος'!N89</f>
        <v/>
      </c>
      <c r="O85" s="15">
        <f>N89/$N$84</f>
        <v/>
      </c>
      <c r="P85" s="80" t="n"/>
      <c r="Q85" s="28">
        <f>SUM(D89:P89)</f>
        <v/>
      </c>
    </row>
    <row r="86" ht="24" customHeight="1">
      <c r="A86" s="67" t="n">
        <v>89</v>
      </c>
      <c r="B86" s="67" t="n">
        <v>6</v>
      </c>
      <c r="C86" s="45">
        <f>[1]ΑΝΤΙΣΤΟΙΧΙΣΗ!L196</f>
        <v/>
      </c>
      <c r="D86" s="79">
        <f>'[1]2026_60-69 ΕΞΟΔΑ+ΟΜ 2'!O46</f>
        <v/>
      </c>
      <c r="E86" s="15">
        <f>D90/$D$84</f>
        <v/>
      </c>
      <c r="F86" s="79">
        <f>D90+'[1]2026 Νοέμβριος'!F90</f>
        <v/>
      </c>
      <c r="G86" s="15">
        <f>F90/$F$84</f>
        <v/>
      </c>
      <c r="H86" s="80" t="n"/>
      <c r="I86" s="26">
        <f>H90/$H$84</f>
        <v/>
      </c>
      <c r="J86" s="80" t="n"/>
      <c r="K86" s="27">
        <f>J90/$J$84</f>
        <v/>
      </c>
      <c r="L86" s="79">
        <f>'[1]2024_60-69 ΕΞΟΔΑ+ΟΜ 2'!O44</f>
        <v/>
      </c>
      <c r="M86" s="15">
        <f>L90/$L$84</f>
        <v/>
      </c>
      <c r="N86" s="10">
        <f>L90+'[1]2026 Νοέμβριος'!N90</f>
        <v/>
      </c>
      <c r="O86" s="15">
        <f>N90/$N$84</f>
        <v/>
      </c>
      <c r="P86" s="80" t="n"/>
      <c r="Q86" s="28">
        <f>SUM(D90:P90)</f>
        <v/>
      </c>
    </row>
    <row r="87" ht="24" customHeight="1">
      <c r="A87" s="67" t="n">
        <v>90</v>
      </c>
      <c r="B87" s="67" t="n">
        <v>7</v>
      </c>
      <c r="C87" s="45">
        <f>[1]ΑΝΤΙΣΤΟΙΧΙΣΗ!L197</f>
        <v/>
      </c>
      <c r="D87" s="79">
        <f>'[1]2026_60-69 ΕΞΟΔΑ+ΟΜ 2'!O47</f>
        <v/>
      </c>
      <c r="E87" s="15">
        <f>D91/$D$84</f>
        <v/>
      </c>
      <c r="F87" s="79">
        <f>D91+'[1]2026 Νοέμβριος'!F91</f>
        <v/>
      </c>
      <c r="G87" s="15">
        <f>F91/$F$84</f>
        <v/>
      </c>
      <c r="H87" s="80" t="n"/>
      <c r="I87" s="26">
        <f>H91/$H$84</f>
        <v/>
      </c>
      <c r="J87" s="80" t="n"/>
      <c r="K87" s="27">
        <f>J91/$J$84</f>
        <v/>
      </c>
      <c r="L87" s="79">
        <f>'[1]2024_60-69 ΕΞΟΔΑ+ΟΜ 2'!O45</f>
        <v/>
      </c>
      <c r="M87" s="15">
        <f>L91/$L$84</f>
        <v/>
      </c>
      <c r="N87" s="10">
        <f>L91+'[1]2026 Νοέμβριος'!N91</f>
        <v/>
      </c>
      <c r="O87" s="15">
        <f>N91/$N$84</f>
        <v/>
      </c>
      <c r="P87" s="80" t="n"/>
      <c r="Q87" s="28">
        <f>SUM(D91:P91)</f>
        <v/>
      </c>
    </row>
    <row r="88" ht="24" customHeight="1">
      <c r="A88" s="67" t="n">
        <v>91</v>
      </c>
      <c r="B88" s="67" t="n">
        <v>8</v>
      </c>
      <c r="C88" s="71">
        <f>[1]ΑΝΤΙΣΤΟΙΧΙΣΗ!L198</f>
        <v/>
      </c>
      <c r="D88" s="79">
        <f>'[1]2026_60-69 ΕΞΟΔΑ+ΟΜ 2'!O48</f>
        <v/>
      </c>
      <c r="E88" s="15">
        <f>D92/$D$84</f>
        <v/>
      </c>
      <c r="F88" s="79">
        <f>D92+'[1]2026 Νοέμβριος'!F92</f>
        <v/>
      </c>
      <c r="G88" s="15">
        <f>F92/$F$84</f>
        <v/>
      </c>
      <c r="H88" s="14" t="n"/>
      <c r="I88" s="26">
        <f>H92/$H$84</f>
        <v/>
      </c>
      <c r="J88" s="27" t="n"/>
      <c r="K88" s="27">
        <f>J92/$J$84</f>
        <v/>
      </c>
      <c r="L88" s="79">
        <f>'[1]2024_60-69 ΕΞΟΔΑ+ΟΜ 2'!O46</f>
        <v/>
      </c>
      <c r="M88" s="15">
        <f>L92/$L$84</f>
        <v/>
      </c>
      <c r="N88" s="10">
        <f>L92+'[1]2026 Νοέμβριος'!N92</f>
        <v/>
      </c>
      <c r="O88" s="15">
        <f>N92/$N$84</f>
        <v/>
      </c>
      <c r="P88" s="27" t="n"/>
      <c r="Q88" s="28">
        <f>SUM(D92:P92)</f>
        <v/>
      </c>
      <c r="V88" s="160" t="n"/>
    </row>
    <row r="89" ht="28.5" customHeight="1">
      <c r="A89" s="67" t="n">
        <v>92</v>
      </c>
      <c r="B89" s="67" t="n">
        <v>9</v>
      </c>
      <c r="C89" s="45">
        <f>[1]ΑΝΤΙΣΤΟΙΧΙΣΗ!L199</f>
        <v/>
      </c>
      <c r="D89" s="79">
        <f>'[1]2026_60-69 ΕΞΟΔΑ+ΟΜ 2'!O49</f>
        <v/>
      </c>
      <c r="E89" s="15">
        <f>D93/$D$84</f>
        <v/>
      </c>
      <c r="F89" s="79">
        <f>D93+'[1]2026 Νοέμβριος'!F93</f>
        <v/>
      </c>
      <c r="G89" s="15">
        <f>F93/$F$84</f>
        <v/>
      </c>
      <c r="H89" s="14" t="n"/>
      <c r="I89" s="26">
        <f>H93/$H$84</f>
        <v/>
      </c>
      <c r="J89" s="27" t="n"/>
      <c r="K89" s="27">
        <f>J93/$J$84</f>
        <v/>
      </c>
      <c r="L89" s="79">
        <f>'[1]2024_60-69 ΕΞΟΔΑ+ΟΜ 2'!O47</f>
        <v/>
      </c>
      <c r="M89" s="15">
        <f>L93/$L$84</f>
        <v/>
      </c>
      <c r="N89" s="10">
        <f>L93+'[1]2026 Νοέμβριος'!N93</f>
        <v/>
      </c>
      <c r="O89" s="15">
        <f>N93/$N$84</f>
        <v/>
      </c>
      <c r="P89" s="27" t="n"/>
      <c r="Q89" s="28">
        <f>SUM(D93:P93)</f>
        <v/>
      </c>
    </row>
    <row r="90" ht="42.75" customHeight="1">
      <c r="A90" s="67" t="n">
        <v>93</v>
      </c>
      <c r="B90" s="67" t="n">
        <v>10</v>
      </c>
      <c r="C90" s="45">
        <f>[1]ΑΝΤΙΣΤΟΙΧΙΣΗ!L200</f>
        <v/>
      </c>
      <c r="D90" s="79">
        <f>'[1]2026_60-69 ΕΞΟΔΑ+ΟΜ 2'!O50</f>
        <v/>
      </c>
      <c r="E90" s="15">
        <f>D94/$D$84</f>
        <v/>
      </c>
      <c r="F90" s="79">
        <f>D94+'[1]2026 Νοέμβριος'!F94</f>
        <v/>
      </c>
      <c r="G90" s="15">
        <f>F94/$F$84</f>
        <v/>
      </c>
      <c r="H90" s="81" t="n"/>
      <c r="I90" s="26">
        <f>H94/$H$84</f>
        <v/>
      </c>
      <c r="J90" s="81" t="n"/>
      <c r="K90" s="27">
        <f>J94/$J$84</f>
        <v/>
      </c>
      <c r="L90" s="79">
        <f>'[1]2024_60-69 ΕΞΟΔΑ+ΟΜ 2'!O48</f>
        <v/>
      </c>
      <c r="M90" s="15">
        <f>L94/$L$84</f>
        <v/>
      </c>
      <c r="N90" s="10">
        <f>L94+'[1]2026 Νοέμβριος'!N94</f>
        <v/>
      </c>
      <c r="O90" s="15">
        <f>N94/$N$84</f>
        <v/>
      </c>
      <c r="P90" s="81" t="n"/>
      <c r="Q90" s="28">
        <f>SUM(D94:P94)</f>
        <v/>
      </c>
    </row>
    <row r="91" ht="15" customHeight="1">
      <c r="A91" s="67" t="n">
        <v>94</v>
      </c>
      <c r="B91" s="67" t="n">
        <v>11</v>
      </c>
      <c r="C91" s="45">
        <f>[1]ΑΝΤΙΣΤΟΙΧΙΣΗ!L201</f>
        <v/>
      </c>
      <c r="D91" s="79">
        <f>'[1]2026_60-69 ΕΞΟΔΑ+ΟΜ 2'!O51</f>
        <v/>
      </c>
      <c r="E91" s="15">
        <f>D95/$D$84</f>
        <v/>
      </c>
      <c r="F91" s="79">
        <f>D95+'[1]2026 Νοέμβριος'!F95</f>
        <v/>
      </c>
      <c r="G91" s="15">
        <f>F95/$F$84</f>
        <v/>
      </c>
      <c r="H91" s="14" t="n"/>
      <c r="I91" s="26">
        <f>H95/$H$84</f>
        <v/>
      </c>
      <c r="J91" s="27" t="n"/>
      <c r="K91" s="27">
        <f>J95/$J$84</f>
        <v/>
      </c>
      <c r="L91" s="79">
        <f>'[1]2024_60-69 ΕΞΟΔΑ+ΟΜ 2'!O49</f>
        <v/>
      </c>
      <c r="M91" s="15">
        <f>L95/$L$84</f>
        <v/>
      </c>
      <c r="N91" s="10">
        <f>L95+'[1]2026 Νοέμβριος'!N95</f>
        <v/>
      </c>
      <c r="O91" s="15">
        <f>N95/$N$84</f>
        <v/>
      </c>
      <c r="P91" s="27" t="n"/>
      <c r="Q91" s="28">
        <f>SUM(D95:P95)</f>
        <v/>
      </c>
    </row>
    <row r="92" ht="15" customHeight="1">
      <c r="A92" s="67" t="n">
        <v>95</v>
      </c>
      <c r="B92" s="67" t="n">
        <v>12</v>
      </c>
      <c r="C92" s="45">
        <f>[1]ΑΝΤΙΣΤΟΙΧΙΣΗ!L202</f>
        <v/>
      </c>
      <c r="D92" s="79">
        <f>'[1]2026_60-69 ΕΞΟΔΑ+ΟΜ 2'!O52</f>
        <v/>
      </c>
      <c r="E92" s="15">
        <f>D96/$D$84</f>
        <v/>
      </c>
      <c r="F92" s="79">
        <f>D96+'[1]2026 Νοέμβριος'!F96</f>
        <v/>
      </c>
      <c r="G92" s="15">
        <f>F96/$F$84</f>
        <v/>
      </c>
      <c r="H92" s="14" t="n"/>
      <c r="I92" s="26">
        <f>H96/$H$84</f>
        <v/>
      </c>
      <c r="J92" s="27" t="n"/>
      <c r="K92" s="27">
        <f>J96/$J$84</f>
        <v/>
      </c>
      <c r="L92" s="79">
        <f>'[1]2024_60-69 ΕΞΟΔΑ+ΟΜ 2'!O50</f>
        <v/>
      </c>
      <c r="M92" s="15">
        <f>L96/$L$84</f>
        <v/>
      </c>
      <c r="N92" s="10">
        <f>L96+'[1]2026 Νοέμβριος'!N96</f>
        <v/>
      </c>
      <c r="O92" s="15">
        <f>N96/$N$84</f>
        <v/>
      </c>
      <c r="P92" s="27" t="n"/>
      <c r="Q92" s="28">
        <f>SUM(D96:P96)</f>
        <v/>
      </c>
    </row>
    <row r="93" ht="15" customHeight="1">
      <c r="A93" s="67" t="n">
        <v>96</v>
      </c>
      <c r="B93" s="67" t="n">
        <v>13</v>
      </c>
      <c r="C93" s="45">
        <f>[1]ΑΝΤΙΣΤΟΙΧΙΣΗ!L203</f>
        <v/>
      </c>
      <c r="D93" s="79">
        <f>'[1]2026_60-69 ΕΞΟΔΑ+ΟΜ 2'!O53</f>
        <v/>
      </c>
      <c r="E93" s="15">
        <f>D97/$D$84</f>
        <v/>
      </c>
      <c r="F93" s="79">
        <f>D97+'[1]2026 Νοέμβριος'!F97</f>
        <v/>
      </c>
      <c r="G93" s="15">
        <f>F97/$F$84</f>
        <v/>
      </c>
      <c r="H93" s="14" t="n"/>
      <c r="I93" s="26">
        <f>H97/$H$84</f>
        <v/>
      </c>
      <c r="J93" s="27" t="n"/>
      <c r="K93" s="27">
        <f>J97/$J$84</f>
        <v/>
      </c>
      <c r="L93" s="79">
        <f>'[1]2024_60-69 ΕΞΟΔΑ+ΟΜ 2'!O51</f>
        <v/>
      </c>
      <c r="M93" s="15">
        <f>L97/$L$84</f>
        <v/>
      </c>
      <c r="N93" s="10">
        <f>L97+'[1]2026 Νοέμβριος'!N97</f>
        <v/>
      </c>
      <c r="O93" s="15">
        <f>N97/$N$84</f>
        <v/>
      </c>
      <c r="P93" s="27" t="n"/>
      <c r="Q93" s="28">
        <f>SUM(D97:P97)</f>
        <v/>
      </c>
    </row>
    <row r="94" ht="15" customHeight="1">
      <c r="A94" s="67" t="n">
        <v>97</v>
      </c>
      <c r="B94" s="67" t="n">
        <v>14</v>
      </c>
      <c r="C94" s="72">
        <f>[1]ΑΝΤΙΣΤΟΙΧΙΣΗ!L204</f>
        <v/>
      </c>
      <c r="D94" s="79">
        <f>'[1]2026_60-69 ΕΞΟΔΑ+ΟΜ 2'!O54</f>
        <v/>
      </c>
      <c r="E94" s="15">
        <f>D98/$D$84</f>
        <v/>
      </c>
      <c r="F94" s="79">
        <f>D98+'[1]2026 Νοέμβριος'!F98</f>
        <v/>
      </c>
      <c r="G94" s="15">
        <f>F98/$F$84</f>
        <v/>
      </c>
      <c r="H94" s="14" t="n"/>
      <c r="I94" s="26">
        <f>H98/$H$84</f>
        <v/>
      </c>
      <c r="J94" s="27" t="n"/>
      <c r="K94" s="27">
        <f>J98/$J$84</f>
        <v/>
      </c>
      <c r="L94" s="79">
        <f>'[1]2024_60-69 ΕΞΟΔΑ+ΟΜ 2'!O52</f>
        <v/>
      </c>
      <c r="M94" s="15">
        <f>L98/$L$84</f>
        <v/>
      </c>
      <c r="N94" s="10">
        <f>L98+'[1]2026 Νοέμβριος'!N98</f>
        <v/>
      </c>
      <c r="O94" s="15">
        <f>N98/$N$84</f>
        <v/>
      </c>
      <c r="P94" s="27" t="n"/>
      <c r="Q94" s="28">
        <f>SUM(D98:P98)</f>
        <v/>
      </c>
    </row>
    <row r="95" ht="28.5" customHeight="1">
      <c r="A95" s="67" t="n">
        <v>98</v>
      </c>
      <c r="B95" s="67" t="n">
        <v>15</v>
      </c>
      <c r="C95" s="46">
        <f>[1]ΑΝΤΙΣΤΟΙΧΙΣΗ!L205</f>
        <v/>
      </c>
      <c r="D95" s="79">
        <f>'[1]2026_60-69 ΕΞΟΔΑ+ΟΜ 2'!O55</f>
        <v/>
      </c>
      <c r="E95" s="15">
        <f>D99/$D$84</f>
        <v/>
      </c>
      <c r="F95" s="79">
        <f>D99+'[1]2026 Νοέμβριος'!F99</f>
        <v/>
      </c>
      <c r="G95" s="15">
        <f>F99/$F$84</f>
        <v/>
      </c>
      <c r="H95" s="14" t="n"/>
      <c r="I95" s="26">
        <f>H99/$H$84</f>
        <v/>
      </c>
      <c r="J95" s="27" t="n"/>
      <c r="K95" s="27">
        <f>J99/$J$84</f>
        <v/>
      </c>
      <c r="L95" s="79">
        <f>'[1]2024_60-69 ΕΞΟΔΑ+ΟΜ 2'!O53</f>
        <v/>
      </c>
      <c r="M95" s="15">
        <f>L99/$L$84</f>
        <v/>
      </c>
      <c r="N95" s="10">
        <f>L99+'[1]2026 Νοέμβριος'!N99</f>
        <v/>
      </c>
      <c r="O95" s="15">
        <f>N99/$N$84</f>
        <v/>
      </c>
      <c r="P95" s="27" t="n"/>
      <c r="Q95" s="28">
        <f>SUM(D99:P99)</f>
        <v/>
      </c>
    </row>
    <row r="96" ht="15" customHeight="1">
      <c r="A96" s="67" t="n">
        <v>99</v>
      </c>
      <c r="B96" s="67" t="n">
        <v>16</v>
      </c>
      <c r="C96" s="46">
        <f>[1]ΑΝΤΙΣΤΟΙΧΙΣΗ!L206</f>
        <v/>
      </c>
      <c r="D96" s="79">
        <f>'[1]2026_60-69 ΕΞΟΔΑ+ΟΜ 2'!O56</f>
        <v/>
      </c>
      <c r="E96" s="15">
        <f>D100/$D$84</f>
        <v/>
      </c>
      <c r="F96" s="79">
        <f>D100+'[1]2026 Νοέμβριος'!F100</f>
        <v/>
      </c>
      <c r="G96" s="15">
        <f>F100/$F$84</f>
        <v/>
      </c>
      <c r="H96" s="14" t="n"/>
      <c r="I96" s="26">
        <f>H100/$H$84</f>
        <v/>
      </c>
      <c r="J96" s="27" t="n"/>
      <c r="K96" s="27">
        <f>J100/$J$84</f>
        <v/>
      </c>
      <c r="L96" s="79">
        <f>'[1]2024_60-69 ΕΞΟΔΑ+ΟΜ 2'!O54</f>
        <v/>
      </c>
      <c r="M96" s="15">
        <f>L100/$L$84</f>
        <v/>
      </c>
      <c r="N96" s="10">
        <f>L100+'[1]2026 Νοέμβριος'!N100</f>
        <v/>
      </c>
      <c r="O96" s="15">
        <f>N100/$N$84</f>
        <v/>
      </c>
      <c r="P96" s="27" t="n"/>
      <c r="Q96" s="28">
        <f>SUM(D100:P100)</f>
        <v/>
      </c>
    </row>
    <row r="97" ht="15" customHeight="1">
      <c r="A97" s="67" t="n">
        <v>100</v>
      </c>
      <c r="B97" s="67" t="n">
        <v>17</v>
      </c>
      <c r="C97" s="46">
        <f>[1]ΑΝΤΙΣΤΟΙΧΙΣΗ!L207</f>
        <v/>
      </c>
      <c r="D97" s="79">
        <f>'[1]2026_60-69 ΕΞΟΔΑ+ΟΜ 2'!O57</f>
        <v/>
      </c>
      <c r="E97" s="15">
        <f>D101/$D$84</f>
        <v/>
      </c>
      <c r="F97" s="79">
        <f>D101+'[1]2026 Νοέμβριος'!F101</f>
        <v/>
      </c>
      <c r="G97" s="15">
        <f>F101/$F$84</f>
        <v/>
      </c>
      <c r="H97" s="14" t="n"/>
      <c r="I97" s="26">
        <f>H101/$H$84</f>
        <v/>
      </c>
      <c r="J97" s="27" t="n"/>
      <c r="K97" s="27">
        <f>J101/$J$84</f>
        <v/>
      </c>
      <c r="L97" s="79">
        <f>'[1]2024_60-69 ΕΞΟΔΑ+ΟΜ 2'!O55</f>
        <v/>
      </c>
      <c r="M97" s="15">
        <f>L101/$L$84</f>
        <v/>
      </c>
      <c r="N97" s="10">
        <f>L101+'[1]2026 Νοέμβριος'!N101</f>
        <v/>
      </c>
      <c r="O97" s="15">
        <f>N101/$N$84</f>
        <v/>
      </c>
      <c r="P97" s="27" t="n"/>
      <c r="Q97" s="28">
        <f>SUM(D101:P101)</f>
        <v/>
      </c>
    </row>
    <row r="98" ht="15" customHeight="1">
      <c r="A98" s="67" t="n">
        <v>101</v>
      </c>
      <c r="B98" s="67" t="n">
        <v>18</v>
      </c>
      <c r="C98" s="82">
        <f>[1]ΑΝΤΙΣΤΟΙΧΙΣΗ!L208</f>
        <v/>
      </c>
      <c r="D98" s="79">
        <f>'[1]2026_60-69 ΕΞΟΔΑ+ΟΜ 2'!O58</f>
        <v/>
      </c>
      <c r="E98" s="15">
        <f>D102/$D$84</f>
        <v/>
      </c>
      <c r="F98" s="79">
        <f>D102+'[1]2026 Νοέμβριος'!F102</f>
        <v/>
      </c>
      <c r="G98" s="15">
        <f>F102/$F$84</f>
        <v/>
      </c>
      <c r="H98" s="14" t="n"/>
      <c r="I98" s="26">
        <f>H102/$H$84</f>
        <v/>
      </c>
      <c r="J98" s="27" t="n"/>
      <c r="K98" s="27">
        <f>J102/$J$84</f>
        <v/>
      </c>
      <c r="L98" s="79">
        <f>'[1]2024_60-69 ΕΞΟΔΑ+ΟΜ 2'!O56</f>
        <v/>
      </c>
      <c r="M98" s="15">
        <f>L102/$L$84</f>
        <v/>
      </c>
      <c r="N98" s="10">
        <f>L102+'[1]2026 Νοέμβριος'!N102</f>
        <v/>
      </c>
      <c r="O98" s="15">
        <f>N102/$N$84</f>
        <v/>
      </c>
      <c r="P98" s="27" t="n"/>
      <c r="Q98" s="28">
        <f>SUM(D102:P102)</f>
        <v/>
      </c>
    </row>
    <row r="99" ht="15" customHeight="1">
      <c r="A99" s="67" t="n">
        <v>102</v>
      </c>
      <c r="B99" s="67" t="n">
        <v>19</v>
      </c>
      <c r="C99" s="72">
        <f>[1]ΑΝΤΙΣΤΟΙΧΙΣΗ!L209</f>
        <v/>
      </c>
      <c r="D99" s="79">
        <f>'[1]2026_60-69 ΕΞΟΔΑ+ΟΜ 2'!O59</f>
        <v/>
      </c>
      <c r="E99" s="15">
        <f>D103/$D$84</f>
        <v/>
      </c>
      <c r="F99" s="79">
        <f>D103+'[1]2026 Νοέμβριος'!F103</f>
        <v/>
      </c>
      <c r="G99" s="15">
        <f>F103/$F$84</f>
        <v/>
      </c>
      <c r="H99" s="14" t="n"/>
      <c r="I99" s="26">
        <f>H103/$H$84</f>
        <v/>
      </c>
      <c r="J99" s="27" t="n"/>
      <c r="K99" s="27">
        <f>J103/$J$84</f>
        <v/>
      </c>
      <c r="L99" s="79">
        <f>'[1]2024_60-69 ΕΞΟΔΑ+ΟΜ 2'!O57</f>
        <v/>
      </c>
      <c r="M99" s="15">
        <f>L103/$L$84</f>
        <v/>
      </c>
      <c r="N99" s="10">
        <f>L103+'[1]2026 Νοέμβριος'!N103</f>
        <v/>
      </c>
      <c r="O99" s="15">
        <f>N103/$N$84</f>
        <v/>
      </c>
      <c r="P99" s="27" t="n"/>
      <c r="Q99" s="28">
        <f>SUM(D103:P103)</f>
        <v/>
      </c>
    </row>
    <row r="100" ht="15" customHeight="1">
      <c r="A100" s="67" t="n">
        <v>103</v>
      </c>
      <c r="B100" s="67" t="n">
        <v>20</v>
      </c>
      <c r="C100" s="82">
        <f>[1]ΑΝΤΙΣΤΟΙΧΙΣΗ!L210</f>
        <v/>
      </c>
      <c r="D100" s="79">
        <f>'[1]2026_60-69 ΕΞΟΔΑ+ΟΜ 2'!O60</f>
        <v/>
      </c>
      <c r="E100" s="15">
        <f>D104/$D$84</f>
        <v/>
      </c>
      <c r="F100" s="79">
        <f>D104+'[1]2026 Νοέμβριος'!F104</f>
        <v/>
      </c>
      <c r="G100" s="15">
        <f>F104/$F$84</f>
        <v/>
      </c>
      <c r="H100" s="14" t="n"/>
      <c r="I100" s="26">
        <f>H104/$H$84</f>
        <v/>
      </c>
      <c r="J100" s="27" t="n"/>
      <c r="K100" s="27">
        <f>J104/$J$84</f>
        <v/>
      </c>
      <c r="L100" s="79">
        <f>'[1]2024_60-69 ΕΞΟΔΑ+ΟΜ 2'!O58</f>
        <v/>
      </c>
      <c r="M100" s="15">
        <f>L104/$L$84</f>
        <v/>
      </c>
      <c r="N100" s="10">
        <f>L104+'[1]2026 Νοέμβριος'!N104</f>
        <v/>
      </c>
      <c r="O100" s="15">
        <f>N104/$N$84</f>
        <v/>
      </c>
      <c r="P100" s="27" t="n"/>
      <c r="Q100" s="28">
        <f>SUM(D104:P104)</f>
        <v/>
      </c>
    </row>
    <row r="101" ht="25.5" customHeight="1">
      <c r="A101" s="67" t="n">
        <v>104</v>
      </c>
      <c r="B101" s="67" t="n">
        <v>21</v>
      </c>
      <c r="C101" s="82">
        <f>[1]ΑΝΤΙΣΤΟΙΧΙΣΗ!L211</f>
        <v/>
      </c>
      <c r="D101" s="79">
        <f>'[1]2026_60-69 ΕΞΟΔΑ+ΟΜ 2'!O61</f>
        <v/>
      </c>
      <c r="E101" s="15">
        <f>D105/$D$84</f>
        <v/>
      </c>
      <c r="F101" s="79">
        <f>D105+'[1]2026 Νοέμβριος'!F105</f>
        <v/>
      </c>
      <c r="G101" s="15">
        <f>F105/$F$84</f>
        <v/>
      </c>
      <c r="H101" s="14" t="n"/>
      <c r="I101" s="26">
        <f>H105/$H$84</f>
        <v/>
      </c>
      <c r="J101" s="27" t="n"/>
      <c r="K101" s="27">
        <f>J105/$J$84</f>
        <v/>
      </c>
      <c r="L101" s="79">
        <f>'[1]2024_60-69 ΕΞΟΔΑ+ΟΜ 2'!O59</f>
        <v/>
      </c>
      <c r="M101" s="15">
        <f>L105/$L$84</f>
        <v/>
      </c>
      <c r="N101" s="10">
        <f>L105+'[1]2026 Νοέμβριος'!N105</f>
        <v/>
      </c>
      <c r="O101" s="15">
        <f>N105/$N$84</f>
        <v/>
      </c>
      <c r="P101" s="27" t="n"/>
      <c r="Q101" s="28">
        <f>SUM(D105:P105)</f>
        <v/>
      </c>
    </row>
    <row r="102" ht="24" customHeight="1">
      <c r="A102" s="67" t="n">
        <v>105</v>
      </c>
      <c r="B102" s="67" t="n">
        <v>22</v>
      </c>
      <c r="C102" s="82">
        <f>[1]ΑΝΤΙΣΤΟΙΧΙΣΗ!L212</f>
        <v/>
      </c>
      <c r="D102" s="79" t="n"/>
      <c r="E102" s="15" t="n"/>
      <c r="F102" s="79" t="n"/>
      <c r="G102" s="15" t="n"/>
      <c r="H102" s="14" t="n"/>
      <c r="I102" s="26" t="n"/>
      <c r="J102" s="27" t="n"/>
      <c r="K102" s="27" t="n"/>
      <c r="L102" s="79" t="n"/>
      <c r="M102" s="15" t="n"/>
      <c r="N102" s="27" t="n"/>
      <c r="O102" s="27" t="n"/>
      <c r="P102" s="27" t="n"/>
      <c r="Q102" s="28" t="n"/>
    </row>
    <row r="103" hidden="1" ht="15" customHeight="1">
      <c r="A103" s="67" t="n">
        <v>106</v>
      </c>
      <c r="B103" s="67" t="n">
        <v>23</v>
      </c>
      <c r="C103" s="82">
        <f>[1]ΑΝΤΙΣΤΟΙΧΙΣΗ!L213</f>
        <v/>
      </c>
      <c r="D103" s="79" t="n"/>
      <c r="E103" s="15" t="n"/>
      <c r="F103" s="79" t="n"/>
      <c r="G103" s="15" t="n"/>
      <c r="H103" s="14" t="n"/>
      <c r="I103" s="26" t="n"/>
      <c r="J103" s="27" t="n"/>
      <c r="K103" s="27" t="n"/>
      <c r="L103" s="79" t="n"/>
      <c r="M103" s="15" t="n"/>
      <c r="N103" s="27" t="n"/>
      <c r="O103" s="27" t="n"/>
      <c r="P103" s="27" t="n"/>
      <c r="Q103" s="28" t="n"/>
    </row>
    <row r="104" hidden="1" ht="28.5" customHeight="1">
      <c r="A104" s="67" t="n">
        <v>107</v>
      </c>
      <c r="B104" s="67" t="n">
        <v>24</v>
      </c>
      <c r="C104" s="82">
        <f>[1]ΑΝΤΙΣΤΟΙΧΙΣΗ!L214</f>
        <v/>
      </c>
      <c r="D104" s="79" t="n"/>
      <c r="E104" s="15" t="n"/>
      <c r="F104" s="79" t="n"/>
      <c r="G104" s="15" t="n"/>
      <c r="H104" s="14" t="n"/>
      <c r="I104" s="26" t="n"/>
      <c r="J104" s="27" t="n"/>
      <c r="K104" s="27" t="n"/>
      <c r="L104" s="79" t="n"/>
      <c r="M104" s="15" t="n"/>
      <c r="N104" s="27" t="n"/>
      <c r="O104" s="27" t="n"/>
      <c r="P104" s="27" t="n"/>
      <c r="Q104" s="28" t="n"/>
    </row>
    <row r="105" ht="31.5" customHeight="1">
      <c r="A105" s="67" t="n">
        <v>108</v>
      </c>
      <c r="B105" s="67" t="n">
        <v>25</v>
      </c>
      <c r="C105" s="82">
        <f>[1]ΑΝΤΙΣΤΟΙΧΙΣΗ!L215</f>
        <v/>
      </c>
      <c r="D105" s="79" t="n"/>
      <c r="E105" s="15" t="n"/>
      <c r="F105" s="79" t="n"/>
      <c r="G105" s="15" t="n"/>
      <c r="H105" s="14" t="n"/>
      <c r="I105" s="12" t="n"/>
      <c r="J105" s="83" t="n"/>
      <c r="K105" s="11" t="n"/>
      <c r="L105" s="79" t="n"/>
      <c r="M105" s="15" t="n"/>
      <c r="N105" s="83" t="n"/>
      <c r="O105" s="83" t="n"/>
      <c r="P105" s="83" t="n"/>
      <c r="Q105" s="28" t="n"/>
    </row>
    <row r="106" ht="45" customHeight="1">
      <c r="A106" s="67" t="n">
        <v>109</v>
      </c>
      <c r="B106" s="67" t="n">
        <v>26</v>
      </c>
      <c r="C106" s="84">
        <f>[1]ΑΝΤΙΣΤΟΙΧΙΣΗ!L216</f>
        <v/>
      </c>
      <c r="D106" s="79" t="n"/>
      <c r="E106" s="15" t="n"/>
      <c r="F106" s="79" t="n"/>
      <c r="G106" s="15" t="n"/>
      <c r="H106" s="14" t="n"/>
      <c r="I106" s="12" t="n"/>
      <c r="J106" s="83" t="n"/>
      <c r="K106" s="11" t="n"/>
      <c r="L106" s="79" t="n"/>
      <c r="M106" s="15" t="n"/>
      <c r="N106" s="83" t="n"/>
      <c r="O106" s="83" t="n"/>
      <c r="P106" s="83" t="n"/>
      <c r="Q106" s="28" t="n"/>
    </row>
    <row r="107" ht="30" customHeight="1">
      <c r="A107" s="60" t="n"/>
      <c r="B107" s="60" t="n"/>
      <c r="C107" s="20" t="inlineStr">
        <is>
          <t>ΣΥΝΟΛΟ ΚΟΣΤΟΥΣ Sales-Marketing ΜΗΝΟΣ</t>
        </is>
      </c>
      <c r="D107" s="7">
        <f>'[1]2026_60-69 ΕΞΟΔΑ+ΟΜ 2'!O36</f>
        <v/>
      </c>
      <c r="E107" s="8" t="n"/>
      <c r="F107" s="7">
        <f>'[1]2026_60-69 ΕΞΟΔΑ+ΟΜ 2'!AB36</f>
        <v/>
      </c>
      <c r="G107" s="8" t="n"/>
      <c r="H107" s="7">
        <f>SUM(H47:H110)</f>
        <v/>
      </c>
      <c r="I107" s="8" t="n"/>
      <c r="J107" s="7">
        <f>SUM(J47:J110)</f>
        <v/>
      </c>
      <c r="K107" s="8" t="n"/>
      <c r="L107" s="7">
        <f>SUM(L47:L110)</f>
        <v/>
      </c>
      <c r="M107" s="8" t="n"/>
      <c r="N107" s="7">
        <f>SUM(N47:N110)</f>
        <v/>
      </c>
      <c r="O107" s="8" t="n"/>
      <c r="P107" s="7">
        <f>SUM(P47:P110)</f>
        <v/>
      </c>
      <c r="Q107" s="8" t="n"/>
    </row>
    <row r="108" ht="15" customHeight="1">
      <c r="A108" s="60" t="n"/>
      <c r="B108" s="60" t="n"/>
      <c r="C108" s="22" t="inlineStr">
        <is>
          <t>Ελεγχος Ορθότητας ( πρέπει να είναι 0)</t>
        </is>
      </c>
      <c r="D108" s="7">
        <f>D84-D111</f>
        <v/>
      </c>
      <c r="E108" s="8" t="n"/>
      <c r="F108" s="7">
        <f>F84-F111</f>
        <v/>
      </c>
      <c r="G108" s="8" t="n"/>
      <c r="H108" s="7">
        <f>H84-H111</f>
        <v/>
      </c>
      <c r="I108" s="8" t="n"/>
      <c r="J108" s="7">
        <f>J84-J111</f>
        <v/>
      </c>
      <c r="K108" s="8" t="n"/>
      <c r="L108" s="7">
        <f>L84-L111</f>
        <v/>
      </c>
      <c r="M108" s="8" t="n"/>
      <c r="N108" s="7">
        <f>N84-N111</f>
        <v/>
      </c>
      <c r="O108" s="8" t="n"/>
      <c r="P108" s="7">
        <f>P84-P111</f>
        <v/>
      </c>
      <c r="Q108" s="8" t="n"/>
    </row>
    <row r="109" ht="28.5" customHeight="1">
      <c r="A109" s="85" t="n">
        <v>112</v>
      </c>
      <c r="B109" s="85" t="n"/>
      <c r="C109" s="78" t="inlineStr">
        <is>
          <t>ΑΝΑΛΥΣΗ ΕΤΟΥΣ 2026</t>
        </is>
      </c>
      <c r="D109" s="182">
        <f>[1]ΑΝΤΙΣΤΟΙΧΙΣΗ!$F$32</f>
        <v/>
      </c>
      <c r="E109" s="192" t="n"/>
      <c r="F109" s="192" t="n"/>
      <c r="G109" s="56" t="n"/>
      <c r="H109" s="182">
        <f>[1]ΑΝΤΙΣΤΟΙΧΙΣΗ!$F$35</f>
        <v/>
      </c>
      <c r="I109" s="192" t="n"/>
      <c r="J109" s="192" t="n"/>
      <c r="K109" s="56" t="n"/>
      <c r="L109" s="182">
        <f>[1]ΑΝΤΙΣΤΟΙΧΙΣΗ!$F$68</f>
        <v/>
      </c>
      <c r="M109" s="192" t="n"/>
      <c r="N109" s="192" t="n"/>
      <c r="O109" s="56" t="n"/>
      <c r="P109" s="183">
        <f>[1]ΑΝΤΙΣΤΟΙΧΙΣΗ!$F$100</f>
        <v/>
      </c>
      <c r="Q109" s="56" t="n"/>
    </row>
    <row r="110" ht="15" customHeight="1">
      <c r="A110" s="60" t="n"/>
      <c r="B110" s="19" t="n"/>
      <c r="C110" s="5" t="inlineStr">
        <is>
          <t xml:space="preserve">ΠΕΡΙΟΔΟΣ </t>
        </is>
      </c>
      <c r="D110" s="180">
        <f>[1]ΑΝΤΙΣΤΟΙΧΙΣΗ!$F$117</f>
        <v/>
      </c>
      <c r="E110" s="192" t="n"/>
      <c r="F110" s="56" t="n"/>
      <c r="G110" s="61">
        <f>[1]ΑΝΤΙΣΤΟΙΧΙΣΗ!$D$34</f>
        <v/>
      </c>
      <c r="H110" s="180">
        <f>[1]ΑΝΤΙΣΤΟΙΧΙΣΗ!$F$117</f>
        <v/>
      </c>
      <c r="I110" s="192" t="n"/>
      <c r="J110" s="56" t="n"/>
      <c r="K110" s="61">
        <f>[1]ΑΝΤΙΣΤΟΙΧΙΣΗ!$D$34</f>
        <v/>
      </c>
      <c r="L110" s="180">
        <f>[1]ΑΝΤΙΣΤΟΙΧΙΣΗ!$F$131</f>
        <v/>
      </c>
      <c r="M110" s="192" t="n"/>
      <c r="N110" s="56" t="n"/>
      <c r="O110" s="61">
        <f>[1]ΑΝΤΙΣΤΟΙΧΙΣΗ!$D$33</f>
        <v/>
      </c>
      <c r="P110" s="180" t="n"/>
      <c r="Q110" s="56" t="n"/>
    </row>
    <row r="111" ht="15" customHeight="1">
      <c r="A111" s="69" t="n">
        <v>114</v>
      </c>
      <c r="B111" s="69" t="inlineStr">
        <is>
          <t>Δ</t>
        </is>
      </c>
      <c r="C111" s="62" t="inlineStr">
        <is>
          <t xml:space="preserve">ΚΑΤΗΓΟΡΙΑ ΕΞΟΔΟΥ </t>
        </is>
      </c>
      <c r="D111" s="62" t="inlineStr">
        <is>
          <t>Ποσά</t>
        </is>
      </c>
      <c r="E111" s="63" t="inlineStr">
        <is>
          <t xml:space="preserve">% Κατηγ.Εξ/Σύν.Κδιάθ.μηνός </t>
        </is>
      </c>
      <c r="F111" s="63" t="inlineStr">
        <is>
          <t xml:space="preserve">Προοδευτικό Σύνολο Κατηγ. Εξόδων έως Σήμερα </t>
        </is>
      </c>
      <c r="G111" s="63" t="inlineStr">
        <is>
          <t xml:space="preserve">% Προοδ. Σύν. Κατηγ. Εξ/ Προοδ. Σύνολο Εξόδων </t>
        </is>
      </c>
      <c r="H111" s="63" t="inlineStr">
        <is>
          <t xml:space="preserve">Εξοδα Μηνός </t>
        </is>
      </c>
      <c r="I111" s="63" t="inlineStr">
        <is>
          <t xml:space="preserve">% Κατηγ.Εξ/Σύν.Κδιά .μηνός </t>
        </is>
      </c>
      <c r="J111" s="63" t="inlineStr">
        <is>
          <t xml:space="preserve">Προοδευτικό Σύνολο Κατηγ. Εξόδων έως Σήμερα </t>
        </is>
      </c>
      <c r="K111" s="63" t="inlineStr">
        <is>
          <t xml:space="preserve">% Προοδ. Σύν. Κατηγ. Εξ/ Προοδ. Σύνολο Εσόδων </t>
        </is>
      </c>
      <c r="L111" s="63" t="inlineStr">
        <is>
          <t xml:space="preserve">Εξοδα Μηνός </t>
        </is>
      </c>
      <c r="M111" s="63" t="inlineStr">
        <is>
          <t xml:space="preserve">% Κατηγ.Εξ/Σύν.Κδιά .μηνός </t>
        </is>
      </c>
      <c r="N111" s="63" t="inlineStr">
        <is>
          <t xml:space="preserve">Προοδευτικό Σύνολο Κατηγ. Εξόδων έως Σήμερα </t>
        </is>
      </c>
      <c r="O111" s="63" t="inlineStr">
        <is>
          <t xml:space="preserve">% Προοδ. Σύν. Κατηγ. Εξ/ Προοδ. Σύνολο Εξόδων </t>
        </is>
      </c>
      <c r="P111" s="63" t="inlineStr">
        <is>
          <t xml:space="preserve">Προοδ. Διαφορά με Προηγ. Έτος ( Τρέχον Έτος - Προηγ. Έτος) </t>
        </is>
      </c>
      <c r="Q111" s="63" t="inlineStr">
        <is>
          <t xml:space="preserve">% Προοδ.Σύνολο Κατηγ. Εσ. Πρ. Έτους / Προοδ.Σύν.Εσ. Τρέχοντος Έτους </t>
        </is>
      </c>
    </row>
    <row r="112" ht="15" customHeight="1">
      <c r="A112" s="60" t="n"/>
      <c r="B112" s="19" t="inlineStr">
        <is>
          <t>Α/Α</t>
        </is>
      </c>
      <c r="C112" s="6" t="inlineStr">
        <is>
          <t xml:space="preserve">ΚΟΣΤΟΣ ΔΙΟΙΚΗΣΗΣ ΜΗΝΟΣ </t>
        </is>
      </c>
      <c r="D112" s="7">
        <f>SUM(D117:D156)</f>
        <v/>
      </c>
      <c r="E112" s="8" t="n"/>
      <c r="F112" s="7">
        <f>SUM(F117:F156)</f>
        <v/>
      </c>
      <c r="G112" s="8" t="n"/>
      <c r="H112" s="7">
        <f>SUM(H117:H156)</f>
        <v/>
      </c>
      <c r="I112" s="8" t="n"/>
      <c r="J112" s="7">
        <f>SUM(J117:J156)</f>
        <v/>
      </c>
      <c r="K112" s="8" t="n"/>
      <c r="L112" s="7">
        <f>SUM(L117:L156)</f>
        <v/>
      </c>
      <c r="M112" s="8" t="n"/>
      <c r="N112" s="7">
        <f>SUM(N117:N156)</f>
        <v/>
      </c>
      <c r="O112" s="8" t="n"/>
      <c r="P112" s="7">
        <f>SUM(P117:P156)</f>
        <v/>
      </c>
      <c r="Q112" s="8" t="n"/>
    </row>
    <row r="113" ht="15" customHeight="1">
      <c r="A113" s="67" t="n">
        <v>59</v>
      </c>
      <c r="B113" s="67" t="n">
        <v>1</v>
      </c>
      <c r="C113" s="44">
        <f>[1]ΑΝΤΙΣΤΟΙΧΙΣΗ!O187</f>
        <v/>
      </c>
      <c r="D113" s="14">
        <f>'[1]2026_60-69 ΕΞΟΔΑ+ΟΜ 2'!O74</f>
        <v/>
      </c>
      <c r="E113" s="192" t="n"/>
      <c r="F113" s="192" t="n"/>
      <c r="G113" s="56" t="n"/>
      <c r="H113" s="14" t="n"/>
      <c r="I113" s="192" t="n"/>
      <c r="J113" s="192" t="n"/>
      <c r="K113" s="56" t="n"/>
      <c r="L113" s="14">
        <f>'[1]2024_60-69 ΕΞΟΔΑ+ΟΜ 2'!O66</f>
        <v/>
      </c>
      <c r="M113" s="192" t="n"/>
      <c r="N113" s="192" t="n"/>
      <c r="O113" s="56" t="n"/>
      <c r="P113" s="10" t="n"/>
      <c r="Q113" s="56" t="n"/>
    </row>
    <row r="114" ht="15" customHeight="1">
      <c r="A114" s="67" t="n">
        <v>60</v>
      </c>
      <c r="B114" s="67" t="n">
        <v>2</v>
      </c>
      <c r="C114" s="71">
        <f>[1]ΑΝΤΙΣΤΟΙΧΙΣΗ!O188</f>
        <v/>
      </c>
      <c r="D114" s="14">
        <f>'[1]2026_60-69 ΕΞΟΔΑ+ΟΜ 2'!O75</f>
        <v/>
      </c>
      <c r="E114" s="192" t="n"/>
      <c r="F114" s="56" t="n"/>
      <c r="G114" s="15">
        <f>F118/$F$116</f>
        <v/>
      </c>
      <c r="H114" s="14" t="n"/>
      <c r="I114" s="192" t="n"/>
      <c r="J114" s="56" t="n"/>
      <c r="K114" s="10">
        <f>J118/$J$116</f>
        <v/>
      </c>
      <c r="L114" s="14">
        <f>'[1]2024_60-69 ΕΞΟΔΑ+ΟΜ 2'!O67</f>
        <v/>
      </c>
      <c r="M114" s="192" t="n"/>
      <c r="N114" s="56" t="n"/>
      <c r="O114" s="15">
        <f>N118/$N$116</f>
        <v/>
      </c>
      <c r="P114" s="10" t="n"/>
      <c r="Q114" s="56" t="n"/>
      <c r="V114" s="160" t="n"/>
    </row>
    <row r="115" ht="28.5" customHeight="1">
      <c r="A115" s="67" t="n">
        <v>61</v>
      </c>
      <c r="B115" s="67" t="n">
        <v>3</v>
      </c>
      <c r="C115" s="46">
        <f>[1]ΑΝΤΙΣΤΟΙΧΙΣΗ!O189</f>
        <v/>
      </c>
      <c r="D115" s="14">
        <f>'[1]2026_60-69 ΕΞΟΔΑ+ΟΜ 2'!O76</f>
        <v/>
      </c>
      <c r="E115" s="15">
        <f>D119/$D$116</f>
        <v/>
      </c>
      <c r="F115" s="10">
        <f>D119+'[1]2026 Νοέμβριος'!F119</f>
        <v/>
      </c>
      <c r="G115" s="15">
        <f>F119/$F$116</f>
        <v/>
      </c>
      <c r="H115" s="14" t="n"/>
      <c r="I115" s="29">
        <f>H119/$H$116</f>
        <v/>
      </c>
      <c r="J115" s="10" t="n"/>
      <c r="K115" s="10">
        <f>J119/$J$116</f>
        <v/>
      </c>
      <c r="L115" s="14">
        <f>'[1]2024_60-69 ΕΞΟΔΑ+ΟΜ 2'!O68</f>
        <v/>
      </c>
      <c r="M115" s="15">
        <f>L119/$L$116</f>
        <v/>
      </c>
      <c r="N115" s="10">
        <f>L119+'[1]2026 Νοέμβριος'!N119</f>
        <v/>
      </c>
      <c r="O115" s="15">
        <f>N119/$N$116</f>
        <v/>
      </c>
      <c r="P115" s="10" t="n"/>
      <c r="Q115" s="30">
        <f>SUM(D119:P119)</f>
        <v/>
      </c>
    </row>
    <row r="116" ht="28.5" customHeight="1">
      <c r="A116" s="67" t="n">
        <v>62</v>
      </c>
      <c r="B116" s="67" t="n">
        <v>4</v>
      </c>
      <c r="C116" s="46">
        <f>[1]ΑΝΤΙΣΤΟΙΧΙΣΗ!O190</f>
        <v/>
      </c>
      <c r="D116" s="14">
        <f>'[1]2026_60-69 ΕΞΟΔΑ+ΟΜ 2'!O77</f>
        <v/>
      </c>
      <c r="E116" s="15">
        <f>D120/$D$116</f>
        <v/>
      </c>
      <c r="F116" s="10">
        <f>D120+'[1]2026 Νοέμβριος'!F120</f>
        <v/>
      </c>
      <c r="G116" s="15">
        <f>F120/$F$116</f>
        <v/>
      </c>
      <c r="H116" s="14" t="n"/>
      <c r="I116" s="29">
        <f>H120/$H$116</f>
        <v/>
      </c>
      <c r="J116" s="10" t="n"/>
      <c r="K116" s="10">
        <f>J120/$J$116</f>
        <v/>
      </c>
      <c r="L116" s="14">
        <f>'[1]2024_60-69 ΕΞΟΔΑ+ΟΜ 2'!O69</f>
        <v/>
      </c>
      <c r="M116" s="15">
        <f>L120/$L$116</f>
        <v/>
      </c>
      <c r="N116" s="10">
        <f>L120+'[1]2026 Νοέμβριος'!N120</f>
        <v/>
      </c>
      <c r="O116" s="15">
        <f>N120/$N$116</f>
        <v/>
      </c>
      <c r="P116" s="10" t="n"/>
      <c r="Q116" s="30">
        <f>SUM(D120:P120)</f>
        <v/>
      </c>
    </row>
    <row r="117" ht="28.5" customHeight="1">
      <c r="A117" s="67" t="n">
        <v>63</v>
      </c>
      <c r="B117" s="67" t="n">
        <v>5</v>
      </c>
      <c r="C117" s="46">
        <f>[1]ΑΝΤΙΣΤΟΙΧΙΣΗ!O191</f>
        <v/>
      </c>
      <c r="D117" s="14">
        <f>'[1]2026_60-69 ΕΞΟΔΑ+ΟΜ 2'!O78</f>
        <v/>
      </c>
      <c r="E117" s="15">
        <f>D121/$D$116</f>
        <v/>
      </c>
      <c r="F117" s="10">
        <f>D121+'[1]2026 Νοέμβριος'!F121</f>
        <v/>
      </c>
      <c r="G117" s="15">
        <f>F121/$F$116</f>
        <v/>
      </c>
      <c r="H117" s="14" t="n"/>
      <c r="I117" s="29">
        <f>H121/$H$116</f>
        <v/>
      </c>
      <c r="J117" s="10" t="n"/>
      <c r="K117" s="10">
        <f>J121/$J$116</f>
        <v/>
      </c>
      <c r="L117" s="14">
        <f>'[1]2024_60-69 ΕΞΟΔΑ+ΟΜ 2'!O70</f>
        <v/>
      </c>
      <c r="M117" s="15">
        <f>L121/$L$116</f>
        <v/>
      </c>
      <c r="N117" s="10">
        <f>L121+'[1]2026 Νοέμβριος'!N121</f>
        <v/>
      </c>
      <c r="O117" s="15">
        <f>N121/$N$116</f>
        <v/>
      </c>
      <c r="P117" s="10" t="n"/>
      <c r="Q117" s="30">
        <f>SUM(D121:P121)</f>
        <v/>
      </c>
    </row>
    <row r="118" ht="15" customHeight="1">
      <c r="A118" s="67" t="n">
        <v>64</v>
      </c>
      <c r="B118" s="67" t="n">
        <v>6</v>
      </c>
      <c r="C118" s="46">
        <f>[1]ΑΝΤΙΣΤΟΙΧΙΣΗ!O192</f>
        <v/>
      </c>
      <c r="D118" s="14">
        <f>'[1]2026_60-69 ΕΞΟΔΑ+ΟΜ 2'!O79</f>
        <v/>
      </c>
      <c r="E118" s="15">
        <f>D122/$D$116</f>
        <v/>
      </c>
      <c r="F118" s="10">
        <f>D122+'[1]2026 Νοέμβριος'!F122</f>
        <v/>
      </c>
      <c r="G118" s="15">
        <f>F122/$F$116</f>
        <v/>
      </c>
      <c r="H118" s="14" t="n"/>
      <c r="I118" s="29">
        <f>H122/$H$116</f>
        <v/>
      </c>
      <c r="J118" s="10" t="n"/>
      <c r="K118" s="10">
        <f>J122/$J$116</f>
        <v/>
      </c>
      <c r="L118" s="14">
        <f>'[1]2024_60-69 ΕΞΟΔΑ+ΟΜ 2'!O71</f>
        <v/>
      </c>
      <c r="M118" s="15">
        <f>L122/$L$116</f>
        <v/>
      </c>
      <c r="N118" s="10">
        <f>L122+'[1]2026 Νοέμβριος'!N122</f>
        <v/>
      </c>
      <c r="O118" s="15">
        <f>N122/$N$116</f>
        <v/>
      </c>
      <c r="P118" s="10" t="n"/>
      <c r="Q118" s="30">
        <f>SUM(D122:P122)</f>
        <v/>
      </c>
    </row>
    <row r="119" ht="28.5" customHeight="1">
      <c r="A119" s="67" t="n">
        <v>65</v>
      </c>
      <c r="B119" s="67" t="n">
        <v>7</v>
      </c>
      <c r="C119" s="46">
        <f>[1]ΑΝΤΙΣΤΟΙΧΙΣΗ!O193</f>
        <v/>
      </c>
      <c r="D119" s="14">
        <f>'[1]2026_60-69 ΕΞΟΔΑ+ΟΜ 2'!O80</f>
        <v/>
      </c>
      <c r="E119" s="15">
        <f>D123/$D$116</f>
        <v/>
      </c>
      <c r="F119" s="10">
        <f>D123+'[1]2026 Νοέμβριος'!F123</f>
        <v/>
      </c>
      <c r="G119" s="15">
        <f>F123/$F$116</f>
        <v/>
      </c>
      <c r="H119" s="14" t="n"/>
      <c r="I119" s="29">
        <f>H123/$H$116</f>
        <v/>
      </c>
      <c r="J119" s="10" t="n"/>
      <c r="K119" s="10">
        <f>J123/$J$116</f>
        <v/>
      </c>
      <c r="L119" s="14">
        <f>'[1]2024_60-69 ΕΞΟΔΑ+ΟΜ 2'!O72</f>
        <v/>
      </c>
      <c r="M119" s="15">
        <f>L123/$L$116</f>
        <v/>
      </c>
      <c r="N119" s="10">
        <f>L123+'[1]2026 Νοέμβριος'!N123</f>
        <v/>
      </c>
      <c r="O119" s="15">
        <f>N123/$N$116</f>
        <v/>
      </c>
      <c r="P119" s="10" t="n"/>
      <c r="Q119" s="30">
        <f>SUM(D123:P123)</f>
        <v/>
      </c>
    </row>
    <row r="120" ht="28.5" customHeight="1">
      <c r="A120" s="67" t="n">
        <v>66</v>
      </c>
      <c r="B120" s="67" t="n">
        <v>8</v>
      </c>
      <c r="C120" s="46">
        <f>[1]ΑΝΤΙΣΤΟΙΧΙΣΗ!O194</f>
        <v/>
      </c>
      <c r="D120" s="14">
        <f>'[1]2026_60-69 ΕΞΟΔΑ+ΟΜ 2'!O81</f>
        <v/>
      </c>
      <c r="E120" s="15">
        <f>D124/$D$116</f>
        <v/>
      </c>
      <c r="F120" s="10">
        <f>D124+'[1]2026 Νοέμβριος'!F124</f>
        <v/>
      </c>
      <c r="G120" s="15">
        <f>F124/$F$116</f>
        <v/>
      </c>
      <c r="H120" s="14" t="n"/>
      <c r="I120" s="29">
        <f>H124/$H$116</f>
        <v/>
      </c>
      <c r="J120" s="10" t="n"/>
      <c r="K120" s="10">
        <f>J124/$J$116</f>
        <v/>
      </c>
      <c r="L120" s="14">
        <f>'[1]2024_60-69 ΕΞΟΔΑ+ΟΜ 2'!O73</f>
        <v/>
      </c>
      <c r="M120" s="15">
        <f>L124/$L$116</f>
        <v/>
      </c>
      <c r="N120" s="10">
        <f>L124+'[1]2026 Νοέμβριος'!N124</f>
        <v/>
      </c>
      <c r="O120" s="15">
        <f>N124/$N$116</f>
        <v/>
      </c>
      <c r="P120" s="10" t="n"/>
      <c r="Q120" s="30">
        <f>SUM(D124:P124)</f>
        <v/>
      </c>
    </row>
    <row r="121" ht="28.5" customHeight="1">
      <c r="A121" s="67" t="n">
        <v>67</v>
      </c>
      <c r="B121" s="67" t="n">
        <v>9</v>
      </c>
      <c r="C121" s="46">
        <f>[1]ΑΝΤΙΣΤΟΙΧΙΣΗ!O195</f>
        <v/>
      </c>
      <c r="D121" s="14">
        <f>'[1]2026_60-69 ΕΞΟΔΑ+ΟΜ 2'!O82</f>
        <v/>
      </c>
      <c r="E121" s="15">
        <f>D125/$D$116</f>
        <v/>
      </c>
      <c r="F121" s="10">
        <f>D125+'[1]2026 Νοέμβριος'!F125</f>
        <v/>
      </c>
      <c r="G121" s="15">
        <f>F125/$F$116</f>
        <v/>
      </c>
      <c r="H121" s="14" t="n"/>
      <c r="I121" s="29">
        <f>H125/$H$116</f>
        <v/>
      </c>
      <c r="J121" s="10" t="n"/>
      <c r="K121" s="10">
        <f>J125/$J$116</f>
        <v/>
      </c>
      <c r="L121" s="14">
        <f>'[1]2024_60-69 ΕΞΟΔΑ+ΟΜ 2'!O74</f>
        <v/>
      </c>
      <c r="M121" s="15">
        <f>L125/$L$116</f>
        <v/>
      </c>
      <c r="N121" s="10">
        <f>L125+'[1]2026 Νοέμβριος'!N125</f>
        <v/>
      </c>
      <c r="O121" s="15">
        <f>N125/$N$116</f>
        <v/>
      </c>
      <c r="P121" s="10" t="n"/>
      <c r="Q121" s="30">
        <f>SUM(D125:P125)</f>
        <v/>
      </c>
    </row>
    <row r="122" ht="15" customHeight="1">
      <c r="A122" s="67" t="n">
        <v>68</v>
      </c>
      <c r="B122" s="67" t="n">
        <v>10</v>
      </c>
      <c r="C122" s="46">
        <f>[1]ΑΝΤΙΣΤΟΙΧΙΣΗ!O196</f>
        <v/>
      </c>
      <c r="D122" s="14">
        <f>'[1]2026_60-69 ΕΞΟΔΑ+ΟΜ 2'!O83</f>
        <v/>
      </c>
      <c r="E122" s="15">
        <f>D126/$D$116</f>
        <v/>
      </c>
      <c r="F122" s="10">
        <f>D126+'[1]2026 Νοέμβριος'!F126</f>
        <v/>
      </c>
      <c r="G122" s="15">
        <f>F126/$F$116</f>
        <v/>
      </c>
      <c r="H122" s="14" t="n"/>
      <c r="I122" s="29">
        <f>H126/$H$116</f>
        <v/>
      </c>
      <c r="J122" s="10" t="n"/>
      <c r="K122" s="10">
        <f>J126/$J$116</f>
        <v/>
      </c>
      <c r="L122" s="14">
        <f>'[1]2024_60-69 ΕΞΟΔΑ+ΟΜ 2'!O75</f>
        <v/>
      </c>
      <c r="M122" s="15">
        <f>L126/$L$116</f>
        <v/>
      </c>
      <c r="N122" s="10">
        <f>L126+'[1]2026 Νοέμβριος'!N126</f>
        <v/>
      </c>
      <c r="O122" s="15">
        <f>N126/$N$116</f>
        <v/>
      </c>
      <c r="P122" s="10" t="n"/>
      <c r="Q122" s="30">
        <f>SUM(D126:P126)</f>
        <v/>
      </c>
    </row>
    <row r="123" ht="15" customHeight="1">
      <c r="A123" s="67" t="n">
        <v>69</v>
      </c>
      <c r="B123" s="67" t="n">
        <v>11</v>
      </c>
      <c r="C123" s="46">
        <f>[1]ΑΝΤΙΣΤΟΙΧΙΣΗ!O197</f>
        <v/>
      </c>
      <c r="D123" s="14">
        <f>'[1]2026_60-69 ΕΞΟΔΑ+ΟΜ 2'!O84</f>
        <v/>
      </c>
      <c r="E123" s="15">
        <f>D127/$D$116</f>
        <v/>
      </c>
      <c r="F123" s="10">
        <f>D127+'[1]2026 Νοέμβριος'!F127</f>
        <v/>
      </c>
      <c r="G123" s="15">
        <f>F127/$F$116</f>
        <v/>
      </c>
      <c r="H123" s="14" t="n"/>
      <c r="I123" s="29">
        <f>H127/$H$116</f>
        <v/>
      </c>
      <c r="J123" s="10" t="n"/>
      <c r="K123" s="10">
        <f>J127/$J$116</f>
        <v/>
      </c>
      <c r="L123" s="14">
        <f>'[1]2024_60-69 ΕΞΟΔΑ+ΟΜ 2'!O76</f>
        <v/>
      </c>
      <c r="M123" s="15">
        <f>L127/$L$116</f>
        <v/>
      </c>
      <c r="N123" s="10">
        <f>L127+'[1]2026 Νοέμβριος'!N127</f>
        <v/>
      </c>
      <c r="O123" s="15">
        <f>N127/$N$116</f>
        <v/>
      </c>
      <c r="P123" s="10" t="n"/>
      <c r="Q123" s="30">
        <f>SUM(D127:P127)</f>
        <v/>
      </c>
    </row>
    <row r="124" ht="28.5" customHeight="1">
      <c r="A124" s="67" t="n">
        <v>70</v>
      </c>
      <c r="B124" s="67" t="n">
        <v>12</v>
      </c>
      <c r="C124" s="46">
        <f>[1]ΑΝΤΙΣΤΟΙΧΙΣΗ!O198</f>
        <v/>
      </c>
      <c r="D124" s="14">
        <f>'[1]2026_60-69 ΕΞΟΔΑ+ΟΜ 2'!O85</f>
        <v/>
      </c>
      <c r="E124" s="15">
        <f>D128/$D$116</f>
        <v/>
      </c>
      <c r="F124" s="10">
        <f>D128+'[1]2026 Νοέμβριος'!F128</f>
        <v/>
      </c>
      <c r="G124" s="15">
        <f>F128/$F$116</f>
        <v/>
      </c>
      <c r="H124" s="14" t="n"/>
      <c r="I124" s="29">
        <f>H128/$H$116</f>
        <v/>
      </c>
      <c r="J124" s="10" t="n"/>
      <c r="K124" s="10">
        <f>J128/$J$116</f>
        <v/>
      </c>
      <c r="L124" s="14">
        <f>'[1]2024_60-69 ΕΞΟΔΑ+ΟΜ 2'!O77</f>
        <v/>
      </c>
      <c r="M124" s="15">
        <f>L128/$L$116</f>
        <v/>
      </c>
      <c r="N124" s="10">
        <f>L128+'[1]2026 Νοέμβριος'!N128</f>
        <v/>
      </c>
      <c r="O124" s="15">
        <f>N128/$N$116</f>
        <v/>
      </c>
      <c r="P124" s="10" t="n"/>
      <c r="Q124" s="30">
        <f>SUM(D128:P128)</f>
        <v/>
      </c>
    </row>
    <row r="125" ht="15" customHeight="1">
      <c r="A125" s="67" t="n">
        <v>71</v>
      </c>
      <c r="B125" s="67" t="n">
        <v>13</v>
      </c>
      <c r="C125" s="46">
        <f>[1]ΑΝΤΙΣΤΟΙΧΙΣΗ!O199</f>
        <v/>
      </c>
      <c r="D125" s="14">
        <f>'[1]2026_60-69 ΕΞΟΔΑ+ΟΜ 2'!O86</f>
        <v/>
      </c>
      <c r="E125" s="15">
        <f>D129/$D$116</f>
        <v/>
      </c>
      <c r="F125" s="10">
        <f>D129+'[1]2026 Νοέμβριος'!F129</f>
        <v/>
      </c>
      <c r="G125" s="15">
        <f>F129/$F$116</f>
        <v/>
      </c>
      <c r="H125" s="14" t="n"/>
      <c r="I125" s="29">
        <f>H129/$H$116</f>
        <v/>
      </c>
      <c r="J125" s="10" t="n"/>
      <c r="K125" s="10">
        <f>J129/$J$116</f>
        <v/>
      </c>
      <c r="L125" s="14">
        <f>'[1]2024_60-69 ΕΞΟΔΑ+ΟΜ 2'!O78</f>
        <v/>
      </c>
      <c r="M125" s="15">
        <f>L129/$L$116</f>
        <v/>
      </c>
      <c r="N125" s="10">
        <f>L129+'[1]2026 Νοέμβριος'!N129</f>
        <v/>
      </c>
      <c r="O125" s="15">
        <f>N129/$N$116</f>
        <v/>
      </c>
      <c r="P125" s="10" t="n"/>
      <c r="Q125" s="30">
        <f>SUM(D129:P129)</f>
        <v/>
      </c>
    </row>
    <row r="126" ht="28.5" customHeight="1">
      <c r="A126" s="67" t="n">
        <v>72</v>
      </c>
      <c r="B126" s="67" t="n">
        <v>14</v>
      </c>
      <c r="C126" s="46">
        <f>[1]ΑΝΤΙΣΤΟΙΧΙΣΗ!O200</f>
        <v/>
      </c>
      <c r="D126" s="14">
        <f>'[1]2026_60-69 ΕΞΟΔΑ+ΟΜ 2'!O87</f>
        <v/>
      </c>
      <c r="E126" s="15">
        <f>D130/$D$116</f>
        <v/>
      </c>
      <c r="F126" s="10">
        <f>D130+'[1]2026 Νοέμβριος'!F130</f>
        <v/>
      </c>
      <c r="G126" s="15">
        <f>F130/$F$116</f>
        <v/>
      </c>
      <c r="H126" s="14" t="n"/>
      <c r="I126" s="29">
        <f>H130/$H$116</f>
        <v/>
      </c>
      <c r="J126" s="10" t="n"/>
      <c r="K126" s="10">
        <f>J130/$J$116</f>
        <v/>
      </c>
      <c r="L126" s="14">
        <f>'[1]2024_60-69 ΕΞΟΔΑ+ΟΜ 2'!O79</f>
        <v/>
      </c>
      <c r="M126" s="15">
        <f>L130/$L$116</f>
        <v/>
      </c>
      <c r="N126" s="10">
        <f>L130+'[1]2026 Νοέμβριος'!N130</f>
        <v/>
      </c>
      <c r="O126" s="15">
        <f>N130/$N$116</f>
        <v/>
      </c>
      <c r="P126" s="10" t="n"/>
      <c r="Q126" s="30">
        <f>SUM(D130:P130)</f>
        <v/>
      </c>
    </row>
    <row r="127" ht="15" customHeight="1">
      <c r="A127" s="67" t="n">
        <v>73</v>
      </c>
      <c r="B127" s="67" t="n">
        <v>15</v>
      </c>
      <c r="C127" s="71">
        <f>[1]ΑΝΤΙΣΤΟΙΧΙΣΗ!O201</f>
        <v/>
      </c>
      <c r="D127" s="14">
        <f>'[1]2026_60-69 ΕΞΟΔΑ+ΟΜ 2'!O88</f>
        <v/>
      </c>
      <c r="E127" s="15">
        <f>D131/$D$116</f>
        <v/>
      </c>
      <c r="F127" s="10">
        <f>D131+'[1]2026 Νοέμβριος'!F131</f>
        <v/>
      </c>
      <c r="G127" s="15">
        <f>F131/$F$116</f>
        <v/>
      </c>
      <c r="H127" s="14" t="n"/>
      <c r="I127" s="29">
        <f>H131/$H$116</f>
        <v/>
      </c>
      <c r="J127" s="10" t="n"/>
      <c r="K127" s="10">
        <f>J131/$J$116</f>
        <v/>
      </c>
      <c r="L127" s="14">
        <f>'[1]2024_60-69 ΕΞΟΔΑ+ΟΜ 2'!O80</f>
        <v/>
      </c>
      <c r="M127" s="15">
        <f>L131/$L$116</f>
        <v/>
      </c>
      <c r="N127" s="10">
        <f>L131+'[1]2026 Νοέμβριος'!N131</f>
        <v/>
      </c>
      <c r="O127" s="15">
        <f>N131/$N$116</f>
        <v/>
      </c>
      <c r="P127" s="10" t="n"/>
      <c r="Q127" s="30">
        <f>SUM(D131:P131)</f>
        <v/>
      </c>
      <c r="V127" s="160" t="n"/>
    </row>
    <row r="128" ht="15" customHeight="1">
      <c r="A128" s="67" t="n">
        <v>74</v>
      </c>
      <c r="B128" s="67" t="n">
        <v>16</v>
      </c>
      <c r="C128" s="71">
        <f>[1]ΑΝΤΙΣΤΟΙΧΙΣΗ!O202</f>
        <v/>
      </c>
      <c r="D128" s="14">
        <f>'[1]2026_60-69 ΕΞΟΔΑ+ΟΜ 2'!O89</f>
        <v/>
      </c>
      <c r="E128" s="15">
        <f>D132/$D$116</f>
        <v/>
      </c>
      <c r="F128" s="10">
        <f>D132+'[1]2026 Νοέμβριος'!F132</f>
        <v/>
      </c>
      <c r="G128" s="15">
        <f>F132/$F$116</f>
        <v/>
      </c>
      <c r="H128" s="14" t="n"/>
      <c r="I128" s="29">
        <f>H132/$H$116</f>
        <v/>
      </c>
      <c r="J128" s="10" t="n"/>
      <c r="K128" s="10">
        <f>J132/$J$116</f>
        <v/>
      </c>
      <c r="L128" s="14">
        <f>'[1]2024_60-69 ΕΞΟΔΑ+ΟΜ 2'!O81</f>
        <v/>
      </c>
      <c r="M128" s="15">
        <f>L132/$L$116</f>
        <v/>
      </c>
      <c r="N128" s="10">
        <f>L132+'[1]2026 Νοέμβριος'!N132</f>
        <v/>
      </c>
      <c r="O128" s="15">
        <f>N132/$N$116</f>
        <v/>
      </c>
      <c r="P128" s="10" t="n"/>
      <c r="Q128" s="30">
        <f>SUM(D132:P132)</f>
        <v/>
      </c>
      <c r="V128" s="160" t="n"/>
    </row>
    <row r="129" ht="15" customHeight="1">
      <c r="A129" s="67" t="n">
        <v>75</v>
      </c>
      <c r="B129" s="67" t="n">
        <v>17</v>
      </c>
      <c r="C129" s="71">
        <f>[1]ΑΝΤΙΣΤΟΙΧΙΣΗ!O203</f>
        <v/>
      </c>
      <c r="D129" s="14">
        <f>'[1]2026_60-69 ΕΞΟΔΑ+ΟΜ 2'!O90</f>
        <v/>
      </c>
      <c r="E129" s="15">
        <f>D133/$D$116</f>
        <v/>
      </c>
      <c r="F129" s="10">
        <f>D133+'[1]2026 Νοέμβριος'!F133</f>
        <v/>
      </c>
      <c r="G129" s="15">
        <f>F133/$F$116</f>
        <v/>
      </c>
      <c r="H129" s="14" t="n"/>
      <c r="I129" s="29">
        <f>H133/$H$116</f>
        <v/>
      </c>
      <c r="J129" s="10" t="n"/>
      <c r="K129" s="10">
        <f>J133/$J$116</f>
        <v/>
      </c>
      <c r="L129" s="14">
        <f>'[1]2024_60-69 ΕΞΟΔΑ+ΟΜ 2'!O82</f>
        <v/>
      </c>
      <c r="M129" s="15">
        <f>L133/$L$116</f>
        <v/>
      </c>
      <c r="N129" s="10">
        <f>L133+'[1]2026 Νοέμβριος'!N133</f>
        <v/>
      </c>
      <c r="O129" s="15">
        <f>N133/$N$116</f>
        <v/>
      </c>
      <c r="P129" s="10" t="n"/>
      <c r="Q129" s="30">
        <f>SUM(D133:P133)</f>
        <v/>
      </c>
      <c r="V129" s="160" t="n"/>
    </row>
    <row r="130" ht="15" customHeight="1">
      <c r="A130" s="67" t="n">
        <v>76</v>
      </c>
      <c r="B130" s="67" t="n">
        <v>18</v>
      </c>
      <c r="C130" s="71">
        <f>[1]ΑΝΤΙΣΤΟΙΧΙΣΗ!O204</f>
        <v/>
      </c>
      <c r="D130" s="14">
        <f>'[1]2026_60-69 ΕΞΟΔΑ+ΟΜ 2'!O91</f>
        <v/>
      </c>
      <c r="E130" s="15">
        <f>D134/$D$116</f>
        <v/>
      </c>
      <c r="F130" s="10">
        <f>D134+'[1]2026 Νοέμβριος'!F134</f>
        <v/>
      </c>
      <c r="G130" s="15">
        <f>F134/$F$116</f>
        <v/>
      </c>
      <c r="H130" s="14" t="n"/>
      <c r="I130" s="29">
        <f>H134/$H$116</f>
        <v/>
      </c>
      <c r="J130" s="10" t="n"/>
      <c r="K130" s="10">
        <f>J134/$J$116</f>
        <v/>
      </c>
      <c r="L130" s="14">
        <f>'[1]2024_60-69 ΕΞΟΔΑ+ΟΜ 2'!O83</f>
        <v/>
      </c>
      <c r="M130" s="15">
        <f>L134/$L$116</f>
        <v/>
      </c>
      <c r="N130" s="10">
        <f>L134+'[1]2026 Νοέμβριος'!N134</f>
        <v/>
      </c>
      <c r="O130" s="15">
        <f>N134/$N$116</f>
        <v/>
      </c>
      <c r="P130" s="10" t="n"/>
      <c r="Q130" s="30">
        <f>SUM(D134:P134)</f>
        <v/>
      </c>
      <c r="V130" s="160" t="n"/>
    </row>
    <row r="131" ht="15" customHeight="1">
      <c r="A131" s="67" t="n">
        <v>77</v>
      </c>
      <c r="B131" s="67" t="n">
        <v>19</v>
      </c>
      <c r="C131" s="73">
        <f>[1]ΑΝΤΙΣΤΟΙΧΙΣΗ!O205</f>
        <v/>
      </c>
      <c r="D131" s="14">
        <f>'[1]2026_60-69 ΕΞΟΔΑ+ΟΜ 2'!O92</f>
        <v/>
      </c>
      <c r="E131" s="15">
        <f>D135/$D$116</f>
        <v/>
      </c>
      <c r="F131" s="10">
        <f>D135+'[1]2026 Νοέμβριος'!F135</f>
        <v/>
      </c>
      <c r="G131" s="15">
        <f>F135/$F$116</f>
        <v/>
      </c>
      <c r="H131" s="14" t="n"/>
      <c r="I131" s="29">
        <f>H135/$H$116</f>
        <v/>
      </c>
      <c r="J131" s="10" t="n"/>
      <c r="K131" s="10">
        <f>J135/$J$116</f>
        <v/>
      </c>
      <c r="L131" s="14">
        <f>'[1]2024_60-69 ΕΞΟΔΑ+ΟΜ 2'!O84</f>
        <v/>
      </c>
      <c r="M131" s="15">
        <f>L135/$L$116</f>
        <v/>
      </c>
      <c r="N131" s="10">
        <f>L135+'[1]2026 Νοέμβριος'!N135</f>
        <v/>
      </c>
      <c r="O131" s="15">
        <f>N135/$N$116</f>
        <v/>
      </c>
      <c r="P131" s="10" t="n"/>
      <c r="Q131" s="30">
        <f>SUM(D135:P135)</f>
        <v/>
      </c>
    </row>
    <row r="132" ht="15" customHeight="1">
      <c r="A132" s="67" t="n">
        <v>78</v>
      </c>
      <c r="B132" s="67" t="n">
        <v>20</v>
      </c>
      <c r="C132" s="46">
        <f>[1]ΑΝΤΙΣΤΟΙΧΙΣΗ!O206</f>
        <v/>
      </c>
      <c r="D132" s="14">
        <f>'[1]2026_60-69 ΕΞΟΔΑ+ΟΜ 2'!O93</f>
        <v/>
      </c>
      <c r="E132" s="15">
        <f>D136/$D$116</f>
        <v/>
      </c>
      <c r="F132" s="10">
        <f>D136+'[1]2026 Νοέμβριος'!F136</f>
        <v/>
      </c>
      <c r="G132" s="15">
        <f>F136/$F$116</f>
        <v/>
      </c>
      <c r="H132" s="14" t="n"/>
      <c r="I132" s="29">
        <f>H136/$H$116</f>
        <v/>
      </c>
      <c r="J132" s="10" t="n"/>
      <c r="K132" s="10">
        <f>J136/$J$116</f>
        <v/>
      </c>
      <c r="L132" s="14">
        <f>'[1]2024_60-69 ΕΞΟΔΑ+ΟΜ 2'!O85</f>
        <v/>
      </c>
      <c r="M132" s="15">
        <f>L136/$L$116</f>
        <v/>
      </c>
      <c r="N132" s="10">
        <f>L136+'[1]2026 Νοέμβριος'!N136</f>
        <v/>
      </c>
      <c r="O132" s="15">
        <f>N136/$N$116</f>
        <v/>
      </c>
      <c r="P132" s="10" t="n"/>
      <c r="Q132" s="30">
        <f>SUM(D136:P136)</f>
        <v/>
      </c>
    </row>
    <row r="133" ht="57" customHeight="1">
      <c r="A133" s="67" t="n">
        <v>79</v>
      </c>
      <c r="B133" s="67" t="n">
        <v>21</v>
      </c>
      <c r="C133" s="46">
        <f>[1]ΑΝΤΙΣΤΟΙΧΙΣΗ!O207</f>
        <v/>
      </c>
      <c r="D133" s="14">
        <f>'[1]2026_60-69 ΕΞΟΔΑ+ΟΜ 2'!O94</f>
        <v/>
      </c>
      <c r="E133" s="15">
        <f>D137/$D$116</f>
        <v/>
      </c>
      <c r="F133" s="10">
        <f>D137+'[1]2026 Νοέμβριος'!F137</f>
        <v/>
      </c>
      <c r="G133" s="15">
        <f>F137/$F$116</f>
        <v/>
      </c>
      <c r="H133" s="14" t="n"/>
      <c r="I133" s="29">
        <f>H137/$H$116</f>
        <v/>
      </c>
      <c r="J133" s="10" t="n"/>
      <c r="K133" s="10">
        <f>J137/$J$116</f>
        <v/>
      </c>
      <c r="L133" s="14">
        <f>'[1]2024_60-69 ΕΞΟΔΑ+ΟΜ 2'!O86</f>
        <v/>
      </c>
      <c r="M133" s="15">
        <f>L137/$L$116</f>
        <v/>
      </c>
      <c r="N133" s="10">
        <f>L137+'[1]2026 Νοέμβριος'!N137</f>
        <v/>
      </c>
      <c r="O133" s="15">
        <f>N137/$N$116</f>
        <v/>
      </c>
      <c r="P133" s="10" t="n"/>
      <c r="Q133" s="30">
        <f>SUM(D137:P137)</f>
        <v/>
      </c>
    </row>
    <row r="134" ht="57" customHeight="1">
      <c r="A134" s="67" t="n">
        <v>80</v>
      </c>
      <c r="B134" s="67" t="n">
        <v>22</v>
      </c>
      <c r="C134" s="46">
        <f>[1]ΑΝΤΙΣΤΟΙΧΙΣΗ!O208</f>
        <v/>
      </c>
      <c r="D134" s="14">
        <f>'[1]2026_60-69 ΕΞΟΔΑ+ΟΜ 2'!O95</f>
        <v/>
      </c>
      <c r="E134" s="15">
        <f>D138/$D$116</f>
        <v/>
      </c>
      <c r="F134" s="10">
        <f>D138+'[1]2026 Νοέμβριος'!F138</f>
        <v/>
      </c>
      <c r="G134" s="15">
        <f>F138/$F$116</f>
        <v/>
      </c>
      <c r="H134" s="14" t="n"/>
      <c r="I134" s="29">
        <f>H138/$H$116</f>
        <v/>
      </c>
      <c r="J134" s="10" t="n"/>
      <c r="K134" s="10">
        <f>J138/$J$116</f>
        <v/>
      </c>
      <c r="L134" s="14">
        <f>'[1]2024_60-69 ΕΞΟΔΑ+ΟΜ 2'!O87</f>
        <v/>
      </c>
      <c r="M134" s="15">
        <f>L138/$L$116</f>
        <v/>
      </c>
      <c r="N134" s="10">
        <f>L138+'[1]2026 Νοέμβριος'!N138</f>
        <v/>
      </c>
      <c r="O134" s="15">
        <f>N138/$N$116</f>
        <v/>
      </c>
      <c r="P134" s="10" t="n"/>
      <c r="Q134" s="30">
        <f>SUM(D138:P138)</f>
        <v/>
      </c>
    </row>
    <row r="135" ht="15" customHeight="1">
      <c r="A135" s="67" t="n">
        <v>81</v>
      </c>
      <c r="B135" s="67" t="n">
        <v>23</v>
      </c>
      <c r="C135" s="46">
        <f>[1]ΑΝΤΙΣΤΟΙΧΙΣΗ!O209</f>
        <v/>
      </c>
      <c r="D135" s="14">
        <f>'[1]2026_60-69 ΕΞΟΔΑ+ΟΜ 2'!O96</f>
        <v/>
      </c>
      <c r="E135" s="15">
        <f>D139/$D$116</f>
        <v/>
      </c>
      <c r="F135" s="10">
        <f>D139+'[1]2026 Νοέμβριος'!F139</f>
        <v/>
      </c>
      <c r="G135" s="15">
        <f>F139/$F$116</f>
        <v/>
      </c>
      <c r="H135" s="14" t="n"/>
      <c r="I135" s="29">
        <f>H139/$H$116</f>
        <v/>
      </c>
      <c r="J135" s="10" t="n"/>
      <c r="K135" s="10">
        <f>J139/$J$116</f>
        <v/>
      </c>
      <c r="L135" s="14">
        <f>'[1]2024_60-69 ΕΞΟΔΑ+ΟΜ 2'!O88</f>
        <v/>
      </c>
      <c r="M135" s="15">
        <f>L139/$L$116</f>
        <v/>
      </c>
      <c r="N135" s="10">
        <f>L139+'[1]2026 Νοέμβριος'!N139</f>
        <v/>
      </c>
      <c r="O135" s="15">
        <f>N139/$N$116</f>
        <v/>
      </c>
      <c r="P135" s="10" t="n"/>
      <c r="Q135" s="30">
        <f>SUM(D139:P139)</f>
        <v/>
      </c>
    </row>
    <row r="136" ht="15" customHeight="1">
      <c r="A136" s="67" t="n">
        <v>82</v>
      </c>
      <c r="B136" s="67" t="n">
        <v>24</v>
      </c>
      <c r="C136" s="72">
        <f>[1]ΑΝΤΙΣΤΟΙΧΙΣΗ!O210</f>
        <v/>
      </c>
      <c r="D136" s="14">
        <f>'[1]2026_60-69 ΕΞΟΔΑ+ΟΜ 2'!O97</f>
        <v/>
      </c>
      <c r="E136" s="15">
        <f>D140/$D$116</f>
        <v/>
      </c>
      <c r="F136" s="10">
        <f>D140+'[1]2026 Νοέμβριος'!F140</f>
        <v/>
      </c>
      <c r="G136" s="15">
        <f>F140/$F$116</f>
        <v/>
      </c>
      <c r="H136" s="14" t="n"/>
      <c r="I136" s="29">
        <f>H140/$H$116</f>
        <v/>
      </c>
      <c r="J136" s="10" t="n"/>
      <c r="K136" s="10">
        <f>J140/$J$116</f>
        <v/>
      </c>
      <c r="L136" s="14">
        <f>'[1]2024_60-69 ΕΞΟΔΑ+ΟΜ 2'!O89</f>
        <v/>
      </c>
      <c r="M136" s="15">
        <f>L140/$L$116</f>
        <v/>
      </c>
      <c r="N136" s="10">
        <f>L140+'[1]2026 Νοέμβριος'!N140</f>
        <v/>
      </c>
      <c r="O136" s="15">
        <f>N140/$N$116</f>
        <v/>
      </c>
      <c r="P136" s="10" t="n"/>
      <c r="Q136" s="30">
        <f>SUM(D140:P140)</f>
        <v/>
      </c>
    </row>
    <row r="137" ht="15" customHeight="1">
      <c r="A137" s="67" t="n">
        <v>83</v>
      </c>
      <c r="B137" s="67" t="n">
        <v>25</v>
      </c>
      <c r="C137" s="72">
        <f>[1]ΑΝΤΙΣΤΟΙΧΙΣΗ!O211</f>
        <v/>
      </c>
      <c r="D137" s="14">
        <f>'[1]2026_60-69 ΕΞΟΔΑ+ΟΜ 2'!O98</f>
        <v/>
      </c>
      <c r="E137" s="15">
        <f>D141/$D$116</f>
        <v/>
      </c>
      <c r="F137" s="10">
        <f>D141+'[1]2026 Νοέμβριος'!F141</f>
        <v/>
      </c>
      <c r="G137" s="15">
        <f>F141/$F$116</f>
        <v/>
      </c>
      <c r="H137" s="14" t="n"/>
      <c r="I137" s="29">
        <f>H141/$H$116</f>
        <v/>
      </c>
      <c r="J137" s="10" t="n"/>
      <c r="K137" s="10">
        <f>J141/$J$116</f>
        <v/>
      </c>
      <c r="L137" s="14">
        <f>'[1]2024_60-69 ΕΞΟΔΑ+ΟΜ 2'!O90</f>
        <v/>
      </c>
      <c r="M137" s="15">
        <f>L141/$L$116</f>
        <v/>
      </c>
      <c r="N137" s="10">
        <f>L141+'[1]2026 Νοέμβριος'!N141</f>
        <v/>
      </c>
      <c r="O137" s="15">
        <f>N141/$N$116</f>
        <v/>
      </c>
      <c r="P137" s="10" t="n"/>
      <c r="Q137" s="30">
        <f>SUM(D141:P141)</f>
        <v/>
      </c>
    </row>
    <row r="138" ht="15" customHeight="1">
      <c r="A138" s="67" t="n">
        <v>84</v>
      </c>
      <c r="B138" s="67" t="n">
        <v>26</v>
      </c>
      <c r="C138" s="46">
        <f>[1]ΑΝΤΙΣΤΟΙΧΙΣΗ!O212</f>
        <v/>
      </c>
      <c r="D138" s="14">
        <f>'[1]2026_60-69 ΕΞΟΔΑ+ΟΜ 2'!O99</f>
        <v/>
      </c>
      <c r="E138" s="15">
        <f>D142/$D$116</f>
        <v/>
      </c>
      <c r="F138" s="10">
        <f>D142+'[1]2026 Νοέμβριος'!F142</f>
        <v/>
      </c>
      <c r="G138" s="15">
        <f>F142/$F$116</f>
        <v/>
      </c>
      <c r="H138" s="14" t="n"/>
      <c r="I138" s="29">
        <f>H142/$H$116</f>
        <v/>
      </c>
      <c r="J138" s="10" t="n"/>
      <c r="K138" s="10">
        <f>J142/$J$116</f>
        <v/>
      </c>
      <c r="L138" s="14">
        <f>'[1]2024_60-69 ΕΞΟΔΑ+ΟΜ 2'!O91</f>
        <v/>
      </c>
      <c r="M138" s="15">
        <f>L142/$L$116</f>
        <v/>
      </c>
      <c r="N138" s="10">
        <f>L142+'[1]2026 Νοέμβριος'!N142</f>
        <v/>
      </c>
      <c r="O138" s="15">
        <f>N142/$N$116</f>
        <v/>
      </c>
      <c r="P138" s="10" t="n"/>
      <c r="Q138" s="30">
        <f>SUM(D142:P142)</f>
        <v/>
      </c>
    </row>
    <row r="139" ht="15" customHeight="1">
      <c r="A139" s="67" t="n">
        <v>85</v>
      </c>
      <c r="B139" s="67" t="n">
        <v>27</v>
      </c>
      <c r="C139" s="46">
        <f>[1]ΑΝΤΙΣΤΟΙΧΙΣΗ!O213</f>
        <v/>
      </c>
      <c r="D139" s="14">
        <f>'[1]2026_60-69 ΕΞΟΔΑ+ΟΜ 2'!O100</f>
        <v/>
      </c>
      <c r="E139" s="15">
        <f>D143/$D$116</f>
        <v/>
      </c>
      <c r="F139" s="10">
        <f>D143+'[1]2026 Νοέμβριος'!F143</f>
        <v/>
      </c>
      <c r="G139" s="15">
        <f>F143/$F$116</f>
        <v/>
      </c>
      <c r="H139" s="14" t="n"/>
      <c r="I139" s="29">
        <f>H143/$H$116</f>
        <v/>
      </c>
      <c r="J139" s="10" t="n"/>
      <c r="K139" s="10">
        <f>J143/$J$116</f>
        <v/>
      </c>
      <c r="L139" s="14">
        <f>'[1]2024_60-69 ΕΞΟΔΑ+ΟΜ 2'!O92</f>
        <v/>
      </c>
      <c r="M139" s="15">
        <f>L143/$L$116</f>
        <v/>
      </c>
      <c r="N139" s="10">
        <f>L143+'[1]2026 Νοέμβριος'!N143</f>
        <v/>
      </c>
      <c r="O139" s="15">
        <f>N143/$N$116</f>
        <v/>
      </c>
      <c r="P139" s="10" t="n"/>
      <c r="Q139" s="30">
        <f>SUM(D143:P143)</f>
        <v/>
      </c>
    </row>
    <row r="140" ht="15" customHeight="1">
      <c r="A140" s="67" t="n">
        <v>86</v>
      </c>
      <c r="B140" s="67" t="n">
        <v>28</v>
      </c>
      <c r="C140" s="46">
        <f>[1]ΑΝΤΙΣΤΟΙΧΙΣΗ!O214</f>
        <v/>
      </c>
      <c r="D140" s="14">
        <f>'[1]2026_60-69 ΕΞΟΔΑ+ΟΜ 2'!O101</f>
        <v/>
      </c>
      <c r="E140" s="15">
        <f>D144/$D$116</f>
        <v/>
      </c>
      <c r="F140" s="10">
        <f>D144+'[1]2026 Νοέμβριος'!F144</f>
        <v/>
      </c>
      <c r="G140" s="15">
        <f>F144/$F$116</f>
        <v/>
      </c>
      <c r="H140" s="14" t="n"/>
      <c r="I140" s="29">
        <f>H144/$H$116</f>
        <v/>
      </c>
      <c r="J140" s="10" t="n"/>
      <c r="K140" s="10">
        <f>J144/$J$116</f>
        <v/>
      </c>
      <c r="L140" s="14">
        <f>'[1]2024_60-69 ΕΞΟΔΑ+ΟΜ 2'!O93</f>
        <v/>
      </c>
      <c r="M140" s="15">
        <f>L144/$L$116</f>
        <v/>
      </c>
      <c r="N140" s="10">
        <f>L144+'[1]2026 Νοέμβριος'!N144</f>
        <v/>
      </c>
      <c r="O140" s="15">
        <f>N144/$N$116</f>
        <v/>
      </c>
      <c r="P140" s="10" t="n"/>
      <c r="Q140" s="30">
        <f>SUM(D144:P144)</f>
        <v/>
      </c>
    </row>
    <row r="141" ht="15" customHeight="1">
      <c r="A141" s="67" t="n">
        <v>87</v>
      </c>
      <c r="B141" s="67" t="n">
        <v>29</v>
      </c>
      <c r="C141" s="46">
        <f>[1]ΑΝΤΙΣΤΟΙΧΙΣΗ!O215</f>
        <v/>
      </c>
      <c r="D141" s="14">
        <f>'[1]2026_60-69 ΕΞΟΔΑ+ΟΜ 2'!O102</f>
        <v/>
      </c>
      <c r="E141" s="15">
        <f>D145/$D$116</f>
        <v/>
      </c>
      <c r="F141" s="10">
        <f>D145+'[1]2026 Νοέμβριος'!F145</f>
        <v/>
      </c>
      <c r="G141" s="15">
        <f>F145/$F$116</f>
        <v/>
      </c>
      <c r="H141" s="14" t="n"/>
      <c r="I141" s="29">
        <f>H145/$H$116</f>
        <v/>
      </c>
      <c r="J141" s="10" t="n"/>
      <c r="K141" s="10">
        <f>J145/$J$116</f>
        <v/>
      </c>
      <c r="L141" s="14">
        <f>'[1]2024_60-69 ΕΞΟΔΑ+ΟΜ 2'!O94</f>
        <v/>
      </c>
      <c r="M141" s="15">
        <f>L145/$L$116</f>
        <v/>
      </c>
      <c r="N141" s="10">
        <f>L145+'[1]2026 Νοέμβριος'!N145</f>
        <v/>
      </c>
      <c r="O141" s="15">
        <f>N145/$N$116</f>
        <v/>
      </c>
      <c r="P141" s="10" t="n"/>
      <c r="Q141" s="30">
        <f>SUM(D145:P145)</f>
        <v/>
      </c>
    </row>
    <row r="142" ht="15" customHeight="1">
      <c r="A142" s="67" t="n">
        <v>88</v>
      </c>
      <c r="B142" s="67" t="n">
        <v>30</v>
      </c>
      <c r="C142" s="46">
        <f>[1]ΑΝΤΙΣΤΟΙΧΙΣΗ!O216</f>
        <v/>
      </c>
      <c r="D142" s="14">
        <f>'[1]2026_60-69 ΕΞΟΔΑ+ΟΜ 2'!O103</f>
        <v/>
      </c>
      <c r="E142" s="15">
        <f>D146/$D$116</f>
        <v/>
      </c>
      <c r="F142" s="10">
        <f>D146+'[1]2026 Νοέμβριος'!F146</f>
        <v/>
      </c>
      <c r="G142" s="15">
        <f>F146/$F$116</f>
        <v/>
      </c>
      <c r="H142" s="14" t="n"/>
      <c r="I142" s="29">
        <f>H146/$H$116</f>
        <v/>
      </c>
      <c r="J142" s="10" t="n"/>
      <c r="K142" s="10">
        <f>J146/$J$116</f>
        <v/>
      </c>
      <c r="L142" s="14">
        <f>'[1]2024_60-69 ΕΞΟΔΑ+ΟΜ 2'!O95</f>
        <v/>
      </c>
      <c r="M142" s="15">
        <f>L146/$L$116</f>
        <v/>
      </c>
      <c r="N142" s="10">
        <f>L146+'[1]2026 Νοέμβριος'!N146</f>
        <v/>
      </c>
      <c r="O142" s="15">
        <f>N146/$N$116</f>
        <v/>
      </c>
      <c r="P142" s="10" t="n"/>
      <c r="Q142" s="30">
        <f>SUM(D146:P146)</f>
        <v/>
      </c>
    </row>
    <row r="143" ht="42.75" customHeight="1">
      <c r="A143" s="67" t="n">
        <v>89</v>
      </c>
      <c r="B143" s="67" t="n">
        <v>31</v>
      </c>
      <c r="C143" s="46">
        <f>[1]ΑΝΤΙΣΤΟΙΧΙΣΗ!O217</f>
        <v/>
      </c>
      <c r="D143" s="14">
        <f>'[1]2026_60-69 ΕΞΟΔΑ+ΟΜ 2'!O104</f>
        <v/>
      </c>
      <c r="E143" s="15">
        <f>D147/$D$116</f>
        <v/>
      </c>
      <c r="F143" s="10">
        <f>D147+'[1]2026 Νοέμβριος'!F147</f>
        <v/>
      </c>
      <c r="G143" s="15">
        <f>F147/$F$116</f>
        <v/>
      </c>
      <c r="H143" s="14" t="n"/>
      <c r="I143" s="29">
        <f>H147/$H$116</f>
        <v/>
      </c>
      <c r="J143" s="10" t="n"/>
      <c r="K143" s="10">
        <f>J147/$J$116</f>
        <v/>
      </c>
      <c r="L143" s="14">
        <f>'[1]2024_60-69 ΕΞΟΔΑ+ΟΜ 2'!O96</f>
        <v/>
      </c>
      <c r="M143" s="15">
        <f>L147/$L$116</f>
        <v/>
      </c>
      <c r="N143" s="10">
        <f>L147+'[1]2026 Νοέμβριος'!N147</f>
        <v/>
      </c>
      <c r="O143" s="15">
        <f>N147/$N$116</f>
        <v/>
      </c>
      <c r="P143" s="10" t="n"/>
      <c r="Q143" s="30">
        <f>SUM(D147:P147)</f>
        <v/>
      </c>
    </row>
    <row r="144" ht="15" customHeight="1">
      <c r="A144" s="67" t="n">
        <v>90</v>
      </c>
      <c r="B144" s="67" t="n">
        <v>32</v>
      </c>
      <c r="C144" s="46">
        <f>[1]ΑΝΤΙΣΤΟΙΧΙΣΗ!O218</f>
        <v/>
      </c>
      <c r="D144" s="14">
        <f>'[1]2026_60-69 ΕΞΟΔΑ+ΟΜ 2'!O105</f>
        <v/>
      </c>
      <c r="E144" s="15">
        <f>D148/$D$116</f>
        <v/>
      </c>
      <c r="F144" s="10">
        <f>D148+'[1]2026 Νοέμβριος'!F148</f>
        <v/>
      </c>
      <c r="G144" s="15">
        <f>F148/$F$116</f>
        <v/>
      </c>
      <c r="H144" s="14" t="n"/>
      <c r="I144" s="29">
        <f>H148/$H$116</f>
        <v/>
      </c>
      <c r="J144" s="10" t="n"/>
      <c r="K144" s="10">
        <f>J148/$J$116</f>
        <v/>
      </c>
      <c r="L144" s="14">
        <f>'[1]2024_60-69 ΕΞΟΔΑ+ΟΜ 2'!O97</f>
        <v/>
      </c>
      <c r="M144" s="15">
        <f>L148/$L$116</f>
        <v/>
      </c>
      <c r="N144" s="10">
        <f>L148+'[1]2026 Νοέμβριος'!N148</f>
        <v/>
      </c>
      <c r="O144" s="15">
        <f>N148/$N$116</f>
        <v/>
      </c>
      <c r="P144" s="10" t="n"/>
      <c r="Q144" s="30">
        <f>SUM(D148:P148)</f>
        <v/>
      </c>
    </row>
    <row r="145" ht="15" customHeight="1">
      <c r="A145" s="67" t="n">
        <v>91</v>
      </c>
      <c r="B145" s="67" t="n">
        <v>33</v>
      </c>
      <c r="C145" s="46">
        <f>[1]ΑΝΤΙΣΤΟΙΧΙΣΗ!O219</f>
        <v/>
      </c>
      <c r="D145" s="14">
        <f>'[1]2026_60-69 ΕΞΟΔΑ+ΟΜ 2'!O106</f>
        <v/>
      </c>
      <c r="E145" s="15">
        <f>D149/$D$116</f>
        <v/>
      </c>
      <c r="F145" s="10">
        <f>D149+'[1]2026 Νοέμβριος'!F149</f>
        <v/>
      </c>
      <c r="G145" s="15">
        <f>F149/$F$116</f>
        <v/>
      </c>
      <c r="H145" s="14" t="n"/>
      <c r="I145" s="29">
        <f>H149/$H$116</f>
        <v/>
      </c>
      <c r="J145" s="10" t="n"/>
      <c r="K145" s="10">
        <f>J149/$J$116</f>
        <v/>
      </c>
      <c r="L145" s="14">
        <f>'[1]2024_60-69 ΕΞΟΔΑ+ΟΜ 2'!O98</f>
        <v/>
      </c>
      <c r="M145" s="15">
        <f>L149/$L$116</f>
        <v/>
      </c>
      <c r="N145" s="10">
        <f>L149+'[1]2026 Νοέμβριος'!N149</f>
        <v/>
      </c>
      <c r="O145" s="15">
        <f>N149/$N$116</f>
        <v/>
      </c>
      <c r="P145" s="10" t="n"/>
      <c r="Q145" s="30">
        <f>SUM(D149:P149)</f>
        <v/>
      </c>
    </row>
    <row r="146" ht="15" customHeight="1">
      <c r="A146" s="67" t="n">
        <v>92</v>
      </c>
      <c r="B146" s="67" t="n">
        <v>34</v>
      </c>
      <c r="C146" s="46">
        <f>[1]ΑΝΤΙΣΤΟΙΧΙΣΗ!O220</f>
        <v/>
      </c>
      <c r="D146" s="14">
        <f>'[1]2026_60-69 ΕΞΟΔΑ+ΟΜ 2'!O107</f>
        <v/>
      </c>
      <c r="E146" s="15">
        <f>D150/$D$116</f>
        <v/>
      </c>
      <c r="F146" s="10">
        <f>D150+'[1]2026 Νοέμβριος'!F150</f>
        <v/>
      </c>
      <c r="G146" s="15">
        <f>F150/$F$116</f>
        <v/>
      </c>
      <c r="H146" s="14" t="n"/>
      <c r="I146" s="29">
        <f>H150/$H$116</f>
        <v/>
      </c>
      <c r="J146" s="10" t="n"/>
      <c r="K146" s="10">
        <f>J150/$J$116</f>
        <v/>
      </c>
      <c r="L146" s="14">
        <f>'[1]2024_60-69 ΕΞΟΔΑ+ΟΜ 2'!O99</f>
        <v/>
      </c>
      <c r="M146" s="15">
        <f>L150/$L$116</f>
        <v/>
      </c>
      <c r="N146" s="10">
        <f>L150+'[1]2026 Νοέμβριος'!N150</f>
        <v/>
      </c>
      <c r="O146" s="15">
        <f>N150/$N$116</f>
        <v/>
      </c>
      <c r="P146" s="10" t="n"/>
      <c r="Q146" s="30">
        <f>SUM(D150:P150)</f>
        <v/>
      </c>
    </row>
    <row r="147" ht="15" customHeight="1">
      <c r="A147" s="67" t="n">
        <v>93</v>
      </c>
      <c r="B147" s="67" t="n">
        <v>35</v>
      </c>
      <c r="C147" s="46">
        <f>[1]ΑΝΤΙΣΤΟΙΧΙΣΗ!O221</f>
        <v/>
      </c>
      <c r="D147" s="14">
        <f>'[1]2026_60-69 ΕΞΟΔΑ+ΟΜ 2'!O108</f>
        <v/>
      </c>
      <c r="E147" s="15">
        <f>D151/$D$157</f>
        <v/>
      </c>
      <c r="F147" s="10">
        <f>D151+'[1]2026 Νοέμβριος'!F151</f>
        <v/>
      </c>
      <c r="G147" s="15">
        <f>F151/$F$116</f>
        <v/>
      </c>
      <c r="H147" s="14" t="n"/>
      <c r="I147" s="29">
        <f>H151/$H$116</f>
        <v/>
      </c>
      <c r="J147" s="10" t="n"/>
      <c r="K147" s="10">
        <f>J151/$J$116</f>
        <v/>
      </c>
      <c r="L147" s="14">
        <f>'[1]2024_60-69 ΕΞΟΔΑ+ΟΜ 2'!O100</f>
        <v/>
      </c>
      <c r="M147" s="15">
        <f>L151/$L$116</f>
        <v/>
      </c>
      <c r="N147" s="10">
        <f>L151+'[1]2026 Νοέμβριος'!N151</f>
        <v/>
      </c>
      <c r="O147" s="15">
        <f>N151/$N$116</f>
        <v/>
      </c>
      <c r="P147" s="10" t="n"/>
      <c r="Q147" s="30">
        <f>SUM(D151:P151)</f>
        <v/>
      </c>
    </row>
    <row r="148" ht="30" customHeight="1">
      <c r="A148" s="67" t="n">
        <v>94</v>
      </c>
      <c r="B148" s="67" t="n">
        <v>36</v>
      </c>
      <c r="C148" s="46">
        <f>[1]ΑΝΤΙΣΤΟΙΧΙΣΗ!O222</f>
        <v/>
      </c>
      <c r="D148" s="14">
        <f>'[1]2026_60-69 ΕΞΟΔΑ+ΟΜ 2'!O109</f>
        <v/>
      </c>
      <c r="E148" s="15">
        <f>D152/$D$157</f>
        <v/>
      </c>
      <c r="F148" s="10">
        <f>D152+'[1]2026 Νοέμβριος'!F152</f>
        <v/>
      </c>
      <c r="G148" s="15">
        <f>F152/$F$116</f>
        <v/>
      </c>
      <c r="H148" s="14" t="n"/>
      <c r="I148" s="29">
        <f>H152/$H$116</f>
        <v/>
      </c>
      <c r="J148" s="10" t="n"/>
      <c r="K148" s="10">
        <f>J152/$J$116</f>
        <v/>
      </c>
      <c r="L148" s="14">
        <f>'[1]2024_60-69 ΕΞΟΔΑ+ΟΜ 2'!O101</f>
        <v/>
      </c>
      <c r="M148" s="15">
        <f>L152/$L$116</f>
        <v/>
      </c>
      <c r="N148" s="10">
        <f>L152+'[1]2026 Νοέμβριος'!N152</f>
        <v/>
      </c>
      <c r="O148" s="15">
        <f>N152/$N$116</f>
        <v/>
      </c>
      <c r="P148" s="10" t="n"/>
      <c r="Q148" s="30">
        <f>SUM(D152:P152)</f>
        <v/>
      </c>
    </row>
    <row r="149" ht="30" customHeight="1">
      <c r="A149" s="67" t="n">
        <v>95</v>
      </c>
      <c r="B149" s="67" t="n">
        <v>37</v>
      </c>
      <c r="C149" s="46">
        <f>[1]ΑΝΤΙΣΤΟΙΧΙΣΗ!O223</f>
        <v/>
      </c>
      <c r="D149" s="14">
        <f>'[1]2026_60-69 ΕΞΟΔΑ+ΟΜ 2'!O110</f>
        <v/>
      </c>
      <c r="E149" s="15">
        <f>D153/$D$157</f>
        <v/>
      </c>
      <c r="F149" s="10">
        <f>D153+'[1]2026 Νοέμβριος'!F153</f>
        <v/>
      </c>
      <c r="G149" s="15">
        <f>F153/$F$116</f>
        <v/>
      </c>
      <c r="H149" s="14" t="n"/>
      <c r="I149" s="29">
        <f>H153/$H$116</f>
        <v/>
      </c>
      <c r="J149" s="10" t="n"/>
      <c r="K149" s="10">
        <f>J153/$J$116</f>
        <v/>
      </c>
      <c r="L149" s="14">
        <f>'[1]2024_60-69 ΕΞΟΔΑ+ΟΜ 2'!O102</f>
        <v/>
      </c>
      <c r="M149" s="15">
        <f>L153/$L$116</f>
        <v/>
      </c>
      <c r="N149" s="10">
        <f>L153+'[1]2026 Νοέμβριος'!N153</f>
        <v/>
      </c>
      <c r="O149" s="15">
        <f>N153/$N$116</f>
        <v/>
      </c>
      <c r="P149" s="10" t="n"/>
      <c r="Q149" s="30">
        <f>SUM(D153:P153)</f>
        <v/>
      </c>
    </row>
    <row r="150" ht="30" customHeight="1">
      <c r="A150" s="67" t="n">
        <v>96</v>
      </c>
      <c r="B150" s="67" t="n">
        <v>38</v>
      </c>
      <c r="C150" s="46">
        <f>[1]ΑΝΤΙΣΤΟΙΧΙΣΗ!O224</f>
        <v/>
      </c>
      <c r="D150" s="14" t="n"/>
      <c r="E150" s="15" t="n"/>
      <c r="F150" s="10" t="n"/>
      <c r="G150" s="15" t="n"/>
      <c r="H150" s="14" t="n"/>
      <c r="I150" s="29" t="n"/>
      <c r="J150" s="10" t="n"/>
      <c r="K150" s="10" t="n"/>
      <c r="L150" s="14" t="n"/>
      <c r="M150" s="15" t="n"/>
      <c r="N150" s="10" t="n"/>
      <c r="O150" s="15" t="n"/>
      <c r="P150" s="10" t="n"/>
      <c r="Q150" s="30" t="n"/>
    </row>
    <row r="151" ht="15" customHeight="1">
      <c r="A151" s="67" t="n">
        <v>97</v>
      </c>
      <c r="B151" s="67" t="n">
        <v>39</v>
      </c>
      <c r="C151" s="46">
        <f>[1]ΑΝΤΙΣΤΟΙΧΙΣΗ!O225</f>
        <v/>
      </c>
      <c r="D151" s="14" t="n"/>
      <c r="E151" s="15" t="n"/>
      <c r="F151" s="10" t="n"/>
      <c r="G151" s="15" t="n"/>
      <c r="H151" s="14" t="n"/>
      <c r="I151" s="29" t="n"/>
      <c r="J151" s="10" t="n"/>
      <c r="K151" s="10" t="n"/>
      <c r="L151" s="14" t="n"/>
      <c r="M151" s="15" t="n"/>
      <c r="N151" s="10" t="n"/>
      <c r="O151" s="15" t="n"/>
      <c r="P151" s="10" t="n"/>
      <c r="Q151" s="30" t="n"/>
    </row>
    <row r="152" ht="15" customHeight="1">
      <c r="A152" s="67" t="n">
        <v>98</v>
      </c>
      <c r="B152" s="67" t="n">
        <v>40</v>
      </c>
      <c r="C152" s="46">
        <f>[1]ΑΝΤΙΣΤΟΙΧΙΣΗ!O226</f>
        <v/>
      </c>
      <c r="D152" s="14" t="n"/>
      <c r="E152" s="15" t="n"/>
      <c r="F152" s="10" t="n"/>
      <c r="G152" s="15" t="n"/>
      <c r="H152" s="14" t="n"/>
      <c r="I152" s="29" t="n"/>
      <c r="J152" s="10" t="n"/>
      <c r="K152" s="10" t="n"/>
      <c r="L152" s="14" t="n"/>
      <c r="M152" s="15" t="n"/>
      <c r="N152" s="10" t="n"/>
      <c r="O152" s="15" t="n"/>
      <c r="P152" s="10" t="n"/>
      <c r="Q152" s="30" t="n"/>
    </row>
    <row r="153" ht="42.75" customHeight="1">
      <c r="A153" s="86" t="n"/>
      <c r="B153" s="86" t="n"/>
      <c r="C153" s="6" t="inlineStr">
        <is>
          <t xml:space="preserve">ΣΥΝΟΛΟ ΔΙΟΙΚΗΤΙΚΟΥ ΚΟΣΤΟΥΣ ΜΗΝΟΣ </t>
        </is>
      </c>
      <c r="D153" s="7">
        <f>'[1]2026_60-69 ΕΞΟΔΑ+ΟΜ 2'!O73</f>
        <v/>
      </c>
      <c r="E153" s="8" t="n"/>
      <c r="F153" s="7">
        <f>'[1]2026_60-69 ΕΞΟΔΑ+ΟΜ 2'!AB73</f>
        <v/>
      </c>
      <c r="G153" s="8" t="n"/>
      <c r="H153" s="7">
        <f>SUM(H117:H156)</f>
        <v/>
      </c>
      <c r="I153" s="8" t="n"/>
      <c r="J153" s="7">
        <f>SUM(J117:J156)</f>
        <v/>
      </c>
      <c r="K153" s="8" t="n"/>
      <c r="L153" s="7">
        <f>SUM(L117:L156)</f>
        <v/>
      </c>
      <c r="M153" s="8" t="n"/>
      <c r="N153" s="7">
        <f>SUM(N117:N156)</f>
        <v/>
      </c>
      <c r="O153" s="8" t="n"/>
      <c r="P153" s="7">
        <f>SUM(P117:P156)</f>
        <v/>
      </c>
      <c r="Q153" s="8" t="n"/>
    </row>
    <row r="154" ht="15" customHeight="1">
      <c r="A154" s="86" t="n"/>
      <c r="B154" s="86" t="n"/>
      <c r="C154" s="6" t="inlineStr">
        <is>
          <t>Ελεγχος Ορθότητας ( πρέπει να είναι 0)</t>
        </is>
      </c>
      <c r="D154" s="7">
        <f>D116-D157</f>
        <v/>
      </c>
      <c r="E154" s="8" t="n"/>
      <c r="F154" s="7">
        <f>F116-F157</f>
        <v/>
      </c>
      <c r="G154" s="8" t="n"/>
      <c r="H154" s="7">
        <f>H116-H157</f>
        <v/>
      </c>
      <c r="I154" s="8" t="n"/>
      <c r="J154" s="7">
        <f>J116-J157</f>
        <v/>
      </c>
      <c r="K154" s="8" t="n"/>
      <c r="L154" s="7">
        <f>L116-L157</f>
        <v/>
      </c>
      <c r="M154" s="8" t="n"/>
      <c r="N154" s="7">
        <f>N116-N157</f>
        <v/>
      </c>
      <c r="O154" s="8" t="n"/>
      <c r="P154" s="7">
        <f>P116-P157</f>
        <v/>
      </c>
      <c r="Q154" s="8" t="n"/>
    </row>
    <row r="155" ht="15" customHeight="1">
      <c r="A155" s="87" t="n"/>
      <c r="B155" s="87" t="n"/>
      <c r="C155" s="2" t="inlineStr">
        <is>
          <t xml:space="preserve">Λογιστικό Αποτέλεσμα μηνός </t>
        </is>
      </c>
      <c r="D155" s="31">
        <f>D7-D78-D111-D157</f>
        <v/>
      </c>
      <c r="E155" s="4" t="n"/>
      <c r="F155" s="31">
        <f>F7-F78-F111-F157</f>
        <v/>
      </c>
      <c r="G155" s="4" t="n"/>
      <c r="H155" s="31">
        <f>H7-H78-H111-H157</f>
        <v/>
      </c>
      <c r="I155" s="4" t="n"/>
      <c r="J155" s="31">
        <f>J7-J78-J111-J157</f>
        <v/>
      </c>
      <c r="K155" s="4" t="n"/>
      <c r="L155" s="31">
        <f>L7-L78-L111-L157</f>
        <v/>
      </c>
      <c r="M155" s="4" t="n"/>
      <c r="N155" s="31">
        <f>N7-N78-N111-N157</f>
        <v/>
      </c>
      <c r="O155" s="4" t="n"/>
      <c r="P155" s="31" t="n"/>
      <c r="Q155" s="4" t="n"/>
    </row>
    <row r="156" ht="15" customHeight="1"/>
    <row r="157" ht="30" customHeight="1">
      <c r="O157" s="161" t="n"/>
    </row>
    <row r="158" ht="30" customHeight="1"/>
    <row r="159" ht="30" customHeight="1">
      <c r="N159" s="162" t="n"/>
    </row>
    <row r="160">
      <c r="N160" s="163" t="n"/>
      <c r="O160" s="164" t="n"/>
    </row>
    <row r="161" ht="15.75" customHeight="1"/>
    <row r="163" ht="15.75" customHeight="1"/>
    <row r="164" ht="15.75" customHeight="1"/>
  </sheetData>
  <mergeCells count="33">
    <mergeCell ref="L113:O113"/>
    <mergeCell ref="L40:O40"/>
    <mergeCell ref="D41:F41"/>
    <mergeCell ref="P114:Q114"/>
    <mergeCell ref="P113:Q113"/>
    <mergeCell ref="L81:O81"/>
    <mergeCell ref="P41:Q41"/>
    <mergeCell ref="D113:G113"/>
    <mergeCell ref="A1:Q1"/>
    <mergeCell ref="P40:Q40"/>
    <mergeCell ref="L114:N114"/>
    <mergeCell ref="L41:N41"/>
    <mergeCell ref="P81:Q81"/>
    <mergeCell ref="H114:J114"/>
    <mergeCell ref="P2:Q2"/>
    <mergeCell ref="L2:O2"/>
    <mergeCell ref="D3:F3"/>
    <mergeCell ref="H3:J3"/>
    <mergeCell ref="D114:F114"/>
    <mergeCell ref="D81:G81"/>
    <mergeCell ref="D40:G40"/>
    <mergeCell ref="D82:F82"/>
    <mergeCell ref="H113:K113"/>
    <mergeCell ref="H40:K40"/>
    <mergeCell ref="P82:Q82"/>
    <mergeCell ref="H82:J82"/>
    <mergeCell ref="D2:G2"/>
    <mergeCell ref="L82:N82"/>
    <mergeCell ref="P3:Q3"/>
    <mergeCell ref="H41:J41"/>
    <mergeCell ref="H2:K2"/>
    <mergeCell ref="L3:N3"/>
    <mergeCell ref="H81:K8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354"/>
  <sheetViews>
    <sheetView tabSelected="1" topLeftCell="A96" zoomScale="70" zoomScaleNormal="70" workbookViewId="0">
      <selection activeCell="A126" sqref="A126:XFD127"/>
    </sheetView>
  </sheetViews>
  <sheetFormatPr baseColWidth="8" defaultRowHeight="15"/>
  <cols>
    <col width="52.85546875" bestFit="1" customWidth="1" min="1" max="1"/>
    <col width="22.28515625" customWidth="1" min="2" max="2"/>
    <col width="43.85546875" bestFit="1" customWidth="1" min="3" max="4"/>
    <col width="27.7109375" bestFit="1" customWidth="1" min="5" max="5"/>
    <col width="31" bestFit="1" customWidth="1" min="6" max="6"/>
    <col width="36.7109375" bestFit="1" customWidth="1" min="7" max="7"/>
    <col width="26.85546875" customWidth="1" min="8" max="8"/>
    <col width="35.140625" bestFit="1" customWidth="1" min="9" max="9"/>
    <col width="26.85546875" customWidth="1" min="10" max="10"/>
    <col width="32.85546875" bestFit="1" customWidth="1" min="11" max="11"/>
    <col width="37.28515625" bestFit="1" customWidth="1" min="12" max="12"/>
    <col width="33.42578125" bestFit="1" customWidth="1" min="13" max="13"/>
    <col width="39.140625" bestFit="1" customWidth="1" min="14" max="14"/>
    <col width="42.7109375" customWidth="1" min="15" max="15"/>
    <col width="24.28515625" bestFit="1" customWidth="1" min="16" max="16"/>
    <col width="43.85546875" bestFit="1" customWidth="1" min="17" max="17"/>
    <col width="27.5703125" bestFit="1" customWidth="1" min="18" max="18"/>
    <col width="43.85546875" bestFit="1" customWidth="1" min="19" max="19"/>
    <col width="29.7109375" bestFit="1" customWidth="1" min="20" max="20"/>
    <col width="43.85546875" bestFit="1" customWidth="1" min="21" max="21"/>
    <col width="27.85546875" bestFit="1" customWidth="1" min="22" max="22"/>
    <col width="43.85546875" bestFit="1" customWidth="1" min="23" max="23"/>
    <col width="27.7109375" bestFit="1" customWidth="1" min="24" max="24"/>
    <col width="43.85546875" bestFit="1" customWidth="1" min="25" max="25"/>
    <col width="26.5703125" customWidth="1" min="26" max="26"/>
    <col width="45.140625" bestFit="1" customWidth="1" min="27" max="27"/>
    <col width="11" customWidth="1" min="28" max="28"/>
    <col width="14.140625" bestFit="1" customWidth="1" min="30" max="30"/>
  </cols>
  <sheetData>
    <row r="1"/>
    <row r="2" ht="18" customHeight="1">
      <c r="A2" s="34" t="inlineStr">
        <is>
          <t xml:space="preserve">Μήνας </t>
        </is>
      </c>
      <c r="B2" s="34" t="inlineStr">
        <is>
          <t>Ετος</t>
        </is>
      </c>
      <c r="C2" s="34" t="inlineStr">
        <is>
          <t>Εσοδα 2026</t>
        </is>
      </c>
      <c r="D2" s="34" t="inlineStr">
        <is>
          <t>Προοδευτικά έσοδα 2026</t>
        </is>
      </c>
      <c r="E2" s="34" t="inlineStr">
        <is>
          <t xml:space="preserve">Αμεσο Κόστος </t>
        </is>
      </c>
      <c r="F2" s="34" t="inlineStr">
        <is>
          <t>Προοδευτικό Α.Κ 2026</t>
        </is>
      </c>
      <c r="G2" s="34" t="inlineStr">
        <is>
          <t xml:space="preserve">Μικτό Κέρδος  μηνός </t>
        </is>
      </c>
      <c r="H2" s="34" t="inlineStr">
        <is>
          <t>Προοδ. Μικτό Κέρδος 2026</t>
        </is>
      </c>
      <c r="I2" s="34" t="inlineStr">
        <is>
          <t>Κόστος Πωλήσεων  2026</t>
        </is>
      </c>
      <c r="J2" s="34" t="inlineStr">
        <is>
          <t>Προοδ.Κόστος Πωλήσεων 2026</t>
        </is>
      </c>
      <c r="K2" s="34" t="inlineStr">
        <is>
          <t>Διοικητικό Κόστος 2026</t>
        </is>
      </c>
      <c r="L2" s="34" t="inlineStr">
        <is>
          <t>Προοδ. Διοικ. Κόστος 2026</t>
        </is>
      </c>
      <c r="M2" s="34" t="inlineStr">
        <is>
          <t xml:space="preserve">Γενικό Σύνολο Εξόδων </t>
        </is>
      </c>
      <c r="N2" s="34" t="inlineStr">
        <is>
          <t>Λογιστικο Αποτέλεσμα 2026</t>
        </is>
      </c>
      <c r="O2" s="34" t="inlineStr">
        <is>
          <t>Προοδ. Λογ. Αποτέλεσμα 2026</t>
        </is>
      </c>
    </row>
    <row r="3">
      <c r="A3" s="35" t="inlineStr">
        <is>
          <t>Ιανουάριος</t>
        </is>
      </c>
      <c r="B3" s="35" t="n">
        <v>2026</v>
      </c>
      <c r="C3" s="36">
        <f>'2026 Ιανουάριος'!D7</f>
        <v/>
      </c>
      <c r="D3" s="36">
        <f>C3</f>
        <v/>
      </c>
      <c r="E3" s="36">
        <f>'2026 Ιανουάριος'!D43</f>
        <v/>
      </c>
      <c r="F3" s="36">
        <f>'2026 Ιανουάριος'!D46</f>
        <v/>
      </c>
      <c r="G3" s="36">
        <f>C3-E3</f>
        <v/>
      </c>
      <c r="H3" s="36">
        <f>D3-F3</f>
        <v/>
      </c>
      <c r="I3" s="36">
        <f>'2026 Ιανουάριος'!D84</f>
        <v/>
      </c>
      <c r="J3" s="36">
        <f>'2026 Ιανουάριος'!F84</f>
        <v/>
      </c>
      <c r="K3" s="36">
        <f>'2026 Ιανουάριος'!D116</f>
        <v/>
      </c>
      <c r="L3" s="36">
        <f>'2026 Ιανουάριος'!F116</f>
        <v/>
      </c>
      <c r="M3" s="36">
        <f>E3+I3+K3</f>
        <v/>
      </c>
      <c r="N3" s="36">
        <f>C3-E3-I3-K3</f>
        <v/>
      </c>
      <c r="O3" s="36">
        <f>N3</f>
        <v/>
      </c>
    </row>
    <row r="4">
      <c r="A4" s="35" t="inlineStr">
        <is>
          <t>Φεβρουάριος</t>
        </is>
      </c>
      <c r="B4" s="35" t="n">
        <v>2026</v>
      </c>
      <c r="C4" s="36">
        <f>'2026 Φεβρουάριος'!D7</f>
        <v/>
      </c>
      <c r="D4" s="36">
        <f>D3+C4</f>
        <v/>
      </c>
      <c r="E4" s="36">
        <f>'2026 Φεβρουάριος'!D44</f>
        <v/>
      </c>
      <c r="F4" s="36">
        <f>'2026 Φεβρουάριος'!D49</f>
        <v/>
      </c>
      <c r="G4" s="36">
        <f>C4-E4</f>
        <v/>
      </c>
      <c r="H4" s="36">
        <f>D4-F4</f>
        <v/>
      </c>
      <c r="I4" s="36">
        <f>'2026 Φεβρουάριος'!D47</f>
        <v/>
      </c>
      <c r="J4" s="36">
        <f>'2026 Φεβρουάριος'!F47</f>
        <v/>
      </c>
      <c r="K4" s="36">
        <f>'2026 Φεβρουάριος'!D117</f>
        <v/>
      </c>
      <c r="L4" s="36">
        <f>'2026 Φεβρουάριος'!F117</f>
        <v/>
      </c>
      <c r="M4" s="36">
        <f>E4+I4+K4</f>
        <v/>
      </c>
      <c r="N4" s="36">
        <f>C4-E4-I4-K4</f>
        <v/>
      </c>
      <c r="O4" s="36">
        <f>O3+N4</f>
        <v/>
      </c>
    </row>
    <row r="5">
      <c r="A5" s="35" t="inlineStr">
        <is>
          <t>Μάρτιος</t>
        </is>
      </c>
      <c r="B5" s="35" t="n">
        <v>2026</v>
      </c>
      <c r="C5" s="36">
        <f>'2026 Μάρτιος'!D7</f>
        <v/>
      </c>
      <c r="D5" s="36">
        <f>D4+C5</f>
        <v/>
      </c>
      <c r="E5" s="36">
        <f>'2026 Μάρτιος'!D44</f>
        <v/>
      </c>
      <c r="F5" s="36">
        <f>'2026 Μάρτιος'!D49</f>
        <v/>
      </c>
      <c r="G5" s="36">
        <f>C5-E5</f>
        <v/>
      </c>
      <c r="H5" s="36">
        <f>D5-F5</f>
        <v/>
      </c>
      <c r="I5" s="36">
        <f>'2026 Μάρτιος'!D47</f>
        <v/>
      </c>
      <c r="J5" s="36">
        <f>'2026 Μάρτιος'!F47</f>
        <v/>
      </c>
      <c r="K5" s="36">
        <f>'2026 Μάρτιος'!D117</f>
        <v/>
      </c>
      <c r="L5" s="36">
        <f>'2026 Μάρτιος'!F117</f>
        <v/>
      </c>
      <c r="M5" s="36">
        <f>E5+I5+K5</f>
        <v/>
      </c>
      <c r="N5" s="36">
        <f>C5-E5-I5-K5</f>
        <v/>
      </c>
      <c r="O5" s="36">
        <f>O4+N5</f>
        <v/>
      </c>
    </row>
    <row r="6">
      <c r="A6" s="35" t="inlineStr">
        <is>
          <t>Απρίλιος</t>
        </is>
      </c>
      <c r="B6" s="35" t="n">
        <v>2026</v>
      </c>
      <c r="C6" s="36">
        <f>'2026 Απρίλιος'!D7</f>
        <v/>
      </c>
      <c r="D6" s="36">
        <f>D5+C6</f>
        <v/>
      </c>
      <c r="E6" s="36">
        <f>'2026 Απρίλιος'!D44</f>
        <v/>
      </c>
      <c r="F6" s="36">
        <f>'2026 Απρίλιος'!D49</f>
        <v/>
      </c>
      <c r="G6" s="36">
        <f>C6-E6</f>
        <v/>
      </c>
      <c r="H6" s="36">
        <f>D6-F6</f>
        <v/>
      </c>
      <c r="I6" s="36">
        <f>'2026 Απρίλιος'!D47</f>
        <v/>
      </c>
      <c r="J6" s="36">
        <f>'2026 Απρίλιος'!F47</f>
        <v/>
      </c>
      <c r="K6" s="36">
        <f>'2026 Απρίλιος'!D117</f>
        <v/>
      </c>
      <c r="L6" s="36">
        <f>'2026 Απρίλιος'!F117</f>
        <v/>
      </c>
      <c r="M6" s="36">
        <f>E6+I6+K6</f>
        <v/>
      </c>
      <c r="N6" s="36">
        <f>C6-E6-I6-K6</f>
        <v/>
      </c>
      <c r="O6" s="36">
        <f>O5+N6</f>
        <v/>
      </c>
    </row>
    <row r="7">
      <c r="A7" s="35" t="inlineStr">
        <is>
          <t>Μάιος</t>
        </is>
      </c>
      <c r="B7" s="35" t="n">
        <v>2026</v>
      </c>
      <c r="C7" s="36">
        <f>'2026 Μάιος'!D7</f>
        <v/>
      </c>
      <c r="D7" s="36">
        <f>D6+C7</f>
        <v/>
      </c>
      <c r="E7" s="36">
        <f>'2026 Μάιος'!D44</f>
        <v/>
      </c>
      <c r="F7" s="36">
        <f>'2026 Μάιος'!D49</f>
        <v/>
      </c>
      <c r="G7" s="36">
        <f>C7-E7</f>
        <v/>
      </c>
      <c r="H7" s="36">
        <f>D7-F7</f>
        <v/>
      </c>
      <c r="I7" s="36">
        <f>'2026 Μάιος'!D47</f>
        <v/>
      </c>
      <c r="J7" s="36">
        <f>'2026 Μάιος'!F47</f>
        <v/>
      </c>
      <c r="K7" s="36">
        <f>'2026 Μάιος'!D117</f>
        <v/>
      </c>
      <c r="L7" s="36">
        <f>'2026 Μάιος'!F117</f>
        <v/>
      </c>
      <c r="M7" s="36">
        <f>E7+I7+K7</f>
        <v/>
      </c>
      <c r="N7" s="36">
        <f>C7-E7-I7-K7</f>
        <v/>
      </c>
      <c r="O7" s="36">
        <f>O6+N7</f>
        <v/>
      </c>
    </row>
    <row r="8">
      <c r="A8" s="35" t="inlineStr">
        <is>
          <t>Ιούνιος</t>
        </is>
      </c>
      <c r="B8" s="35" t="n">
        <v>2026</v>
      </c>
      <c r="C8" s="36">
        <f>'2026 Ιούνιος'!D7</f>
        <v/>
      </c>
      <c r="D8" s="36">
        <f>D7+C8</f>
        <v/>
      </c>
      <c r="E8" s="36">
        <f>'2026 Ιούνιος'!D44</f>
        <v/>
      </c>
      <c r="F8" s="36">
        <f>'2026 Ιούνιος'!D49</f>
        <v/>
      </c>
      <c r="G8" s="36">
        <f>C8-E8</f>
        <v/>
      </c>
      <c r="H8" s="36">
        <f>D8-F8</f>
        <v/>
      </c>
      <c r="I8" s="36">
        <f>'2026 Ιούνιος'!D47</f>
        <v/>
      </c>
      <c r="J8" s="36">
        <f>'2026 Ιούνιος'!F47</f>
        <v/>
      </c>
      <c r="K8" s="36">
        <f>'2026 Ιούνιος'!D117</f>
        <v/>
      </c>
      <c r="L8" s="36">
        <f>'2026 Ιούνιος'!F117</f>
        <v/>
      </c>
      <c r="M8" s="36">
        <f>E8+I8+K8</f>
        <v/>
      </c>
      <c r="N8" s="36">
        <f>C8-E8-I8-K8</f>
        <v/>
      </c>
      <c r="O8" s="36">
        <f>O7+N8</f>
        <v/>
      </c>
    </row>
    <row r="9">
      <c r="A9" s="35" t="inlineStr">
        <is>
          <t>Ιούλιος</t>
        </is>
      </c>
      <c r="B9" s="35" t="n">
        <v>2026</v>
      </c>
      <c r="C9" s="36">
        <f>'2026 Ιούλιος'!D7</f>
        <v/>
      </c>
      <c r="D9" s="36">
        <f>D8+C9</f>
        <v/>
      </c>
      <c r="E9" s="36">
        <f>'2026 Ιούλιος'!D44</f>
        <v/>
      </c>
      <c r="F9" s="36">
        <f>'2026 Ιούλιος'!D49</f>
        <v/>
      </c>
      <c r="G9" s="36">
        <f>C9-E9</f>
        <v/>
      </c>
      <c r="H9" s="36">
        <f>D9-F9</f>
        <v/>
      </c>
      <c r="I9" s="36">
        <f>'2026 Ιούλιος'!D47</f>
        <v/>
      </c>
      <c r="J9" s="36">
        <f>'2026 Ιούλιος'!F47</f>
        <v/>
      </c>
      <c r="K9" s="36">
        <f>'2026 Ιούλιος'!D117</f>
        <v/>
      </c>
      <c r="L9" s="36">
        <f>'2026 Ιούλιος'!F117</f>
        <v/>
      </c>
      <c r="M9" s="36">
        <f>E9+I9+K9</f>
        <v/>
      </c>
      <c r="N9" s="36">
        <f>C9-E9-I9-K9</f>
        <v/>
      </c>
      <c r="O9" s="36">
        <f>O8+N9</f>
        <v/>
      </c>
    </row>
    <row r="10">
      <c r="A10" s="35" t="inlineStr">
        <is>
          <t>Αύγουστος</t>
        </is>
      </c>
      <c r="B10" s="35" t="n">
        <v>2026</v>
      </c>
      <c r="C10" s="36">
        <f>'2026 Aύγουστος'!D7</f>
        <v/>
      </c>
      <c r="D10" s="36">
        <f>D9+C10</f>
        <v/>
      </c>
      <c r="E10" s="36">
        <f>'2026 Aύγουστος'!D44</f>
        <v/>
      </c>
      <c r="F10" s="36">
        <f>'2026 Aύγουστος'!D49</f>
        <v/>
      </c>
      <c r="G10" s="36">
        <f>C10-E10</f>
        <v/>
      </c>
      <c r="H10" s="36">
        <f>D10-F10</f>
        <v/>
      </c>
      <c r="I10" s="36">
        <f>'2026 Aύγουστος'!D47</f>
        <v/>
      </c>
      <c r="J10" s="36">
        <f>'2026 Aύγουστος'!F47</f>
        <v/>
      </c>
      <c r="K10" s="36">
        <f>'2026 Aύγουστος'!D117</f>
        <v/>
      </c>
      <c r="L10" s="36">
        <f>'2026 Aύγουστος'!F117</f>
        <v/>
      </c>
      <c r="M10" s="36">
        <f>E10+I10+K10</f>
        <v/>
      </c>
      <c r="N10" s="36">
        <f>C10-E10-I10-K10</f>
        <v/>
      </c>
      <c r="O10" s="36">
        <f>O9+N10</f>
        <v/>
      </c>
    </row>
    <row r="11">
      <c r="A11" s="35" t="inlineStr">
        <is>
          <t>Σεπτέμβριος</t>
        </is>
      </c>
      <c r="B11" s="35" t="n">
        <v>2026</v>
      </c>
      <c r="C11" s="36">
        <f>'2026 Σεπτέμβριος'!D7</f>
        <v/>
      </c>
      <c r="D11" s="36">
        <f>D10+C11</f>
        <v/>
      </c>
      <c r="E11" s="36">
        <f>'2026 Σεπτέμβριος'!D44</f>
        <v/>
      </c>
      <c r="F11" s="36">
        <f>'2026 Σεπτέμβριος'!D49</f>
        <v/>
      </c>
      <c r="G11" s="36">
        <f>C11-E11</f>
        <v/>
      </c>
      <c r="H11" s="36">
        <f>D11-F11</f>
        <v/>
      </c>
      <c r="I11" s="36">
        <f>'2026 Σεπτέμβριος'!D47</f>
        <v/>
      </c>
      <c r="J11" s="36">
        <f>'2026 Σεπτέμβριος'!F47</f>
        <v/>
      </c>
      <c r="K11" s="36">
        <f>'2026 Σεπτέμβριος'!D117</f>
        <v/>
      </c>
      <c r="L11" s="36">
        <f>'2026 Σεπτέμβριος'!F117</f>
        <v/>
      </c>
      <c r="M11" s="36">
        <f>E11+I11+K11</f>
        <v/>
      </c>
      <c r="N11" s="36">
        <f>C11-E11-I11-K11</f>
        <v/>
      </c>
      <c r="O11" s="36">
        <f>O10+N11</f>
        <v/>
      </c>
    </row>
    <row r="12">
      <c r="A12" s="35" t="inlineStr">
        <is>
          <t>Οκτώβριος</t>
        </is>
      </c>
      <c r="B12" s="35" t="n">
        <v>2026</v>
      </c>
      <c r="C12" s="36">
        <f>'2026 Οκτώβριος'!D7</f>
        <v/>
      </c>
      <c r="D12" s="36">
        <f>D11+C12</f>
        <v/>
      </c>
      <c r="E12" s="36">
        <f>'2026 Οκτώβριος'!D44</f>
        <v/>
      </c>
      <c r="F12" s="36">
        <f>'2026 Οκτώβριος'!D49</f>
        <v/>
      </c>
      <c r="G12" s="36">
        <f>C12-E12</f>
        <v/>
      </c>
      <c r="H12" s="36">
        <f>D12-F12</f>
        <v/>
      </c>
      <c r="I12" s="36">
        <f>'2026 Οκτώβριος'!D47</f>
        <v/>
      </c>
      <c r="J12" s="36">
        <f>'2026 Οκτώβριος'!F47</f>
        <v/>
      </c>
      <c r="K12" s="36">
        <f>'2026 Οκτώβριος'!D117</f>
        <v/>
      </c>
      <c r="L12" s="36">
        <f>'2026 Οκτώβριος'!F117</f>
        <v/>
      </c>
      <c r="M12" s="36">
        <f>E12+I12+K12</f>
        <v/>
      </c>
      <c r="N12" s="36">
        <f>C12-E12-I12-K12</f>
        <v/>
      </c>
      <c r="O12" s="36">
        <f>O11+N12</f>
        <v/>
      </c>
    </row>
    <row r="13">
      <c r="A13" s="35" t="inlineStr">
        <is>
          <t>Νοέμβριος</t>
        </is>
      </c>
      <c r="B13" s="35" t="n">
        <v>2026</v>
      </c>
      <c r="C13" s="36">
        <f>'2026 Νοέμβριος'!D7</f>
        <v/>
      </c>
      <c r="D13" s="36">
        <f>D12+C13</f>
        <v/>
      </c>
      <c r="E13" s="36">
        <f>'2026 Νοέμβριος'!D44</f>
        <v/>
      </c>
      <c r="F13" s="36">
        <f>'2026 Νοέμβριος'!D49</f>
        <v/>
      </c>
      <c r="G13" s="36">
        <f>C13-E13</f>
        <v/>
      </c>
      <c r="H13" s="36">
        <f>D13-F13</f>
        <v/>
      </c>
      <c r="I13" s="36">
        <f>'2026 Νοέμβριος'!D47</f>
        <v/>
      </c>
      <c r="J13" s="36">
        <f>'2026 Νοέμβριος'!F47</f>
        <v/>
      </c>
      <c r="K13" s="36">
        <f>'2026 Νοέμβριος'!D117</f>
        <v/>
      </c>
      <c r="L13" s="36">
        <f>'2026 Νοέμβριος'!F117</f>
        <v/>
      </c>
      <c r="M13" s="36">
        <f>E13+I13+K13</f>
        <v/>
      </c>
      <c r="N13" s="36">
        <f>C13-E13-I13-K13</f>
        <v/>
      </c>
      <c r="O13" s="36">
        <f>O12+N13</f>
        <v/>
      </c>
    </row>
    <row r="14">
      <c r="A14" s="35" t="inlineStr">
        <is>
          <t>Δεκέμβριος</t>
        </is>
      </c>
      <c r="B14" s="35" t="n">
        <v>2026</v>
      </c>
      <c r="C14" s="36">
        <f>'2026 Δεκέμβριος'!D7</f>
        <v/>
      </c>
      <c r="D14" s="36">
        <f>D13+C14</f>
        <v/>
      </c>
      <c r="E14" s="36">
        <f>'2026 Δεκέμβριος'!D44</f>
        <v/>
      </c>
      <c r="F14" s="36">
        <f>'2026 Δεκέμβριος'!D49</f>
        <v/>
      </c>
      <c r="G14" s="36">
        <f>C14-E14</f>
        <v/>
      </c>
      <c r="H14" s="36">
        <f>D14-F14</f>
        <v/>
      </c>
      <c r="I14" s="36">
        <f>'2026 Δεκέμβριος'!D47</f>
        <v/>
      </c>
      <c r="J14" s="36">
        <f>'2026 Δεκέμβριος'!F47</f>
        <v/>
      </c>
      <c r="K14" s="36">
        <f>'2026 Δεκέμβριος'!D117</f>
        <v/>
      </c>
      <c r="L14" s="36">
        <f>'2026 Δεκέμβριος'!F117</f>
        <v/>
      </c>
      <c r="M14" s="36">
        <f>E14+I14+K14</f>
        <v/>
      </c>
      <c r="N14" s="36">
        <f>C14-E14-I14-K14</f>
        <v/>
      </c>
      <c r="O14" s="36">
        <f>O13+N14</f>
        <v/>
      </c>
    </row>
    <row r="15">
      <c r="A15" s="35" t="inlineStr">
        <is>
          <t>Σύνολο</t>
        </is>
      </c>
      <c r="B15" s="35" t="n"/>
      <c r="C15" s="36">
        <f>SUM(C3:C14)</f>
        <v/>
      </c>
      <c r="D15" s="36">
        <f>'2026 Δεκέμβριος'!F7</f>
        <v/>
      </c>
      <c r="E15" s="36">
        <f>SUM(E3:E14)</f>
        <v/>
      </c>
      <c r="F15" s="36">
        <f>'2026 Δεκέμβριος'!D49</f>
        <v/>
      </c>
      <c r="G15" s="36">
        <f>SUM(G3:G14)</f>
        <v/>
      </c>
      <c r="H15" s="36">
        <f>D15-F15</f>
        <v/>
      </c>
      <c r="I15" s="36">
        <f>SUM(I3:I14)</f>
        <v/>
      </c>
      <c r="J15" s="36">
        <f>'2026 Δεκέμβριος'!F47</f>
        <v/>
      </c>
      <c r="K15" s="36">
        <f>SUM(K3:K14)</f>
        <v/>
      </c>
      <c r="L15" s="36">
        <f>'2026 Δεκέμβριος'!F117</f>
        <v/>
      </c>
      <c r="M15" s="36">
        <f>SUM(M3:M14)</f>
        <v/>
      </c>
      <c r="N15" s="36">
        <f>SUM(N3:N14)</f>
        <v/>
      </c>
      <c r="O15" s="36">
        <f>SUM(O3:O14)</f>
        <v/>
      </c>
    </row>
    <row r="16">
      <c r="A16" t="inlineStr">
        <is>
          <t>ΕΠΑΛΗΘΕΥΣΗ</t>
        </is>
      </c>
      <c r="C16" s="37" t="n"/>
      <c r="D16" s="37">
        <f>D14-D15</f>
        <v/>
      </c>
      <c r="E16" s="37" t="n"/>
      <c r="F16" s="37">
        <f>F14-F15</f>
        <v/>
      </c>
      <c r="G16" s="37">
        <f>'2026 Δεκέμβριος'!F80-G15</f>
        <v/>
      </c>
      <c r="H16" s="37">
        <f>D16-F16</f>
        <v/>
      </c>
      <c r="I16" s="37">
        <f>'2026 Δεκέμβριος'!F84-I15</f>
        <v/>
      </c>
      <c r="J16" s="37">
        <f>J14-J15</f>
        <v/>
      </c>
      <c r="K16" s="37">
        <f>'2026 Δεκέμβριος'!F107-K15</f>
        <v/>
      </c>
      <c r="L16" s="37">
        <f>L14-L15</f>
        <v/>
      </c>
      <c r="M16" s="37" t="n"/>
      <c r="N16" s="37" t="n"/>
      <c r="O16" s="37" t="n"/>
    </row>
    <row r="17"/>
    <row r="18" ht="18" customHeight="1">
      <c r="A18" s="34" t="inlineStr">
        <is>
          <t xml:space="preserve">Μήνας </t>
        </is>
      </c>
      <c r="B18" s="34" t="inlineStr">
        <is>
          <t xml:space="preserve">Ετος </t>
        </is>
      </c>
      <c r="C18" s="34" t="inlineStr">
        <is>
          <t>Εσοδα 2024</t>
        </is>
      </c>
      <c r="D18" s="34" t="inlineStr">
        <is>
          <t>Προοδευτικά έσοδα 2024</t>
        </is>
      </c>
      <c r="E18" s="34" t="inlineStr">
        <is>
          <t>Αμεσο Κόστος 2024</t>
        </is>
      </c>
      <c r="F18" s="34" t="inlineStr">
        <is>
          <t>Προοδευτικό Α.Κ 2024</t>
        </is>
      </c>
      <c r="G18" s="34" t="inlineStr">
        <is>
          <t>Μικτό Κέρδος  μηνός 2024</t>
        </is>
      </c>
      <c r="H18" s="34" t="inlineStr">
        <is>
          <t>Προοδ. Μικτό Κέρδος 2024</t>
        </is>
      </c>
      <c r="I18" s="34" t="inlineStr">
        <is>
          <t>Κόστος Πωλήσεων 2024</t>
        </is>
      </c>
      <c r="J18" s="34" t="inlineStr">
        <is>
          <t>Προοδ.Κόστος Πωλήσεων 2024</t>
        </is>
      </c>
      <c r="K18" s="34" t="inlineStr">
        <is>
          <t>Διοικητικό Κόστος 2024</t>
        </is>
      </c>
      <c r="L18" s="34" t="inlineStr">
        <is>
          <t>Προοδ. Διοικ. Κόστος 2024</t>
        </is>
      </c>
      <c r="M18" s="34" t="inlineStr">
        <is>
          <t xml:space="preserve">Γενικό Σύνολο Εξόδων </t>
        </is>
      </c>
      <c r="N18" s="34" t="inlineStr">
        <is>
          <t>Λογιστικο Αποτέλεσμα 2024</t>
        </is>
      </c>
      <c r="O18" s="34" t="inlineStr">
        <is>
          <t>Προοδ. Λογ. Αποτέλεσμα 2024</t>
        </is>
      </c>
    </row>
    <row r="19">
      <c r="A19" s="35" t="inlineStr">
        <is>
          <t>Ιανουάριος</t>
        </is>
      </c>
      <c r="B19" s="35" t="n">
        <v>2024</v>
      </c>
      <c r="C19" s="36">
        <f>'2026 Ιανουάριος'!L7</f>
        <v/>
      </c>
      <c r="D19" s="36">
        <f>C19</f>
        <v/>
      </c>
      <c r="E19" s="36">
        <f>'2026 Ιανουάριος'!L43</f>
        <v/>
      </c>
      <c r="F19" s="36">
        <f>'2026 Ιανουάριος'!N46</f>
        <v/>
      </c>
      <c r="G19" s="36">
        <f>C19-E19</f>
        <v/>
      </c>
      <c r="H19" s="36">
        <f>D19-F19</f>
        <v/>
      </c>
      <c r="I19" s="36">
        <f>'2026 Ιανουάριος'!L84</f>
        <v/>
      </c>
      <c r="J19" s="36">
        <f>'2026 Ιανουάριος'!N84</f>
        <v/>
      </c>
      <c r="K19" s="36">
        <f>'2026 Ιανουάριος'!L116</f>
        <v/>
      </c>
      <c r="L19" s="36">
        <f>'2026 Ιανουάριος'!N116</f>
        <v/>
      </c>
      <c r="M19" s="36">
        <f>K19+I19+E19</f>
        <v/>
      </c>
      <c r="N19" s="36">
        <f>C19-E19-I19-K19</f>
        <v/>
      </c>
      <c r="O19" s="36">
        <f>N19</f>
        <v/>
      </c>
    </row>
    <row r="20">
      <c r="A20" s="35" t="inlineStr">
        <is>
          <t>Φεβρουάριος</t>
        </is>
      </c>
      <c r="B20" s="35" t="n">
        <v>2024</v>
      </c>
      <c r="C20" s="36">
        <f>'2026 Φεβρουάριος'!L7</f>
        <v/>
      </c>
      <c r="D20" s="36">
        <f>D19+C20</f>
        <v/>
      </c>
      <c r="E20" s="36">
        <f>'2026 Φεβρουάριος'!L44</f>
        <v/>
      </c>
      <c r="F20" s="36">
        <f>'2026 Φεβρουάριος'!N49</f>
        <v/>
      </c>
      <c r="G20" s="36">
        <f>C20-E20</f>
        <v/>
      </c>
      <c r="H20" s="36">
        <f>D20-F20</f>
        <v/>
      </c>
      <c r="I20" s="36">
        <f>'2026 Φεβρουάριος'!L47</f>
        <v/>
      </c>
      <c r="J20" s="36">
        <f>'2026 Φεβρουάριος'!N47</f>
        <v/>
      </c>
      <c r="K20" s="36">
        <f>'2026 Φεβρουάριος'!L117</f>
        <v/>
      </c>
      <c r="L20" s="36">
        <f>'2026 Φεβρουάριος'!N117</f>
        <v/>
      </c>
      <c r="M20" s="36">
        <f>K20+I20+E20</f>
        <v/>
      </c>
      <c r="N20" s="36">
        <f>C20-E20-I20-K20</f>
        <v/>
      </c>
      <c r="O20" s="36">
        <f>O19+N20</f>
        <v/>
      </c>
    </row>
    <row r="21">
      <c r="A21" s="35" t="inlineStr">
        <is>
          <t>Μάρτιος</t>
        </is>
      </c>
      <c r="B21" s="35" t="n">
        <v>2024</v>
      </c>
      <c r="C21" s="36">
        <f>'2026 Μάρτιος'!L7</f>
        <v/>
      </c>
      <c r="D21" s="36">
        <f>D20+C21</f>
        <v/>
      </c>
      <c r="E21" s="36">
        <f>'2026 Μάρτιος'!L44</f>
        <v/>
      </c>
      <c r="F21" s="36">
        <f>'2026 Μάρτιος'!N49</f>
        <v/>
      </c>
      <c r="G21" s="36">
        <f>C21-E21</f>
        <v/>
      </c>
      <c r="H21" s="36">
        <f>D21-F21</f>
        <v/>
      </c>
      <c r="I21" s="36">
        <f>'2026 Μάρτιος'!L47</f>
        <v/>
      </c>
      <c r="J21" s="36">
        <f>'2026 Μάρτιος'!N47</f>
        <v/>
      </c>
      <c r="K21" s="36">
        <f>'2026 Μάρτιος'!L117</f>
        <v/>
      </c>
      <c r="L21" s="36">
        <f>'2026 Μάρτιος'!N117</f>
        <v/>
      </c>
      <c r="M21" s="36">
        <f>K21+I21+E21</f>
        <v/>
      </c>
      <c r="N21" s="36">
        <f>C21-E21-I21-K21</f>
        <v/>
      </c>
      <c r="O21" s="36">
        <f>O20+N21</f>
        <v/>
      </c>
    </row>
    <row r="22">
      <c r="A22" s="35" t="inlineStr">
        <is>
          <t>Απρίλιος</t>
        </is>
      </c>
      <c r="B22" s="35" t="n">
        <v>2024</v>
      </c>
      <c r="C22" s="36">
        <f>'2026 Απρίλιος'!L7</f>
        <v/>
      </c>
      <c r="D22" s="36">
        <f>D21+C22</f>
        <v/>
      </c>
      <c r="E22" s="36">
        <f>'2026 Απρίλιος'!L44</f>
        <v/>
      </c>
      <c r="F22" s="36">
        <f>'2026 Απρίλιος'!N49</f>
        <v/>
      </c>
      <c r="G22" s="36">
        <f>C22-E22</f>
        <v/>
      </c>
      <c r="H22" s="36">
        <f>D22-F22</f>
        <v/>
      </c>
      <c r="I22" s="36">
        <f>'2026 Απρίλιος'!L47</f>
        <v/>
      </c>
      <c r="J22" s="36">
        <f>'2026 Απρίλιος'!N47</f>
        <v/>
      </c>
      <c r="K22" s="36">
        <f>'2026 Απρίλιος'!L117</f>
        <v/>
      </c>
      <c r="L22" s="36">
        <f>'2026 Απρίλιος'!N117</f>
        <v/>
      </c>
      <c r="M22" s="36">
        <f>K22+I22+E22</f>
        <v/>
      </c>
      <c r="N22" s="36">
        <f>C22-E22-I22-K22</f>
        <v/>
      </c>
      <c r="O22" s="36">
        <f>O21+N22</f>
        <v/>
      </c>
    </row>
    <row r="23">
      <c r="A23" s="35" t="inlineStr">
        <is>
          <t>Μάιος</t>
        </is>
      </c>
      <c r="B23" s="35" t="n">
        <v>2024</v>
      </c>
      <c r="C23" s="36">
        <f>'2026 Μάιος'!L7</f>
        <v/>
      </c>
      <c r="D23" s="36">
        <f>D22+C23</f>
        <v/>
      </c>
      <c r="E23" s="36">
        <f>'2026 Μάιος'!L44</f>
        <v/>
      </c>
      <c r="F23" s="36">
        <f>'2026 Μάιος'!N49</f>
        <v/>
      </c>
      <c r="G23" s="36">
        <f>C23-E23</f>
        <v/>
      </c>
      <c r="H23" s="36">
        <f>D23-F23</f>
        <v/>
      </c>
      <c r="I23" s="36">
        <f>'2026 Μάιος'!L47</f>
        <v/>
      </c>
      <c r="J23" s="36">
        <f>'2026 Μάιος'!N47</f>
        <v/>
      </c>
      <c r="K23" s="36">
        <f>'2026 Μάιος'!L117</f>
        <v/>
      </c>
      <c r="L23" s="36">
        <f>'2026 Μάιος'!N117</f>
        <v/>
      </c>
      <c r="M23" s="36">
        <f>K23+I23+E23</f>
        <v/>
      </c>
      <c r="N23" s="36">
        <f>C23-E23-I23-K23</f>
        <v/>
      </c>
      <c r="O23" s="36">
        <f>O22+N23</f>
        <v/>
      </c>
    </row>
    <row r="24">
      <c r="A24" s="35" t="inlineStr">
        <is>
          <t>Ιούνιος</t>
        </is>
      </c>
      <c r="B24" s="35" t="n">
        <v>2024</v>
      </c>
      <c r="C24" s="36">
        <f>'2026 Ιούνιος'!L7</f>
        <v/>
      </c>
      <c r="D24" s="36">
        <f>D23+C24</f>
        <v/>
      </c>
      <c r="E24" s="36">
        <f>'2026 Ιούνιος'!L44</f>
        <v/>
      </c>
      <c r="F24" s="36">
        <f>'2026 Ιούνιος'!N49</f>
        <v/>
      </c>
      <c r="G24" s="36">
        <f>C24-E24</f>
        <v/>
      </c>
      <c r="H24" s="36">
        <f>D24-F24</f>
        <v/>
      </c>
      <c r="I24" s="36">
        <f>'2026 Ιούνιος'!L47</f>
        <v/>
      </c>
      <c r="J24" s="36">
        <f>'2026 Ιούνιος'!N47</f>
        <v/>
      </c>
      <c r="K24" s="36">
        <f>'2026 Ιούνιος'!L117</f>
        <v/>
      </c>
      <c r="L24" s="36">
        <f>'2026 Ιούνιος'!N117</f>
        <v/>
      </c>
      <c r="M24" s="36">
        <f>K24+I24+E24</f>
        <v/>
      </c>
      <c r="N24" s="36">
        <f>C24-E24-I24-K24</f>
        <v/>
      </c>
      <c r="O24" s="36">
        <f>O23+N24</f>
        <v/>
      </c>
      <c r="P24" s="37">
        <f>F24-N24</f>
        <v/>
      </c>
      <c r="Q24">
        <f>F24/J24</f>
        <v/>
      </c>
    </row>
    <row r="25">
      <c r="A25" s="35" t="inlineStr">
        <is>
          <t>Ιούλιος</t>
        </is>
      </c>
      <c r="B25" s="35" t="n">
        <v>2024</v>
      </c>
      <c r="C25" s="36">
        <f>'2026 Ιούλιος'!L7</f>
        <v/>
      </c>
      <c r="D25" s="36">
        <f>D24+C25</f>
        <v/>
      </c>
      <c r="E25" s="36">
        <f>'2026 Ιούλιος'!L44</f>
        <v/>
      </c>
      <c r="F25" s="36">
        <f>'2026 Ιούλιος'!N49</f>
        <v/>
      </c>
      <c r="G25" s="36">
        <f>C25-E25</f>
        <v/>
      </c>
      <c r="H25" s="36">
        <f>D25-F25</f>
        <v/>
      </c>
      <c r="I25" s="36">
        <f>'2026 Ιούλιος'!L47</f>
        <v/>
      </c>
      <c r="J25" s="36">
        <f>'2026 Ιούλιος'!N47</f>
        <v/>
      </c>
      <c r="K25" s="36">
        <f>'2026 Ιούλιος'!L117</f>
        <v/>
      </c>
      <c r="L25" s="36">
        <f>'2026 Ιούλιος'!N117</f>
        <v/>
      </c>
      <c r="M25" s="36">
        <f>K25+I25+E25</f>
        <v/>
      </c>
      <c r="N25" s="36">
        <f>C25-E25-I25-K25</f>
        <v/>
      </c>
      <c r="O25" s="36">
        <f>O24+N25</f>
        <v/>
      </c>
    </row>
    <row r="26">
      <c r="A26" s="35" t="inlineStr">
        <is>
          <t>Αύγουστος</t>
        </is>
      </c>
      <c r="B26" s="35" t="n">
        <v>2024</v>
      </c>
      <c r="C26" s="36">
        <f>'2026 Aύγουστος'!L7</f>
        <v/>
      </c>
      <c r="D26" s="36">
        <f>D25+C26</f>
        <v/>
      </c>
      <c r="E26" s="36">
        <f>'2026 Aύγουστος'!L44</f>
        <v/>
      </c>
      <c r="F26" s="36">
        <f>'2026 Aύγουστος'!N49</f>
        <v/>
      </c>
      <c r="G26" s="36">
        <f>C26-E26</f>
        <v/>
      </c>
      <c r="H26" s="36">
        <f>D26-F26</f>
        <v/>
      </c>
      <c r="I26" s="36">
        <f>'2026 Aύγουστος'!L47</f>
        <v/>
      </c>
      <c r="J26" s="36">
        <f>'2026 Aύγουστος'!N47</f>
        <v/>
      </c>
      <c r="K26" s="36">
        <f>'2026 Aύγουστος'!L117</f>
        <v/>
      </c>
      <c r="L26" s="36">
        <f>'2026 Aύγουστος'!N117</f>
        <v/>
      </c>
      <c r="M26" s="36">
        <f>K26+I26+E26</f>
        <v/>
      </c>
      <c r="N26" s="36">
        <f>C26-E26-I26-K26</f>
        <v/>
      </c>
      <c r="O26" s="36">
        <f>O25+N26</f>
        <v/>
      </c>
    </row>
    <row r="27">
      <c r="A27" s="35" t="inlineStr">
        <is>
          <t>Σεπτέμβριος</t>
        </is>
      </c>
      <c r="B27" s="35" t="n">
        <v>2024</v>
      </c>
      <c r="C27" s="36">
        <f>'2026 Σεπτέμβριος'!L7</f>
        <v/>
      </c>
      <c r="D27" s="36">
        <f>D26+C27</f>
        <v/>
      </c>
      <c r="E27" s="36">
        <f>'2026 Σεπτέμβριος'!L44</f>
        <v/>
      </c>
      <c r="F27" s="36">
        <f>'2026 Σεπτέμβριος'!N49</f>
        <v/>
      </c>
      <c r="G27" s="36">
        <f>C27-E27</f>
        <v/>
      </c>
      <c r="H27" s="36">
        <f>D27-F27</f>
        <v/>
      </c>
      <c r="I27" s="36">
        <f>'2026 Οκτώβριος'!L47</f>
        <v/>
      </c>
      <c r="J27" s="36">
        <f>'2026 Οκτώβριος'!N47</f>
        <v/>
      </c>
      <c r="K27" s="36">
        <f>'2026 Οκτώβριος'!L117</f>
        <v/>
      </c>
      <c r="L27" s="36">
        <f>'2026 Οκτώβριος'!N117</f>
        <v/>
      </c>
      <c r="M27" s="36">
        <f>K27+I27+E27</f>
        <v/>
      </c>
      <c r="N27" s="36">
        <f>C27-E27-I27-K27</f>
        <v/>
      </c>
      <c r="O27" s="36">
        <f>N26+N27</f>
        <v/>
      </c>
    </row>
    <row r="28">
      <c r="A28" s="35" t="inlineStr">
        <is>
          <t>Οκτώβριος</t>
        </is>
      </c>
      <c r="B28" s="35" t="n">
        <v>2024</v>
      </c>
      <c r="C28" s="36">
        <f>'2026 Οκτώβριος'!L7</f>
        <v/>
      </c>
      <c r="D28" s="36">
        <f>D27+C28</f>
        <v/>
      </c>
      <c r="E28" s="36">
        <f>'2026 Οκτώβριος'!L44</f>
        <v/>
      </c>
      <c r="F28" s="36">
        <f>'2026 Οκτώβριος'!N49</f>
        <v/>
      </c>
      <c r="G28" s="36">
        <f>C28-E28</f>
        <v/>
      </c>
      <c r="H28" s="36">
        <f>D28-F28</f>
        <v/>
      </c>
      <c r="I28" s="36">
        <f>'2026 Νοέμβριος'!L47</f>
        <v/>
      </c>
      <c r="J28" s="36">
        <f>'2026 Νοέμβριος'!N47</f>
        <v/>
      </c>
      <c r="K28" s="36">
        <f>'2026 Νοέμβριος'!L117</f>
        <v/>
      </c>
      <c r="L28" s="36">
        <f>'2026 Νοέμβριος'!N117</f>
        <v/>
      </c>
      <c r="M28" s="36">
        <f>K28+I28+E28</f>
        <v/>
      </c>
      <c r="N28" s="36">
        <f>C28-E28-I28-K28</f>
        <v/>
      </c>
      <c r="O28" s="36">
        <f>O27+N28</f>
        <v/>
      </c>
    </row>
    <row r="29">
      <c r="A29" s="35" t="inlineStr">
        <is>
          <t>Νοέμβριος</t>
        </is>
      </c>
      <c r="B29" s="35" t="n">
        <v>2024</v>
      </c>
      <c r="C29" s="36">
        <f>'2026 Νοέμβριος'!L7</f>
        <v/>
      </c>
      <c r="D29" s="36">
        <f>D28+C29</f>
        <v/>
      </c>
      <c r="E29" s="36">
        <f>'2026 Νοέμβριος'!L44</f>
        <v/>
      </c>
      <c r="F29" s="36">
        <f>'2026 Νοέμβριος'!N49</f>
        <v/>
      </c>
      <c r="G29" s="36">
        <f>C29-E29</f>
        <v/>
      </c>
      <c r="H29" s="36">
        <f>D29-F29</f>
        <v/>
      </c>
      <c r="I29" s="36">
        <f>'2026 Δεκέμβριος'!L47</f>
        <v/>
      </c>
      <c r="J29" s="36">
        <f>'2026 Δεκέμβριος'!N47</f>
        <v/>
      </c>
      <c r="K29" s="36">
        <f>'2026 Δεκέμβριος'!L117</f>
        <v/>
      </c>
      <c r="L29" s="36">
        <f>'2026 Δεκέμβριος'!N117</f>
        <v/>
      </c>
      <c r="M29" s="36">
        <f>K29+I29+E29</f>
        <v/>
      </c>
      <c r="N29" s="36">
        <f>C29-E29-I29-K29</f>
        <v/>
      </c>
      <c r="O29" s="36">
        <f>O28+N29</f>
        <v/>
      </c>
    </row>
    <row r="30">
      <c r="A30" s="35" t="inlineStr">
        <is>
          <t>Δεκέμβριος</t>
        </is>
      </c>
      <c r="B30" s="35" t="n">
        <v>2024</v>
      </c>
      <c r="C30" s="36">
        <f>'2026 Δεκέμβριος'!L7</f>
        <v/>
      </c>
      <c r="D30" s="36">
        <f>D29+C30</f>
        <v/>
      </c>
      <c r="E30" s="36">
        <f>'2026 Δεκέμβριος'!L44</f>
        <v/>
      </c>
      <c r="F30" s="36">
        <f>'2026 Δεκέμβριος'!N49</f>
        <v/>
      </c>
      <c r="G30" s="36">
        <f>C30-E30</f>
        <v/>
      </c>
      <c r="H30" s="36">
        <f>D30-F30</f>
        <v/>
      </c>
      <c r="I30" s="36">
        <f>'2026 Δεκέμβριος'!L47</f>
        <v/>
      </c>
      <c r="J30" s="36">
        <f>'2026 Δεκέμβριος'!N47</f>
        <v/>
      </c>
      <c r="K30" s="36">
        <f>'2026 Δεκέμβριος'!L117</f>
        <v/>
      </c>
      <c r="L30" s="36">
        <f>'2026 Δεκέμβριος'!N117</f>
        <v/>
      </c>
      <c r="M30" s="36">
        <f>K30+I30+E30</f>
        <v/>
      </c>
      <c r="N30" s="36">
        <f>C30-E30-I30-K30</f>
        <v/>
      </c>
      <c r="O30" s="36">
        <f>O29+N30</f>
        <v/>
      </c>
    </row>
    <row r="31">
      <c r="A31" s="54" t="inlineStr">
        <is>
          <t>Σύνολο</t>
        </is>
      </c>
      <c r="B31" s="54" t="n"/>
      <c r="C31" s="43">
        <f>SUM(C19:C30)</f>
        <v/>
      </c>
      <c r="D31" s="43">
        <f>'2026 Δεκέμβριος'!N7</f>
        <v/>
      </c>
      <c r="E31" s="43">
        <f>SUM(E19:E30)</f>
        <v/>
      </c>
      <c r="F31" s="43">
        <f>'2026 Δεκέμβριος'!N49</f>
        <v/>
      </c>
      <c r="G31" s="43">
        <f>SUM(G19:G30)</f>
        <v/>
      </c>
      <c r="H31" s="43">
        <f>D31-F31</f>
        <v/>
      </c>
      <c r="I31" s="43">
        <f>SUM(I19:I30)</f>
        <v/>
      </c>
      <c r="J31" s="43">
        <f>'2026 Δεκέμβριος'!N47</f>
        <v/>
      </c>
      <c r="K31" s="43">
        <f>SUM(K19:K30)</f>
        <v/>
      </c>
      <c r="L31" s="43">
        <f>'2026 Δεκέμβριος'!N117</f>
        <v/>
      </c>
      <c r="M31" s="43">
        <f>SUM(M19:M30)</f>
        <v/>
      </c>
      <c r="N31" s="43">
        <f>SUM(N19:N30)</f>
        <v/>
      </c>
      <c r="O31" s="43" t="n"/>
    </row>
    <row r="32">
      <c r="A32" s="39" t="inlineStr">
        <is>
          <t>ΕΠΑΛΗΘΕΥΣΗ</t>
        </is>
      </c>
      <c r="B32" s="39" t="n"/>
      <c r="C32" s="39" t="n"/>
      <c r="D32" s="38">
        <f>D31-D30</f>
        <v/>
      </c>
      <c r="E32" s="39" t="n"/>
      <c r="F32" s="38">
        <f>F31-F30</f>
        <v/>
      </c>
      <c r="G32" s="39" t="n"/>
      <c r="H32" s="38">
        <f>H31-H30</f>
        <v/>
      </c>
      <c r="I32" s="39" t="n"/>
      <c r="J32" s="38">
        <f>J31-J30</f>
        <v/>
      </c>
      <c r="K32" s="39" t="n"/>
      <c r="L32" s="38">
        <f>L31-L30</f>
        <v/>
      </c>
      <c r="M32" s="39" t="n"/>
      <c r="N32" s="39" t="n"/>
      <c r="O32" s="38" t="n"/>
    </row>
    <row r="33"/>
    <row r="34"/>
    <row r="35">
      <c r="AD35" t="inlineStr">
        <is>
          <t>Βοηθητικό row</t>
        </is>
      </c>
    </row>
    <row r="36"/>
    <row r="37"/>
    <row r="38"/>
    <row r="39" ht="26.25" customHeight="1">
      <c r="A39" s="171" t="inlineStr">
        <is>
          <t>ΈΣΟΔΑ</t>
        </is>
      </c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0" t="n"/>
      <c r="O39" s="170" t="n"/>
      <c r="P39" s="170" t="n"/>
      <c r="Q39" s="170" t="n"/>
      <c r="R39" s="170" t="n"/>
      <c r="S39" s="170" t="n"/>
      <c r="T39" s="170" t="n"/>
      <c r="U39" s="170" t="n"/>
      <c r="V39" s="170" t="n"/>
      <c r="W39" s="170" t="n"/>
      <c r="X39" s="170" t="n"/>
      <c r="Y39" s="170" t="n"/>
      <c r="Z39" s="170" t="n"/>
      <c r="AA39" s="170" t="n"/>
    </row>
    <row r="40">
      <c r="A40" s="35" t="inlineStr">
        <is>
          <t xml:space="preserve">Κατηγορία Εσόδου </t>
        </is>
      </c>
      <c r="B40" s="35" t="inlineStr">
        <is>
          <t xml:space="preserve">¨Ετος </t>
        </is>
      </c>
      <c r="C40" s="172" t="inlineStr">
        <is>
          <t>Ιανουάριος 2026</t>
        </is>
      </c>
      <c r="D40" s="35" t="inlineStr">
        <is>
          <t>Προοδευτικά Ιαν 2026</t>
        </is>
      </c>
      <c r="E40" s="172" t="inlineStr">
        <is>
          <t>Φεβρουάριος 2026</t>
        </is>
      </c>
      <c r="F40" s="35" t="inlineStr">
        <is>
          <t>Προοδευτικά  Φεβρ. 2026</t>
        </is>
      </c>
      <c r="G40" s="172" t="inlineStr">
        <is>
          <t>Μάρτιος 2026</t>
        </is>
      </c>
      <c r="H40" s="35" t="inlineStr">
        <is>
          <t>Προοδευτικά Μάρτιος 2026</t>
        </is>
      </c>
      <c r="I40" s="172" t="inlineStr">
        <is>
          <t>Απρίλιος 2026</t>
        </is>
      </c>
      <c r="J40" s="35" t="inlineStr">
        <is>
          <t>Προοδευτικά Απρίλιος 2026</t>
        </is>
      </c>
      <c r="K40" s="172" t="inlineStr">
        <is>
          <t>Μάιος 2026</t>
        </is>
      </c>
      <c r="L40" s="35" t="inlineStr">
        <is>
          <t>Προοδευτικά Μάιος 2026</t>
        </is>
      </c>
      <c r="M40" s="172" t="inlineStr">
        <is>
          <t>Ιούνιος 2026</t>
        </is>
      </c>
      <c r="N40" s="35" t="inlineStr">
        <is>
          <t>Προοδευτικά Ιούνιος 2026</t>
        </is>
      </c>
      <c r="O40" s="172" t="inlineStr">
        <is>
          <t xml:space="preserve">Ιούλιος 2026 </t>
        </is>
      </c>
      <c r="P40" s="35" t="inlineStr">
        <is>
          <t>Προοδευτικά Ιούλιος 2026</t>
        </is>
      </c>
      <c r="Q40" s="172" t="inlineStr">
        <is>
          <t>Αύγουστος 2026</t>
        </is>
      </c>
      <c r="R40" s="35" t="inlineStr">
        <is>
          <t>Προοδευτικά Αύγουστος 2026</t>
        </is>
      </c>
      <c r="S40" s="172" t="inlineStr">
        <is>
          <t>Σεπτέμβριος 2026</t>
        </is>
      </c>
      <c r="T40" s="35" t="inlineStr">
        <is>
          <t>Προοδευτικά  Σεπτέμβριος 2026</t>
        </is>
      </c>
      <c r="U40" s="172" t="inlineStr">
        <is>
          <t>Οκτώβριος 2026</t>
        </is>
      </c>
      <c r="V40" s="35" t="inlineStr">
        <is>
          <t>Προοδευτικά Οκτώβριος 2026</t>
        </is>
      </c>
      <c r="W40" s="172" t="inlineStr">
        <is>
          <t>Νοέμβριος 2026</t>
        </is>
      </c>
      <c r="X40" s="35" t="inlineStr">
        <is>
          <t>Προοδευτικά Νοέμβριος 2026</t>
        </is>
      </c>
      <c r="Y40" s="172" t="inlineStr">
        <is>
          <t>Δεκέμβριος 2026</t>
        </is>
      </c>
      <c r="Z40" s="35" t="inlineStr">
        <is>
          <t>Προοδευτικό Σύνολο Δεκεμβρίου 2026</t>
        </is>
      </c>
      <c r="AA40" s="35" t="inlineStr">
        <is>
          <t>Γενικό Σύνολο Μηνών ανά κατηγορία Εσόδου 2026</t>
        </is>
      </c>
    </row>
    <row r="41">
      <c r="A41" s="35">
        <f>'2026 Ιανουάριος'!C8</f>
        <v/>
      </c>
      <c r="B41" s="35" t="n">
        <v>2026</v>
      </c>
      <c r="C41" s="173">
        <f>'2026 Ιανουάριος'!D8</f>
        <v/>
      </c>
      <c r="D41" s="36">
        <f>C41</f>
        <v/>
      </c>
      <c r="E41" s="173">
        <f>'2026 Φεβρουάριος'!D8</f>
        <v/>
      </c>
      <c r="F41" s="36">
        <f>'2026 Φεβρουάριος'!F8</f>
        <v/>
      </c>
      <c r="G41" s="173">
        <f>'2026 Μάρτιος'!D8</f>
        <v/>
      </c>
      <c r="H41" s="36">
        <f>'2026 Μάρτιος'!F8</f>
        <v/>
      </c>
      <c r="I41" s="173">
        <f>'2026 Απρίλιος'!D8</f>
        <v/>
      </c>
      <c r="J41" s="36">
        <f>'2026 Απρίλιος'!F8</f>
        <v/>
      </c>
      <c r="K41" s="173">
        <f>'2026 Μάιος'!D8</f>
        <v/>
      </c>
      <c r="L41" s="36">
        <f>'2026 Μάιος'!F8</f>
        <v/>
      </c>
      <c r="M41" s="173">
        <f>'2026 Ιούνιος'!D8</f>
        <v/>
      </c>
      <c r="N41" s="36">
        <f>'2026 Ιούνιος'!F8</f>
        <v/>
      </c>
      <c r="O41" s="173">
        <f>'2026 Ιούλιος'!D8</f>
        <v/>
      </c>
      <c r="P41" s="36">
        <f>'2026 Ιούλιος'!F8</f>
        <v/>
      </c>
      <c r="Q41" s="173">
        <f>'2026 Aύγουστος'!D8</f>
        <v/>
      </c>
      <c r="R41" s="36">
        <f>'2026 Aύγουστος'!F8</f>
        <v/>
      </c>
      <c r="S41" s="173">
        <f>'2026 Σεπτέμβριος'!D8</f>
        <v/>
      </c>
      <c r="T41" s="36">
        <f>'2026 Σεπτέμβριος'!F8</f>
        <v/>
      </c>
      <c r="U41" s="173">
        <f>'2026 Οκτώβριος'!D8</f>
        <v/>
      </c>
      <c r="V41" s="36">
        <f>'2026 Οκτώβριος'!F8</f>
        <v/>
      </c>
      <c r="W41" s="173">
        <f>'2026 Νοέμβριος'!D8</f>
        <v/>
      </c>
      <c r="X41" s="36">
        <f>'2026 Νοέμβριος'!F8</f>
        <v/>
      </c>
      <c r="Y41" s="173">
        <f>'2026 Δεκέμβριος'!D8</f>
        <v/>
      </c>
      <c r="Z41" s="36">
        <f>'2026 Δεκέμβριος'!F8</f>
        <v/>
      </c>
      <c r="AA41" s="36">
        <f>C41+E41+G41+I41+K41+M41+O41+Q41+S41+U41+W41+Y41</f>
        <v/>
      </c>
    </row>
    <row r="42">
      <c r="A42" s="35">
        <f>'2026 Ιανουάριος'!C9</f>
        <v/>
      </c>
      <c r="B42" s="35" t="n">
        <v>2026</v>
      </c>
      <c r="C42" s="173">
        <f>'2026 Ιανουάριος'!D9</f>
        <v/>
      </c>
      <c r="D42" s="36">
        <f>C42</f>
        <v/>
      </c>
      <c r="E42" s="173">
        <f>'2026 Φεβρουάριος'!D9</f>
        <v/>
      </c>
      <c r="F42" s="36">
        <f>'2026 Φεβρουάριος'!F9</f>
        <v/>
      </c>
      <c r="G42" s="173">
        <f>'2026 Μάρτιος'!D9</f>
        <v/>
      </c>
      <c r="H42" s="36">
        <f>'2026 Μάρτιος'!F9</f>
        <v/>
      </c>
      <c r="I42" s="173">
        <f>'2026 Απρίλιος'!D9</f>
        <v/>
      </c>
      <c r="J42" s="36">
        <f>'2026 Απρίλιος'!F9</f>
        <v/>
      </c>
      <c r="K42" s="173">
        <f>'2026 Μάιος'!D9</f>
        <v/>
      </c>
      <c r="L42" s="36">
        <f>'2026 Μάιος'!F9</f>
        <v/>
      </c>
      <c r="M42" s="173">
        <f>'2026 Ιούνιος'!D9</f>
        <v/>
      </c>
      <c r="N42" s="36">
        <f>'2026 Ιούνιος'!F9</f>
        <v/>
      </c>
      <c r="O42" s="173">
        <f>'2026 Ιούλιος'!D9</f>
        <v/>
      </c>
      <c r="P42" s="36">
        <f>'2026 Ιούλιος'!F9</f>
        <v/>
      </c>
      <c r="Q42" s="173">
        <f>'2026 Aύγουστος'!D9</f>
        <v/>
      </c>
      <c r="R42" s="36">
        <f>'2026 Aύγουστος'!F9</f>
        <v/>
      </c>
      <c r="S42" s="173">
        <f>'2026 Σεπτέμβριος'!D9</f>
        <v/>
      </c>
      <c r="T42" s="36">
        <f>'2026 Σεπτέμβριος'!F9</f>
        <v/>
      </c>
      <c r="U42" s="173">
        <f>'2026 Οκτώβριος'!D9</f>
        <v/>
      </c>
      <c r="V42" s="36">
        <f>'2026 Οκτώβριος'!F9</f>
        <v/>
      </c>
      <c r="W42" s="173">
        <f>'2026 Νοέμβριος'!D9</f>
        <v/>
      </c>
      <c r="X42" s="36">
        <f>'2026 Νοέμβριος'!F9</f>
        <v/>
      </c>
      <c r="Y42" s="173">
        <f>'2026 Δεκέμβριος'!D9</f>
        <v/>
      </c>
      <c r="Z42" s="36">
        <f>'2026 Δεκέμβριος'!F9</f>
        <v/>
      </c>
      <c r="AA42" s="36">
        <f>C42+E42+G42+I42+K42+M42+O42+Q42+S42+U42+W42+Y42</f>
        <v/>
      </c>
    </row>
    <row r="43">
      <c r="A43" s="35">
        <f>'2026 Ιανουάριος'!C10</f>
        <v/>
      </c>
      <c r="B43" s="35" t="n">
        <v>2026</v>
      </c>
      <c r="C43" s="173">
        <f>'2026 Ιανουάριος'!D10</f>
        <v/>
      </c>
      <c r="D43" s="36">
        <f>C43</f>
        <v/>
      </c>
      <c r="E43" s="173">
        <f>'2026 Φεβρουάριος'!D10</f>
        <v/>
      </c>
      <c r="F43" s="36">
        <f>'2026 Φεβρουάριος'!F10</f>
        <v/>
      </c>
      <c r="G43" s="173">
        <f>'2026 Μάρτιος'!D10</f>
        <v/>
      </c>
      <c r="H43" s="36">
        <f>'2026 Μάρτιος'!F10</f>
        <v/>
      </c>
      <c r="I43" s="173">
        <f>'2026 Απρίλιος'!D10</f>
        <v/>
      </c>
      <c r="J43" s="36">
        <f>'2026 Απρίλιος'!F10</f>
        <v/>
      </c>
      <c r="K43" s="173">
        <f>'2026 Μάιος'!D10</f>
        <v/>
      </c>
      <c r="L43" s="36">
        <f>'2026 Μάιος'!F10</f>
        <v/>
      </c>
      <c r="M43" s="173">
        <f>'2026 Ιούνιος'!D10</f>
        <v/>
      </c>
      <c r="N43" s="36">
        <f>'2026 Ιούνιος'!F10</f>
        <v/>
      </c>
      <c r="O43" s="173">
        <f>'2026 Ιούλιος'!D10</f>
        <v/>
      </c>
      <c r="P43" s="36">
        <f>'2026 Ιούλιος'!F10</f>
        <v/>
      </c>
      <c r="Q43" s="173">
        <f>'2026 Aύγουστος'!D10</f>
        <v/>
      </c>
      <c r="R43" s="36">
        <f>'2026 Aύγουστος'!F10</f>
        <v/>
      </c>
      <c r="S43" s="173">
        <f>'2026 Σεπτέμβριος'!D10</f>
        <v/>
      </c>
      <c r="T43" s="36">
        <f>'2026 Σεπτέμβριος'!F10</f>
        <v/>
      </c>
      <c r="U43" s="173">
        <f>'2026 Οκτώβριος'!D10</f>
        <v/>
      </c>
      <c r="V43" s="36">
        <f>'2026 Οκτώβριος'!F10</f>
        <v/>
      </c>
      <c r="W43" s="173">
        <f>'2026 Νοέμβριος'!D10</f>
        <v/>
      </c>
      <c r="X43" s="36">
        <f>'2026 Νοέμβριος'!F10</f>
        <v/>
      </c>
      <c r="Y43" s="173">
        <f>'2026 Δεκέμβριος'!D10</f>
        <v/>
      </c>
      <c r="Z43" s="36">
        <f>'2026 Δεκέμβριος'!F10</f>
        <v/>
      </c>
      <c r="AA43" s="36">
        <f>C43+E43+G43+I43+K43+M43+O43+Q43+S43+U43+W43+Y43</f>
        <v/>
      </c>
    </row>
    <row r="44">
      <c r="A44" s="35">
        <f>'2026 Ιανουάριος'!C11</f>
        <v/>
      </c>
      <c r="B44" s="35" t="n">
        <v>2026</v>
      </c>
      <c r="C44" s="173">
        <f>'2026 Ιανουάριος'!D11</f>
        <v/>
      </c>
      <c r="D44" s="36">
        <f>C44</f>
        <v/>
      </c>
      <c r="E44" s="173">
        <f>'2026 Φεβρουάριος'!D11</f>
        <v/>
      </c>
      <c r="F44" s="36">
        <f>'2026 Φεβρουάριος'!F11</f>
        <v/>
      </c>
      <c r="G44" s="173">
        <f>'2026 Μάρτιος'!D11</f>
        <v/>
      </c>
      <c r="H44" s="36">
        <f>'2026 Μάρτιος'!F11</f>
        <v/>
      </c>
      <c r="I44" s="173">
        <f>'2026 Απρίλιος'!D11</f>
        <v/>
      </c>
      <c r="J44" s="36">
        <f>'2026 Απρίλιος'!F11</f>
        <v/>
      </c>
      <c r="K44" s="173">
        <f>'2026 Μάιος'!D11</f>
        <v/>
      </c>
      <c r="L44" s="36">
        <f>'2026 Μάιος'!F11</f>
        <v/>
      </c>
      <c r="M44" s="173">
        <f>'2026 Ιούνιος'!D11</f>
        <v/>
      </c>
      <c r="N44" s="36">
        <f>'2026 Ιούνιος'!F11</f>
        <v/>
      </c>
      <c r="O44" s="173">
        <f>'2026 Ιούλιος'!D11</f>
        <v/>
      </c>
      <c r="P44" s="36">
        <f>'2026 Ιούλιος'!F11</f>
        <v/>
      </c>
      <c r="Q44" s="173">
        <f>'2026 Aύγουστος'!D11</f>
        <v/>
      </c>
      <c r="R44" s="36">
        <f>'2026 Aύγουστος'!F11</f>
        <v/>
      </c>
      <c r="S44" s="173">
        <f>'2026 Σεπτέμβριος'!D11</f>
        <v/>
      </c>
      <c r="T44" s="36">
        <f>'2026 Σεπτέμβριος'!F11</f>
        <v/>
      </c>
      <c r="U44" s="173">
        <f>'2026 Οκτώβριος'!D11</f>
        <v/>
      </c>
      <c r="V44" s="36">
        <f>'2026 Οκτώβριος'!F11</f>
        <v/>
      </c>
      <c r="W44" s="173">
        <f>'2026 Νοέμβριος'!D11</f>
        <v/>
      </c>
      <c r="X44" s="36">
        <f>'2026 Νοέμβριος'!F11</f>
        <v/>
      </c>
      <c r="Y44" s="173">
        <f>'2026 Δεκέμβριος'!D11</f>
        <v/>
      </c>
      <c r="Z44" s="36">
        <f>'2026 Δεκέμβριος'!F11</f>
        <v/>
      </c>
      <c r="AA44" s="36">
        <f>C44+E44+G44+I44+K44+M44+O44+Q44+S44+U44+W44+Y44</f>
        <v/>
      </c>
    </row>
    <row r="45">
      <c r="A45" s="35">
        <f>'2026 Ιανουάριος'!C12</f>
        <v/>
      </c>
      <c r="B45" s="35" t="n">
        <v>2026</v>
      </c>
      <c r="C45" s="173">
        <f>'2026 Ιανουάριος'!D12</f>
        <v/>
      </c>
      <c r="D45" s="36">
        <f>C45</f>
        <v/>
      </c>
      <c r="E45" s="173">
        <f>'2026 Φεβρουάριος'!D12</f>
        <v/>
      </c>
      <c r="F45" s="36">
        <f>'2026 Φεβρουάριος'!F12</f>
        <v/>
      </c>
      <c r="G45" s="173">
        <f>'2026 Μάρτιος'!D12</f>
        <v/>
      </c>
      <c r="H45" s="36">
        <f>'2026 Μάρτιος'!F12</f>
        <v/>
      </c>
      <c r="I45" s="173">
        <f>'2026 Απρίλιος'!D12</f>
        <v/>
      </c>
      <c r="J45" s="36">
        <f>'2026 Απρίλιος'!F12</f>
        <v/>
      </c>
      <c r="K45" s="173">
        <f>'2026 Μάιος'!D12</f>
        <v/>
      </c>
      <c r="L45" s="36">
        <f>'2026 Μάιος'!F12</f>
        <v/>
      </c>
      <c r="M45" s="173">
        <f>'2026 Ιούνιος'!D12</f>
        <v/>
      </c>
      <c r="N45" s="36">
        <f>'2026 Ιούνιος'!F12</f>
        <v/>
      </c>
      <c r="O45" s="173">
        <f>'2026 Ιούλιος'!D12</f>
        <v/>
      </c>
      <c r="P45" s="36">
        <f>'2026 Ιούλιος'!F12</f>
        <v/>
      </c>
      <c r="Q45" s="173">
        <f>'2026 Aύγουστος'!D12</f>
        <v/>
      </c>
      <c r="R45" s="36">
        <f>'2026 Aύγουστος'!F12</f>
        <v/>
      </c>
      <c r="S45" s="173">
        <f>'2026 Σεπτέμβριος'!D12</f>
        <v/>
      </c>
      <c r="T45" s="36">
        <f>'2026 Σεπτέμβριος'!F12</f>
        <v/>
      </c>
      <c r="U45" s="173">
        <f>'2026 Οκτώβριος'!D12</f>
        <v/>
      </c>
      <c r="V45" s="36">
        <f>'2026 Οκτώβριος'!F12</f>
        <v/>
      </c>
      <c r="W45" s="173">
        <f>'2026 Νοέμβριος'!D12</f>
        <v/>
      </c>
      <c r="X45" s="36">
        <f>'2026 Νοέμβριος'!F12</f>
        <v/>
      </c>
      <c r="Y45" s="173">
        <f>'2026 Δεκέμβριος'!D12</f>
        <v/>
      </c>
      <c r="Z45" s="36">
        <f>'2026 Δεκέμβριος'!F12</f>
        <v/>
      </c>
      <c r="AA45" s="36">
        <f>C45+E45+G45+I45+K45+M45+O45+Q45+S45+U45+W45+Y45</f>
        <v/>
      </c>
    </row>
    <row r="46">
      <c r="A46" s="35">
        <f>'2026 Ιανουάριος'!C13</f>
        <v/>
      </c>
      <c r="B46" s="35" t="n">
        <v>2026</v>
      </c>
      <c r="C46" s="173">
        <f>'2026 Ιανουάριος'!D13</f>
        <v/>
      </c>
      <c r="D46" s="36">
        <f>C46</f>
        <v/>
      </c>
      <c r="E46" s="173">
        <f>'2026 Φεβρουάριος'!D13</f>
        <v/>
      </c>
      <c r="F46" s="36">
        <f>'2026 Φεβρουάριος'!F13</f>
        <v/>
      </c>
      <c r="G46" s="173">
        <f>'2026 Μάρτιος'!D13</f>
        <v/>
      </c>
      <c r="H46" s="36">
        <f>'2026 Μάρτιος'!F13</f>
        <v/>
      </c>
      <c r="I46" s="173">
        <f>'2026 Απρίλιος'!D13</f>
        <v/>
      </c>
      <c r="J46" s="36">
        <f>'2026 Απρίλιος'!F13</f>
        <v/>
      </c>
      <c r="K46" s="173">
        <f>'2026 Μάιος'!D13</f>
        <v/>
      </c>
      <c r="L46" s="36">
        <f>'2026 Μάιος'!F13</f>
        <v/>
      </c>
      <c r="M46" s="173">
        <f>'2026 Ιούνιος'!D13</f>
        <v/>
      </c>
      <c r="N46" s="36">
        <f>'2026 Ιούνιος'!F13</f>
        <v/>
      </c>
      <c r="O46" s="173">
        <f>'2026 Ιούλιος'!D13</f>
        <v/>
      </c>
      <c r="P46" s="36">
        <f>'2026 Ιούλιος'!F13</f>
        <v/>
      </c>
      <c r="Q46" s="173">
        <f>'2026 Aύγουστος'!D13</f>
        <v/>
      </c>
      <c r="R46" s="36">
        <f>'2026 Aύγουστος'!F13</f>
        <v/>
      </c>
      <c r="S46" s="173">
        <f>'2026 Σεπτέμβριος'!D13</f>
        <v/>
      </c>
      <c r="T46" s="36">
        <f>'2026 Σεπτέμβριος'!F13</f>
        <v/>
      </c>
      <c r="U46" s="173">
        <f>'2026 Οκτώβριος'!D13</f>
        <v/>
      </c>
      <c r="V46" s="36">
        <f>'2026 Οκτώβριος'!F13</f>
        <v/>
      </c>
      <c r="W46" s="173">
        <f>'2026 Νοέμβριος'!D13</f>
        <v/>
      </c>
      <c r="X46" s="36">
        <f>'2026 Νοέμβριος'!F13</f>
        <v/>
      </c>
      <c r="Y46" s="173">
        <f>'2026 Δεκέμβριος'!D13</f>
        <v/>
      </c>
      <c r="Z46" s="36">
        <f>'2026 Δεκέμβριος'!F13</f>
        <v/>
      </c>
      <c r="AA46" s="36">
        <f>C46+E46+G46+I46+K46+M46+O46+Q46+S46+U46+W46+Y46</f>
        <v/>
      </c>
    </row>
    <row r="47">
      <c r="A47" s="35">
        <f>'2026 Ιανουάριος'!C14</f>
        <v/>
      </c>
      <c r="B47" s="35" t="n">
        <v>2026</v>
      </c>
      <c r="C47" s="173">
        <f>'2026 Ιανουάριος'!D14</f>
        <v/>
      </c>
      <c r="D47" s="36">
        <f>C47</f>
        <v/>
      </c>
      <c r="E47" s="173">
        <f>'2026 Φεβρουάριος'!D14</f>
        <v/>
      </c>
      <c r="F47" s="36">
        <f>'2026 Φεβρουάριος'!F14</f>
        <v/>
      </c>
      <c r="G47" s="173">
        <f>'2026 Μάρτιος'!D14</f>
        <v/>
      </c>
      <c r="H47" s="36">
        <f>'2026 Μάρτιος'!F14</f>
        <v/>
      </c>
      <c r="I47" s="173">
        <f>'2026 Απρίλιος'!D14</f>
        <v/>
      </c>
      <c r="J47" s="36">
        <f>'2026 Απρίλιος'!F14</f>
        <v/>
      </c>
      <c r="K47" s="173">
        <f>'2026 Μάιος'!D14</f>
        <v/>
      </c>
      <c r="L47" s="36">
        <f>'2026 Μάιος'!F14</f>
        <v/>
      </c>
      <c r="M47" s="173">
        <f>'2026 Ιούνιος'!D14</f>
        <v/>
      </c>
      <c r="N47" s="36">
        <f>'2026 Ιούνιος'!F14</f>
        <v/>
      </c>
      <c r="O47" s="173">
        <f>'2026 Ιούλιος'!D14</f>
        <v/>
      </c>
      <c r="P47" s="36">
        <f>'2026 Ιούλιος'!F14</f>
        <v/>
      </c>
      <c r="Q47" s="173">
        <f>'2026 Aύγουστος'!D14</f>
        <v/>
      </c>
      <c r="R47" s="36">
        <f>'2026 Aύγουστος'!F14</f>
        <v/>
      </c>
      <c r="S47" s="173">
        <f>'2026 Σεπτέμβριος'!D14</f>
        <v/>
      </c>
      <c r="T47" s="36">
        <f>'2026 Σεπτέμβριος'!F14</f>
        <v/>
      </c>
      <c r="U47" s="173">
        <f>'2026 Οκτώβριος'!D14</f>
        <v/>
      </c>
      <c r="V47" s="36">
        <f>'2026 Οκτώβριος'!F14</f>
        <v/>
      </c>
      <c r="W47" s="173">
        <f>'2026 Νοέμβριος'!D14</f>
        <v/>
      </c>
      <c r="X47" s="36">
        <f>'2026 Νοέμβριος'!F14</f>
        <v/>
      </c>
      <c r="Y47" s="173">
        <f>'2026 Δεκέμβριος'!D14</f>
        <v/>
      </c>
      <c r="Z47" s="36">
        <f>'2026 Δεκέμβριος'!F14</f>
        <v/>
      </c>
      <c r="AA47" s="36">
        <f>C47+E47+G47+I47+K47+M47+O47+Q47+S47+U47+W47+Y47</f>
        <v/>
      </c>
    </row>
    <row r="48">
      <c r="A48" s="35">
        <f>'2026 Ιανουάριος'!C15</f>
        <v/>
      </c>
      <c r="B48" s="35" t="n">
        <v>2026</v>
      </c>
      <c r="C48" s="173">
        <f>'2026 Ιανουάριος'!D15</f>
        <v/>
      </c>
      <c r="D48" s="36">
        <f>C48</f>
        <v/>
      </c>
      <c r="E48" s="173">
        <f>'2026 Φεβρουάριος'!D15</f>
        <v/>
      </c>
      <c r="F48" s="36">
        <f>'2026 Φεβρουάριος'!F15</f>
        <v/>
      </c>
      <c r="G48" s="173">
        <f>'2026 Μάρτιος'!D15</f>
        <v/>
      </c>
      <c r="H48" s="36">
        <f>'2026 Μάρτιος'!F15</f>
        <v/>
      </c>
      <c r="I48" s="173">
        <f>'2026 Απρίλιος'!D15</f>
        <v/>
      </c>
      <c r="J48" s="36">
        <f>'2026 Απρίλιος'!F15</f>
        <v/>
      </c>
      <c r="K48" s="173">
        <f>'2026 Μάιος'!D15</f>
        <v/>
      </c>
      <c r="L48" s="36">
        <f>'2026 Μάιος'!F15</f>
        <v/>
      </c>
      <c r="M48" s="173">
        <f>'2026 Ιούνιος'!D15</f>
        <v/>
      </c>
      <c r="N48" s="36">
        <f>'2026 Ιούνιος'!F15</f>
        <v/>
      </c>
      <c r="O48" s="173">
        <f>'2026 Ιούλιος'!D15</f>
        <v/>
      </c>
      <c r="P48" s="36">
        <f>'2026 Ιούλιος'!F15</f>
        <v/>
      </c>
      <c r="Q48" s="173">
        <f>'2026 Aύγουστος'!D15</f>
        <v/>
      </c>
      <c r="R48" s="36">
        <f>'2026 Aύγουστος'!F15</f>
        <v/>
      </c>
      <c r="S48" s="173">
        <f>'2026 Σεπτέμβριος'!D15</f>
        <v/>
      </c>
      <c r="T48" s="36">
        <f>'2026 Σεπτέμβριος'!F15</f>
        <v/>
      </c>
      <c r="U48" s="173">
        <f>'2026 Οκτώβριος'!D15</f>
        <v/>
      </c>
      <c r="V48" s="36">
        <f>'2026 Οκτώβριος'!F15</f>
        <v/>
      </c>
      <c r="W48" s="173">
        <f>'2026 Νοέμβριος'!D15</f>
        <v/>
      </c>
      <c r="X48" s="36">
        <f>'2026 Νοέμβριος'!F15</f>
        <v/>
      </c>
      <c r="Y48" s="173">
        <f>'2026 Δεκέμβριος'!D15</f>
        <v/>
      </c>
      <c r="Z48" s="36">
        <f>'2026 Δεκέμβριος'!F15</f>
        <v/>
      </c>
      <c r="AA48" s="36">
        <f>C48+E48+G48+I48+K48+M48+O48+Q48+S48+U48+W48+Y48</f>
        <v/>
      </c>
    </row>
    <row r="49">
      <c r="A49" s="35">
        <f>'2026 Ιανουάριος'!C16</f>
        <v/>
      </c>
      <c r="B49" s="35" t="n">
        <v>2026</v>
      </c>
      <c r="C49" s="173">
        <f>'2026 Ιανουάριος'!D16</f>
        <v/>
      </c>
      <c r="D49" s="36">
        <f>C49</f>
        <v/>
      </c>
      <c r="E49" s="173">
        <f>'2026 Φεβρουάριος'!D16</f>
        <v/>
      </c>
      <c r="F49" s="36">
        <f>'2026 Φεβρουάριος'!F16</f>
        <v/>
      </c>
      <c r="G49" s="173">
        <f>'2026 Μάρτιος'!D16</f>
        <v/>
      </c>
      <c r="H49" s="36">
        <f>'2026 Μάρτιος'!F16</f>
        <v/>
      </c>
      <c r="I49" s="173">
        <f>'2026 Απρίλιος'!D16</f>
        <v/>
      </c>
      <c r="J49" s="36">
        <f>'2026 Απρίλιος'!F16</f>
        <v/>
      </c>
      <c r="K49" s="173">
        <f>'2026 Μάιος'!D16</f>
        <v/>
      </c>
      <c r="L49" s="36">
        <f>'2026 Μάιος'!F16</f>
        <v/>
      </c>
      <c r="M49" s="173">
        <f>'2026 Ιούνιος'!D16</f>
        <v/>
      </c>
      <c r="N49" s="36">
        <f>'2026 Ιούνιος'!F16</f>
        <v/>
      </c>
      <c r="O49" s="173">
        <f>'2026 Ιούλιος'!D16</f>
        <v/>
      </c>
      <c r="P49" s="36">
        <f>'2026 Ιούλιος'!F16</f>
        <v/>
      </c>
      <c r="Q49" s="173">
        <f>'2026 Aύγουστος'!D16</f>
        <v/>
      </c>
      <c r="R49" s="36">
        <f>'2026 Aύγουστος'!F16</f>
        <v/>
      </c>
      <c r="S49" s="173">
        <f>'2026 Σεπτέμβριος'!D16</f>
        <v/>
      </c>
      <c r="T49" s="36">
        <f>'2026 Σεπτέμβριος'!F16</f>
        <v/>
      </c>
      <c r="U49" s="173">
        <f>'2026 Οκτώβριος'!D16</f>
        <v/>
      </c>
      <c r="V49" s="36">
        <f>'2026 Οκτώβριος'!F16</f>
        <v/>
      </c>
      <c r="W49" s="173">
        <f>'2026 Νοέμβριος'!D16</f>
        <v/>
      </c>
      <c r="X49" s="36">
        <f>'2026 Νοέμβριος'!F16</f>
        <v/>
      </c>
      <c r="Y49" s="173">
        <f>'2026 Δεκέμβριος'!D16</f>
        <v/>
      </c>
      <c r="Z49" s="36">
        <f>'2026 Δεκέμβριος'!F16</f>
        <v/>
      </c>
      <c r="AA49" s="36">
        <f>C49+E49+G49+I49+K49+M49+O49+Q49+S49+U49+W49+Y49</f>
        <v/>
      </c>
    </row>
    <row r="50">
      <c r="A50" s="35">
        <f>'2026 Ιανουάριος'!C17</f>
        <v/>
      </c>
      <c r="B50" s="35" t="n">
        <v>2026</v>
      </c>
      <c r="C50" s="173">
        <f>'2026 Ιανουάριος'!D17</f>
        <v/>
      </c>
      <c r="D50" s="36">
        <f>C50</f>
        <v/>
      </c>
      <c r="E50" s="173">
        <f>'2026 Φεβρουάριος'!D17</f>
        <v/>
      </c>
      <c r="F50" s="36">
        <f>'2026 Φεβρουάριος'!F17</f>
        <v/>
      </c>
      <c r="G50" s="173">
        <f>'2026 Μάρτιος'!D17</f>
        <v/>
      </c>
      <c r="H50" s="36">
        <f>'2026 Μάρτιος'!F17</f>
        <v/>
      </c>
      <c r="I50" s="173">
        <f>'2026 Απρίλιος'!D17</f>
        <v/>
      </c>
      <c r="J50" s="36">
        <f>'2026 Απρίλιος'!F17</f>
        <v/>
      </c>
      <c r="K50" s="173">
        <f>'2026 Μάιος'!D17</f>
        <v/>
      </c>
      <c r="L50" s="36">
        <f>'2026 Μάιος'!F17</f>
        <v/>
      </c>
      <c r="M50" s="173">
        <f>'2026 Ιούνιος'!D17</f>
        <v/>
      </c>
      <c r="N50" s="36">
        <f>'2026 Ιούνιος'!F17</f>
        <v/>
      </c>
      <c r="O50" s="173">
        <f>'2026 Ιούλιος'!D17</f>
        <v/>
      </c>
      <c r="P50" s="36">
        <f>'2026 Ιούλιος'!F17</f>
        <v/>
      </c>
      <c r="Q50" s="173">
        <f>'2026 Aύγουστος'!D17</f>
        <v/>
      </c>
      <c r="R50" s="36">
        <f>'2026 Aύγουστος'!F17</f>
        <v/>
      </c>
      <c r="S50" s="173">
        <f>'2026 Σεπτέμβριος'!D17</f>
        <v/>
      </c>
      <c r="T50" s="36">
        <f>'2026 Σεπτέμβριος'!F17</f>
        <v/>
      </c>
      <c r="U50" s="173">
        <f>'2026 Οκτώβριος'!D17</f>
        <v/>
      </c>
      <c r="V50" s="36">
        <f>'2026 Οκτώβριος'!F17</f>
        <v/>
      </c>
      <c r="W50" s="173">
        <f>'2026 Νοέμβριος'!D17</f>
        <v/>
      </c>
      <c r="X50" s="36">
        <f>'2026 Νοέμβριος'!F17</f>
        <v/>
      </c>
      <c r="Y50" s="173">
        <f>'2026 Δεκέμβριος'!D17</f>
        <v/>
      </c>
      <c r="Z50" s="36">
        <f>'2026 Δεκέμβριος'!F17</f>
        <v/>
      </c>
      <c r="AA50" s="36">
        <f>C50+E50+G50+I50+K50+M50+O50+Q50+S50+U50+W50+Y50</f>
        <v/>
      </c>
    </row>
    <row r="51">
      <c r="A51" s="35">
        <f>'2026 Ιανουάριος'!C18</f>
        <v/>
      </c>
      <c r="B51" s="35" t="n">
        <v>2026</v>
      </c>
      <c r="C51" s="173">
        <f>'2026 Ιανουάριος'!D18</f>
        <v/>
      </c>
      <c r="D51" s="36">
        <f>C51</f>
        <v/>
      </c>
      <c r="E51" s="173">
        <f>'2026 Φεβρουάριος'!D18</f>
        <v/>
      </c>
      <c r="F51" s="36">
        <f>'2026 Φεβρουάριος'!F18</f>
        <v/>
      </c>
      <c r="G51" s="173">
        <f>'2026 Μάρτιος'!D18</f>
        <v/>
      </c>
      <c r="H51" s="36">
        <f>'2026 Μάρτιος'!F18</f>
        <v/>
      </c>
      <c r="I51" s="173">
        <f>'2026 Απρίλιος'!D18</f>
        <v/>
      </c>
      <c r="J51" s="36">
        <f>'2026 Απρίλιος'!F18</f>
        <v/>
      </c>
      <c r="K51" s="173">
        <f>'2026 Μάιος'!D18</f>
        <v/>
      </c>
      <c r="L51" s="36">
        <f>'2026 Μάιος'!F18</f>
        <v/>
      </c>
      <c r="M51" s="173">
        <f>'2026 Ιούνιος'!D18</f>
        <v/>
      </c>
      <c r="N51" s="36">
        <f>'2026 Ιούνιος'!F18</f>
        <v/>
      </c>
      <c r="O51" s="173">
        <f>'2026 Ιούλιος'!D18</f>
        <v/>
      </c>
      <c r="P51" s="36">
        <f>'2026 Ιούλιος'!F18</f>
        <v/>
      </c>
      <c r="Q51" s="173">
        <f>'2026 Aύγουστος'!D18</f>
        <v/>
      </c>
      <c r="R51" s="36">
        <f>'2026 Aύγουστος'!F18</f>
        <v/>
      </c>
      <c r="S51" s="173">
        <f>'2026 Σεπτέμβριος'!D18</f>
        <v/>
      </c>
      <c r="T51" s="36">
        <f>'2026 Σεπτέμβριος'!F18</f>
        <v/>
      </c>
      <c r="U51" s="173">
        <f>'2026 Οκτώβριος'!D18</f>
        <v/>
      </c>
      <c r="V51" s="36">
        <f>'2026 Οκτώβριος'!F18</f>
        <v/>
      </c>
      <c r="W51" s="173">
        <f>'2026 Νοέμβριος'!D18</f>
        <v/>
      </c>
      <c r="X51" s="36">
        <f>'2026 Νοέμβριος'!F18</f>
        <v/>
      </c>
      <c r="Y51" s="173">
        <f>'2026 Δεκέμβριος'!D18</f>
        <v/>
      </c>
      <c r="Z51" s="36">
        <f>'2026 Δεκέμβριος'!F18</f>
        <v/>
      </c>
      <c r="AA51" s="36">
        <f>C51+E51+G51+I51+K51+M51+O51+Q51+S51+U51+W51+Y51</f>
        <v/>
      </c>
    </row>
    <row r="52">
      <c r="A52" s="35">
        <f>'2026 Ιανουάριος'!C19</f>
        <v/>
      </c>
      <c r="B52" s="35" t="n">
        <v>2026</v>
      </c>
      <c r="C52" s="173">
        <f>'2026 Ιανουάριος'!D19</f>
        <v/>
      </c>
      <c r="D52" s="36">
        <f>C52</f>
        <v/>
      </c>
      <c r="E52" s="173">
        <f>'2026 Φεβρουάριος'!D19</f>
        <v/>
      </c>
      <c r="F52" s="36">
        <f>'2026 Φεβρουάριος'!F19</f>
        <v/>
      </c>
      <c r="G52" s="173">
        <f>'2026 Μάρτιος'!D19</f>
        <v/>
      </c>
      <c r="H52" s="36">
        <f>'2026 Μάρτιος'!F19</f>
        <v/>
      </c>
      <c r="I52" s="173">
        <f>'2026 Απρίλιος'!D19</f>
        <v/>
      </c>
      <c r="J52" s="36">
        <f>'2026 Απρίλιος'!F19</f>
        <v/>
      </c>
      <c r="K52" s="173">
        <f>'2026 Μάιος'!D19</f>
        <v/>
      </c>
      <c r="L52" s="36">
        <f>'2026 Μάιος'!F19</f>
        <v/>
      </c>
      <c r="M52" s="173">
        <f>'2026 Ιούνιος'!D19</f>
        <v/>
      </c>
      <c r="N52" s="36">
        <f>'2026 Ιούνιος'!F19</f>
        <v/>
      </c>
      <c r="O52" s="173">
        <f>'2026 Ιούλιος'!D19</f>
        <v/>
      </c>
      <c r="P52" s="36">
        <f>'2026 Ιούλιος'!F19</f>
        <v/>
      </c>
      <c r="Q52" s="173">
        <f>'2026 Aύγουστος'!D19</f>
        <v/>
      </c>
      <c r="R52" s="36">
        <f>'2026 Aύγουστος'!F19</f>
        <v/>
      </c>
      <c r="S52" s="173">
        <f>'2026 Σεπτέμβριος'!D19</f>
        <v/>
      </c>
      <c r="T52" s="36">
        <f>'2026 Σεπτέμβριος'!F19</f>
        <v/>
      </c>
      <c r="U52" s="173">
        <f>'2026 Οκτώβριος'!D19</f>
        <v/>
      </c>
      <c r="V52" s="36">
        <f>'2026 Οκτώβριος'!F19</f>
        <v/>
      </c>
      <c r="W52" s="173">
        <f>'2026 Νοέμβριος'!D19</f>
        <v/>
      </c>
      <c r="X52" s="36">
        <f>'2026 Νοέμβριος'!F19</f>
        <v/>
      </c>
      <c r="Y52" s="173">
        <f>'2026 Δεκέμβριος'!D19</f>
        <v/>
      </c>
      <c r="Z52" s="36">
        <f>'2026 Δεκέμβριος'!F19</f>
        <v/>
      </c>
      <c r="AA52" s="36">
        <f>C52+E52+G52+I52+K52+M52+O52+Q52+S52+U52+W52+Y52</f>
        <v/>
      </c>
    </row>
    <row r="53">
      <c r="A53" s="35">
        <f>'2026 Ιανουάριος'!C20</f>
        <v/>
      </c>
      <c r="B53" s="35" t="n">
        <v>2026</v>
      </c>
      <c r="C53" s="173">
        <f>'2026 Ιανουάριος'!D20</f>
        <v/>
      </c>
      <c r="D53" s="36">
        <f>C53</f>
        <v/>
      </c>
      <c r="E53" s="173">
        <f>'2026 Φεβρουάριος'!D20</f>
        <v/>
      </c>
      <c r="F53" s="36">
        <f>'2026 Φεβρουάριος'!F20</f>
        <v/>
      </c>
      <c r="G53" s="173">
        <f>'2026 Μάρτιος'!D20</f>
        <v/>
      </c>
      <c r="H53" s="36">
        <f>'2026 Μάρτιος'!F20</f>
        <v/>
      </c>
      <c r="I53" s="173">
        <f>'2026 Απρίλιος'!D20</f>
        <v/>
      </c>
      <c r="J53" s="36">
        <f>'2026 Απρίλιος'!F20</f>
        <v/>
      </c>
      <c r="K53" s="173">
        <f>'2026 Μάιος'!D20</f>
        <v/>
      </c>
      <c r="L53" s="36">
        <f>'2026 Μάιος'!F20</f>
        <v/>
      </c>
      <c r="M53" s="173">
        <f>'2026 Ιούνιος'!D20</f>
        <v/>
      </c>
      <c r="N53" s="36">
        <f>'2026 Ιούνιος'!F20</f>
        <v/>
      </c>
      <c r="O53" s="173">
        <f>'2026 Ιούλιος'!D20</f>
        <v/>
      </c>
      <c r="P53" s="36">
        <f>'2026 Ιούλιος'!F20</f>
        <v/>
      </c>
      <c r="Q53" s="173">
        <f>'2026 Aύγουστος'!D20</f>
        <v/>
      </c>
      <c r="R53" s="36">
        <f>'2026 Aύγουστος'!F20</f>
        <v/>
      </c>
      <c r="S53" s="173">
        <f>'2026 Σεπτέμβριος'!D20</f>
        <v/>
      </c>
      <c r="T53" s="36">
        <f>'2026 Σεπτέμβριος'!F20</f>
        <v/>
      </c>
      <c r="U53" s="173">
        <f>'2026 Οκτώβριος'!D20</f>
        <v/>
      </c>
      <c r="V53" s="36">
        <f>'2026 Οκτώβριος'!F20</f>
        <v/>
      </c>
      <c r="W53" s="173">
        <f>'2026 Νοέμβριος'!D20</f>
        <v/>
      </c>
      <c r="X53" s="36">
        <f>'2026 Νοέμβριος'!F20</f>
        <v/>
      </c>
      <c r="Y53" s="173">
        <f>'2026 Δεκέμβριος'!D20</f>
        <v/>
      </c>
      <c r="Z53" s="36">
        <f>'2026 Δεκέμβριος'!F20</f>
        <v/>
      </c>
      <c r="AA53" s="36">
        <f>C53+E53+G53+I53+K53+M53+O53+Q53+S53+U53+W53+Y53</f>
        <v/>
      </c>
    </row>
    <row r="54">
      <c r="A54" s="35">
        <f>'2026 Ιανουάριος'!C21</f>
        <v/>
      </c>
      <c r="B54" s="35" t="n">
        <v>2026</v>
      </c>
      <c r="C54" s="173">
        <f>'2026 Ιανουάριος'!D21</f>
        <v/>
      </c>
      <c r="D54" s="36">
        <f>C54</f>
        <v/>
      </c>
      <c r="E54" s="173">
        <f>'2026 Φεβρουάριος'!D21</f>
        <v/>
      </c>
      <c r="F54" s="36">
        <f>'2026 Φεβρουάριος'!F21</f>
        <v/>
      </c>
      <c r="G54" s="173">
        <f>'2026 Μάρτιος'!D21</f>
        <v/>
      </c>
      <c r="H54" s="36">
        <f>'2026 Μάρτιος'!F21</f>
        <v/>
      </c>
      <c r="I54" s="173">
        <f>'2026 Απρίλιος'!D21</f>
        <v/>
      </c>
      <c r="J54" s="36">
        <f>'2026 Απρίλιος'!F21</f>
        <v/>
      </c>
      <c r="K54" s="173">
        <f>'2026 Μάιος'!D21</f>
        <v/>
      </c>
      <c r="L54" s="36">
        <f>'2026 Μάιος'!F21</f>
        <v/>
      </c>
      <c r="M54" s="173">
        <f>'2026 Ιούνιος'!D21</f>
        <v/>
      </c>
      <c r="N54" s="36">
        <f>'2026 Ιούνιος'!F21</f>
        <v/>
      </c>
      <c r="O54" s="173">
        <f>'2026 Ιούλιος'!D21</f>
        <v/>
      </c>
      <c r="P54" s="36">
        <f>'2026 Ιούλιος'!F21</f>
        <v/>
      </c>
      <c r="Q54" s="173">
        <f>'2026 Aύγουστος'!D21</f>
        <v/>
      </c>
      <c r="R54" s="36">
        <f>'2026 Aύγουστος'!F21</f>
        <v/>
      </c>
      <c r="S54" s="173">
        <f>'2026 Σεπτέμβριος'!D21</f>
        <v/>
      </c>
      <c r="T54" s="36">
        <f>'2026 Σεπτέμβριος'!F21</f>
        <v/>
      </c>
      <c r="U54" s="173">
        <f>'2026 Οκτώβριος'!D21</f>
        <v/>
      </c>
      <c r="V54" s="36">
        <f>'2026 Οκτώβριος'!F21</f>
        <v/>
      </c>
      <c r="W54" s="173">
        <f>'2026 Νοέμβριος'!D21</f>
        <v/>
      </c>
      <c r="X54" s="36">
        <f>'2026 Νοέμβριος'!F21</f>
        <v/>
      </c>
      <c r="Y54" s="173">
        <f>'2026 Δεκέμβριος'!D21</f>
        <v/>
      </c>
      <c r="Z54" s="36">
        <f>'2026 Δεκέμβριος'!F21</f>
        <v/>
      </c>
      <c r="AA54" s="36">
        <f>C54+E54+G54+I54+K54+M54+O54+Q54+S54+U54+W54+Y54</f>
        <v/>
      </c>
    </row>
    <row r="55">
      <c r="A55" s="35">
        <f>'2026 Ιανουάριος'!C22</f>
        <v/>
      </c>
      <c r="B55" s="35" t="n">
        <v>2026</v>
      </c>
      <c r="C55" s="173">
        <f>'2026 Ιανουάριος'!D22</f>
        <v/>
      </c>
      <c r="D55" s="36">
        <f>C55</f>
        <v/>
      </c>
      <c r="E55" s="173">
        <f>'2026 Φεβρουάριος'!D22</f>
        <v/>
      </c>
      <c r="F55" s="36">
        <f>'2026 Φεβρουάριος'!F22</f>
        <v/>
      </c>
      <c r="G55" s="173">
        <f>'2026 Μάρτιος'!D22</f>
        <v/>
      </c>
      <c r="H55" s="36">
        <f>'2026 Μάρτιος'!F22</f>
        <v/>
      </c>
      <c r="I55" s="173">
        <f>'2026 Απρίλιος'!D22</f>
        <v/>
      </c>
      <c r="J55" s="36">
        <f>'2026 Απρίλιος'!F22</f>
        <v/>
      </c>
      <c r="K55" s="173">
        <f>'2026 Μάιος'!D22</f>
        <v/>
      </c>
      <c r="L55" s="36">
        <f>'2026 Μάιος'!F22</f>
        <v/>
      </c>
      <c r="M55" s="173">
        <f>'2026 Ιούνιος'!D22</f>
        <v/>
      </c>
      <c r="N55" s="36">
        <f>'2026 Ιούνιος'!F22</f>
        <v/>
      </c>
      <c r="O55" s="173">
        <f>'2026 Ιούλιος'!D22</f>
        <v/>
      </c>
      <c r="P55" s="36">
        <f>'2026 Ιούλιος'!F22</f>
        <v/>
      </c>
      <c r="Q55" s="173">
        <f>'2026 Aύγουστος'!D22</f>
        <v/>
      </c>
      <c r="R55" s="36">
        <f>'2026 Aύγουστος'!F22</f>
        <v/>
      </c>
      <c r="S55" s="173">
        <f>'2026 Σεπτέμβριος'!D22</f>
        <v/>
      </c>
      <c r="T55" s="36">
        <f>'2026 Σεπτέμβριος'!F22</f>
        <v/>
      </c>
      <c r="U55" s="173">
        <f>'2026 Οκτώβριος'!D22</f>
        <v/>
      </c>
      <c r="V55" s="36">
        <f>'2026 Οκτώβριος'!F22</f>
        <v/>
      </c>
      <c r="W55" s="173">
        <f>'2026 Νοέμβριος'!D22</f>
        <v/>
      </c>
      <c r="X55" s="36">
        <f>'2026 Νοέμβριος'!F22</f>
        <v/>
      </c>
      <c r="Y55" s="173">
        <f>'2026 Δεκέμβριος'!D22</f>
        <v/>
      </c>
      <c r="Z55" s="36">
        <f>'2026 Δεκέμβριος'!F22</f>
        <v/>
      </c>
      <c r="AA55" s="36">
        <f>C55+E55+G55+I55+K55+M55+O55+Q55+S55+U55+W55+Y55</f>
        <v/>
      </c>
    </row>
    <row r="56">
      <c r="A56" s="35">
        <f>'2026 Ιανουάριος'!C23</f>
        <v/>
      </c>
      <c r="B56" s="35" t="n">
        <v>2026</v>
      </c>
      <c r="C56" s="173">
        <f>'2026 Ιανουάριος'!D23</f>
        <v/>
      </c>
      <c r="D56" s="36">
        <f>C56</f>
        <v/>
      </c>
      <c r="E56" s="173">
        <f>'2026 Φεβρουάριος'!D23</f>
        <v/>
      </c>
      <c r="F56" s="36">
        <f>'2026 Φεβρουάριος'!F23</f>
        <v/>
      </c>
      <c r="G56" s="173">
        <f>'2026 Μάρτιος'!D23</f>
        <v/>
      </c>
      <c r="H56" s="36">
        <f>'2026 Μάρτιος'!F23</f>
        <v/>
      </c>
      <c r="I56" s="173">
        <f>'2026 Απρίλιος'!D23</f>
        <v/>
      </c>
      <c r="J56" s="36">
        <f>'2026 Απρίλιος'!F23</f>
        <v/>
      </c>
      <c r="K56" s="173">
        <f>'2026 Μάιος'!D23</f>
        <v/>
      </c>
      <c r="L56" s="36">
        <f>'2026 Μάιος'!F23</f>
        <v/>
      </c>
      <c r="M56" s="173">
        <f>'2026 Ιούνιος'!D23</f>
        <v/>
      </c>
      <c r="N56" s="36">
        <f>'2026 Ιούνιος'!F23</f>
        <v/>
      </c>
      <c r="O56" s="173">
        <f>'2026 Ιούλιος'!D23</f>
        <v/>
      </c>
      <c r="P56" s="36">
        <f>'2026 Ιούλιος'!F23</f>
        <v/>
      </c>
      <c r="Q56" s="173">
        <f>'2026 Aύγουστος'!D23</f>
        <v/>
      </c>
      <c r="R56" s="36">
        <f>'2026 Aύγουστος'!F23</f>
        <v/>
      </c>
      <c r="S56" s="173">
        <f>'2026 Σεπτέμβριος'!D23</f>
        <v/>
      </c>
      <c r="T56" s="36">
        <f>'2026 Σεπτέμβριος'!F23</f>
        <v/>
      </c>
      <c r="U56" s="173">
        <f>'2026 Οκτώβριος'!D23</f>
        <v/>
      </c>
      <c r="V56" s="36">
        <f>'2026 Οκτώβριος'!F23</f>
        <v/>
      </c>
      <c r="W56" s="173">
        <f>'2026 Νοέμβριος'!D23</f>
        <v/>
      </c>
      <c r="X56" s="36">
        <f>'2026 Νοέμβριος'!F23</f>
        <v/>
      </c>
      <c r="Y56" s="173">
        <f>'2026 Δεκέμβριος'!D23</f>
        <v/>
      </c>
      <c r="Z56" s="36">
        <f>'2026 Δεκέμβριος'!F23</f>
        <v/>
      </c>
      <c r="AA56" s="36">
        <f>C56+E56+G56+I56+K56+M56+O56+Q56+S56+U56+W56+Y56</f>
        <v/>
      </c>
    </row>
    <row r="57">
      <c r="A57" s="35">
        <f>'2026 Ιανουάριος'!C24</f>
        <v/>
      </c>
      <c r="B57" s="35" t="n">
        <v>2026</v>
      </c>
      <c r="C57" s="173">
        <f>'2026 Ιανουάριος'!D24</f>
        <v/>
      </c>
      <c r="D57" s="36">
        <f>C57</f>
        <v/>
      </c>
      <c r="E57" s="173">
        <f>'2026 Φεβρουάριος'!C24</f>
        <v/>
      </c>
      <c r="F57" s="36">
        <f>'2026 Φεβρουάριος'!D24</f>
        <v/>
      </c>
      <c r="G57" s="173">
        <f>'2026 Μάρτιος'!C24</f>
        <v/>
      </c>
      <c r="H57" s="36">
        <f>'2026 Μάρτιος'!D24</f>
        <v/>
      </c>
      <c r="I57" s="173">
        <f>'2026 Απρίλιος'!C24</f>
        <v/>
      </c>
      <c r="J57" s="36">
        <f>'2026 Απρίλιος'!D24</f>
        <v/>
      </c>
      <c r="K57" s="173">
        <f>'2026 Μάιος'!C24</f>
        <v/>
      </c>
      <c r="L57" s="36">
        <f>'2026 Μάιος'!D24</f>
        <v/>
      </c>
      <c r="M57" s="173">
        <f>'2026 Ιούνιος'!C24</f>
        <v/>
      </c>
      <c r="N57" s="36">
        <f>'2026 Ιούνιος'!D24</f>
        <v/>
      </c>
      <c r="O57" s="173">
        <f>'2026 Ιούλιος'!C24</f>
        <v/>
      </c>
      <c r="P57" s="36">
        <f>'2026 Ιούλιος'!D24</f>
        <v/>
      </c>
      <c r="Q57" s="173">
        <f>'2026 Aύγουστος'!C24</f>
        <v/>
      </c>
      <c r="R57" s="36">
        <f>'2026 Aύγουστος'!D24</f>
        <v/>
      </c>
      <c r="S57" s="173">
        <f>'2026 Σεπτέμβριος'!C24</f>
        <v/>
      </c>
      <c r="T57" s="36">
        <f>'2026 Σεπτέμβριος'!D24</f>
        <v/>
      </c>
      <c r="U57" s="173">
        <f>'2026 Οκτώβριος'!C24</f>
        <v/>
      </c>
      <c r="V57" s="36">
        <f>'2026 Οκτώβριος'!D24</f>
        <v/>
      </c>
      <c r="W57" s="173">
        <f>'2026 Νοέμβριος'!C24</f>
        <v/>
      </c>
      <c r="X57" s="36">
        <f>'2026 Νοέμβριος'!D24</f>
        <v/>
      </c>
      <c r="Y57" s="173">
        <f>'2026 Δεκέμβριος'!C24</f>
        <v/>
      </c>
      <c r="Z57" s="36">
        <f>'2026 Δεκέμβριος'!D24</f>
        <v/>
      </c>
      <c r="AA57" s="36">
        <f>C57+E57+G57+I57+K57+M57+O57+Q57+S57+U57+W57+Y57</f>
        <v/>
      </c>
    </row>
    <row r="58">
      <c r="A58" s="35">
        <f>'2026 Ιανουάριος'!C25</f>
        <v/>
      </c>
      <c r="B58" s="35" t="n">
        <v>2026</v>
      </c>
      <c r="C58" s="173">
        <f>'2026 Ιανουάριος'!D25</f>
        <v/>
      </c>
      <c r="D58" s="36">
        <f>C58</f>
        <v/>
      </c>
      <c r="E58" s="173">
        <f>'2026 Φεβρουάριος'!D25</f>
        <v/>
      </c>
      <c r="F58" s="36">
        <f>'2026 Φεβρουάριος'!F25</f>
        <v/>
      </c>
      <c r="G58" s="173">
        <f>'2026 Μάρτιος'!D25</f>
        <v/>
      </c>
      <c r="H58" s="36">
        <f>'2026 Μάρτιος'!F25</f>
        <v/>
      </c>
      <c r="I58" s="173">
        <f>'2026 Απρίλιος'!D25</f>
        <v/>
      </c>
      <c r="J58" s="36">
        <f>'2026 Απρίλιος'!F25</f>
        <v/>
      </c>
      <c r="K58" s="173">
        <f>'2026 Μάιος'!D25</f>
        <v/>
      </c>
      <c r="L58" s="36">
        <f>'2026 Μάιος'!F25</f>
        <v/>
      </c>
      <c r="M58" s="173">
        <f>'2026 Ιούνιος'!D25</f>
        <v/>
      </c>
      <c r="N58" s="36">
        <f>'2026 Ιούνιος'!F25</f>
        <v/>
      </c>
      <c r="O58" s="173">
        <f>'2026 Ιούλιος'!D25</f>
        <v/>
      </c>
      <c r="P58" s="36">
        <f>'2026 Ιούλιος'!F25</f>
        <v/>
      </c>
      <c r="Q58" s="173">
        <f>'2026 Aύγουστος'!D25</f>
        <v/>
      </c>
      <c r="R58" s="36">
        <f>'2026 Aύγουστος'!F25</f>
        <v/>
      </c>
      <c r="S58" s="173">
        <f>'2026 Σεπτέμβριος'!D25</f>
        <v/>
      </c>
      <c r="T58" s="36">
        <f>'2026 Σεπτέμβριος'!F25</f>
        <v/>
      </c>
      <c r="U58" s="173">
        <f>'2026 Οκτώβριος'!D25</f>
        <v/>
      </c>
      <c r="V58" s="36">
        <f>'2026 Οκτώβριος'!F25</f>
        <v/>
      </c>
      <c r="W58" s="173">
        <f>'2026 Νοέμβριος'!D25</f>
        <v/>
      </c>
      <c r="X58" s="36">
        <f>'2026 Νοέμβριος'!F25</f>
        <v/>
      </c>
      <c r="Y58" s="173">
        <f>'2026 Δεκέμβριος'!D25</f>
        <v/>
      </c>
      <c r="Z58" s="36">
        <f>'2026 Δεκέμβριος'!F25</f>
        <v/>
      </c>
      <c r="AA58" s="36">
        <f>C58+E58+G58+I58+K58+M58+O58+Q58+S58+U58+W58+Y58</f>
        <v/>
      </c>
    </row>
    <row r="59">
      <c r="A59" s="35">
        <f>'2026 Ιανουάριος'!C26</f>
        <v/>
      </c>
      <c r="B59" s="35" t="n">
        <v>2026</v>
      </c>
      <c r="C59" s="173">
        <f>'2026 Ιανουάριος'!D26</f>
        <v/>
      </c>
      <c r="D59" s="36">
        <f>C59</f>
        <v/>
      </c>
      <c r="E59" s="173">
        <f>'2026 Φεβρουάριος'!D26</f>
        <v/>
      </c>
      <c r="F59" s="36">
        <f>'2026 Φεβρουάριος'!F26</f>
        <v/>
      </c>
      <c r="G59" s="173">
        <f>'2026 Μάρτιος'!D26</f>
        <v/>
      </c>
      <c r="H59" s="36">
        <f>'2026 Μάρτιος'!F26</f>
        <v/>
      </c>
      <c r="I59" s="173">
        <f>'2026 Απρίλιος'!D26</f>
        <v/>
      </c>
      <c r="J59" s="36">
        <f>'2026 Απρίλιος'!F26</f>
        <v/>
      </c>
      <c r="K59" s="173">
        <f>'2026 Μάιος'!D26</f>
        <v/>
      </c>
      <c r="L59" s="36">
        <f>'2026 Μάιος'!F26</f>
        <v/>
      </c>
      <c r="M59" s="173">
        <f>'2026 Ιούνιος'!D26</f>
        <v/>
      </c>
      <c r="N59" s="36">
        <f>'2026 Ιούνιος'!F26</f>
        <v/>
      </c>
      <c r="O59" s="173">
        <f>'2026 Ιούλιος'!D26</f>
        <v/>
      </c>
      <c r="P59" s="36">
        <f>'2026 Ιούλιος'!F26</f>
        <v/>
      </c>
      <c r="Q59" s="173">
        <f>'2026 Aύγουστος'!D26</f>
        <v/>
      </c>
      <c r="R59" s="36">
        <f>'2026 Aύγουστος'!F26</f>
        <v/>
      </c>
      <c r="S59" s="173">
        <f>'2026 Σεπτέμβριος'!D26</f>
        <v/>
      </c>
      <c r="T59" s="36">
        <f>'2026 Σεπτέμβριος'!F26</f>
        <v/>
      </c>
      <c r="U59" s="173">
        <f>'2026 Οκτώβριος'!D26</f>
        <v/>
      </c>
      <c r="V59" s="36">
        <f>'2026 Οκτώβριος'!F26</f>
        <v/>
      </c>
      <c r="W59" s="173">
        <f>'2026 Νοέμβριος'!D26</f>
        <v/>
      </c>
      <c r="X59" s="36">
        <f>'2026 Νοέμβριος'!F26</f>
        <v/>
      </c>
      <c r="Y59" s="173">
        <f>'2026 Δεκέμβριος'!D26</f>
        <v/>
      </c>
      <c r="Z59" s="36">
        <f>'2026 Δεκέμβριος'!F26</f>
        <v/>
      </c>
      <c r="AA59" s="36">
        <f>C59+E59+G59+I59+K59+M59+O59+Q59+S59+U59+W59+Y59</f>
        <v/>
      </c>
    </row>
    <row r="60">
      <c r="A60" s="35">
        <f>'2026 Ιανουάριος'!C27</f>
        <v/>
      </c>
      <c r="B60" s="35" t="n">
        <v>2026</v>
      </c>
      <c r="C60" s="173">
        <f>'2026 Ιανουάριος'!D27</f>
        <v/>
      </c>
      <c r="D60" s="36">
        <f>C60</f>
        <v/>
      </c>
      <c r="E60" s="173">
        <f>'2026 Φεβρουάριος'!D27</f>
        <v/>
      </c>
      <c r="F60" s="36">
        <f>'2026 Φεβρουάριος'!F27</f>
        <v/>
      </c>
      <c r="G60" s="173">
        <f>'2026 Μάρτιος'!D27</f>
        <v/>
      </c>
      <c r="H60" s="36">
        <f>'2026 Μάρτιος'!F27</f>
        <v/>
      </c>
      <c r="I60" s="173">
        <f>'2026 Απρίλιος'!D27</f>
        <v/>
      </c>
      <c r="J60" s="36">
        <f>'2026 Απρίλιος'!F27</f>
        <v/>
      </c>
      <c r="K60" s="173">
        <f>'2026 Μάιος'!D27</f>
        <v/>
      </c>
      <c r="L60" s="36">
        <f>'2026 Μάιος'!F27</f>
        <v/>
      </c>
      <c r="M60" s="173">
        <f>'2026 Ιούνιος'!D27</f>
        <v/>
      </c>
      <c r="N60" s="36">
        <f>'2026 Ιούνιος'!F27</f>
        <v/>
      </c>
      <c r="O60" s="173">
        <f>'2026 Ιούλιος'!D27</f>
        <v/>
      </c>
      <c r="P60" s="36">
        <f>'2026 Ιούλιος'!F27</f>
        <v/>
      </c>
      <c r="Q60" s="173">
        <f>'2026 Aύγουστος'!D27</f>
        <v/>
      </c>
      <c r="R60" s="36">
        <f>'2026 Aύγουστος'!F27</f>
        <v/>
      </c>
      <c r="S60" s="173">
        <f>'2026 Σεπτέμβριος'!D27</f>
        <v/>
      </c>
      <c r="T60" s="36">
        <f>'2026 Σεπτέμβριος'!F27</f>
        <v/>
      </c>
      <c r="U60" s="173">
        <f>'2026 Οκτώβριος'!D27</f>
        <v/>
      </c>
      <c r="V60" s="36">
        <f>'2026 Οκτώβριος'!F27</f>
        <v/>
      </c>
      <c r="W60" s="173">
        <f>'2026 Νοέμβριος'!D27</f>
        <v/>
      </c>
      <c r="X60" s="36">
        <f>'2026 Νοέμβριος'!F27</f>
        <v/>
      </c>
      <c r="Y60" s="173">
        <f>'2026 Δεκέμβριος'!D27</f>
        <v/>
      </c>
      <c r="Z60" s="36">
        <f>'2026 Δεκέμβριος'!F27</f>
        <v/>
      </c>
      <c r="AA60" s="36">
        <f>C60+E60+G60+I60+K60+M60+O60+Q60+S60+U60+W60+Y60</f>
        <v/>
      </c>
    </row>
    <row r="61">
      <c r="A61" s="35">
        <f>'2026 Ιανουάριος'!C28</f>
        <v/>
      </c>
      <c r="B61" s="35" t="n">
        <v>2026</v>
      </c>
      <c r="C61" s="173">
        <f>'2026 Ιανουάριος'!D28</f>
        <v/>
      </c>
      <c r="D61" s="36">
        <f>C61</f>
        <v/>
      </c>
      <c r="E61" s="173">
        <f>'2026 Φεβρουάριος'!D28</f>
        <v/>
      </c>
      <c r="F61" s="36">
        <f>'2026 Φεβρουάριος'!F28</f>
        <v/>
      </c>
      <c r="G61" s="173">
        <f>'2026 Μάρτιος'!D28</f>
        <v/>
      </c>
      <c r="H61" s="36">
        <f>'2026 Μάρτιος'!F28</f>
        <v/>
      </c>
      <c r="I61" s="173">
        <f>'2026 Απρίλιος'!D28</f>
        <v/>
      </c>
      <c r="J61" s="36">
        <f>'2026 Απρίλιος'!F28</f>
        <v/>
      </c>
      <c r="K61" s="173">
        <f>'2026 Μάιος'!D28</f>
        <v/>
      </c>
      <c r="L61" s="36">
        <f>'2026 Μάιος'!F28</f>
        <v/>
      </c>
      <c r="M61" s="173">
        <f>'2026 Ιούνιος'!D28</f>
        <v/>
      </c>
      <c r="N61" s="36">
        <f>'2026 Ιούνιος'!F28</f>
        <v/>
      </c>
      <c r="O61" s="173">
        <f>'2026 Ιούλιος'!D28</f>
        <v/>
      </c>
      <c r="P61" s="36">
        <f>'2026 Ιούλιος'!F28</f>
        <v/>
      </c>
      <c r="Q61" s="173">
        <f>'2026 Aύγουστος'!D28</f>
        <v/>
      </c>
      <c r="R61" s="36">
        <f>'2026 Aύγουστος'!F28</f>
        <v/>
      </c>
      <c r="S61" s="173">
        <f>'2026 Σεπτέμβριος'!D28</f>
        <v/>
      </c>
      <c r="T61" s="36">
        <f>'2026 Σεπτέμβριος'!F28</f>
        <v/>
      </c>
      <c r="U61" s="173">
        <f>'2026 Οκτώβριος'!D28</f>
        <v/>
      </c>
      <c r="V61" s="36">
        <f>'2026 Οκτώβριος'!F28</f>
        <v/>
      </c>
      <c r="W61" s="173">
        <f>'2026 Νοέμβριος'!D28</f>
        <v/>
      </c>
      <c r="X61" s="36">
        <f>'2026 Νοέμβριος'!F28</f>
        <v/>
      </c>
      <c r="Y61" s="173">
        <f>'2026 Δεκέμβριος'!D28</f>
        <v/>
      </c>
      <c r="Z61" s="36">
        <f>'2026 Δεκέμβριος'!F28</f>
        <v/>
      </c>
      <c r="AA61" s="36">
        <f>C61+E61+G61+I61+K61+M61+O61+Q61+S61+U61+W61+Y61</f>
        <v/>
      </c>
    </row>
    <row r="62">
      <c r="A62" s="35">
        <f>'2026 Ιανουάριος'!C29</f>
        <v/>
      </c>
      <c r="B62" s="35" t="n">
        <v>2026</v>
      </c>
      <c r="C62" s="173">
        <f>'2026 Ιανουάριος'!D29</f>
        <v/>
      </c>
      <c r="D62" s="36">
        <f>C62</f>
        <v/>
      </c>
      <c r="E62" s="173">
        <f>'2026 Φεβρουάριος'!D29</f>
        <v/>
      </c>
      <c r="F62" s="36">
        <f>'2026 Φεβρουάριος'!F29</f>
        <v/>
      </c>
      <c r="G62" s="173">
        <f>'2026 Μάρτιος'!D29</f>
        <v/>
      </c>
      <c r="H62" s="36">
        <f>'2026 Μάρτιος'!F29</f>
        <v/>
      </c>
      <c r="I62" s="173">
        <f>'2026 Απρίλιος'!D29</f>
        <v/>
      </c>
      <c r="J62" s="36">
        <f>'2026 Απρίλιος'!F29</f>
        <v/>
      </c>
      <c r="K62" s="173">
        <f>'2026 Μάιος'!D29</f>
        <v/>
      </c>
      <c r="L62" s="36">
        <f>'2026 Μάιος'!F29</f>
        <v/>
      </c>
      <c r="M62" s="173">
        <f>'2026 Ιούνιος'!D29</f>
        <v/>
      </c>
      <c r="N62" s="36">
        <f>'2026 Ιούνιος'!F29</f>
        <v/>
      </c>
      <c r="O62" s="173">
        <f>'2026 Ιούλιος'!D29</f>
        <v/>
      </c>
      <c r="P62" s="36">
        <f>'2026 Ιούλιος'!F29</f>
        <v/>
      </c>
      <c r="Q62" s="173">
        <f>'2026 Aύγουστος'!D29</f>
        <v/>
      </c>
      <c r="R62" s="36">
        <f>'2026 Aύγουστος'!F29</f>
        <v/>
      </c>
      <c r="S62" s="173">
        <f>'2026 Σεπτέμβριος'!D29</f>
        <v/>
      </c>
      <c r="T62" s="36">
        <f>'2026 Σεπτέμβριος'!F29</f>
        <v/>
      </c>
      <c r="U62" s="173">
        <f>'2026 Οκτώβριος'!D29</f>
        <v/>
      </c>
      <c r="V62" s="36">
        <f>'2026 Οκτώβριος'!F29</f>
        <v/>
      </c>
      <c r="W62" s="173">
        <f>'2026 Νοέμβριος'!D29</f>
        <v/>
      </c>
      <c r="X62" s="36">
        <f>'2026 Νοέμβριος'!F29</f>
        <v/>
      </c>
      <c r="Y62" s="173">
        <f>'2026 Δεκέμβριος'!D29</f>
        <v/>
      </c>
      <c r="Z62" s="36">
        <f>'2026 Δεκέμβριος'!F29</f>
        <v/>
      </c>
      <c r="AA62" s="36">
        <f>C62+E62+G62+I62+K62+M62+O62+Q62+S62+U62+W62+Y62</f>
        <v/>
      </c>
    </row>
    <row r="63">
      <c r="A63" s="35">
        <f>'2026 Ιανουάριος'!C30</f>
        <v/>
      </c>
      <c r="B63" s="35" t="n">
        <v>2026</v>
      </c>
      <c r="C63" s="173">
        <f>'2026 Ιανουάριος'!D30</f>
        <v/>
      </c>
      <c r="D63" s="36">
        <f>C63</f>
        <v/>
      </c>
      <c r="E63" s="173">
        <f>'2026 Φεβρουάριος'!D30</f>
        <v/>
      </c>
      <c r="F63" s="36">
        <f>'2026 Φεβρουάριος'!F30</f>
        <v/>
      </c>
      <c r="G63" s="173">
        <f>'2026 Μάρτιος'!D30</f>
        <v/>
      </c>
      <c r="H63" s="36">
        <f>'2026 Μάρτιος'!F30</f>
        <v/>
      </c>
      <c r="I63" s="173">
        <f>'2026 Απρίλιος'!D30</f>
        <v/>
      </c>
      <c r="J63" s="36">
        <f>'2026 Απρίλιος'!F30</f>
        <v/>
      </c>
      <c r="K63" s="173">
        <f>'2026 Μάιος'!D30</f>
        <v/>
      </c>
      <c r="L63" s="36">
        <f>'2026 Μάιος'!F30</f>
        <v/>
      </c>
      <c r="M63" s="173">
        <f>'2026 Ιούνιος'!D30</f>
        <v/>
      </c>
      <c r="N63" s="36">
        <f>'2026 Ιούνιος'!F30</f>
        <v/>
      </c>
      <c r="O63" s="173">
        <f>'2026 Ιούλιος'!D30</f>
        <v/>
      </c>
      <c r="P63" s="36">
        <f>'2026 Ιούλιος'!F30</f>
        <v/>
      </c>
      <c r="Q63" s="173">
        <f>'2026 Aύγουστος'!D30</f>
        <v/>
      </c>
      <c r="R63" s="36">
        <f>'2026 Aύγουστος'!F30</f>
        <v/>
      </c>
      <c r="S63" s="173">
        <f>'2026 Σεπτέμβριος'!D30</f>
        <v/>
      </c>
      <c r="T63" s="36">
        <f>'2026 Σεπτέμβριος'!F30</f>
        <v/>
      </c>
      <c r="U63" s="173">
        <f>'2026 Οκτώβριος'!D30</f>
        <v/>
      </c>
      <c r="V63" s="36">
        <f>'2026 Οκτώβριος'!F30</f>
        <v/>
      </c>
      <c r="W63" s="173">
        <f>'2026 Νοέμβριος'!D30</f>
        <v/>
      </c>
      <c r="X63" s="36">
        <f>'2026 Νοέμβριος'!F30</f>
        <v/>
      </c>
      <c r="Y63" s="173">
        <f>'2026 Δεκέμβριος'!D30</f>
        <v/>
      </c>
      <c r="Z63" s="36">
        <f>'2026 Δεκέμβριος'!F30</f>
        <v/>
      </c>
      <c r="AA63" s="36">
        <f>C63+E63+G63+I63+K63+M63+O63+Q63+S63+U63+W63+Y63</f>
        <v/>
      </c>
    </row>
    <row r="64">
      <c r="A64" s="35">
        <f>'2026 Ιανουάριος'!C31</f>
        <v/>
      </c>
      <c r="B64" s="35" t="n">
        <v>2026</v>
      </c>
      <c r="C64" s="176">
        <f>'2026 Ιανουάριος'!D31</f>
        <v/>
      </c>
      <c r="D64" s="43">
        <f>C64</f>
        <v/>
      </c>
      <c r="E64" s="176">
        <f>'2026 Φεβρουάριος'!D31</f>
        <v/>
      </c>
      <c r="F64" s="43">
        <f>'2026 Φεβρουάριος'!F31</f>
        <v/>
      </c>
      <c r="G64" s="176">
        <f>'2026 Μάρτιος'!D31</f>
        <v/>
      </c>
      <c r="H64" s="43">
        <f>'2026 Μάρτιος'!F31</f>
        <v/>
      </c>
      <c r="I64" s="176">
        <f>'2026 Απρίλιος'!D31</f>
        <v/>
      </c>
      <c r="J64" s="43">
        <f>'2026 Απρίλιος'!F31</f>
        <v/>
      </c>
      <c r="K64" s="176">
        <f>'2026 Μάιος'!D31</f>
        <v/>
      </c>
      <c r="L64" s="43">
        <f>'2026 Μάιος'!F31</f>
        <v/>
      </c>
      <c r="M64" s="176">
        <f>'2026 Ιούνιος'!D31</f>
        <v/>
      </c>
      <c r="N64" s="43">
        <f>'2026 Ιούνιος'!F31</f>
        <v/>
      </c>
      <c r="O64" s="176">
        <f>'2026 Ιούλιος'!D31</f>
        <v/>
      </c>
      <c r="P64" s="43">
        <f>'2026 Ιούλιος'!F31</f>
        <v/>
      </c>
      <c r="Q64" s="176">
        <f>'2026 Aύγουστος'!D31</f>
        <v/>
      </c>
      <c r="R64" s="43">
        <f>'2026 Aύγουστος'!F31</f>
        <v/>
      </c>
      <c r="S64" s="176">
        <f>'2026 Σεπτέμβριος'!D31</f>
        <v/>
      </c>
      <c r="T64" s="43">
        <f>'2026 Σεπτέμβριος'!F31</f>
        <v/>
      </c>
      <c r="U64" s="176">
        <f>'2026 Οκτώβριος'!D31</f>
        <v/>
      </c>
      <c r="V64" s="43">
        <f>'2026 Οκτώβριος'!F31</f>
        <v/>
      </c>
      <c r="W64" s="176">
        <f>'2026 Νοέμβριος'!D31</f>
        <v/>
      </c>
      <c r="X64" s="43">
        <f>'2026 Νοέμβριος'!F31</f>
        <v/>
      </c>
      <c r="Y64" s="176">
        <f>'2026 Δεκέμβριος'!D31</f>
        <v/>
      </c>
      <c r="Z64" s="43">
        <f>'2026 Δεκέμβριος'!F31</f>
        <v/>
      </c>
      <c r="AA64" s="43">
        <f>C64+E64+G64+I64+K64+M64+O64+Q64+S64+U64+W64+Y64</f>
        <v/>
      </c>
    </row>
    <row r="65">
      <c r="A65" s="156">
        <f>'2026 Ιανουάριος'!C32</f>
        <v/>
      </c>
      <c r="B65" s="35" t="n">
        <v>2026</v>
      </c>
      <c r="C65" s="176">
        <f>'2026 Ιανουάριος'!D32</f>
        <v/>
      </c>
      <c r="D65" s="43">
        <f>C65</f>
        <v/>
      </c>
      <c r="E65" s="176">
        <f>'2026 Φεβρουάριος'!D32</f>
        <v/>
      </c>
      <c r="F65" s="43">
        <f>'2026 Φεβρουάριος'!F32</f>
        <v/>
      </c>
      <c r="G65" s="176">
        <f>'2026 Μάρτιος'!D32</f>
        <v/>
      </c>
      <c r="H65" s="43">
        <f>'2026 Μάρτιος'!F32</f>
        <v/>
      </c>
      <c r="I65" s="176">
        <f>'2026 Απρίλιος'!D32</f>
        <v/>
      </c>
      <c r="J65" s="43">
        <f>'2026 Απρίλιος'!F32</f>
        <v/>
      </c>
      <c r="K65" s="173">
        <f>'2026 Μάιος'!D32</f>
        <v/>
      </c>
      <c r="L65" s="36">
        <f>'2026 Μάιος'!F32</f>
        <v/>
      </c>
      <c r="M65" s="173">
        <f>'2026 Ιούνιος'!D32</f>
        <v/>
      </c>
      <c r="N65" s="36">
        <f>'2026 Ιούνιος'!F32</f>
        <v/>
      </c>
      <c r="O65" s="173">
        <f>'2026 Ιούλιος'!D32</f>
        <v/>
      </c>
      <c r="P65" s="36">
        <f>'2026 Ιούλιος'!F32</f>
        <v/>
      </c>
      <c r="Q65" s="173">
        <f>'2026 Aύγουστος'!D32</f>
        <v/>
      </c>
      <c r="R65" s="36">
        <f>'2026 Aύγουστος'!F32</f>
        <v/>
      </c>
      <c r="S65" s="173">
        <f>'2026 Σεπτέμβριος'!D32</f>
        <v/>
      </c>
      <c r="T65" s="36">
        <f>'2026 Σεπτέμβριος'!F32</f>
        <v/>
      </c>
      <c r="U65" s="173">
        <f>'2026 Οκτώβριος'!D32</f>
        <v/>
      </c>
      <c r="V65" s="36">
        <f>'2026 Οκτώβριος'!F32</f>
        <v/>
      </c>
      <c r="W65" s="173">
        <f>'2026 Νοέμβριος'!D32</f>
        <v/>
      </c>
      <c r="X65" s="36">
        <f>'2026 Νοέμβριος'!F32</f>
        <v/>
      </c>
      <c r="Y65" s="173">
        <f>'2026 Δεκέμβριος'!D32</f>
        <v/>
      </c>
      <c r="Z65" s="36">
        <f>'2026 Δεκέμβριος'!F32</f>
        <v/>
      </c>
      <c r="AA65" s="36">
        <f>C65+E65+G65+I65+K65+M65+O65+Q65+S65+U65+W65+Y65</f>
        <v/>
      </c>
    </row>
    <row r="66">
      <c r="A66" s="156">
        <f>'2026 Ιανουάριος'!C33</f>
        <v/>
      </c>
      <c r="B66" s="35" t="n">
        <v>2026</v>
      </c>
      <c r="C66" s="176">
        <f>'2026 Ιανουάριος'!D33</f>
        <v/>
      </c>
      <c r="D66" s="43">
        <f>C66</f>
        <v/>
      </c>
      <c r="E66" s="176">
        <f>'2026 Φεβρουάριος'!D33</f>
        <v/>
      </c>
      <c r="F66" s="43">
        <f>'2026 Φεβρουάριος'!F33</f>
        <v/>
      </c>
      <c r="G66" s="176">
        <f>'2026 Μάρτιος'!D33</f>
        <v/>
      </c>
      <c r="H66" s="43">
        <f>'2026 Μάρτιος'!F33</f>
        <v/>
      </c>
      <c r="I66" s="176">
        <f>'2026 Απρίλιος'!D33</f>
        <v/>
      </c>
      <c r="J66" s="43">
        <f>'2026 Απρίλιος'!F33</f>
        <v/>
      </c>
      <c r="K66" s="173">
        <f>'2026 Μάιος'!D33</f>
        <v/>
      </c>
      <c r="L66" s="36">
        <f>'2026 Μάιος'!F33</f>
        <v/>
      </c>
      <c r="M66" s="173">
        <f>'2026 Ιούνιος'!D33</f>
        <v/>
      </c>
      <c r="N66" s="36">
        <f>'2026 Ιούνιος'!F33</f>
        <v/>
      </c>
      <c r="O66" s="173">
        <f>'2026 Ιούλιος'!D33</f>
        <v/>
      </c>
      <c r="P66" s="36">
        <f>'2026 Ιούλιος'!F33</f>
        <v/>
      </c>
      <c r="Q66" s="173">
        <f>'2026 Aύγουστος'!D33</f>
        <v/>
      </c>
      <c r="R66" s="36">
        <f>'2026 Aύγουστος'!F33</f>
        <v/>
      </c>
      <c r="S66" s="173">
        <f>'2026 Σεπτέμβριος'!D33</f>
        <v/>
      </c>
      <c r="T66" s="36">
        <f>'2026 Σεπτέμβριος'!F33</f>
        <v/>
      </c>
      <c r="U66" s="173">
        <f>'2026 Οκτώβριος'!D33</f>
        <v/>
      </c>
      <c r="V66" s="36">
        <f>'2026 Οκτώβριος'!F33</f>
        <v/>
      </c>
      <c r="W66" s="173">
        <f>'2026 Νοέμβριος'!D33</f>
        <v/>
      </c>
      <c r="X66" s="36">
        <f>'2026 Νοέμβριος'!F33</f>
        <v/>
      </c>
      <c r="Y66" s="173">
        <f>'2026 Δεκέμβριος'!D33</f>
        <v/>
      </c>
      <c r="Z66" s="36">
        <f>'2026 Δεκέμβριος'!F33</f>
        <v/>
      </c>
      <c r="AA66" s="36">
        <f>C66+E66+G66+I66+K66+M66+O66+Q66+S66+U66+W66+Y66</f>
        <v/>
      </c>
    </row>
    <row r="67">
      <c r="A67" s="156">
        <f>'2026 Ιανουάριος'!C34</f>
        <v/>
      </c>
      <c r="B67" s="35" t="n">
        <v>2026</v>
      </c>
      <c r="C67" s="176">
        <f>'2026 Ιανουάριος'!D34</f>
        <v/>
      </c>
      <c r="D67" s="43">
        <f>C67</f>
        <v/>
      </c>
      <c r="E67" s="176">
        <f>'2026 Φεβρουάριος'!D34</f>
        <v/>
      </c>
      <c r="F67" s="43">
        <f>'2026 Φεβρουάριος'!F34</f>
        <v/>
      </c>
      <c r="G67" s="176">
        <f>'2026 Μάρτιος'!D34</f>
        <v/>
      </c>
      <c r="H67" s="43">
        <f>'2026 Μάρτιος'!F34</f>
        <v/>
      </c>
      <c r="I67" s="176">
        <f>'2026 Απρίλιος'!D34</f>
        <v/>
      </c>
      <c r="J67" s="43">
        <f>'2026 Απρίλιος'!F34</f>
        <v/>
      </c>
      <c r="K67" s="173">
        <f>'2026 Μάιος'!D34</f>
        <v/>
      </c>
      <c r="L67" s="36">
        <f>'2026 Μάιος'!F34</f>
        <v/>
      </c>
      <c r="M67" s="173">
        <f>'2026 Ιούνιος'!D34</f>
        <v/>
      </c>
      <c r="N67" s="36">
        <f>'2026 Ιούνιος'!F34</f>
        <v/>
      </c>
      <c r="O67" s="173">
        <f>'2026 Ιούλιος'!D34</f>
        <v/>
      </c>
      <c r="P67" s="36">
        <f>'2026 Ιούλιος'!F34</f>
        <v/>
      </c>
      <c r="Q67" s="173">
        <f>'2026 Aύγουστος'!D34</f>
        <v/>
      </c>
      <c r="R67" s="36">
        <f>'2026 Aύγουστος'!F34</f>
        <v/>
      </c>
      <c r="S67" s="173">
        <f>'2026 Σεπτέμβριος'!D34</f>
        <v/>
      </c>
      <c r="T67" s="36">
        <f>'2026 Σεπτέμβριος'!F34</f>
        <v/>
      </c>
      <c r="U67" s="173">
        <f>'2026 Οκτώβριος'!D34</f>
        <v/>
      </c>
      <c r="V67" s="36">
        <f>'2026 Οκτώβριος'!F34</f>
        <v/>
      </c>
      <c r="W67" s="173">
        <f>'2026 Νοέμβριος'!D34</f>
        <v/>
      </c>
      <c r="X67" s="36">
        <f>'2026 Νοέμβριος'!F34</f>
        <v/>
      </c>
      <c r="Y67" s="173">
        <f>'2026 Δεκέμβριος'!D34</f>
        <v/>
      </c>
      <c r="Z67" s="36">
        <f>'2026 Δεκέμβριος'!F34</f>
        <v/>
      </c>
      <c r="AA67" s="36">
        <f>C67+E67+G67+I67+K67+M67+O67+Q67+S67+U67+W67+Y67</f>
        <v/>
      </c>
    </row>
    <row r="68">
      <c r="A68" s="156">
        <f>'2026 Ιανουάριος'!C35</f>
        <v/>
      </c>
      <c r="B68" s="35" t="n">
        <v>2026</v>
      </c>
      <c r="C68" s="176">
        <f>'2026 Ιανουάριος'!D35</f>
        <v/>
      </c>
      <c r="D68" s="43">
        <f>C68</f>
        <v/>
      </c>
      <c r="E68" s="176">
        <f>'2026 Φεβρουάριος'!D35</f>
        <v/>
      </c>
      <c r="F68" s="43">
        <f>'2026 Φεβρουάριος'!F35</f>
        <v/>
      </c>
      <c r="G68" s="176">
        <f>'2026 Μάρτιος'!D35</f>
        <v/>
      </c>
      <c r="H68" s="43">
        <f>'2026 Μάρτιος'!F35</f>
        <v/>
      </c>
      <c r="I68" s="176">
        <f>'2026 Απρίλιος'!D35</f>
        <v/>
      </c>
      <c r="J68" s="43">
        <f>'2026 Απρίλιος'!F35</f>
        <v/>
      </c>
      <c r="K68" s="173">
        <f>'2026 Μάιος'!D35</f>
        <v/>
      </c>
      <c r="L68" s="36">
        <f>'2026 Μάιος'!F35</f>
        <v/>
      </c>
      <c r="M68" s="173">
        <f>'2026 Ιούνιος'!D35</f>
        <v/>
      </c>
      <c r="N68" s="36">
        <f>'2026 Ιούνιος'!F35</f>
        <v/>
      </c>
      <c r="O68" s="173">
        <f>'2026 Ιούλιος'!D35</f>
        <v/>
      </c>
      <c r="P68" s="36">
        <f>'2026 Ιούλιος'!F35</f>
        <v/>
      </c>
      <c r="Q68" s="173">
        <f>'2026 Aύγουστος'!D35</f>
        <v/>
      </c>
      <c r="R68" s="36">
        <f>'2026 Aύγουστος'!F35</f>
        <v/>
      </c>
      <c r="S68" s="173">
        <f>'2026 Σεπτέμβριος'!D35</f>
        <v/>
      </c>
      <c r="T68" s="36">
        <f>'2026 Σεπτέμβριος'!F35</f>
        <v/>
      </c>
      <c r="U68" s="173">
        <f>'2026 Οκτώβριος'!D35</f>
        <v/>
      </c>
      <c r="V68" s="36">
        <f>'2026 Οκτώβριος'!F35</f>
        <v/>
      </c>
      <c r="W68" s="173">
        <f>'2026 Νοέμβριος'!D35</f>
        <v/>
      </c>
      <c r="X68" s="36">
        <f>'2026 Νοέμβριος'!F35</f>
        <v/>
      </c>
      <c r="Y68" s="173">
        <f>'2026 Δεκέμβριος'!D35</f>
        <v/>
      </c>
      <c r="Z68" s="36">
        <f>'2026 Δεκέμβριος'!F35</f>
        <v/>
      </c>
      <c r="AA68" s="36">
        <f>C68+E68+G68+I68+K68+M68+O68+Q68+S68+U68+W68+Y68</f>
        <v/>
      </c>
    </row>
    <row r="69">
      <c r="A69" s="156">
        <f>'2026 Ιανουάριος'!C36</f>
        <v/>
      </c>
      <c r="B69" s="35" t="n">
        <v>2026</v>
      </c>
      <c r="C69" s="176">
        <f>'2026 Ιανουάριος'!D36</f>
        <v/>
      </c>
      <c r="D69" s="43">
        <f>C69</f>
        <v/>
      </c>
      <c r="E69" s="176">
        <f>'2026 Φεβρουάριος'!D36</f>
        <v/>
      </c>
      <c r="F69" s="43">
        <f>'2026 Φεβρουάριος'!F36</f>
        <v/>
      </c>
      <c r="G69" s="176">
        <f>'2026 Μάρτιος'!D36</f>
        <v/>
      </c>
      <c r="H69" s="43">
        <f>'2026 Μάρτιος'!F36</f>
        <v/>
      </c>
      <c r="I69" s="176">
        <f>'2026 Απρίλιος'!D36</f>
        <v/>
      </c>
      <c r="J69" s="43">
        <f>'2026 Απρίλιος'!F36</f>
        <v/>
      </c>
      <c r="K69" s="173">
        <f>'2026 Μάιος'!D36</f>
        <v/>
      </c>
      <c r="L69" s="36">
        <f>'2026 Μάιος'!F36</f>
        <v/>
      </c>
      <c r="M69" s="173">
        <f>'2026 Ιούνιος'!D36</f>
        <v/>
      </c>
      <c r="N69" s="36">
        <f>'2026 Ιούνιος'!F36</f>
        <v/>
      </c>
      <c r="O69" s="173">
        <f>'2026 Ιούλιος'!D36</f>
        <v/>
      </c>
      <c r="P69" s="36">
        <f>'2026 Ιούλιος'!F36</f>
        <v/>
      </c>
      <c r="Q69" s="173">
        <f>'2026 Aύγουστος'!D36</f>
        <v/>
      </c>
      <c r="R69" s="36">
        <f>'2026 Aύγουστος'!F36</f>
        <v/>
      </c>
      <c r="S69" s="173">
        <f>'2026 Σεπτέμβριος'!D36</f>
        <v/>
      </c>
      <c r="T69" s="36">
        <f>'2026 Σεπτέμβριος'!F36</f>
        <v/>
      </c>
      <c r="U69" s="173">
        <f>'2026 Οκτώβριος'!D36</f>
        <v/>
      </c>
      <c r="V69" s="36">
        <f>'2026 Οκτώβριος'!F36</f>
        <v/>
      </c>
      <c r="W69" s="173">
        <f>'2026 Νοέμβριος'!D36</f>
        <v/>
      </c>
      <c r="X69" s="36">
        <f>'2026 Νοέμβριος'!F36</f>
        <v/>
      </c>
      <c r="Y69" s="173">
        <f>'2026 Δεκέμβριος'!D36</f>
        <v/>
      </c>
      <c r="Z69" s="36">
        <f>'2026 Δεκέμβριος'!F36</f>
        <v/>
      </c>
      <c r="AA69" s="36">
        <f>C69+E69+G69+I69+K69+M69+O69+Q69+S69+U69+W69+Y69</f>
        <v/>
      </c>
    </row>
    <row r="70">
      <c r="A70" s="156">
        <f>'2026 Ιανουάριος'!C37</f>
        <v/>
      </c>
      <c r="B70" s="35" t="n">
        <v>2026</v>
      </c>
      <c r="C70" s="176">
        <f>'2026 Ιανουάριος'!D37</f>
        <v/>
      </c>
      <c r="D70" s="43">
        <f>C70</f>
        <v/>
      </c>
      <c r="E70" s="176">
        <f>'2026 Φεβρουάριος'!D37</f>
        <v/>
      </c>
      <c r="F70" s="43">
        <f>'2026 Φεβρουάριος'!F37</f>
        <v/>
      </c>
      <c r="G70" s="176">
        <f>'2026 Μάρτιος'!D37</f>
        <v/>
      </c>
      <c r="H70" s="43">
        <f>'2026 Μάρτιος'!F37</f>
        <v/>
      </c>
      <c r="I70" s="176">
        <f>'2026 Απρίλιος'!D37</f>
        <v/>
      </c>
      <c r="J70" s="43">
        <f>'2026 Απρίλιος'!F37</f>
        <v/>
      </c>
      <c r="K70" s="176">
        <f>'2026 Μάιος'!D37</f>
        <v/>
      </c>
      <c r="L70" s="43">
        <f>'2026 Μάιος'!F37</f>
        <v/>
      </c>
      <c r="M70" s="176">
        <f>'2026 Ιούνιος'!D37</f>
        <v/>
      </c>
      <c r="N70" s="43">
        <f>'2026 Ιούνιος'!F37</f>
        <v/>
      </c>
      <c r="O70" s="176">
        <f>'2026 Ιούλιος'!D37</f>
        <v/>
      </c>
      <c r="P70" s="43">
        <f>'2026 Ιούλιος'!F37</f>
        <v/>
      </c>
      <c r="Q70" s="176">
        <f>'2026 Aύγουστος'!D37</f>
        <v/>
      </c>
      <c r="R70" s="43">
        <f>'2026 Aύγουστος'!F37</f>
        <v/>
      </c>
      <c r="S70" s="176">
        <f>'2026 Σεπτέμβριος'!D37</f>
        <v/>
      </c>
      <c r="T70" s="43">
        <f>'2026 Σεπτέμβριος'!F37</f>
        <v/>
      </c>
      <c r="U70" s="176">
        <f>'2026 Οκτώβριος'!D37</f>
        <v/>
      </c>
      <c r="V70" s="43">
        <f>'2026 Οκτώβριος'!F37</f>
        <v/>
      </c>
      <c r="W70" s="176">
        <f>'2026 Νοέμβριος'!D37</f>
        <v/>
      </c>
      <c r="X70" s="43">
        <f>'2026 Νοέμβριος'!F37</f>
        <v/>
      </c>
      <c r="Y70" s="176">
        <f>'2026 Δεκέμβριος'!D37</f>
        <v/>
      </c>
      <c r="Z70" s="43">
        <f>'2026 Δεκέμβριος'!F37</f>
        <v/>
      </c>
      <c r="AA70" s="43">
        <f>C70+E70+G70+I70+K70+M70+O70+Q70+S70+U70+W70+Y70</f>
        <v/>
      </c>
    </row>
    <row r="71">
      <c r="A71" s="35" t="inlineStr">
        <is>
          <t xml:space="preserve">Σύνολα </t>
        </is>
      </c>
      <c r="B71" s="157" t="n"/>
      <c r="C71" s="177">
        <f>SUM(C41:C64)</f>
        <v/>
      </c>
      <c r="D71" s="158">
        <f>'2026 Ιανουάριος'!F7</f>
        <v/>
      </c>
      <c r="E71" s="177">
        <f>'2026 Φεβρουάριος'!D32</f>
        <v/>
      </c>
      <c r="F71" s="158">
        <f>'2026 Φεβρουάριος'!F32</f>
        <v/>
      </c>
      <c r="G71" s="177">
        <f>SUM(G41:G64)</f>
        <v/>
      </c>
      <c r="H71" s="158">
        <f>SUM(H41:H64)</f>
        <v/>
      </c>
      <c r="I71" s="177">
        <f>SUM(I41:I64)</f>
        <v/>
      </c>
      <c r="J71" s="158">
        <f>SUM(J41:J64)</f>
        <v/>
      </c>
      <c r="K71" s="177">
        <f>SUM(K41:K64)</f>
        <v/>
      </c>
      <c r="L71" s="158">
        <f>SUM(L41:L64)</f>
        <v/>
      </c>
      <c r="M71" s="177">
        <f>SUM(M41:M64)</f>
        <v/>
      </c>
      <c r="N71" s="158">
        <f>SUM(N41:N64)</f>
        <v/>
      </c>
      <c r="O71" s="177">
        <f>SUM(O41:O64)</f>
        <v/>
      </c>
      <c r="P71" s="158">
        <f>SUM(P41:P64)</f>
        <v/>
      </c>
      <c r="Q71" s="177">
        <f>SUM(Q41:Q64)</f>
        <v/>
      </c>
      <c r="R71" s="158">
        <f>SUM(R41:R64)</f>
        <v/>
      </c>
      <c r="S71" s="177">
        <f>SUM(S41:S64)</f>
        <v/>
      </c>
      <c r="T71" s="158">
        <f>SUM(T41:T64)</f>
        <v/>
      </c>
      <c r="U71" s="177">
        <f>SUM(U41:U64)</f>
        <v/>
      </c>
      <c r="V71" s="158">
        <f>SUM(V41:V64)</f>
        <v/>
      </c>
      <c r="W71" s="177">
        <f>SUM(W41:W64)</f>
        <v/>
      </c>
      <c r="X71" s="158">
        <f>SUM(X41:X64)</f>
        <v/>
      </c>
      <c r="Y71" s="177">
        <f>SUM(Y41:Y64)</f>
        <v/>
      </c>
      <c r="Z71" s="158">
        <f>SUM(Z41:Z64)</f>
        <v/>
      </c>
      <c r="AA71" s="158">
        <f>SUM(AA41:AA64)</f>
        <v/>
      </c>
    </row>
    <row r="72">
      <c r="A72" s="35" t="inlineStr">
        <is>
          <t xml:space="preserve">Επαλήθευση </t>
        </is>
      </c>
      <c r="B72" s="35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</row>
    <row r="73"/>
    <row r="74"/>
    <row r="75" ht="26.25" customHeight="1">
      <c r="A75" s="167" t="n">
        <v>2024</v>
      </c>
    </row>
    <row r="76">
      <c r="A76" s="35" t="inlineStr">
        <is>
          <t xml:space="preserve">Κατηγορία Εσόδου </t>
        </is>
      </c>
      <c r="B76" s="35" t="inlineStr">
        <is>
          <t xml:space="preserve">¨Ετος </t>
        </is>
      </c>
      <c r="C76" s="172" t="inlineStr">
        <is>
          <t>Ιανουάριος 2024</t>
        </is>
      </c>
      <c r="D76" s="35" t="inlineStr">
        <is>
          <t>Προοδευτικά Ιαν 2024</t>
        </is>
      </c>
      <c r="E76" s="172" t="inlineStr">
        <is>
          <t>Φεβρουάριος 2024</t>
        </is>
      </c>
      <c r="F76" s="35" t="inlineStr">
        <is>
          <t>Προοδευτικά  Φεβρ. 2024</t>
        </is>
      </c>
      <c r="G76" s="172" t="inlineStr">
        <is>
          <t>Μάρτιος 2024</t>
        </is>
      </c>
      <c r="H76" s="35" t="inlineStr">
        <is>
          <t>Προοδευτικά Μάρτιος 2024</t>
        </is>
      </c>
      <c r="I76" s="172" t="inlineStr">
        <is>
          <t xml:space="preserve">Απρίλιος 2024 </t>
        </is>
      </c>
      <c r="J76" s="35" t="inlineStr">
        <is>
          <t>Προοδευτικά Απρίλιος 2024</t>
        </is>
      </c>
      <c r="K76" s="172" t="inlineStr">
        <is>
          <t>Μάιος 2024</t>
        </is>
      </c>
      <c r="L76" s="35" t="inlineStr">
        <is>
          <t>Προοδευτικά Μάιος 2024</t>
        </is>
      </c>
      <c r="M76" s="172" t="inlineStr">
        <is>
          <t>Ιούνιος 2024</t>
        </is>
      </c>
      <c r="N76" s="35" t="inlineStr">
        <is>
          <t>Προοδευτικά Ιούνιος 2024</t>
        </is>
      </c>
      <c r="O76" s="172" t="inlineStr">
        <is>
          <t xml:space="preserve">Ιούλιος 2024 </t>
        </is>
      </c>
      <c r="P76" s="35" t="inlineStr">
        <is>
          <t>Προοδευτικά Ιούλιος 2024</t>
        </is>
      </c>
      <c r="Q76" s="172" t="inlineStr">
        <is>
          <t>Αύγουστος 2024</t>
        </is>
      </c>
      <c r="R76" s="35" t="inlineStr">
        <is>
          <t>Προοδευτικά Αύγουστος 2024</t>
        </is>
      </c>
      <c r="S76" s="172" t="inlineStr">
        <is>
          <t xml:space="preserve">Σεπτέμβριος 2024 </t>
        </is>
      </c>
      <c r="T76" s="35" t="inlineStr">
        <is>
          <t>Προοδευτικά  Σεπτέμβριος 2024</t>
        </is>
      </c>
      <c r="U76" s="172" t="inlineStr">
        <is>
          <t>Οκτώβριος 2024</t>
        </is>
      </c>
      <c r="V76" s="35" t="inlineStr">
        <is>
          <t>Προοδευτικά Οκτώβριος 2024</t>
        </is>
      </c>
      <c r="W76" s="172" t="inlineStr">
        <is>
          <t>Νοέμβριος 2024</t>
        </is>
      </c>
      <c r="X76" s="35" t="inlineStr">
        <is>
          <t>Προοδευτικά Νοέμβριος 2024</t>
        </is>
      </c>
      <c r="Y76" s="172" t="inlineStr">
        <is>
          <t xml:space="preserve">Δεκέμβριος 2024 </t>
        </is>
      </c>
      <c r="Z76" s="35" t="inlineStr">
        <is>
          <t>Προοδευτικό Σύνολο Δεκεμβρίου 2026</t>
        </is>
      </c>
      <c r="AA76" s="172" t="inlineStr">
        <is>
          <t>Γενικό Σύνολο Μηνών ανά κατηγορία Εσόδου 2024</t>
        </is>
      </c>
    </row>
    <row r="77">
      <c r="A77" s="35">
        <f>'2026 Ιανουάριος'!C8</f>
        <v/>
      </c>
      <c r="B77" s="35" t="n">
        <v>2024</v>
      </c>
      <c r="C77" s="173">
        <f>'2026 Ιανουάριος'!L8</f>
        <v/>
      </c>
      <c r="D77" s="36">
        <f>C77</f>
        <v/>
      </c>
      <c r="E77" s="173">
        <f>'2026 Φεβρουάριος'!L8</f>
        <v/>
      </c>
      <c r="F77" s="36">
        <f>D77+E77</f>
        <v/>
      </c>
      <c r="G77" s="173">
        <f>'2026 Μάρτιος'!L8</f>
        <v/>
      </c>
      <c r="H77" s="36">
        <f>F77+G77</f>
        <v/>
      </c>
      <c r="I77" s="173">
        <f>'2026 Απρίλιος'!L8</f>
        <v/>
      </c>
      <c r="J77" s="36">
        <f>H77+I77</f>
        <v/>
      </c>
      <c r="K77" s="173">
        <f>'2026 Μάιος'!L8</f>
        <v/>
      </c>
      <c r="L77" s="36">
        <f>J77+K77</f>
        <v/>
      </c>
      <c r="M77" s="173">
        <f>'2026 Ιούνιος'!L8</f>
        <v/>
      </c>
      <c r="N77" s="36">
        <f>L77+M77</f>
        <v/>
      </c>
      <c r="O77" s="173">
        <f>'2026 Ιούλιος'!L8</f>
        <v/>
      </c>
      <c r="P77" s="36">
        <f>N77+O77</f>
        <v/>
      </c>
      <c r="Q77" s="173">
        <f>'2026 Aύγουστος'!L8</f>
        <v/>
      </c>
      <c r="R77" s="36">
        <f>P77+Q77</f>
        <v/>
      </c>
      <c r="S77" s="173">
        <f>'2026 Σεπτέμβριος'!L8</f>
        <v/>
      </c>
      <c r="T77" s="36">
        <f>R77+S77</f>
        <v/>
      </c>
      <c r="U77" s="173">
        <f>'2026 Οκτώβριος'!L8</f>
        <v/>
      </c>
      <c r="V77" s="36">
        <f>T77+U77</f>
        <v/>
      </c>
      <c r="W77" s="173">
        <f>'2026 Νοέμβριος'!L8</f>
        <v/>
      </c>
      <c r="X77" s="36">
        <f>V77+W77</f>
        <v/>
      </c>
      <c r="Y77" s="173">
        <f>'2026 Δεκέμβριος'!L8</f>
        <v/>
      </c>
      <c r="Z77" s="36">
        <f>X77+Y77</f>
        <v/>
      </c>
      <c r="AA77" s="173">
        <f>C77+E77+G77+I77+K77+M77+O77+Q77+S77+U77+W77+Y77</f>
        <v/>
      </c>
      <c r="AD77" s="37">
        <f>IF(C41&lt;&gt;0,C77,0) + IF(E41&lt;&gt;0,E77,0) + IF(G41&lt;&gt;0,G77,0) +
IF(I41&lt;&gt;0,I77,0) + IF(K41&lt;&gt;0,K77,0) + IF(M41&lt;&gt;0,M77,0) +
IF(O41&lt;&gt;0,O77,0) + IF(Q41&lt;&gt;0,Q77,0) + IF(S41&lt;&gt;0,S77,0) +
IF(U41&lt;&gt;0,U77,0) + IF(W41&lt;&gt;0,W77,0) + IF(Y41&lt;&gt;0,Y77,0)</f>
        <v/>
      </c>
    </row>
    <row r="78">
      <c r="A78" s="35">
        <f>'2026 Ιανουάριος'!C9</f>
        <v/>
      </c>
      <c r="B78" s="35" t="n">
        <v>2024</v>
      </c>
      <c r="C78" s="173">
        <f>'2026 Ιανουάριος'!L9</f>
        <v/>
      </c>
      <c r="D78" s="36">
        <f>C78</f>
        <v/>
      </c>
      <c r="E78" s="173">
        <f>'2026 Φεβρουάριος'!L9</f>
        <v/>
      </c>
      <c r="F78" s="36">
        <f>D78+E78</f>
        <v/>
      </c>
      <c r="G78" s="173">
        <f>'2026 Μάρτιος'!L9</f>
        <v/>
      </c>
      <c r="H78" s="36">
        <f>F78+G78</f>
        <v/>
      </c>
      <c r="I78" s="173">
        <f>'2026 Απρίλιος'!L9</f>
        <v/>
      </c>
      <c r="J78" s="36">
        <f>H78+I78</f>
        <v/>
      </c>
      <c r="K78" s="173">
        <f>'2026 Μάιος'!L9</f>
        <v/>
      </c>
      <c r="L78" s="36">
        <f>J78+K78</f>
        <v/>
      </c>
      <c r="M78" s="173">
        <f>'2026 Ιούνιος'!L9</f>
        <v/>
      </c>
      <c r="N78" s="36">
        <f>L78+M78</f>
        <v/>
      </c>
      <c r="O78" s="173">
        <f>'2026 Ιούλιος'!L9</f>
        <v/>
      </c>
      <c r="P78" s="36">
        <f>N78+O78</f>
        <v/>
      </c>
      <c r="Q78" s="173">
        <f>'2026 Aύγουστος'!L9</f>
        <v/>
      </c>
      <c r="R78" s="36">
        <f>P78+Q78</f>
        <v/>
      </c>
      <c r="S78" s="173">
        <f>'2026 Σεπτέμβριος'!L9</f>
        <v/>
      </c>
      <c r="T78" s="36">
        <f>R78+S78</f>
        <v/>
      </c>
      <c r="U78" s="173">
        <f>'2026 Οκτώβριος'!L9</f>
        <v/>
      </c>
      <c r="V78" s="36">
        <f>T78+U78</f>
        <v/>
      </c>
      <c r="W78" s="173">
        <f>'2026 Νοέμβριος'!L9</f>
        <v/>
      </c>
      <c r="X78" s="36">
        <f>V78+W78</f>
        <v/>
      </c>
      <c r="Y78" s="173">
        <f>'2026 Δεκέμβριος'!L9</f>
        <v/>
      </c>
      <c r="Z78" s="36">
        <f>X78+Y78</f>
        <v/>
      </c>
      <c r="AA78" s="173">
        <f>C78+E78+G78+I78+K78+M78+O78+Q78+S78+U78+W78+Y78</f>
        <v/>
      </c>
      <c r="AD78" s="37">
        <f>IF(C42&lt;&gt;0,C78,0) + IF(E42&lt;&gt;0,E78,0) + IF(G42&lt;&gt;0,G78,0) +
IF(I42&lt;&gt;0,I78,0) + IF(K42&lt;&gt;0,K78,0) + IF(M42&lt;&gt;0,M78,0) +
IF(O42&lt;&gt;0,O78,0) + IF(Q42&lt;&gt;0,Q78,0) + IF(S42&lt;&gt;0,S78,0) +
IF(U42&lt;&gt;0,U78,0) + IF(W42&lt;&gt;0,W78,0) + IF(Y42&lt;&gt;0,Y78,0)</f>
        <v/>
      </c>
    </row>
    <row r="79">
      <c r="A79" s="35">
        <f>'2026 Ιανουάριος'!C10</f>
        <v/>
      </c>
      <c r="B79" s="35" t="n">
        <v>2024</v>
      </c>
      <c r="C79" s="173">
        <f>'2026 Ιανουάριος'!L10</f>
        <v/>
      </c>
      <c r="D79" s="36">
        <f>C79</f>
        <v/>
      </c>
      <c r="E79" s="173">
        <f>'2026 Φεβρουάριος'!L10</f>
        <v/>
      </c>
      <c r="F79" s="36">
        <f>D79+E79</f>
        <v/>
      </c>
      <c r="G79" s="173">
        <f>'2026 Μάρτιος'!L10</f>
        <v/>
      </c>
      <c r="H79" s="36">
        <f>F79+G79</f>
        <v/>
      </c>
      <c r="I79" s="173">
        <f>'2026 Απρίλιος'!L10</f>
        <v/>
      </c>
      <c r="J79" s="36">
        <f>H79+I79</f>
        <v/>
      </c>
      <c r="K79" s="173">
        <f>'2026 Μάιος'!L10</f>
        <v/>
      </c>
      <c r="L79" s="36">
        <f>J79+K79</f>
        <v/>
      </c>
      <c r="M79" s="173">
        <f>'2026 Ιούνιος'!L10</f>
        <v/>
      </c>
      <c r="N79" s="36">
        <f>L79+M79</f>
        <v/>
      </c>
      <c r="O79" s="173">
        <f>'2026 Ιούλιος'!L10</f>
        <v/>
      </c>
      <c r="P79" s="36">
        <f>N79+O79</f>
        <v/>
      </c>
      <c r="Q79" s="173">
        <f>'2026 Aύγουστος'!L10</f>
        <v/>
      </c>
      <c r="R79" s="36">
        <f>P79+Q79</f>
        <v/>
      </c>
      <c r="S79" s="173">
        <f>'2026 Σεπτέμβριος'!L10</f>
        <v/>
      </c>
      <c r="T79" s="36">
        <f>R79+S79</f>
        <v/>
      </c>
      <c r="U79" s="173">
        <f>'2026 Οκτώβριος'!L10</f>
        <v/>
      </c>
      <c r="V79" s="36">
        <f>T79+U79</f>
        <v/>
      </c>
      <c r="W79" s="173">
        <f>'2026 Νοέμβριος'!L10</f>
        <v/>
      </c>
      <c r="X79" s="36">
        <f>V79+W79</f>
        <v/>
      </c>
      <c r="Y79" s="173">
        <f>'2026 Δεκέμβριος'!L10</f>
        <v/>
      </c>
      <c r="Z79" s="36">
        <f>X79+Y79</f>
        <v/>
      </c>
      <c r="AA79" s="173">
        <f>C79+E79+G79+I79+K79+M79+O79+Q79+S79+U79+W79+Y79</f>
        <v/>
      </c>
      <c r="AD79" s="37">
        <f>IF(C43&lt;&gt;0,C79,0) + IF(E43&lt;&gt;0,E79,0) + IF(G43&lt;&gt;0,G79,0) +
IF(I43&lt;&gt;0,I79,0) + IF(K43&lt;&gt;0,K79,0) + IF(M43&lt;&gt;0,M79,0) +
IF(O43&lt;&gt;0,O79,0) + IF(Q43&lt;&gt;0,Q79,0) + IF(S43&lt;&gt;0,S79,0) +
IF(U43&lt;&gt;0,U79,0) + IF(W43&lt;&gt;0,W79,0) + IF(Y43&lt;&gt;0,Y79,0)</f>
        <v/>
      </c>
    </row>
    <row r="80">
      <c r="A80" s="35">
        <f>'2026 Ιανουάριος'!C11</f>
        <v/>
      </c>
      <c r="B80" s="35" t="n">
        <v>2024</v>
      </c>
      <c r="C80" s="173">
        <f>'2026 Ιανουάριος'!L11</f>
        <v/>
      </c>
      <c r="D80" s="36">
        <f>C80</f>
        <v/>
      </c>
      <c r="E80" s="173">
        <f>'2026 Φεβρουάριος'!L11</f>
        <v/>
      </c>
      <c r="F80" s="36">
        <f>D80+E80</f>
        <v/>
      </c>
      <c r="G80" s="173">
        <f>'2026 Μάρτιος'!L11</f>
        <v/>
      </c>
      <c r="H80" s="36">
        <f>F80+G80</f>
        <v/>
      </c>
      <c r="I80" s="173">
        <f>'2026 Απρίλιος'!L11</f>
        <v/>
      </c>
      <c r="J80" s="36">
        <f>H80+I80</f>
        <v/>
      </c>
      <c r="K80" s="173">
        <f>'2026 Μάιος'!L11</f>
        <v/>
      </c>
      <c r="L80" s="36">
        <f>J80+K80</f>
        <v/>
      </c>
      <c r="M80" s="173">
        <f>'2026 Ιούνιος'!L11</f>
        <v/>
      </c>
      <c r="N80" s="36">
        <f>L80+M80</f>
        <v/>
      </c>
      <c r="O80" s="173">
        <f>'2026 Ιούλιος'!L11</f>
        <v/>
      </c>
      <c r="P80" s="36">
        <f>N80+O80</f>
        <v/>
      </c>
      <c r="Q80" s="173">
        <f>'2026 Aύγουστος'!L11</f>
        <v/>
      </c>
      <c r="R80" s="36">
        <f>P80+Q80</f>
        <v/>
      </c>
      <c r="S80" s="173">
        <f>'2026 Σεπτέμβριος'!L11</f>
        <v/>
      </c>
      <c r="T80" s="36">
        <f>R80+S80</f>
        <v/>
      </c>
      <c r="U80" s="173">
        <f>'2026 Οκτώβριος'!L11</f>
        <v/>
      </c>
      <c r="V80" s="36">
        <f>T80+U80</f>
        <v/>
      </c>
      <c r="W80" s="173">
        <f>'2026 Νοέμβριος'!L11</f>
        <v/>
      </c>
      <c r="X80" s="36">
        <f>V80+W80</f>
        <v/>
      </c>
      <c r="Y80" s="173">
        <f>'2026 Δεκέμβριος'!L11</f>
        <v/>
      </c>
      <c r="Z80" s="36">
        <f>X80+Y80</f>
        <v/>
      </c>
      <c r="AA80" s="173">
        <f>C80+E80+G80+I80+K80+M80+O80+Q80+S80+U80+W80+Y80</f>
        <v/>
      </c>
      <c r="AD80" s="37">
        <f>IF(C44&lt;&gt;0,C80,0) + IF(E44&lt;&gt;0,E80,0) + IF(G44&lt;&gt;0,G80,0) +
IF(I44&lt;&gt;0,I80,0) + IF(K44&lt;&gt;0,K80,0) + IF(M44&lt;&gt;0,M80,0) +
IF(O44&lt;&gt;0,O80,0) + IF(Q44&lt;&gt;0,Q80,0) + IF(S44&lt;&gt;0,S80,0) +
IF(U44&lt;&gt;0,U80,0) + IF(W44&lt;&gt;0,W80,0) + IF(Y44&lt;&gt;0,Y80,0)</f>
        <v/>
      </c>
    </row>
    <row r="81">
      <c r="A81" s="35">
        <f>'2026 Ιανουάριος'!C12</f>
        <v/>
      </c>
      <c r="B81" s="35" t="n">
        <v>2024</v>
      </c>
      <c r="C81" s="173">
        <f>'2026 Ιανουάριος'!L12</f>
        <v/>
      </c>
      <c r="D81" s="36">
        <f>C81</f>
        <v/>
      </c>
      <c r="E81" s="173">
        <f>'2026 Φεβρουάριος'!L12</f>
        <v/>
      </c>
      <c r="F81" s="36">
        <f>D81+E81</f>
        <v/>
      </c>
      <c r="G81" s="173">
        <f>'2026 Μάρτιος'!L12</f>
        <v/>
      </c>
      <c r="H81" s="36">
        <f>F81+G81</f>
        <v/>
      </c>
      <c r="I81" s="173">
        <f>'2026 Απρίλιος'!L12</f>
        <v/>
      </c>
      <c r="J81" s="36">
        <f>H81+I81</f>
        <v/>
      </c>
      <c r="K81" s="173">
        <f>'2026 Μάιος'!L12</f>
        <v/>
      </c>
      <c r="L81" s="36">
        <f>J81+K81</f>
        <v/>
      </c>
      <c r="M81" s="173">
        <f>'2026 Ιούνιος'!L12</f>
        <v/>
      </c>
      <c r="N81" s="36">
        <f>L81+M81</f>
        <v/>
      </c>
      <c r="O81" s="173">
        <f>'2026 Ιούλιος'!L12</f>
        <v/>
      </c>
      <c r="P81" s="36">
        <f>N81+O81</f>
        <v/>
      </c>
      <c r="Q81" s="173">
        <f>'2026 Aύγουστος'!L12</f>
        <v/>
      </c>
      <c r="R81" s="36">
        <f>P81+Q81</f>
        <v/>
      </c>
      <c r="S81" s="173">
        <f>'2026 Σεπτέμβριος'!L12</f>
        <v/>
      </c>
      <c r="T81" s="36">
        <f>R81+S81</f>
        <v/>
      </c>
      <c r="U81" s="173">
        <f>'2026 Οκτώβριος'!L12</f>
        <v/>
      </c>
      <c r="V81" s="36">
        <f>T81+U81</f>
        <v/>
      </c>
      <c r="W81" s="173">
        <f>'2026 Νοέμβριος'!L12</f>
        <v/>
      </c>
      <c r="X81" s="36">
        <f>V81+W81</f>
        <v/>
      </c>
      <c r="Y81" s="173">
        <f>'2026 Δεκέμβριος'!L12</f>
        <v/>
      </c>
      <c r="Z81" s="36">
        <f>X81+Y81</f>
        <v/>
      </c>
      <c r="AA81" s="173">
        <f>C81+E81+G81+I81+K81+M81+O81+Q81+S81+U81+W81+Y81</f>
        <v/>
      </c>
      <c r="AD81" s="37">
        <f>IF(C45&lt;&gt;0,C81,0) + IF(E45&lt;&gt;0,E81,0) + IF(G45&lt;&gt;0,G81,0) +
IF(I45&lt;&gt;0,I81,0) + IF(K45&lt;&gt;0,K81,0) + IF(M45&lt;&gt;0,M81,0) +
IF(O45&lt;&gt;0,O81,0) + IF(Q45&lt;&gt;0,Q81,0) + IF(S45&lt;&gt;0,S81,0) +
IF(U45&lt;&gt;0,U81,0) + IF(W45&lt;&gt;0,W81,0) + IF(Y45&lt;&gt;0,Y81,0)</f>
        <v/>
      </c>
    </row>
    <row r="82">
      <c r="A82" s="35">
        <f>'2026 Ιανουάριος'!C13</f>
        <v/>
      </c>
      <c r="B82" s="35" t="n">
        <v>2024</v>
      </c>
      <c r="C82" s="173">
        <f>'2026 Ιανουάριος'!L13</f>
        <v/>
      </c>
      <c r="D82" s="36">
        <f>C82</f>
        <v/>
      </c>
      <c r="E82" s="173">
        <f>'2026 Φεβρουάριος'!L13</f>
        <v/>
      </c>
      <c r="F82" s="36">
        <f>D82+E82</f>
        <v/>
      </c>
      <c r="G82" s="173">
        <f>'2026 Μάρτιος'!L13</f>
        <v/>
      </c>
      <c r="H82" s="36">
        <f>F82+G82</f>
        <v/>
      </c>
      <c r="I82" s="173">
        <f>'2026 Απρίλιος'!L13</f>
        <v/>
      </c>
      <c r="J82" s="36">
        <f>H82+I82</f>
        <v/>
      </c>
      <c r="K82" s="173">
        <f>'2026 Μάιος'!L13</f>
        <v/>
      </c>
      <c r="L82" s="36">
        <f>J82+K82</f>
        <v/>
      </c>
      <c r="M82" s="173">
        <f>'2026 Ιούνιος'!L13</f>
        <v/>
      </c>
      <c r="N82" s="36">
        <f>L82+M82</f>
        <v/>
      </c>
      <c r="O82" s="173">
        <f>'2026 Ιούλιος'!L13</f>
        <v/>
      </c>
      <c r="P82" s="36">
        <f>N82+O82</f>
        <v/>
      </c>
      <c r="Q82" s="173">
        <f>'2026 Aύγουστος'!L13</f>
        <v/>
      </c>
      <c r="R82" s="36">
        <f>P82+Q82</f>
        <v/>
      </c>
      <c r="S82" s="173">
        <f>'2026 Σεπτέμβριος'!L13</f>
        <v/>
      </c>
      <c r="T82" s="36">
        <f>R82+S82</f>
        <v/>
      </c>
      <c r="U82" s="173">
        <f>'2026 Οκτώβριος'!L13</f>
        <v/>
      </c>
      <c r="V82" s="36">
        <f>T82+U82</f>
        <v/>
      </c>
      <c r="W82" s="173">
        <f>'2026 Νοέμβριος'!L13</f>
        <v/>
      </c>
      <c r="X82" s="36">
        <f>V82+W82</f>
        <v/>
      </c>
      <c r="Y82" s="173">
        <f>'2026 Δεκέμβριος'!L13</f>
        <v/>
      </c>
      <c r="Z82" s="36">
        <f>X82+Y82</f>
        <v/>
      </c>
      <c r="AA82" s="173">
        <f>C82+E82+G82+I82+K82+M82+O82+Q82+S82+U82+W82+Y82</f>
        <v/>
      </c>
      <c r="AD82" s="37">
        <f>IF(C46&lt;&gt;0,C82,0) + IF(E46&lt;&gt;0,E82,0) + IF(G46&lt;&gt;0,G82,0) +
IF(I46&lt;&gt;0,I82,0) + IF(K46&lt;&gt;0,K82,0) + IF(M46&lt;&gt;0,M82,0) +
IF(O46&lt;&gt;0,O82,0) + IF(Q46&lt;&gt;0,Q82,0) + IF(S46&lt;&gt;0,S82,0) +
IF(U46&lt;&gt;0,U82,0) + IF(W46&lt;&gt;0,W82,0) + IF(Y46&lt;&gt;0,Y82,0)</f>
        <v/>
      </c>
    </row>
    <row r="83">
      <c r="A83" s="35">
        <f>'2026 Ιανουάριος'!C14</f>
        <v/>
      </c>
      <c r="B83" s="35" t="n">
        <v>2024</v>
      </c>
      <c r="C83" s="173">
        <f>'2026 Ιανουάριος'!L14</f>
        <v/>
      </c>
      <c r="D83" s="36">
        <f>C83</f>
        <v/>
      </c>
      <c r="E83" s="173">
        <f>'2026 Φεβρουάριος'!L14</f>
        <v/>
      </c>
      <c r="F83" s="36">
        <f>D83+E83</f>
        <v/>
      </c>
      <c r="G83" s="173">
        <f>'2026 Μάρτιος'!L14</f>
        <v/>
      </c>
      <c r="H83" s="36">
        <f>F83+G83</f>
        <v/>
      </c>
      <c r="I83" s="173">
        <f>'2026 Απρίλιος'!L14</f>
        <v/>
      </c>
      <c r="J83" s="36">
        <f>H83+I83</f>
        <v/>
      </c>
      <c r="K83" s="173">
        <f>'2026 Μάιος'!L14</f>
        <v/>
      </c>
      <c r="L83" s="36">
        <f>J83+K83</f>
        <v/>
      </c>
      <c r="M83" s="173">
        <f>'2026 Ιούνιος'!L14</f>
        <v/>
      </c>
      <c r="N83" s="36">
        <f>L83+M83</f>
        <v/>
      </c>
      <c r="O83" s="173">
        <f>'2026 Ιούλιος'!L14</f>
        <v/>
      </c>
      <c r="P83" s="36">
        <f>N83+O83</f>
        <v/>
      </c>
      <c r="Q83" s="173">
        <f>'2026 Aύγουστος'!L14</f>
        <v/>
      </c>
      <c r="R83" s="36">
        <f>P83+Q83</f>
        <v/>
      </c>
      <c r="S83" s="173">
        <f>'2026 Σεπτέμβριος'!L14</f>
        <v/>
      </c>
      <c r="T83" s="36">
        <f>R83+S83</f>
        <v/>
      </c>
      <c r="U83" s="173">
        <f>'2026 Οκτώβριος'!L14</f>
        <v/>
      </c>
      <c r="V83" s="36">
        <f>T83+U83</f>
        <v/>
      </c>
      <c r="W83" s="173">
        <f>'2026 Νοέμβριος'!L14</f>
        <v/>
      </c>
      <c r="X83" s="36">
        <f>V83+W83</f>
        <v/>
      </c>
      <c r="Y83" s="173">
        <f>'2026 Δεκέμβριος'!L14</f>
        <v/>
      </c>
      <c r="Z83" s="36">
        <f>X83+Y83</f>
        <v/>
      </c>
      <c r="AA83" s="173">
        <f>C83+E83+G83+I83+K83+M83+O83+Q83+S83+U83+W83+Y83</f>
        <v/>
      </c>
      <c r="AD83" s="37">
        <f>IF(C47&lt;&gt;0,C83,0) + IF(E47&lt;&gt;0,E83,0) + IF(G47&lt;&gt;0,G83,0) +
IF(I47&lt;&gt;0,I83,0) + IF(K47&lt;&gt;0,K83,0) + IF(M47&lt;&gt;0,M83,0) +
IF(O47&lt;&gt;0,O83,0) + IF(Q47&lt;&gt;0,Q83,0) + IF(S47&lt;&gt;0,S83,0) +
IF(U47&lt;&gt;0,U83,0) + IF(W47&lt;&gt;0,W83,0) + IF(Y47&lt;&gt;0,Y83,0)</f>
        <v/>
      </c>
    </row>
    <row r="84">
      <c r="A84" s="35">
        <f>'2026 Ιανουάριος'!C15</f>
        <v/>
      </c>
      <c r="B84" s="35" t="n">
        <v>2024</v>
      </c>
      <c r="C84" s="173">
        <f>'2026 Ιανουάριος'!L15</f>
        <v/>
      </c>
      <c r="D84" s="36">
        <f>C84</f>
        <v/>
      </c>
      <c r="E84" s="173">
        <f>'2026 Φεβρουάριος'!L15</f>
        <v/>
      </c>
      <c r="F84" s="36">
        <f>D84+E84</f>
        <v/>
      </c>
      <c r="G84" s="173">
        <f>'2026 Μάρτιος'!L15</f>
        <v/>
      </c>
      <c r="H84" s="36">
        <f>F84+G84</f>
        <v/>
      </c>
      <c r="I84" s="173">
        <f>'2026 Απρίλιος'!L15</f>
        <v/>
      </c>
      <c r="J84" s="36">
        <f>H84+I84</f>
        <v/>
      </c>
      <c r="K84" s="173">
        <f>'2026 Μάιος'!L15</f>
        <v/>
      </c>
      <c r="L84" s="36">
        <f>J84+K84</f>
        <v/>
      </c>
      <c r="M84" s="173">
        <f>'2026 Ιούνιος'!L15</f>
        <v/>
      </c>
      <c r="N84" s="36">
        <f>L84+M84</f>
        <v/>
      </c>
      <c r="O84" s="173">
        <f>'2026 Ιούλιος'!L15</f>
        <v/>
      </c>
      <c r="P84" s="36">
        <f>N84+O84</f>
        <v/>
      </c>
      <c r="Q84" s="173">
        <f>'2026 Aύγουστος'!L15</f>
        <v/>
      </c>
      <c r="R84" s="36">
        <f>P84+Q84</f>
        <v/>
      </c>
      <c r="S84" s="173">
        <f>'2026 Σεπτέμβριος'!L15</f>
        <v/>
      </c>
      <c r="T84" s="36">
        <f>R84+S84</f>
        <v/>
      </c>
      <c r="U84" s="173">
        <f>'2026 Οκτώβριος'!L15</f>
        <v/>
      </c>
      <c r="V84" s="36">
        <f>T84+U84</f>
        <v/>
      </c>
      <c r="W84" s="173">
        <f>'2026 Νοέμβριος'!L15</f>
        <v/>
      </c>
      <c r="X84" s="36">
        <f>V84+W84</f>
        <v/>
      </c>
      <c r="Y84" s="173">
        <f>'2026 Δεκέμβριος'!L15</f>
        <v/>
      </c>
      <c r="Z84" s="36">
        <f>X84+Y84</f>
        <v/>
      </c>
      <c r="AA84" s="173">
        <f>C84+E84+G84+I84+K84+M84+O84+Q84+S84+U84+W84+Y84</f>
        <v/>
      </c>
      <c r="AD84" s="37">
        <f>IF(C48&lt;&gt;0,C84,0) + IF(E48&lt;&gt;0,E84,0) + IF(G48&lt;&gt;0,G84,0) +
IF(I48&lt;&gt;0,I84,0) + IF(K48&lt;&gt;0,K84,0) + IF(M48&lt;&gt;0,M84,0) +
IF(O48&lt;&gt;0,O84,0) + IF(Q48&lt;&gt;0,Q84,0) + IF(S48&lt;&gt;0,S84,0) +
IF(U48&lt;&gt;0,U84,0) + IF(W48&lt;&gt;0,W84,0) + IF(Y48&lt;&gt;0,Y84,0)</f>
        <v/>
      </c>
    </row>
    <row r="85">
      <c r="A85" s="35">
        <f>'2026 Ιανουάριος'!C16</f>
        <v/>
      </c>
      <c r="B85" s="35" t="n">
        <v>2024</v>
      </c>
      <c r="C85" s="173">
        <f>'2026 Ιανουάριος'!L16</f>
        <v/>
      </c>
      <c r="D85" s="36">
        <f>C85</f>
        <v/>
      </c>
      <c r="E85" s="173">
        <f>'2026 Φεβρουάριος'!L16</f>
        <v/>
      </c>
      <c r="F85" s="36">
        <f>D85+E85</f>
        <v/>
      </c>
      <c r="G85" s="173">
        <f>'2026 Μάρτιος'!L16</f>
        <v/>
      </c>
      <c r="H85" s="36">
        <f>F85+G85</f>
        <v/>
      </c>
      <c r="I85" s="173">
        <f>'2026 Απρίλιος'!L16</f>
        <v/>
      </c>
      <c r="J85" s="36">
        <f>H85+I85</f>
        <v/>
      </c>
      <c r="K85" s="173">
        <f>'2026 Μάιος'!L16</f>
        <v/>
      </c>
      <c r="L85" s="36">
        <f>J85+K85</f>
        <v/>
      </c>
      <c r="M85" s="173">
        <f>'2026 Ιούνιος'!L16</f>
        <v/>
      </c>
      <c r="N85" s="36">
        <f>L85+M85</f>
        <v/>
      </c>
      <c r="O85" s="173">
        <f>'2026 Ιούλιος'!L16</f>
        <v/>
      </c>
      <c r="P85" s="36">
        <f>N85+O85</f>
        <v/>
      </c>
      <c r="Q85" s="173">
        <f>'2026 Aύγουστος'!L16</f>
        <v/>
      </c>
      <c r="R85" s="36">
        <f>P85+Q85</f>
        <v/>
      </c>
      <c r="S85" s="173">
        <f>'2026 Σεπτέμβριος'!L16</f>
        <v/>
      </c>
      <c r="T85" s="36">
        <f>R85+S85</f>
        <v/>
      </c>
      <c r="U85" s="173">
        <f>'2026 Οκτώβριος'!L16</f>
        <v/>
      </c>
      <c r="V85" s="36">
        <f>T85+U85</f>
        <v/>
      </c>
      <c r="W85" s="173">
        <f>'2026 Νοέμβριος'!L16</f>
        <v/>
      </c>
      <c r="X85" s="36">
        <f>V85+W85</f>
        <v/>
      </c>
      <c r="Y85" s="173">
        <f>'2026 Δεκέμβριος'!L16</f>
        <v/>
      </c>
      <c r="Z85" s="36">
        <f>X85+Y85</f>
        <v/>
      </c>
      <c r="AA85" s="173">
        <f>C85+E85+G85+I85+K85+M85+O85+Q85+S85+U85+W85+Y85</f>
        <v/>
      </c>
      <c r="AD85" s="37">
        <f>IF(C49&lt;&gt;0,C85,0) + IF(E49&lt;&gt;0,E85,0) + IF(G49&lt;&gt;0,G85,0) +
IF(I49&lt;&gt;0,I85,0) + IF(K49&lt;&gt;0,K85,0) + IF(M49&lt;&gt;0,M85,0) +
IF(O49&lt;&gt;0,O85,0) + IF(Q49&lt;&gt;0,Q85,0) + IF(S49&lt;&gt;0,S85,0) +
IF(U49&lt;&gt;0,U85,0) + IF(W49&lt;&gt;0,W85,0) + IF(Y49&lt;&gt;0,Y85,0)</f>
        <v/>
      </c>
    </row>
    <row r="86">
      <c r="A86" s="35">
        <f>'2026 Ιανουάριος'!C17</f>
        <v/>
      </c>
      <c r="B86" s="35" t="n">
        <v>2024</v>
      </c>
      <c r="C86" s="173">
        <f>'2026 Ιανουάριος'!L17</f>
        <v/>
      </c>
      <c r="D86" s="36">
        <f>C86</f>
        <v/>
      </c>
      <c r="E86" s="173">
        <f>'2026 Φεβρουάριος'!L17</f>
        <v/>
      </c>
      <c r="F86" s="36">
        <f>D86+E86</f>
        <v/>
      </c>
      <c r="G86" s="173">
        <f>'2026 Μάρτιος'!L17</f>
        <v/>
      </c>
      <c r="H86" s="36">
        <f>F86+G86</f>
        <v/>
      </c>
      <c r="I86" s="173">
        <f>'2026 Απρίλιος'!L17</f>
        <v/>
      </c>
      <c r="J86" s="36">
        <f>H86+I86</f>
        <v/>
      </c>
      <c r="K86" s="173">
        <f>'2026 Μάιος'!L17</f>
        <v/>
      </c>
      <c r="L86" s="36">
        <f>J86+K86</f>
        <v/>
      </c>
      <c r="M86" s="173">
        <f>'2026 Ιούνιος'!L17</f>
        <v/>
      </c>
      <c r="N86" s="36">
        <f>L86+M86</f>
        <v/>
      </c>
      <c r="O86" s="173">
        <f>'2026 Ιούλιος'!L17</f>
        <v/>
      </c>
      <c r="P86" s="36">
        <f>N86+O86</f>
        <v/>
      </c>
      <c r="Q86" s="173">
        <f>'2026 Aύγουστος'!L17</f>
        <v/>
      </c>
      <c r="R86" s="36">
        <f>P86+Q86</f>
        <v/>
      </c>
      <c r="S86" s="173">
        <f>'2026 Σεπτέμβριος'!L17</f>
        <v/>
      </c>
      <c r="T86" s="36">
        <f>R86+S86</f>
        <v/>
      </c>
      <c r="U86" s="173">
        <f>'2026 Οκτώβριος'!L17</f>
        <v/>
      </c>
      <c r="V86" s="36">
        <f>T86+U86</f>
        <v/>
      </c>
      <c r="W86" s="173">
        <f>'2026 Νοέμβριος'!L17</f>
        <v/>
      </c>
      <c r="X86" s="36">
        <f>V86+W86</f>
        <v/>
      </c>
      <c r="Y86" s="173">
        <f>'2026 Δεκέμβριος'!L17</f>
        <v/>
      </c>
      <c r="Z86" s="36">
        <f>X86+Y86</f>
        <v/>
      </c>
      <c r="AA86" s="173">
        <f>C86+E86+G86+I86+K86+M86+O86+Q86+S86+U86+W86+Y86</f>
        <v/>
      </c>
      <c r="AD86" s="37">
        <f>IF(C50&lt;&gt;0,C86,0) + IF(E50&lt;&gt;0,E86,0) + IF(G50&lt;&gt;0,G86,0) +
IF(I50&lt;&gt;0,I86,0) + IF(K50&lt;&gt;0,K86,0) + IF(M50&lt;&gt;0,M86,0) +
IF(O50&lt;&gt;0,O86,0) + IF(Q50&lt;&gt;0,Q86,0) + IF(S50&lt;&gt;0,S86,0) +
IF(U50&lt;&gt;0,U86,0) + IF(W50&lt;&gt;0,W86,0) + IF(Y50&lt;&gt;0,Y86,0)</f>
        <v/>
      </c>
    </row>
    <row r="87">
      <c r="A87" s="35">
        <f>'2026 Ιανουάριος'!C18</f>
        <v/>
      </c>
      <c r="B87" s="35" t="n">
        <v>2024</v>
      </c>
      <c r="C87" s="173">
        <f>'2026 Ιανουάριος'!L18</f>
        <v/>
      </c>
      <c r="D87" s="36">
        <f>C87</f>
        <v/>
      </c>
      <c r="E87" s="173">
        <f>'2026 Φεβρουάριος'!L18</f>
        <v/>
      </c>
      <c r="F87" s="36">
        <f>D87+E87</f>
        <v/>
      </c>
      <c r="G87" s="173">
        <f>'2026 Μάρτιος'!L18</f>
        <v/>
      </c>
      <c r="H87" s="36">
        <f>F87+G87</f>
        <v/>
      </c>
      <c r="I87" s="173">
        <f>'2026 Απρίλιος'!L18</f>
        <v/>
      </c>
      <c r="J87" s="36">
        <f>H87+I87</f>
        <v/>
      </c>
      <c r="K87" s="173">
        <f>'2026 Μάιος'!L18</f>
        <v/>
      </c>
      <c r="L87" s="36">
        <f>J87+K87</f>
        <v/>
      </c>
      <c r="M87" s="173">
        <f>'2026 Ιούνιος'!L18</f>
        <v/>
      </c>
      <c r="N87" s="36">
        <f>L87+M87</f>
        <v/>
      </c>
      <c r="O87" s="173">
        <f>'2026 Ιούλιος'!L18</f>
        <v/>
      </c>
      <c r="P87" s="36">
        <f>N87+O87</f>
        <v/>
      </c>
      <c r="Q87" s="173">
        <f>'2026 Aύγουστος'!L18</f>
        <v/>
      </c>
      <c r="R87" s="36">
        <f>P87+Q87</f>
        <v/>
      </c>
      <c r="S87" s="173">
        <f>'2026 Σεπτέμβριος'!L18</f>
        <v/>
      </c>
      <c r="T87" s="36">
        <f>R87+S87</f>
        <v/>
      </c>
      <c r="U87" s="173">
        <f>'2026 Οκτώβριος'!L18</f>
        <v/>
      </c>
      <c r="V87" s="36">
        <f>T87+U87</f>
        <v/>
      </c>
      <c r="W87" s="173">
        <f>'2026 Νοέμβριος'!L18</f>
        <v/>
      </c>
      <c r="X87" s="36">
        <f>V87+W87</f>
        <v/>
      </c>
      <c r="Y87" s="173">
        <f>'2026 Δεκέμβριος'!L18</f>
        <v/>
      </c>
      <c r="Z87" s="36">
        <f>X87+Y87</f>
        <v/>
      </c>
      <c r="AA87" s="173">
        <f>C87+E87+G87+I87+K87+M87+O87+Q87+S87+U87+W87+Y87</f>
        <v/>
      </c>
      <c r="AD87" s="37">
        <f>IF(C51&lt;&gt;0,C87,0) + IF(E51&lt;&gt;0,E87,0) + IF(G51&lt;&gt;0,G87,0) +
IF(I51&lt;&gt;0,I87,0) + IF(K51&lt;&gt;0,K87,0) + IF(M51&lt;&gt;0,M87,0) +
IF(O51&lt;&gt;0,O87,0) + IF(Q51&lt;&gt;0,Q87,0) + IF(S51&lt;&gt;0,S87,0) +
IF(U51&lt;&gt;0,U87,0) + IF(W51&lt;&gt;0,W87,0) + IF(Y51&lt;&gt;0,Y87,0)</f>
        <v/>
      </c>
    </row>
    <row r="88">
      <c r="A88" s="35">
        <f>'2026 Ιανουάριος'!C19</f>
        <v/>
      </c>
      <c r="B88" s="35" t="n">
        <v>2024</v>
      </c>
      <c r="C88" s="173">
        <f>'2026 Ιανουάριος'!L19</f>
        <v/>
      </c>
      <c r="D88" s="36">
        <f>C88</f>
        <v/>
      </c>
      <c r="E88" s="173">
        <f>'2026 Φεβρουάριος'!L19</f>
        <v/>
      </c>
      <c r="F88" s="36">
        <f>D88+E88</f>
        <v/>
      </c>
      <c r="G88" s="173">
        <f>'2026 Μάρτιος'!L19</f>
        <v/>
      </c>
      <c r="H88" s="36">
        <f>F88+G88</f>
        <v/>
      </c>
      <c r="I88" s="173">
        <f>'2026 Απρίλιος'!L19</f>
        <v/>
      </c>
      <c r="J88" s="36">
        <f>H88+I88</f>
        <v/>
      </c>
      <c r="K88" s="173">
        <f>'2026 Μάιος'!L19</f>
        <v/>
      </c>
      <c r="L88" s="36">
        <f>J88+K88</f>
        <v/>
      </c>
      <c r="M88" s="173">
        <f>'2026 Ιούνιος'!L19</f>
        <v/>
      </c>
      <c r="N88" s="36">
        <f>L88+M88</f>
        <v/>
      </c>
      <c r="O88" s="173">
        <f>'2026 Ιούλιος'!L19</f>
        <v/>
      </c>
      <c r="P88" s="36">
        <f>N88+O88</f>
        <v/>
      </c>
      <c r="Q88" s="173">
        <f>'2026 Aύγουστος'!L19</f>
        <v/>
      </c>
      <c r="R88" s="36">
        <f>P88+Q88</f>
        <v/>
      </c>
      <c r="S88" s="173">
        <f>'2026 Σεπτέμβριος'!L19</f>
        <v/>
      </c>
      <c r="T88" s="36">
        <f>R88+S88</f>
        <v/>
      </c>
      <c r="U88" s="173">
        <f>'2026 Οκτώβριος'!L19</f>
        <v/>
      </c>
      <c r="V88" s="36">
        <f>T88+U88</f>
        <v/>
      </c>
      <c r="W88" s="173">
        <f>'2026 Νοέμβριος'!L19</f>
        <v/>
      </c>
      <c r="X88" s="36">
        <f>V88+W88</f>
        <v/>
      </c>
      <c r="Y88" s="173">
        <f>'2026 Δεκέμβριος'!L19</f>
        <v/>
      </c>
      <c r="Z88" s="36">
        <f>X88+Y88</f>
        <v/>
      </c>
      <c r="AA88" s="173">
        <f>C88+E88+G88+I88+K88+M88+O88+Q88+S88+U88+W88+Y88</f>
        <v/>
      </c>
      <c r="AD88" s="37">
        <f>IF(C52&lt;&gt;0,C88,0) + IF(E52&lt;&gt;0,E88,0) + IF(G52&lt;&gt;0,G88,0) +
IF(I52&lt;&gt;0,I88,0) + IF(K52&lt;&gt;0,K88,0) + IF(M52&lt;&gt;0,M88,0) +
IF(O52&lt;&gt;0,O88,0) + IF(Q52&lt;&gt;0,Q88,0) + IF(S52&lt;&gt;0,S88,0) +
IF(U52&lt;&gt;0,U88,0) + IF(W52&lt;&gt;0,W88,0) + IF(Y52&lt;&gt;0,Y88,0)</f>
        <v/>
      </c>
    </row>
    <row r="89">
      <c r="A89" s="35">
        <f>'2026 Ιανουάριος'!C20</f>
        <v/>
      </c>
      <c r="B89" s="35" t="n">
        <v>2024</v>
      </c>
      <c r="C89" s="173">
        <f>'2026 Ιανουάριος'!L20</f>
        <v/>
      </c>
      <c r="D89" s="36">
        <f>C89</f>
        <v/>
      </c>
      <c r="E89" s="173">
        <f>'2026 Φεβρουάριος'!L20</f>
        <v/>
      </c>
      <c r="F89" s="36">
        <f>D89+E89</f>
        <v/>
      </c>
      <c r="G89" s="173">
        <f>'2026 Μάρτιος'!L20</f>
        <v/>
      </c>
      <c r="H89" s="36">
        <f>F89+G89</f>
        <v/>
      </c>
      <c r="I89" s="173">
        <f>'2026 Απρίλιος'!L20</f>
        <v/>
      </c>
      <c r="J89" s="36">
        <f>H89+I89</f>
        <v/>
      </c>
      <c r="K89" s="173">
        <f>'2026 Μάιος'!L20</f>
        <v/>
      </c>
      <c r="L89" s="36">
        <f>J89+K89</f>
        <v/>
      </c>
      <c r="M89" s="173">
        <f>'2026 Ιούνιος'!L20</f>
        <v/>
      </c>
      <c r="N89" s="36">
        <f>L89+M89</f>
        <v/>
      </c>
      <c r="O89" s="173">
        <f>'2026 Ιούλιος'!L20</f>
        <v/>
      </c>
      <c r="P89" s="36">
        <f>N89+O89</f>
        <v/>
      </c>
      <c r="Q89" s="173">
        <f>'2026 Aύγουστος'!L20</f>
        <v/>
      </c>
      <c r="R89" s="36">
        <f>P89+Q89</f>
        <v/>
      </c>
      <c r="S89" s="173">
        <f>'2026 Σεπτέμβριος'!L20</f>
        <v/>
      </c>
      <c r="T89" s="36">
        <f>R89+S89</f>
        <v/>
      </c>
      <c r="U89" s="173">
        <f>'2026 Οκτώβριος'!L20</f>
        <v/>
      </c>
      <c r="V89" s="36">
        <f>T89+U89</f>
        <v/>
      </c>
      <c r="W89" s="173">
        <f>'2026 Νοέμβριος'!L20</f>
        <v/>
      </c>
      <c r="X89" s="36">
        <f>V89+W89</f>
        <v/>
      </c>
      <c r="Y89" s="173">
        <f>'2026 Δεκέμβριος'!L20</f>
        <v/>
      </c>
      <c r="Z89" s="36">
        <f>X89+Y89</f>
        <v/>
      </c>
      <c r="AA89" s="173">
        <f>C89+E89+G89+I89+K89+M89+O89+Q89+S89+U89+W89+Y89</f>
        <v/>
      </c>
      <c r="AD89" s="37">
        <f>IF(C53&lt;&gt;0,C89,0) + IF(E53&lt;&gt;0,E89,0) + IF(G53&lt;&gt;0,G89,0) +
IF(I53&lt;&gt;0,I89,0) + IF(K53&lt;&gt;0,K89,0) + IF(M53&lt;&gt;0,M89,0) +
IF(O53&lt;&gt;0,O89,0) + IF(Q53&lt;&gt;0,Q89,0) + IF(S53&lt;&gt;0,S89,0) +
IF(U53&lt;&gt;0,U89,0) + IF(W53&lt;&gt;0,W89,0) + IF(Y53&lt;&gt;0,Y89,0)</f>
        <v/>
      </c>
    </row>
    <row r="90">
      <c r="A90" s="35">
        <f>'2026 Ιανουάριος'!C21</f>
        <v/>
      </c>
      <c r="B90" s="35" t="n">
        <v>2024</v>
      </c>
      <c r="C90" s="173">
        <f>'2026 Ιανουάριος'!L21</f>
        <v/>
      </c>
      <c r="D90" s="36">
        <f>C90</f>
        <v/>
      </c>
      <c r="E90" s="173">
        <f>'2026 Φεβρουάριος'!L21</f>
        <v/>
      </c>
      <c r="F90" s="36">
        <f>D90+E90</f>
        <v/>
      </c>
      <c r="G90" s="173">
        <f>'2026 Μάρτιος'!L21</f>
        <v/>
      </c>
      <c r="H90" s="36">
        <f>F90+G90</f>
        <v/>
      </c>
      <c r="I90" s="173">
        <f>'2026 Απρίλιος'!L21</f>
        <v/>
      </c>
      <c r="J90" s="36">
        <f>H90+I90</f>
        <v/>
      </c>
      <c r="K90" s="173">
        <f>'2026 Μάιος'!L21</f>
        <v/>
      </c>
      <c r="L90" s="36">
        <f>J90+K90</f>
        <v/>
      </c>
      <c r="M90" s="173">
        <f>'2026 Ιούνιος'!L21</f>
        <v/>
      </c>
      <c r="N90" s="36">
        <f>L90+M90</f>
        <v/>
      </c>
      <c r="O90" s="173">
        <f>'2026 Ιούλιος'!L21</f>
        <v/>
      </c>
      <c r="P90" s="36">
        <f>N90+O90</f>
        <v/>
      </c>
      <c r="Q90" s="173">
        <f>'2026 Aύγουστος'!L21</f>
        <v/>
      </c>
      <c r="R90" s="36">
        <f>P90+Q90</f>
        <v/>
      </c>
      <c r="S90" s="173">
        <f>'2026 Σεπτέμβριος'!L21</f>
        <v/>
      </c>
      <c r="T90" s="36">
        <f>R90+S90</f>
        <v/>
      </c>
      <c r="U90" s="173">
        <f>'2026 Οκτώβριος'!L21</f>
        <v/>
      </c>
      <c r="V90" s="36">
        <f>T90+U90</f>
        <v/>
      </c>
      <c r="W90" s="173">
        <f>'2026 Νοέμβριος'!L21</f>
        <v/>
      </c>
      <c r="X90" s="36">
        <f>V90+W90</f>
        <v/>
      </c>
      <c r="Y90" s="173">
        <f>'2026 Δεκέμβριος'!L21</f>
        <v/>
      </c>
      <c r="Z90" s="36">
        <f>X90+Y90</f>
        <v/>
      </c>
      <c r="AA90" s="173">
        <f>C90+E90+G90+I90+K90+M90+O90+Q90+S90+U90+W90+Y90</f>
        <v/>
      </c>
      <c r="AD90" s="37">
        <f>IF(C54&lt;&gt;0,C90,0) + IF(E54&lt;&gt;0,E90,0) + IF(G54&lt;&gt;0,G90,0) +
IF(I54&lt;&gt;0,I90,0) + IF(K54&lt;&gt;0,K90,0) + IF(M54&lt;&gt;0,M90,0) +
IF(O54&lt;&gt;0,O90,0) + IF(Q54&lt;&gt;0,Q90,0) + IF(S54&lt;&gt;0,S90,0) +
IF(U54&lt;&gt;0,U90,0) + IF(W54&lt;&gt;0,W90,0) + IF(Y54&lt;&gt;0,Y90,0)</f>
        <v/>
      </c>
    </row>
    <row r="91">
      <c r="A91" s="35">
        <f>'2026 Ιανουάριος'!C22</f>
        <v/>
      </c>
      <c r="B91" s="35" t="n">
        <v>2024</v>
      </c>
      <c r="C91" s="173">
        <f>'2026 Ιανουάριος'!L22</f>
        <v/>
      </c>
      <c r="D91" s="36">
        <f>C91</f>
        <v/>
      </c>
      <c r="E91" s="173">
        <f>'2026 Φεβρουάριος'!L22</f>
        <v/>
      </c>
      <c r="F91" s="36">
        <f>D91+E91</f>
        <v/>
      </c>
      <c r="G91" s="173">
        <f>'2026 Μάρτιος'!L22</f>
        <v/>
      </c>
      <c r="H91" s="36">
        <f>F91+G91</f>
        <v/>
      </c>
      <c r="I91" s="173">
        <f>'2026 Απρίλιος'!L22</f>
        <v/>
      </c>
      <c r="J91" s="36">
        <f>H91+I91</f>
        <v/>
      </c>
      <c r="K91" s="173">
        <f>'2026 Μάιος'!L22</f>
        <v/>
      </c>
      <c r="L91" s="36">
        <f>J91+K91</f>
        <v/>
      </c>
      <c r="M91" s="173">
        <f>'2026 Ιούνιος'!L22</f>
        <v/>
      </c>
      <c r="N91" s="36">
        <f>L91+M91</f>
        <v/>
      </c>
      <c r="O91" s="173">
        <f>'2026 Ιούλιος'!L22</f>
        <v/>
      </c>
      <c r="P91" s="36">
        <f>N91+O91</f>
        <v/>
      </c>
      <c r="Q91" s="173">
        <f>'2026 Aύγουστος'!L22</f>
        <v/>
      </c>
      <c r="R91" s="36">
        <f>P91+Q91</f>
        <v/>
      </c>
      <c r="S91" s="173">
        <f>'2026 Σεπτέμβριος'!L22</f>
        <v/>
      </c>
      <c r="T91" s="36">
        <f>R91+S91</f>
        <v/>
      </c>
      <c r="U91" s="173">
        <f>'2026 Οκτώβριος'!L22</f>
        <v/>
      </c>
      <c r="V91" s="36">
        <f>T91+U91</f>
        <v/>
      </c>
      <c r="W91" s="173">
        <f>'2026 Νοέμβριος'!L22</f>
        <v/>
      </c>
      <c r="X91" s="36">
        <f>V91+W91</f>
        <v/>
      </c>
      <c r="Y91" s="173">
        <f>'2026 Δεκέμβριος'!L22</f>
        <v/>
      </c>
      <c r="Z91" s="36">
        <f>X91+Y91</f>
        <v/>
      </c>
      <c r="AA91" s="173">
        <f>C91+E91+G91+I91+K91+M91+O91+Q91+S91+U91+W91+Y91</f>
        <v/>
      </c>
      <c r="AD91" s="37">
        <f>IF(C55&lt;&gt;0,C91,0) + IF(E55&lt;&gt;0,E91,0) + IF(G55&lt;&gt;0,G91,0) +
IF(I55&lt;&gt;0,I91,0) + IF(K55&lt;&gt;0,K91,0) + IF(M55&lt;&gt;0,M91,0) +
IF(O55&lt;&gt;0,O91,0) + IF(Q55&lt;&gt;0,Q91,0) + IF(S55&lt;&gt;0,S91,0) +
IF(U55&lt;&gt;0,U91,0) + IF(W55&lt;&gt;0,W91,0) + IF(Y55&lt;&gt;0,Y91,0)</f>
        <v/>
      </c>
    </row>
    <row r="92">
      <c r="A92" s="35">
        <f>'2026 Ιανουάριος'!C23</f>
        <v/>
      </c>
      <c r="B92" s="35" t="n">
        <v>2024</v>
      </c>
      <c r="C92" s="173">
        <f>'2026 Ιανουάριος'!L23</f>
        <v/>
      </c>
      <c r="D92" s="36">
        <f>C92</f>
        <v/>
      </c>
      <c r="E92" s="173">
        <f>'2026 Φεβρουάριος'!L23</f>
        <v/>
      </c>
      <c r="F92" s="36">
        <f>D92+E92</f>
        <v/>
      </c>
      <c r="G92" s="173">
        <f>'2026 Μάρτιος'!L23</f>
        <v/>
      </c>
      <c r="H92" s="36">
        <f>F92+G92</f>
        <v/>
      </c>
      <c r="I92" s="173">
        <f>'2026 Απρίλιος'!L23</f>
        <v/>
      </c>
      <c r="J92" s="36">
        <f>H92+I92</f>
        <v/>
      </c>
      <c r="K92" s="173">
        <f>'2026 Μάιος'!L23</f>
        <v/>
      </c>
      <c r="L92" s="36">
        <f>J92+K92</f>
        <v/>
      </c>
      <c r="M92" s="173">
        <f>'2026 Ιούνιος'!L23</f>
        <v/>
      </c>
      <c r="N92" s="36">
        <f>L92+M92</f>
        <v/>
      </c>
      <c r="O92" s="173">
        <f>'2026 Ιούλιος'!L23</f>
        <v/>
      </c>
      <c r="P92" s="36">
        <f>N92+O92</f>
        <v/>
      </c>
      <c r="Q92" s="173">
        <f>'2026 Aύγουστος'!L23</f>
        <v/>
      </c>
      <c r="R92" s="36">
        <f>P92+Q92</f>
        <v/>
      </c>
      <c r="S92" s="173">
        <f>'2026 Σεπτέμβριος'!L23</f>
        <v/>
      </c>
      <c r="T92" s="36">
        <f>R92+S92</f>
        <v/>
      </c>
      <c r="U92" s="173">
        <f>'2026 Οκτώβριος'!L23</f>
        <v/>
      </c>
      <c r="V92" s="36">
        <f>T92+U92</f>
        <v/>
      </c>
      <c r="W92" s="173">
        <f>'2026 Νοέμβριος'!L23</f>
        <v/>
      </c>
      <c r="X92" s="36">
        <f>V92+W92</f>
        <v/>
      </c>
      <c r="Y92" s="173">
        <f>'2026 Δεκέμβριος'!L23</f>
        <v/>
      </c>
      <c r="Z92" s="36">
        <f>X92+Y92</f>
        <v/>
      </c>
      <c r="AA92" s="173">
        <f>C92+E92+G92+I92+K92+M92+O92+Q92+S92+U92+W92+Y92</f>
        <v/>
      </c>
      <c r="AD92" s="37">
        <f>IF(C56&lt;&gt;0,C92,0) + IF(E56&lt;&gt;0,E92,0) + IF(G56&lt;&gt;0,G92,0) +
IF(I56&lt;&gt;0,I92,0) + IF(K56&lt;&gt;0,K92,0) + IF(M56&lt;&gt;0,M92,0) +
IF(O56&lt;&gt;0,O92,0) + IF(Q56&lt;&gt;0,Q92,0) + IF(S56&lt;&gt;0,S92,0) +
IF(U56&lt;&gt;0,U92,0) + IF(W56&lt;&gt;0,W92,0) + IF(Y56&lt;&gt;0,Y92,0)</f>
        <v/>
      </c>
    </row>
    <row r="93">
      <c r="A93" s="35">
        <f>'2026 Ιανουάριος'!C24</f>
        <v/>
      </c>
      <c r="B93" s="35" t="n">
        <v>2024</v>
      </c>
      <c r="C93" s="173">
        <f>'2026 Ιανουάριος'!L24</f>
        <v/>
      </c>
      <c r="D93" s="36">
        <f>C93</f>
        <v/>
      </c>
      <c r="E93" s="173">
        <f>'2026 Φεβρουάριος'!L24</f>
        <v/>
      </c>
      <c r="F93" s="36">
        <f>D93+E93</f>
        <v/>
      </c>
      <c r="G93" s="173">
        <f>'2026 Μάρτιος'!L24</f>
        <v/>
      </c>
      <c r="H93" s="36">
        <f>F93+G93</f>
        <v/>
      </c>
      <c r="I93" s="173">
        <f>'2026 Απρίλιος'!L24</f>
        <v/>
      </c>
      <c r="J93" s="36">
        <f>H93+I93</f>
        <v/>
      </c>
      <c r="K93" s="173">
        <f>'2026 Μάιος'!L24</f>
        <v/>
      </c>
      <c r="L93" s="36">
        <f>J93+K93</f>
        <v/>
      </c>
      <c r="M93" s="173">
        <f>'2026 Ιούνιος'!L24</f>
        <v/>
      </c>
      <c r="N93" s="36">
        <f>L93+M93</f>
        <v/>
      </c>
      <c r="O93" s="173">
        <f>'2026 Ιούλιος'!L24</f>
        <v/>
      </c>
      <c r="P93" s="36">
        <f>N93+O93</f>
        <v/>
      </c>
      <c r="Q93" s="173">
        <f>'2026 Aύγουστος'!L24</f>
        <v/>
      </c>
      <c r="R93" s="36">
        <f>P93+Q93</f>
        <v/>
      </c>
      <c r="S93" s="173">
        <f>'2026 Σεπτέμβριος'!L24</f>
        <v/>
      </c>
      <c r="T93" s="36">
        <f>R93+S93</f>
        <v/>
      </c>
      <c r="U93" s="173">
        <f>'2026 Οκτώβριος'!L24</f>
        <v/>
      </c>
      <c r="V93" s="36">
        <f>T93+U93</f>
        <v/>
      </c>
      <c r="W93" s="173">
        <f>'2026 Νοέμβριος'!L24</f>
        <v/>
      </c>
      <c r="X93" s="36">
        <f>V93+W93</f>
        <v/>
      </c>
      <c r="Y93" s="173">
        <f>'2026 Δεκέμβριος'!L24</f>
        <v/>
      </c>
      <c r="Z93" s="36">
        <f>X93+Y93</f>
        <v/>
      </c>
      <c r="AA93" s="173">
        <f>C93+E93+G93+I93+K93+M93+O93+Q93+S93+U93+W93+Y93</f>
        <v/>
      </c>
      <c r="AD93" s="37">
        <f>IF(C57&lt;&gt;0,C93,0) + IF(E57&lt;&gt;0,E93,0) + IF(G57&lt;&gt;0,G93,0) +
IF(I57&lt;&gt;0,I93,0) + IF(K57&lt;&gt;0,K93,0) + IF(M57&lt;&gt;0,M93,0) +
IF(O57&lt;&gt;0,O93,0) + IF(Q57&lt;&gt;0,Q93,0) + IF(S57&lt;&gt;0,S93,0) +
IF(U57&lt;&gt;0,U93,0) + IF(W57&lt;&gt;0,W93,0) + IF(Y57&lt;&gt;0,Y93,0)</f>
        <v/>
      </c>
    </row>
    <row r="94">
      <c r="A94" s="35">
        <f>'2026 Ιανουάριος'!C25</f>
        <v/>
      </c>
      <c r="B94" s="35" t="n">
        <v>2024</v>
      </c>
      <c r="C94" s="173">
        <f>'2026 Ιανουάριος'!L25</f>
        <v/>
      </c>
      <c r="D94" s="36">
        <f>C94</f>
        <v/>
      </c>
      <c r="E94" s="173">
        <f>'2026 Φεβρουάριος'!L25</f>
        <v/>
      </c>
      <c r="F94" s="36">
        <f>D94+E94</f>
        <v/>
      </c>
      <c r="G94" s="173">
        <f>'2026 Μάρτιος'!L25</f>
        <v/>
      </c>
      <c r="H94" s="36">
        <f>F94+G94</f>
        <v/>
      </c>
      <c r="I94" s="173">
        <f>'2026 Απρίλιος'!L25</f>
        <v/>
      </c>
      <c r="J94" s="36">
        <f>H94+I94</f>
        <v/>
      </c>
      <c r="K94" s="173">
        <f>'2026 Μάιος'!L25</f>
        <v/>
      </c>
      <c r="L94" s="36">
        <f>J94+K94</f>
        <v/>
      </c>
      <c r="M94" s="173">
        <f>'2026 Ιούνιος'!L25</f>
        <v/>
      </c>
      <c r="N94" s="36">
        <f>L94+M94</f>
        <v/>
      </c>
      <c r="O94" s="173">
        <f>'2026 Ιούλιος'!L25</f>
        <v/>
      </c>
      <c r="P94" s="36">
        <f>N94+O94</f>
        <v/>
      </c>
      <c r="Q94" s="173">
        <f>'2026 Aύγουστος'!L25</f>
        <v/>
      </c>
      <c r="R94" s="36">
        <f>P94+Q94</f>
        <v/>
      </c>
      <c r="S94" s="173">
        <f>'2026 Σεπτέμβριος'!L25</f>
        <v/>
      </c>
      <c r="T94" s="36">
        <f>R94+S94</f>
        <v/>
      </c>
      <c r="U94" s="173">
        <f>'2026 Οκτώβριος'!L25</f>
        <v/>
      </c>
      <c r="V94" s="36">
        <f>T94+U94</f>
        <v/>
      </c>
      <c r="W94" s="173">
        <f>'2026 Νοέμβριος'!L25</f>
        <v/>
      </c>
      <c r="X94" s="36">
        <f>V94+W94</f>
        <v/>
      </c>
      <c r="Y94" s="173">
        <f>'2026 Δεκέμβριος'!L25</f>
        <v/>
      </c>
      <c r="Z94" s="36">
        <f>X94+Y94</f>
        <v/>
      </c>
      <c r="AA94" s="173">
        <f>C94+E94+G94+I94+K94+M94+O94+Q94+S94+U94+W94+Y94</f>
        <v/>
      </c>
      <c r="AD94" s="37">
        <f>IF(C58&lt;&gt;0,C94,0) + IF(E58&lt;&gt;0,E94,0) + IF(G58&lt;&gt;0,G94,0) +
IF(I58&lt;&gt;0,I94,0) + IF(K58&lt;&gt;0,K94,0) + IF(M58&lt;&gt;0,M94,0) +
IF(O58&lt;&gt;0,O94,0) + IF(Q58&lt;&gt;0,Q94,0) + IF(S58&lt;&gt;0,S94,0) +
IF(U58&lt;&gt;0,U94,0) + IF(W58&lt;&gt;0,W94,0) + IF(Y58&lt;&gt;0,Y94,0)</f>
        <v/>
      </c>
    </row>
    <row r="95">
      <c r="A95" s="35">
        <f>'2026 Ιανουάριος'!C26</f>
        <v/>
      </c>
      <c r="B95" s="35" t="n">
        <v>2024</v>
      </c>
      <c r="C95" s="173">
        <f>'2026 Ιανουάριος'!L26</f>
        <v/>
      </c>
      <c r="D95" s="36">
        <f>C95</f>
        <v/>
      </c>
      <c r="E95" s="173">
        <f>'2026 Φεβρουάριος'!L26</f>
        <v/>
      </c>
      <c r="F95" s="36">
        <f>D95+E95</f>
        <v/>
      </c>
      <c r="G95" s="173">
        <f>'2026 Μάρτιος'!L26</f>
        <v/>
      </c>
      <c r="H95" s="36">
        <f>F95+G95</f>
        <v/>
      </c>
      <c r="I95" s="173">
        <f>'2026 Απρίλιος'!L26</f>
        <v/>
      </c>
      <c r="J95" s="36">
        <f>H95+I95</f>
        <v/>
      </c>
      <c r="K95" s="173">
        <f>'2026 Μάιος'!L26</f>
        <v/>
      </c>
      <c r="L95" s="36">
        <f>J95+K95</f>
        <v/>
      </c>
      <c r="M95" s="173">
        <f>'2026 Ιούνιος'!L26</f>
        <v/>
      </c>
      <c r="N95" s="36">
        <f>L95+M95</f>
        <v/>
      </c>
      <c r="O95" s="173">
        <f>'2026 Ιούλιος'!L26</f>
        <v/>
      </c>
      <c r="P95" s="36">
        <f>N95+O95</f>
        <v/>
      </c>
      <c r="Q95" s="173">
        <f>'2026 Aύγουστος'!L26</f>
        <v/>
      </c>
      <c r="R95" s="36">
        <f>P95+Q95</f>
        <v/>
      </c>
      <c r="S95" s="173">
        <f>'2026 Σεπτέμβριος'!L26</f>
        <v/>
      </c>
      <c r="T95" s="36">
        <f>R95+S95</f>
        <v/>
      </c>
      <c r="U95" s="173">
        <f>'2026 Οκτώβριος'!L26</f>
        <v/>
      </c>
      <c r="V95" s="36">
        <f>T95+U95</f>
        <v/>
      </c>
      <c r="W95" s="173">
        <f>'2026 Νοέμβριος'!L26</f>
        <v/>
      </c>
      <c r="X95" s="36">
        <f>V95+W95</f>
        <v/>
      </c>
      <c r="Y95" s="173">
        <f>'2026 Δεκέμβριος'!L26</f>
        <v/>
      </c>
      <c r="Z95" s="36">
        <f>X95+Y95</f>
        <v/>
      </c>
      <c r="AA95" s="173">
        <f>C95+E95+G95+I95+K95+M95+O95+Q95+S95+U95+W95+Y95</f>
        <v/>
      </c>
      <c r="AD95" s="37">
        <f>IF(C59&lt;&gt;0,C95,0) + IF(E59&lt;&gt;0,E95,0) + IF(G59&lt;&gt;0,G95,0) +
IF(I59&lt;&gt;0,I95,0) + IF(K59&lt;&gt;0,K95,0) + IF(M59&lt;&gt;0,M95,0) +
IF(O59&lt;&gt;0,O95,0) + IF(Q59&lt;&gt;0,Q95,0) + IF(S59&lt;&gt;0,S95,0) +
IF(U59&lt;&gt;0,U95,0) + IF(W59&lt;&gt;0,W95,0) + IF(Y59&lt;&gt;0,Y95,0)</f>
        <v/>
      </c>
    </row>
    <row r="96">
      <c r="A96" s="35">
        <f>'2026 Ιανουάριος'!C27</f>
        <v/>
      </c>
      <c r="B96" s="35" t="n">
        <v>2024</v>
      </c>
      <c r="C96" s="173">
        <f>'2026 Ιανουάριος'!L27</f>
        <v/>
      </c>
      <c r="D96" s="36">
        <f>C96</f>
        <v/>
      </c>
      <c r="E96" s="173">
        <f>'2026 Φεβρουάριος'!L27</f>
        <v/>
      </c>
      <c r="F96" s="36">
        <f>D96+E96</f>
        <v/>
      </c>
      <c r="G96" s="173">
        <f>'2026 Μάρτιος'!L27</f>
        <v/>
      </c>
      <c r="H96" s="36">
        <f>F96+G96</f>
        <v/>
      </c>
      <c r="I96" s="173">
        <f>'2026 Απρίλιος'!L27</f>
        <v/>
      </c>
      <c r="J96" s="36">
        <f>H96+I96</f>
        <v/>
      </c>
      <c r="K96" s="173">
        <f>'2026 Μάιος'!L27</f>
        <v/>
      </c>
      <c r="L96" s="36">
        <f>J96+K96</f>
        <v/>
      </c>
      <c r="M96" s="173">
        <f>'2026 Ιούνιος'!L27</f>
        <v/>
      </c>
      <c r="N96" s="36">
        <f>L96+M96</f>
        <v/>
      </c>
      <c r="O96" s="173">
        <f>'2026 Ιούλιος'!L27</f>
        <v/>
      </c>
      <c r="P96" s="36">
        <f>N96+O96</f>
        <v/>
      </c>
      <c r="Q96" s="173">
        <f>'2026 Aύγουστος'!L27</f>
        <v/>
      </c>
      <c r="R96" s="36">
        <f>P96+Q96</f>
        <v/>
      </c>
      <c r="S96" s="173">
        <f>'2026 Σεπτέμβριος'!L27</f>
        <v/>
      </c>
      <c r="T96" s="36">
        <f>R96+S96</f>
        <v/>
      </c>
      <c r="U96" s="173">
        <f>'2026 Οκτώβριος'!L27</f>
        <v/>
      </c>
      <c r="V96" s="36">
        <f>T96+U96</f>
        <v/>
      </c>
      <c r="W96" s="173">
        <f>'2026 Νοέμβριος'!L27</f>
        <v/>
      </c>
      <c r="X96" s="36">
        <f>V96+W96</f>
        <v/>
      </c>
      <c r="Y96" s="173">
        <f>'2026 Δεκέμβριος'!L27</f>
        <v/>
      </c>
      <c r="Z96" s="36">
        <f>X96+Y96</f>
        <v/>
      </c>
      <c r="AA96" s="173">
        <f>C96+E96+G96+I96+K96+M96+O96+Q96+S96+U96+W96+Y96</f>
        <v/>
      </c>
      <c r="AD96" s="37">
        <f>IF(C60&lt;&gt;0,C96,0) + IF(E60&lt;&gt;0,E96,0) + IF(G60&lt;&gt;0,G96,0) +
IF(I60&lt;&gt;0,I96,0) + IF(K60&lt;&gt;0,K96,0) + IF(M60&lt;&gt;0,M96,0) +
IF(O60&lt;&gt;0,O96,0) + IF(Q60&lt;&gt;0,Q96,0) + IF(S60&lt;&gt;0,S96,0) +
IF(U60&lt;&gt;0,U96,0) + IF(W60&lt;&gt;0,W96,0) + IF(Y60&lt;&gt;0,Y96,0)</f>
        <v/>
      </c>
    </row>
    <row r="97">
      <c r="A97" s="35">
        <f>'2026 Ιανουάριος'!C28</f>
        <v/>
      </c>
      <c r="B97" s="35" t="n">
        <v>2024</v>
      </c>
      <c r="C97" s="174">
        <f>'2026 Ιανουάριος'!L28</f>
        <v/>
      </c>
      <c r="D97" s="36">
        <f>C97</f>
        <v/>
      </c>
      <c r="E97" s="173">
        <f>'2026 Φεβρουάριος'!L28</f>
        <v/>
      </c>
      <c r="F97" s="36">
        <f>D97+E97</f>
        <v/>
      </c>
      <c r="G97" s="173">
        <f>'2026 Μάρτιος'!L28</f>
        <v/>
      </c>
      <c r="H97" s="36">
        <f>F97+G97</f>
        <v/>
      </c>
      <c r="I97" s="173">
        <f>'2026 Απρίλιος'!L28</f>
        <v/>
      </c>
      <c r="J97" s="36">
        <f>H97+I97</f>
        <v/>
      </c>
      <c r="K97" s="173">
        <f>'2026 Μάιος'!L28</f>
        <v/>
      </c>
      <c r="L97" s="36">
        <f>J97+K97</f>
        <v/>
      </c>
      <c r="M97" s="173">
        <f>'2026 Ιούνιος'!L28</f>
        <v/>
      </c>
      <c r="N97" s="36">
        <f>L97+M97</f>
        <v/>
      </c>
      <c r="O97" s="173">
        <f>'2026 Ιούλιος'!L28</f>
        <v/>
      </c>
      <c r="P97" s="36">
        <f>N97+O97</f>
        <v/>
      </c>
      <c r="Q97" s="173">
        <f>'2026 Aύγουστος'!L28</f>
        <v/>
      </c>
      <c r="R97" s="36">
        <f>P97+Q97</f>
        <v/>
      </c>
      <c r="S97" s="173">
        <f>'2026 Σεπτέμβριος'!L28</f>
        <v/>
      </c>
      <c r="T97" s="36">
        <f>R97+S97</f>
        <v/>
      </c>
      <c r="U97" s="173">
        <f>'2026 Οκτώβριος'!L28</f>
        <v/>
      </c>
      <c r="V97" s="36">
        <f>T97+U97</f>
        <v/>
      </c>
      <c r="W97" s="173">
        <f>'2026 Νοέμβριος'!L28</f>
        <v/>
      </c>
      <c r="X97" s="36">
        <f>V97+W97</f>
        <v/>
      </c>
      <c r="Y97" s="173">
        <f>'2026 Δεκέμβριος'!L28</f>
        <v/>
      </c>
      <c r="Z97" s="36">
        <f>X97+Y97</f>
        <v/>
      </c>
      <c r="AA97" s="173">
        <f>C97+E97+G97+I97+K97+M97+O97+Q97+S97+U97+W97+Y97</f>
        <v/>
      </c>
      <c r="AD97" s="37">
        <f>IF(C61&lt;&gt;0,C97,0) + IF(E61&lt;&gt;0,E97,0) + IF(G61&lt;&gt;0,G97,0) +
IF(I61&lt;&gt;0,I97,0) + IF(K61&lt;&gt;0,K97,0) + IF(M61&lt;&gt;0,M97,0) +
IF(O61&lt;&gt;0,O97,0) + IF(Q61&lt;&gt;0,Q97,0) + IF(S61&lt;&gt;0,S97,0) +
IF(U61&lt;&gt;0,U97,0) + IF(W61&lt;&gt;0,W97,0) + IF(Y61&lt;&gt;0,Y97,0)</f>
        <v/>
      </c>
    </row>
    <row r="98">
      <c r="A98" s="35">
        <f>'2026 Ιανουάριος'!C29</f>
        <v/>
      </c>
      <c r="B98" s="35" t="n">
        <v>2024</v>
      </c>
      <c r="C98" s="173">
        <f>'2026 Ιανουάριος'!L29</f>
        <v/>
      </c>
      <c r="D98" s="36">
        <f>C98</f>
        <v/>
      </c>
      <c r="E98" s="173">
        <f>'2026 Φεβρουάριος'!L29</f>
        <v/>
      </c>
      <c r="F98" s="36">
        <f>D98+E98</f>
        <v/>
      </c>
      <c r="G98" s="173">
        <f>'2026 Μάρτιος'!L29</f>
        <v/>
      </c>
      <c r="H98" s="36">
        <f>F98+G98</f>
        <v/>
      </c>
      <c r="I98" s="173">
        <f>'2026 Απρίλιος'!L29</f>
        <v/>
      </c>
      <c r="J98" s="36">
        <f>H98+I98</f>
        <v/>
      </c>
      <c r="K98" s="173">
        <f>'2026 Μάιος'!L29</f>
        <v/>
      </c>
      <c r="L98" s="36">
        <f>J98+K98</f>
        <v/>
      </c>
      <c r="M98" s="173">
        <f>'2026 Ιούνιος'!L29</f>
        <v/>
      </c>
      <c r="N98" s="36">
        <f>L98+M98</f>
        <v/>
      </c>
      <c r="O98" s="173">
        <f>'2026 Ιούλιος'!L29</f>
        <v/>
      </c>
      <c r="P98" s="36">
        <f>N98+O98</f>
        <v/>
      </c>
      <c r="Q98" s="173">
        <f>'2026 Aύγουστος'!L29</f>
        <v/>
      </c>
      <c r="R98" s="36">
        <f>P98+Q98</f>
        <v/>
      </c>
      <c r="S98" s="173">
        <f>'2026 Σεπτέμβριος'!L29</f>
        <v/>
      </c>
      <c r="T98" s="36">
        <f>R98+S98</f>
        <v/>
      </c>
      <c r="U98" s="173">
        <f>'2026 Οκτώβριος'!L29</f>
        <v/>
      </c>
      <c r="V98" s="36">
        <f>T98+U98</f>
        <v/>
      </c>
      <c r="W98" s="173">
        <f>'2026 Νοέμβριος'!L29</f>
        <v/>
      </c>
      <c r="X98" s="36">
        <f>V98+W98</f>
        <v/>
      </c>
      <c r="Y98" s="173">
        <f>'2026 Δεκέμβριος'!L29</f>
        <v/>
      </c>
      <c r="Z98" s="36">
        <f>X98+Y98</f>
        <v/>
      </c>
      <c r="AA98" s="173">
        <f>C98+E98+G98+I98+K98+M98+O98+Q98+S98+U98+W98+Y98</f>
        <v/>
      </c>
      <c r="AD98" s="37">
        <f>IF(C62&lt;&gt;0,C98,0) + IF(E62&lt;&gt;0,E98,0) + IF(G62&lt;&gt;0,G98,0) +
IF(I62&lt;&gt;0,I98,0) + IF(K62&lt;&gt;0,K98,0) + IF(M62&lt;&gt;0,M98,0) +
IF(O62&lt;&gt;0,O98,0) + IF(Q62&lt;&gt;0,Q98,0) + IF(S62&lt;&gt;0,S98,0) +
IF(U62&lt;&gt;0,U98,0) + IF(W62&lt;&gt;0,W98,0) + IF(Y62&lt;&gt;0,Y98,0)</f>
        <v/>
      </c>
    </row>
    <row r="99">
      <c r="A99" s="35">
        <f>'2026 Ιανουάριος'!C30</f>
        <v/>
      </c>
      <c r="B99" s="35" t="n">
        <v>2024</v>
      </c>
      <c r="C99" s="173">
        <f>'2026 Ιανουάριος'!L30</f>
        <v/>
      </c>
      <c r="D99" s="36">
        <f>C99</f>
        <v/>
      </c>
      <c r="E99" s="173">
        <f>'2026 Φεβρουάριος'!L30</f>
        <v/>
      </c>
      <c r="F99" s="36">
        <f>D99+E99</f>
        <v/>
      </c>
      <c r="G99" s="173">
        <f>'2026 Μάρτιος'!L30</f>
        <v/>
      </c>
      <c r="H99" s="36">
        <f>F99+G99</f>
        <v/>
      </c>
      <c r="I99" s="173">
        <f>'2026 Απρίλιος'!L30</f>
        <v/>
      </c>
      <c r="J99" s="36">
        <f>H99+I99</f>
        <v/>
      </c>
      <c r="K99" s="173">
        <f>'2026 Μάιος'!L30</f>
        <v/>
      </c>
      <c r="L99" s="36">
        <f>J99+K99</f>
        <v/>
      </c>
      <c r="M99" s="173">
        <f>'2026 Ιούνιος'!L30</f>
        <v/>
      </c>
      <c r="N99" s="36">
        <f>L99+M99</f>
        <v/>
      </c>
      <c r="O99" s="173">
        <f>'2026 Ιούλιος'!L30</f>
        <v/>
      </c>
      <c r="P99" s="36">
        <f>N99+O99</f>
        <v/>
      </c>
      <c r="Q99" s="173">
        <f>'2026 Aύγουστος'!L30</f>
        <v/>
      </c>
      <c r="R99" s="36">
        <f>P99+Q99</f>
        <v/>
      </c>
      <c r="S99" s="173">
        <f>'2026 Σεπτέμβριος'!L30</f>
        <v/>
      </c>
      <c r="T99" s="36">
        <f>R99+S99</f>
        <v/>
      </c>
      <c r="U99" s="173">
        <f>'2026 Οκτώβριος'!L30</f>
        <v/>
      </c>
      <c r="V99" s="36">
        <f>T99+U99</f>
        <v/>
      </c>
      <c r="W99" s="173">
        <f>'2026 Νοέμβριος'!L30</f>
        <v/>
      </c>
      <c r="X99" s="36">
        <f>V99+W99</f>
        <v/>
      </c>
      <c r="Y99" s="173">
        <f>'2026 Δεκέμβριος'!L30</f>
        <v/>
      </c>
      <c r="Z99" s="36">
        <f>X99+Y99</f>
        <v/>
      </c>
      <c r="AA99" s="173">
        <f>C99+E99+G99+I99+K99+M99+O99+Q99+S99+U99+W99+Y99</f>
        <v/>
      </c>
      <c r="AD99" s="37">
        <f>IF(C63&lt;&gt;0,C99,0) + IF(E63&lt;&gt;0,E99,0) + IF(G63&lt;&gt;0,G99,0) +
IF(I63&lt;&gt;0,I99,0) + IF(K63&lt;&gt;0,K99,0) + IF(M63&lt;&gt;0,M99,0) +
IF(O63&lt;&gt;0,O99,0) + IF(Q63&lt;&gt;0,Q99,0) + IF(S63&lt;&gt;0,S99,0) +
IF(U63&lt;&gt;0,U99,0) + IF(W63&lt;&gt;0,W99,0) + IF(Y63&lt;&gt;0,Y99,0)</f>
        <v/>
      </c>
    </row>
    <row r="100">
      <c r="A100" s="35">
        <f>'2026 Ιανουάριος'!C31</f>
        <v/>
      </c>
      <c r="B100" s="35" t="n">
        <v>2024</v>
      </c>
      <c r="C100" s="173">
        <f>'2026 Ιανουάριος'!L31</f>
        <v/>
      </c>
      <c r="D100" s="36">
        <f>C100</f>
        <v/>
      </c>
      <c r="E100" s="173">
        <f>'2026 Φεβρουάριος'!L31</f>
        <v/>
      </c>
      <c r="F100" s="36">
        <f>D100+E100</f>
        <v/>
      </c>
      <c r="G100" s="173">
        <f>'2026 Μάρτιος'!L31</f>
        <v/>
      </c>
      <c r="H100" s="36">
        <f>F100+G100</f>
        <v/>
      </c>
      <c r="I100" s="173">
        <f>'2026 Απρίλιος'!L31</f>
        <v/>
      </c>
      <c r="J100" s="36">
        <f>H100+I100</f>
        <v/>
      </c>
      <c r="K100" s="173">
        <f>'2026 Μάιος'!L31</f>
        <v/>
      </c>
      <c r="L100" s="36">
        <f>J100+K100</f>
        <v/>
      </c>
      <c r="M100" s="173">
        <f>'2026 Ιούνιος'!L31</f>
        <v/>
      </c>
      <c r="N100" s="36">
        <f>L100+M100</f>
        <v/>
      </c>
      <c r="O100" s="173">
        <f>'2026 Ιούλιος'!L31</f>
        <v/>
      </c>
      <c r="P100" s="36">
        <f>N100+O100</f>
        <v/>
      </c>
      <c r="Q100" s="173">
        <f>'2026 Aύγουστος'!L31</f>
        <v/>
      </c>
      <c r="R100" s="36">
        <f>P100+Q100</f>
        <v/>
      </c>
      <c r="S100" s="173">
        <f>'2026 Σεπτέμβριος'!L31</f>
        <v/>
      </c>
      <c r="T100" s="36">
        <f>R100+S100</f>
        <v/>
      </c>
      <c r="U100" s="173">
        <f>'2026 Οκτώβριος'!L31</f>
        <v/>
      </c>
      <c r="V100" s="36">
        <f>T100+U100</f>
        <v/>
      </c>
      <c r="W100" s="173">
        <f>'2026 Νοέμβριος'!L31</f>
        <v/>
      </c>
      <c r="X100" s="36">
        <f>V100+W100</f>
        <v/>
      </c>
      <c r="Y100" s="173">
        <f>'2026 Δεκέμβριος'!L31</f>
        <v/>
      </c>
      <c r="Z100" s="36">
        <f>X100+Y100</f>
        <v/>
      </c>
      <c r="AA100" s="173">
        <f>C100+E100+G100+I100+K100+M100+O100+Q100+S100+U100+W100+Y100</f>
        <v/>
      </c>
      <c r="AD100" s="37">
        <f>IF(C64&lt;&gt;0,C100,0) + IF(E64&lt;&gt;0,E100,0) + IF(G64&lt;&gt;0,G100,0) +
IF(I64&lt;&gt;0,I100,0) + IF(K64&lt;&gt;0,K100,0) + IF(M64&lt;&gt;0,M100,0) +
IF(O64&lt;&gt;0,O100,0) + IF(Q64&lt;&gt;0,Q100,0) + IF(S64&lt;&gt;0,S100,0) +
IF(U64&lt;&gt;0,U100,0) + IF(W64&lt;&gt;0,W100,0) + IF(Y64&lt;&gt;0,Y100,0)</f>
        <v/>
      </c>
    </row>
    <row r="101">
      <c r="A101" s="35">
        <f>'2026 Ιανουάριος'!C32</f>
        <v/>
      </c>
      <c r="B101" s="35" t="n">
        <v>2024</v>
      </c>
      <c r="C101" s="173">
        <f>'2026 Ιανουάριος'!L32</f>
        <v/>
      </c>
      <c r="D101" s="36">
        <f>C101</f>
        <v/>
      </c>
      <c r="E101" s="173">
        <f>'2026 Φεβρουάριος'!L32</f>
        <v/>
      </c>
      <c r="F101" s="36">
        <f>D101+E101</f>
        <v/>
      </c>
      <c r="G101" s="173">
        <f>'2026 Μάρτιος'!L32</f>
        <v/>
      </c>
      <c r="H101" s="36">
        <f>F101+G101</f>
        <v/>
      </c>
      <c r="I101" s="173">
        <f>'2026 Απρίλιος'!L32</f>
        <v/>
      </c>
      <c r="J101" s="36">
        <f>H101+I101</f>
        <v/>
      </c>
      <c r="K101" s="173">
        <f>'2026 Μάιος'!L32</f>
        <v/>
      </c>
      <c r="L101" s="36">
        <f>J101+K101</f>
        <v/>
      </c>
      <c r="M101" s="173">
        <f>'2026 Ιούνιος'!L32</f>
        <v/>
      </c>
      <c r="N101" s="36">
        <f>L101+M101</f>
        <v/>
      </c>
      <c r="O101" s="173">
        <f>'2026 Ιούλιος'!L32</f>
        <v/>
      </c>
      <c r="P101" s="36">
        <f>N101+O101</f>
        <v/>
      </c>
      <c r="Q101" s="173">
        <f>'2026 Aύγουστος'!L32</f>
        <v/>
      </c>
      <c r="R101" s="36">
        <f>P101+Q101</f>
        <v/>
      </c>
      <c r="S101" s="173">
        <f>'2026 Σεπτέμβριος'!L32</f>
        <v/>
      </c>
      <c r="T101" s="36">
        <f>R101+S101</f>
        <v/>
      </c>
      <c r="U101" s="173">
        <f>'2026 Οκτώβριος'!L32</f>
        <v/>
      </c>
      <c r="V101" s="36">
        <f>T101+U101</f>
        <v/>
      </c>
      <c r="W101" s="173">
        <f>'2026 Νοέμβριος'!L32</f>
        <v/>
      </c>
      <c r="X101" s="36">
        <f>V101+W101</f>
        <v/>
      </c>
      <c r="Y101" s="173">
        <f>'2026 Δεκέμβριος'!L32</f>
        <v/>
      </c>
      <c r="Z101" s="36">
        <f>X101+Y101</f>
        <v/>
      </c>
      <c r="AA101" s="173">
        <f>C101+E101+G101+I101+K101+M101+O101+Q101+S101+U101+W101+Y101</f>
        <v/>
      </c>
      <c r="AD101" s="37">
        <f>IF(C65&lt;&gt;0,C101,0) + IF(E65&lt;&gt;0,E101,0) + IF(G65&lt;&gt;0,G101,0) +
IF(I65&lt;&gt;0,I101,0) + IF(K65&lt;&gt;0,K101,0) + IF(M65&lt;&gt;0,M101,0) +
IF(O65&lt;&gt;0,O101,0) + IF(Q65&lt;&gt;0,Q101,0) + IF(S65&lt;&gt;0,S101,0) +
IF(U65&lt;&gt;0,U101,0) + IF(W65&lt;&gt;0,W101,0) + IF(Y65&lt;&gt;0,Y101,0)</f>
        <v/>
      </c>
    </row>
    <row r="102">
      <c r="A102" s="35">
        <f>'2026 Ιανουάριος'!C33</f>
        <v/>
      </c>
      <c r="B102" s="35" t="n">
        <v>2024</v>
      </c>
      <c r="C102" s="173">
        <f>'2026 Ιανουάριος'!L33</f>
        <v/>
      </c>
      <c r="D102" s="36">
        <f>C102</f>
        <v/>
      </c>
      <c r="E102" s="173">
        <f>'2026 Φεβρουάριος'!L33</f>
        <v/>
      </c>
      <c r="F102" s="36">
        <f>D102+E102</f>
        <v/>
      </c>
      <c r="G102" s="173">
        <f>'2026 Μάρτιος'!L33</f>
        <v/>
      </c>
      <c r="H102" s="36">
        <f>F102+G102</f>
        <v/>
      </c>
      <c r="I102" s="173">
        <f>'2026 Απρίλιος'!L33</f>
        <v/>
      </c>
      <c r="J102" s="36">
        <f>H102+I102</f>
        <v/>
      </c>
      <c r="K102" s="173">
        <f>'2026 Μάιος'!L33</f>
        <v/>
      </c>
      <c r="L102" s="36">
        <f>J102+K102</f>
        <v/>
      </c>
      <c r="M102" s="173">
        <f>'2026 Ιούνιος'!L33</f>
        <v/>
      </c>
      <c r="N102" s="36">
        <f>L102+M102</f>
        <v/>
      </c>
      <c r="O102" s="173">
        <f>'2026 Ιούλιος'!L33</f>
        <v/>
      </c>
      <c r="P102" s="36">
        <f>N102+O102</f>
        <v/>
      </c>
      <c r="Q102" s="173">
        <f>'2026 Aύγουστος'!L33</f>
        <v/>
      </c>
      <c r="R102" s="36">
        <f>P102+Q102</f>
        <v/>
      </c>
      <c r="S102" s="173">
        <f>'2026 Σεπτέμβριος'!L33</f>
        <v/>
      </c>
      <c r="T102" s="36">
        <f>R102+S102</f>
        <v/>
      </c>
      <c r="U102" s="173">
        <f>'2026 Οκτώβριος'!L33</f>
        <v/>
      </c>
      <c r="V102" s="36">
        <f>T102+U102</f>
        <v/>
      </c>
      <c r="W102" s="173">
        <f>'2026 Νοέμβριος'!L33</f>
        <v/>
      </c>
      <c r="X102" s="36">
        <f>V102+W102</f>
        <v/>
      </c>
      <c r="Y102" s="173">
        <f>'2026 Δεκέμβριος'!L33</f>
        <v/>
      </c>
      <c r="Z102" s="36">
        <f>X102+Y102</f>
        <v/>
      </c>
      <c r="AA102" s="173">
        <f>C102+E102+G102+I102+K102+M102+O102+Q102+S102+U102+W102+Y102</f>
        <v/>
      </c>
      <c r="AD102" s="37">
        <f>IF(C66&lt;&gt;0,C102,0) + IF(E66&lt;&gt;0,E102,0) + IF(G66&lt;&gt;0,G102,0) +
IF(I66&lt;&gt;0,I102,0) + IF(K66&lt;&gt;0,K102,0) + IF(M66&lt;&gt;0,M102,0) +
IF(O66&lt;&gt;0,O102,0) + IF(Q66&lt;&gt;0,Q102,0) + IF(S66&lt;&gt;0,S102,0) +
IF(U66&lt;&gt;0,U102,0) + IF(W66&lt;&gt;0,W102,0) + IF(Y66&lt;&gt;0,Y102,0)</f>
        <v/>
      </c>
    </row>
    <row r="103">
      <c r="A103" s="35">
        <f>'2026 Ιανουάριος'!C34</f>
        <v/>
      </c>
      <c r="B103" s="35" t="n">
        <v>2024</v>
      </c>
      <c r="C103" s="173">
        <f>'2026 Ιανουάριος'!L34</f>
        <v/>
      </c>
      <c r="D103" s="36">
        <f>C103</f>
        <v/>
      </c>
      <c r="E103" s="173">
        <f>'2026 Φεβρουάριος'!L34</f>
        <v/>
      </c>
      <c r="F103" s="36">
        <f>D103+E103</f>
        <v/>
      </c>
      <c r="G103" s="173">
        <f>'2026 Μάρτιος'!L34</f>
        <v/>
      </c>
      <c r="H103" s="36">
        <f>F103+G103</f>
        <v/>
      </c>
      <c r="I103" s="173">
        <f>'2026 Απρίλιος'!L34</f>
        <v/>
      </c>
      <c r="J103" s="36">
        <f>H103+I103</f>
        <v/>
      </c>
      <c r="K103" s="173">
        <f>'2026 Μάιος'!L34</f>
        <v/>
      </c>
      <c r="L103" s="36">
        <f>J103+K103</f>
        <v/>
      </c>
      <c r="M103" s="173">
        <f>'2026 Ιούνιος'!L34</f>
        <v/>
      </c>
      <c r="N103" s="36">
        <f>L103+M103</f>
        <v/>
      </c>
      <c r="O103" s="173">
        <f>'2026 Ιούλιος'!L34</f>
        <v/>
      </c>
      <c r="P103" s="36">
        <f>N103+O103</f>
        <v/>
      </c>
      <c r="Q103" s="173">
        <f>'2026 Aύγουστος'!L34</f>
        <v/>
      </c>
      <c r="R103" s="36">
        <f>P103+Q103</f>
        <v/>
      </c>
      <c r="S103" s="173">
        <f>'2026 Σεπτέμβριος'!L34</f>
        <v/>
      </c>
      <c r="T103" s="36">
        <f>R103+S103</f>
        <v/>
      </c>
      <c r="U103" s="173">
        <f>'2026 Οκτώβριος'!L34</f>
        <v/>
      </c>
      <c r="V103" s="36">
        <f>T103+U103</f>
        <v/>
      </c>
      <c r="W103" s="173">
        <f>'2026 Νοέμβριος'!L34</f>
        <v/>
      </c>
      <c r="X103" s="36">
        <f>V103+W103</f>
        <v/>
      </c>
      <c r="Y103" s="173">
        <f>'2026 Δεκέμβριος'!L34</f>
        <v/>
      </c>
      <c r="Z103" s="36">
        <f>X103+Y103</f>
        <v/>
      </c>
      <c r="AA103" s="173">
        <f>C103+E103+G103+I103+K103+M103+O103+Q103+S103+U103+W103+Y103</f>
        <v/>
      </c>
      <c r="AD103" s="37">
        <f>IF(C67&lt;&gt;0,C103,0) + IF(E67&lt;&gt;0,E103,0) + IF(G67&lt;&gt;0,G103,0) +
IF(I67&lt;&gt;0,I103,0) + IF(K67&lt;&gt;0,K103,0) + IF(M67&lt;&gt;0,M103,0) +
IF(O67&lt;&gt;0,O103,0) + IF(Q67&lt;&gt;0,Q103,0) + IF(S67&lt;&gt;0,S103,0) +
IF(U67&lt;&gt;0,U103,0) + IF(W67&lt;&gt;0,W103,0) + IF(Y67&lt;&gt;0,Y103,0)</f>
        <v/>
      </c>
    </row>
    <row r="104">
      <c r="A104" s="35">
        <f>'2026 Ιανουάριος'!C35</f>
        <v/>
      </c>
      <c r="B104" s="35" t="n">
        <v>2024</v>
      </c>
      <c r="C104" s="173">
        <f>'2026 Ιανουάριος'!L35</f>
        <v/>
      </c>
      <c r="D104" s="36">
        <f>C104</f>
        <v/>
      </c>
      <c r="E104" s="173">
        <f>'2026 Φεβρουάριος'!L35</f>
        <v/>
      </c>
      <c r="F104" s="36">
        <f>D104+E104</f>
        <v/>
      </c>
      <c r="G104" s="173">
        <f>'2026 Μάρτιος'!L35</f>
        <v/>
      </c>
      <c r="H104" s="36">
        <f>F104+G104</f>
        <v/>
      </c>
      <c r="I104" s="173">
        <f>'2026 Απρίλιος'!L35</f>
        <v/>
      </c>
      <c r="J104" s="36">
        <f>H104+I104</f>
        <v/>
      </c>
      <c r="K104" s="173">
        <f>'2026 Μάιος'!L35</f>
        <v/>
      </c>
      <c r="L104" s="36">
        <f>J104+K104</f>
        <v/>
      </c>
      <c r="M104" s="173">
        <f>'2026 Ιούνιος'!L35</f>
        <v/>
      </c>
      <c r="N104" s="36">
        <f>L104+M104</f>
        <v/>
      </c>
      <c r="O104" s="173">
        <f>'2026 Ιούλιος'!L35</f>
        <v/>
      </c>
      <c r="P104" s="36">
        <f>N104+O104</f>
        <v/>
      </c>
      <c r="Q104" s="173">
        <f>'2026 Aύγουστος'!L35</f>
        <v/>
      </c>
      <c r="R104" s="36">
        <f>P104+Q104</f>
        <v/>
      </c>
      <c r="S104" s="173">
        <f>'2026 Σεπτέμβριος'!L35</f>
        <v/>
      </c>
      <c r="T104" s="36">
        <f>R104+S104</f>
        <v/>
      </c>
      <c r="U104" s="173">
        <f>'2026 Οκτώβριος'!L35</f>
        <v/>
      </c>
      <c r="V104" s="36">
        <f>T104+U104</f>
        <v/>
      </c>
      <c r="W104" s="173">
        <f>'2026 Νοέμβριος'!L35</f>
        <v/>
      </c>
      <c r="X104" s="36">
        <f>V104+W104</f>
        <v/>
      </c>
      <c r="Y104" s="173">
        <f>'2026 Δεκέμβριος'!L35</f>
        <v/>
      </c>
      <c r="Z104" s="36">
        <f>X104+Y104</f>
        <v/>
      </c>
      <c r="AA104" s="173">
        <f>C104+E104+G104+I104+K104+M104+O104+Q104+S104+U104+W104+Y104</f>
        <v/>
      </c>
      <c r="AD104" s="37">
        <f>IF(C68&lt;&gt;0,C104,0) + IF(E68&lt;&gt;0,E104,0) + IF(G68&lt;&gt;0,G104,0) +
IF(I68&lt;&gt;0,I104,0) + IF(K68&lt;&gt;0,K104,0) + IF(M68&lt;&gt;0,M104,0) +
IF(O68&lt;&gt;0,O104,0) + IF(Q68&lt;&gt;0,Q104,0) + IF(S68&lt;&gt;0,S104,0) +
IF(U68&lt;&gt;0,U104,0) + IF(W68&lt;&gt;0,W104,0) + IF(Y68&lt;&gt;0,Y104,0)</f>
        <v/>
      </c>
    </row>
    <row r="105">
      <c r="A105" s="35">
        <f>'2026 Ιανουάριος'!C36</f>
        <v/>
      </c>
      <c r="B105" s="35" t="n">
        <v>2024</v>
      </c>
      <c r="C105" s="173">
        <f>'2026 Ιανουάριος'!L36</f>
        <v/>
      </c>
      <c r="D105" s="36">
        <f>C105</f>
        <v/>
      </c>
      <c r="E105" s="173">
        <f>'2026 Φεβρουάριος'!L36</f>
        <v/>
      </c>
      <c r="F105" s="36">
        <f>D105+E105</f>
        <v/>
      </c>
      <c r="G105" s="173">
        <f>'2026 Μάρτιος'!L36</f>
        <v/>
      </c>
      <c r="H105" s="36">
        <f>F105+G105</f>
        <v/>
      </c>
      <c r="I105" s="173">
        <f>'2026 Απρίλιος'!L36</f>
        <v/>
      </c>
      <c r="J105" s="36">
        <f>H105+I105</f>
        <v/>
      </c>
      <c r="K105" s="173">
        <f>'2026 Μάιος'!L36</f>
        <v/>
      </c>
      <c r="L105" s="36">
        <f>J105+K105</f>
        <v/>
      </c>
      <c r="M105" s="173">
        <f>'2026 Ιούνιος'!L36</f>
        <v/>
      </c>
      <c r="N105" s="36">
        <f>L105+M105</f>
        <v/>
      </c>
      <c r="O105" s="173">
        <f>'2026 Ιούλιος'!L36</f>
        <v/>
      </c>
      <c r="P105" s="36">
        <f>N105+O105</f>
        <v/>
      </c>
      <c r="Q105" s="173">
        <f>'2026 Aύγουστος'!L36</f>
        <v/>
      </c>
      <c r="R105" s="36">
        <f>P105+Q105</f>
        <v/>
      </c>
      <c r="S105" s="173">
        <f>'2026 Σεπτέμβριος'!L36</f>
        <v/>
      </c>
      <c r="T105" s="36">
        <f>R105+S105</f>
        <v/>
      </c>
      <c r="U105" s="173">
        <f>'2026 Οκτώβριος'!L36</f>
        <v/>
      </c>
      <c r="V105" s="36">
        <f>T105+U105</f>
        <v/>
      </c>
      <c r="W105" s="173">
        <f>'2026 Νοέμβριος'!L36</f>
        <v/>
      </c>
      <c r="X105" s="36">
        <f>V105+W105</f>
        <v/>
      </c>
      <c r="Y105" s="173">
        <f>'2026 Δεκέμβριος'!L36</f>
        <v/>
      </c>
      <c r="Z105" s="36">
        <f>X105+Y105</f>
        <v/>
      </c>
      <c r="AA105" s="173">
        <f>C105+E105+G105+I105+K105+M105+O105+Q105+S105+U105+W105+Y105</f>
        <v/>
      </c>
      <c r="AD105" s="37">
        <f>IF(C69&lt;&gt;0,C105,0) + IF(E69&lt;&gt;0,E105,0) + IF(G69&lt;&gt;0,G105,0) +
IF(I69&lt;&gt;0,I105,0) + IF(K69&lt;&gt;0,K105,0) + IF(M69&lt;&gt;0,M105,0) +
IF(O69&lt;&gt;0,O105,0) + IF(Q69&lt;&gt;0,Q105,0) + IF(S69&lt;&gt;0,S105,0) +
IF(U69&lt;&gt;0,U105,0) + IF(W69&lt;&gt;0,W105,0) + IF(Y69&lt;&gt;0,Y105,0)</f>
        <v/>
      </c>
    </row>
    <row r="106">
      <c r="A106" s="35">
        <f>'2026 Ιανουάριος'!C37</f>
        <v/>
      </c>
      <c r="B106" s="35" t="n">
        <v>2024</v>
      </c>
      <c r="C106" s="173">
        <f>'2026 Ιανουάριος'!L37</f>
        <v/>
      </c>
      <c r="D106" s="36">
        <f>C106</f>
        <v/>
      </c>
      <c r="E106" s="173">
        <f>'2026 Φεβρουάριος'!L37</f>
        <v/>
      </c>
      <c r="F106" s="36">
        <f>D106+E106</f>
        <v/>
      </c>
      <c r="G106" s="173">
        <f>'2026 Μάρτιος'!L37</f>
        <v/>
      </c>
      <c r="H106" s="36">
        <f>F106+G106</f>
        <v/>
      </c>
      <c r="I106" s="173">
        <f>'2026 Απρίλιος'!L37</f>
        <v/>
      </c>
      <c r="J106" s="36">
        <f>H106+I106</f>
        <v/>
      </c>
      <c r="K106" s="173">
        <f>'2026 Μάιος'!L37</f>
        <v/>
      </c>
      <c r="L106" s="36">
        <f>J106+K106</f>
        <v/>
      </c>
      <c r="M106" s="173">
        <f>'2026 Ιούνιος'!L37</f>
        <v/>
      </c>
      <c r="N106" s="36">
        <f>L106+M106</f>
        <v/>
      </c>
      <c r="O106" s="173">
        <f>'2026 Ιούλιος'!L37</f>
        <v/>
      </c>
      <c r="P106" s="36">
        <f>N106+O106</f>
        <v/>
      </c>
      <c r="Q106" s="173">
        <f>'2026 Aύγουστος'!L37</f>
        <v/>
      </c>
      <c r="R106" s="36">
        <f>P106+Q106</f>
        <v/>
      </c>
      <c r="S106" s="173">
        <f>'2026 Σεπτέμβριος'!L37</f>
        <v/>
      </c>
      <c r="T106" s="36">
        <f>R106+S106</f>
        <v/>
      </c>
      <c r="U106" s="173">
        <f>'2026 Οκτώβριος'!L37</f>
        <v/>
      </c>
      <c r="V106" s="36">
        <f>T106+U106</f>
        <v/>
      </c>
      <c r="W106" s="173">
        <f>'2026 Νοέμβριος'!L37</f>
        <v/>
      </c>
      <c r="X106" s="36">
        <f>V106+W106</f>
        <v/>
      </c>
      <c r="Y106" s="173">
        <f>'2026 Δεκέμβριος'!L37</f>
        <v/>
      </c>
      <c r="Z106" s="36">
        <f>X106+Y106</f>
        <v/>
      </c>
      <c r="AA106" s="173">
        <f>C106+E106+G106+I106+K106+M106+O106+Q106+S106+U106+W106+Y106</f>
        <v/>
      </c>
      <c r="AD106" s="37">
        <f>IF(C70&lt;&gt;0,C106,0) + IF(E70&lt;&gt;0,E106,0) + IF(G70&lt;&gt;0,G106,0) +
IF(I70&lt;&gt;0,I106,0) + IF(K70&lt;&gt;0,K106,0) + IF(M70&lt;&gt;0,M106,0) +
IF(O70&lt;&gt;0,O106,0) + IF(Q70&lt;&gt;0,Q106,0) + IF(S70&lt;&gt;0,S106,0) +
IF(U70&lt;&gt;0,U106,0) + IF(W70&lt;&gt;0,W106,0) + IF(Y70&lt;&gt;0,Y106,0)</f>
        <v/>
      </c>
    </row>
    <row r="107">
      <c r="A107" s="35" t="inlineStr">
        <is>
          <t>ΣΥΝΟΛΟ ΕΣΟΔΩΝ</t>
        </is>
      </c>
      <c r="B107" s="35" t="n"/>
      <c r="C107" s="173">
        <f>SUM(C77:C106)</f>
        <v/>
      </c>
      <c r="D107" s="36">
        <f>C107</f>
        <v/>
      </c>
      <c r="E107" s="173">
        <f>SUM(E77:E106)</f>
        <v/>
      </c>
      <c r="F107" s="36">
        <f>D107+E107</f>
        <v/>
      </c>
      <c r="G107" s="173">
        <f>SUM(G77:G98)</f>
        <v/>
      </c>
      <c r="H107" s="36">
        <f>F107+G107</f>
        <v/>
      </c>
      <c r="I107" s="173">
        <f>SUM(I77:I98)</f>
        <v/>
      </c>
      <c r="J107" s="36">
        <f>H107+I107</f>
        <v/>
      </c>
      <c r="K107" s="173">
        <f>SUM(K77:K98)</f>
        <v/>
      </c>
      <c r="L107" s="36">
        <f>J107+K107</f>
        <v/>
      </c>
      <c r="M107" s="173">
        <f>SUM(M77:M98)</f>
        <v/>
      </c>
      <c r="N107" s="36">
        <f>L107+M107</f>
        <v/>
      </c>
      <c r="O107" s="173">
        <f>SUM(O77:O98)</f>
        <v/>
      </c>
      <c r="P107" s="36">
        <f>N107+O107</f>
        <v/>
      </c>
      <c r="Q107" s="173">
        <f>SUM(Q77:Q98)</f>
        <v/>
      </c>
      <c r="R107" s="36">
        <f>P107+Q107</f>
        <v/>
      </c>
      <c r="S107" s="173">
        <f>SUM(S77:S98)</f>
        <v/>
      </c>
      <c r="T107" s="36">
        <f>R107+S107</f>
        <v/>
      </c>
      <c r="U107" s="173">
        <f>SUM(U77:U98)</f>
        <v/>
      </c>
      <c r="V107" s="36">
        <f>T107+U107</f>
        <v/>
      </c>
      <c r="W107" s="173">
        <f>SUM(W77:W98)</f>
        <v/>
      </c>
      <c r="X107" s="36">
        <f>V107+W107</f>
        <v/>
      </c>
      <c r="Y107" s="173">
        <f>SUM(Y77:Y98)</f>
        <v/>
      </c>
      <c r="Z107" s="36">
        <f>X107+Y107</f>
        <v/>
      </c>
      <c r="AA107" s="173">
        <f>C107+E107+G107+I107+K107+M107+O107+Q107+S107+U107+W107+Y107</f>
        <v/>
      </c>
      <c r="AD107" s="37" t="n"/>
    </row>
    <row r="108">
      <c r="A108" s="35" t="inlineStr">
        <is>
          <t xml:space="preserve">Επαλήθευση </t>
        </is>
      </c>
      <c r="B108" s="35" t="n"/>
      <c r="C108" s="173" t="n"/>
      <c r="D108" s="36" t="n"/>
      <c r="E108" s="173" t="n"/>
      <c r="F108" s="36" t="n"/>
      <c r="G108" s="173" t="n"/>
      <c r="H108" s="36" t="n"/>
      <c r="I108" s="173" t="n"/>
      <c r="J108" s="36" t="n"/>
      <c r="K108" s="175" t="n"/>
      <c r="L108" s="36" t="n"/>
      <c r="M108" s="173" t="n"/>
      <c r="N108" s="36" t="n"/>
      <c r="O108" s="173" t="n"/>
      <c r="P108" s="36" t="n"/>
      <c r="Q108" s="173" t="n"/>
      <c r="R108" s="36" t="n"/>
      <c r="S108" s="173" t="n"/>
      <c r="T108" s="36" t="n"/>
      <c r="U108" s="173" t="n"/>
      <c r="V108" s="36" t="n"/>
      <c r="W108" s="173" t="n"/>
      <c r="X108" s="36" t="n"/>
      <c r="Y108" s="173" t="n"/>
      <c r="Z108" s="36" t="n"/>
      <c r="AA108" s="176" t="n"/>
    </row>
    <row r="109" ht="25.5" customHeight="1">
      <c r="A109" s="170" t="n"/>
      <c r="B109" s="170" t="n"/>
      <c r="C109" s="170" t="n"/>
      <c r="D109" s="170" t="n"/>
      <c r="E109" s="170" t="n"/>
      <c r="F109" s="170" t="n"/>
      <c r="G109" s="170" t="n"/>
      <c r="H109" s="170" t="n"/>
      <c r="I109" s="170" t="n"/>
      <c r="J109" s="170" t="n"/>
      <c r="K109" s="170" t="n"/>
      <c r="L109" s="170" t="n"/>
      <c r="M109" s="170" t="n"/>
      <c r="N109" s="170" t="n"/>
      <c r="O109" s="170" t="n"/>
      <c r="P109" s="170" t="n"/>
      <c r="Q109" s="170" t="n"/>
      <c r="R109" s="170" t="n"/>
      <c r="S109" s="170" t="n"/>
      <c r="T109" s="170" t="n"/>
      <c r="U109" s="170" t="n"/>
      <c r="V109" s="170" t="n"/>
      <c r="W109" s="170" t="n"/>
      <c r="X109" s="170" t="n"/>
      <c r="Y109" s="170" t="n"/>
      <c r="Z109" s="170" t="n"/>
      <c r="AA109" s="170" t="n"/>
    </row>
    <row r="110"/>
    <row r="111"/>
    <row r="112"/>
    <row r="113"/>
    <row r="114"/>
    <row r="115"/>
    <row r="116" ht="26.25" customHeight="1">
      <c r="A116" s="169" t="inlineStr">
        <is>
          <t>ΕΞΟΔΑ 2026</t>
        </is>
      </c>
      <c r="B116" s="168" t="n"/>
      <c r="C116" s="168" t="n"/>
      <c r="D116" s="168" t="n"/>
      <c r="E116" s="168" t="n"/>
      <c r="F116" s="168" t="n"/>
      <c r="G116" s="168" t="n"/>
      <c r="H116" s="168" t="n"/>
      <c r="I116" s="168" t="n"/>
      <c r="J116" s="168" t="n"/>
      <c r="K116" s="168" t="n"/>
      <c r="L116" s="168" t="n"/>
      <c r="M116" s="168" t="n"/>
      <c r="N116" s="168" t="n"/>
      <c r="O116" s="168" t="n"/>
      <c r="P116" s="168" t="n"/>
      <c r="Q116" s="168" t="n"/>
      <c r="R116" s="168" t="n"/>
      <c r="S116" s="168" t="n"/>
      <c r="T116" s="168" t="n"/>
      <c r="U116" s="168" t="n"/>
      <c r="V116" s="168" t="n"/>
      <c r="W116" s="168" t="n"/>
      <c r="X116" s="168" t="n"/>
      <c r="Y116" s="168" t="n"/>
      <c r="Z116" s="168" t="n"/>
      <c r="AA116" s="168" t="n"/>
    </row>
    <row r="117" ht="17.25" customHeight="1">
      <c r="A117" s="178" t="inlineStr">
        <is>
          <t>Κατηγορία εξόδου / Άμεσο κόστος υπηρεσιών</t>
        </is>
      </c>
      <c r="B117" s="35" t="inlineStr">
        <is>
          <t xml:space="preserve">¨Ετος </t>
        </is>
      </c>
      <c r="C117" s="172" t="inlineStr">
        <is>
          <t>Ιανουάριος 2026</t>
        </is>
      </c>
      <c r="D117" s="35" t="inlineStr">
        <is>
          <t>Προοδευτικά Ιαν 2026</t>
        </is>
      </c>
      <c r="E117" s="172" t="inlineStr">
        <is>
          <t>Φεβρουάριος 2026</t>
        </is>
      </c>
      <c r="F117" s="35" t="inlineStr">
        <is>
          <t>Προοδευτικά  Φεβρ. 2026</t>
        </is>
      </c>
      <c r="G117" s="172" t="inlineStr">
        <is>
          <t>Μάρτιος 2026</t>
        </is>
      </c>
      <c r="H117" s="35" t="inlineStr">
        <is>
          <t>Προοδευτικά Μάρτιος 2026</t>
        </is>
      </c>
      <c r="I117" s="172" t="inlineStr">
        <is>
          <t>Απρίλιος 2026</t>
        </is>
      </c>
      <c r="J117" s="35" t="inlineStr">
        <is>
          <t>Προοδευτικά Απρίλιος 2026</t>
        </is>
      </c>
      <c r="K117" s="172" t="inlineStr">
        <is>
          <t>Μάιος 2026</t>
        </is>
      </c>
      <c r="L117" s="35" t="inlineStr">
        <is>
          <t>Προοδευτικά Μάιος 2026</t>
        </is>
      </c>
      <c r="M117" s="35" t="inlineStr">
        <is>
          <t>Ιούνιος 2026</t>
        </is>
      </c>
      <c r="N117" s="35" t="inlineStr">
        <is>
          <t>Προοδευτικά Ιούνιος 2026</t>
        </is>
      </c>
      <c r="O117" s="172" t="inlineStr">
        <is>
          <t xml:space="preserve">Ιούλιος 2026 </t>
        </is>
      </c>
      <c r="P117" s="35" t="inlineStr">
        <is>
          <t>Προοδευτικά Ιούλιος 2026</t>
        </is>
      </c>
      <c r="Q117" s="172" t="inlineStr">
        <is>
          <t>Αύγουστος 2026</t>
        </is>
      </c>
      <c r="R117" s="35" t="inlineStr">
        <is>
          <t>Προοδευτικά Αύγουστος 2026</t>
        </is>
      </c>
      <c r="S117" s="172" t="inlineStr">
        <is>
          <t>Σεπτέμβριος 2026</t>
        </is>
      </c>
      <c r="T117" s="35" t="inlineStr">
        <is>
          <t>Προοδευτικά  Σεπτέμβριος 2026</t>
        </is>
      </c>
      <c r="U117" s="172" t="inlineStr">
        <is>
          <t>Οκτώβριος 2026</t>
        </is>
      </c>
      <c r="V117" s="35" t="inlineStr">
        <is>
          <t>Προοδευτικά Οκτώβριος 2026</t>
        </is>
      </c>
      <c r="W117" s="172" t="inlineStr">
        <is>
          <t>Νοέμβριος 2026</t>
        </is>
      </c>
      <c r="X117" s="35" t="inlineStr">
        <is>
          <t>Προοδευτικά Νοέμβριος 2026</t>
        </is>
      </c>
      <c r="Y117" s="172" t="inlineStr">
        <is>
          <t>Δεκέμβριος 2026</t>
        </is>
      </c>
      <c r="Z117" s="35" t="inlineStr">
        <is>
          <t>Προοδευτικό Σύνολο Δεκεμβρίου 2026</t>
        </is>
      </c>
      <c r="AA117" s="35" t="inlineStr">
        <is>
          <t>Γενικό Σύνολο Μηνών ανά κατηγορία Εξόδου 2026</t>
        </is>
      </c>
    </row>
    <row r="118">
      <c r="A118" s="46">
        <f>'2026 Ιανουάριος'!C44</f>
        <v/>
      </c>
      <c r="B118" s="35" t="n">
        <v>2026</v>
      </c>
      <c r="C118" s="173">
        <f>'2026 Ιανουάριος'!D44</f>
        <v/>
      </c>
      <c r="D118" s="36">
        <f>C118</f>
        <v/>
      </c>
      <c r="E118" s="173">
        <f>'2026 Φεβρουάριος'!D44</f>
        <v/>
      </c>
      <c r="F118" s="36">
        <f>D118+E118</f>
        <v/>
      </c>
      <c r="G118" s="173">
        <f>'2026 Μάρτιος'!D44</f>
        <v/>
      </c>
      <c r="H118" s="36">
        <f>F118+G118</f>
        <v/>
      </c>
      <c r="I118" s="173">
        <f>'2026 Απρίλιος'!D44</f>
        <v/>
      </c>
      <c r="J118" s="36">
        <f>H118+I118</f>
        <v/>
      </c>
      <c r="K118" s="173">
        <f>'2026 Μάιος'!D44</f>
        <v/>
      </c>
      <c r="L118" s="36">
        <f>J118+K118</f>
        <v/>
      </c>
      <c r="M118" s="173">
        <f>'2026 Ιούνιος'!D44</f>
        <v/>
      </c>
      <c r="N118" s="36">
        <f>L118+M118</f>
        <v/>
      </c>
      <c r="O118" s="173">
        <f>'2026 Ιούλιος'!D44</f>
        <v/>
      </c>
      <c r="P118" s="36">
        <f>N118+O118</f>
        <v/>
      </c>
      <c r="Q118" s="173">
        <f>'2026 Aύγουστος'!D44</f>
        <v/>
      </c>
      <c r="R118" s="36">
        <f>P118+Q118</f>
        <v/>
      </c>
      <c r="S118" s="173">
        <f>'2026 Σεπτέμβριος'!D44</f>
        <v/>
      </c>
      <c r="T118" s="36">
        <f>R118+S118</f>
        <v/>
      </c>
      <c r="U118" s="173">
        <f>'2026 Οκτώβριος'!D44</f>
        <v/>
      </c>
      <c r="V118" s="36">
        <f>T118+U118</f>
        <v/>
      </c>
      <c r="W118" s="173">
        <f>'2026 Νοέμβριος'!D44</f>
        <v/>
      </c>
      <c r="X118" s="36">
        <f>V118+W118</f>
        <v/>
      </c>
      <c r="Y118" s="173">
        <f>'2026 Δεκέμβριος'!D44</f>
        <v/>
      </c>
      <c r="Z118" s="36">
        <f>X118+Y118</f>
        <v/>
      </c>
      <c r="AA118" s="36">
        <f>C118+E118+G118+I118+K118+M118+O118+Q118+S118+U118+W118+Y118</f>
        <v/>
      </c>
    </row>
    <row r="119">
      <c r="A119" s="46">
        <f>'2026 Ιανουάριος'!C45</f>
        <v/>
      </c>
      <c r="B119" s="35" t="n">
        <v>2026</v>
      </c>
      <c r="C119" s="173">
        <f>'2026 Ιανουάριος'!D45</f>
        <v/>
      </c>
      <c r="D119" s="36">
        <f>C119</f>
        <v/>
      </c>
      <c r="E119" s="173">
        <f>'2026 Φεβρουάριος'!D45</f>
        <v/>
      </c>
      <c r="F119" s="36">
        <f>D119+E119</f>
        <v/>
      </c>
      <c r="G119" s="173">
        <f>'2026 Μάρτιος'!D45</f>
        <v/>
      </c>
      <c r="H119" s="36">
        <f>F119+G119</f>
        <v/>
      </c>
      <c r="I119" s="173">
        <f>'2026 Απρίλιος'!D45</f>
        <v/>
      </c>
      <c r="J119" s="36">
        <f>H119+I119</f>
        <v/>
      </c>
      <c r="K119" s="173">
        <f>'2026 Μάιος'!D45</f>
        <v/>
      </c>
      <c r="L119" s="36">
        <f>J119+K119</f>
        <v/>
      </c>
      <c r="M119" s="173">
        <f>'2026 Ιούνιος'!D45</f>
        <v/>
      </c>
      <c r="N119" s="36">
        <f>L119+M119</f>
        <v/>
      </c>
      <c r="O119" s="173">
        <f>'2026 Ιούλιος'!D45</f>
        <v/>
      </c>
      <c r="P119" s="36">
        <f>N119+O119</f>
        <v/>
      </c>
      <c r="Q119" s="173">
        <f>'2026 Aύγουστος'!D45</f>
        <v/>
      </c>
      <c r="R119" s="36">
        <f>P119+Q119</f>
        <v/>
      </c>
      <c r="S119" s="173">
        <f>'2026 Σεπτέμβριος'!D45</f>
        <v/>
      </c>
      <c r="T119" s="36">
        <f>R119+S119</f>
        <v/>
      </c>
      <c r="U119" s="173">
        <f>'2026 Οκτώβριος'!D45</f>
        <v/>
      </c>
      <c r="V119" s="36">
        <f>T119+U119</f>
        <v/>
      </c>
      <c r="W119" s="173">
        <f>'2026 Νοέμβριος'!D45</f>
        <v/>
      </c>
      <c r="X119" s="36">
        <f>V119+W119</f>
        <v/>
      </c>
      <c r="Y119" s="173">
        <f>'2026 Δεκέμβριος'!D45</f>
        <v/>
      </c>
      <c r="Z119" s="36">
        <f>X119+Y119</f>
        <v/>
      </c>
      <c r="AA119" s="36">
        <f>C119+E119+G119+I119+K119+M119+O119+Q119+S119+U119+W119+Y119</f>
        <v/>
      </c>
    </row>
    <row r="120">
      <c r="A120" s="46">
        <f>'2026 Ιανουάριος'!C46</f>
        <v/>
      </c>
      <c r="B120" s="35" t="n">
        <v>2026</v>
      </c>
      <c r="C120" s="173">
        <f>'2026 Ιανουάριος'!D46</f>
        <v/>
      </c>
      <c r="D120" s="36">
        <f>C120</f>
        <v/>
      </c>
      <c r="E120" s="173">
        <f>'2026 Φεβρουάριος'!D46</f>
        <v/>
      </c>
      <c r="F120" s="36">
        <f>D120+E120</f>
        <v/>
      </c>
      <c r="G120" s="173">
        <f>'2026 Μάρτιος'!D46</f>
        <v/>
      </c>
      <c r="H120" s="36">
        <f>F120+G120</f>
        <v/>
      </c>
      <c r="I120" s="173">
        <f>'2026 Απρίλιος'!D46</f>
        <v/>
      </c>
      <c r="J120" s="36">
        <f>H120+I120</f>
        <v/>
      </c>
      <c r="K120" s="173">
        <f>'2026 Μάιος'!D46</f>
        <v/>
      </c>
      <c r="L120" s="36">
        <f>J120+K120</f>
        <v/>
      </c>
      <c r="M120" s="173">
        <f>'2026 Ιούνιος'!D46</f>
        <v/>
      </c>
      <c r="N120" s="36">
        <f>L120+M120</f>
        <v/>
      </c>
      <c r="O120" s="173">
        <f>'2026 Ιούλιος'!D46</f>
        <v/>
      </c>
      <c r="P120" s="36">
        <f>N120+O120</f>
        <v/>
      </c>
      <c r="Q120" s="173">
        <f>'2026 Aύγουστος'!D46</f>
        <v/>
      </c>
      <c r="R120" s="36">
        <f>P120+Q120</f>
        <v/>
      </c>
      <c r="S120" s="173">
        <f>'2026 Σεπτέμβριος'!D46</f>
        <v/>
      </c>
      <c r="T120" s="36">
        <f>R120+S120</f>
        <v/>
      </c>
      <c r="U120" s="173">
        <f>'2026 Οκτώβριος'!D46</f>
        <v/>
      </c>
      <c r="V120" s="36">
        <f>T120+U120</f>
        <v/>
      </c>
      <c r="W120" s="173">
        <f>'2026 Νοέμβριος'!D46</f>
        <v/>
      </c>
      <c r="X120" s="36">
        <f>V120+W120</f>
        <v/>
      </c>
      <c r="Y120" s="173">
        <f>'2026 Δεκέμβριος'!D46</f>
        <v/>
      </c>
      <c r="Z120" s="36">
        <f>X120+Y120</f>
        <v/>
      </c>
      <c r="AA120" s="36">
        <f>C120+E120+G120+I120+K120+M120+O120+Q120+S120+U120+W120+Y120</f>
        <v/>
      </c>
    </row>
    <row r="121">
      <c r="A121" s="45">
        <f>'2026 Ιανουάριος'!C47</f>
        <v/>
      </c>
      <c r="B121" s="35" t="n">
        <v>2026</v>
      </c>
      <c r="C121" s="173">
        <f>'2026 Ιανουάριος'!D47</f>
        <v/>
      </c>
      <c r="D121" s="36">
        <f>C121</f>
        <v/>
      </c>
      <c r="E121" s="173">
        <f>'2026 Φεβρουάριος'!D47</f>
        <v/>
      </c>
      <c r="F121" s="36">
        <f>D121+E121</f>
        <v/>
      </c>
      <c r="G121" s="173">
        <f>'2026 Μάρτιος'!D47</f>
        <v/>
      </c>
      <c r="H121" s="36">
        <f>F121+G121</f>
        <v/>
      </c>
      <c r="I121" s="173">
        <f>'2026 Απρίλιος'!D47</f>
        <v/>
      </c>
      <c r="J121" s="36">
        <f>H121+I121</f>
        <v/>
      </c>
      <c r="K121" s="173">
        <f>'2026 Μάιος'!D47</f>
        <v/>
      </c>
      <c r="L121" s="36">
        <f>J121+K121</f>
        <v/>
      </c>
      <c r="M121" s="173">
        <f>'2026 Ιούνιος'!D47</f>
        <v/>
      </c>
      <c r="N121" s="36">
        <f>L121+M121</f>
        <v/>
      </c>
      <c r="O121" s="173">
        <f>'2026 Ιούλιος'!D47</f>
        <v/>
      </c>
      <c r="P121" s="36">
        <f>N121+O121</f>
        <v/>
      </c>
      <c r="Q121" s="173">
        <f>'2026 Aύγουστος'!D47</f>
        <v/>
      </c>
      <c r="R121" s="36">
        <f>P121+Q121</f>
        <v/>
      </c>
      <c r="S121" s="173">
        <f>'2026 Σεπτέμβριος'!D47</f>
        <v/>
      </c>
      <c r="T121" s="36">
        <f>R121+S121</f>
        <v/>
      </c>
      <c r="U121" s="173">
        <f>'2026 Οκτώβριος'!D47</f>
        <v/>
      </c>
      <c r="V121" s="36">
        <f>T121+U121</f>
        <v/>
      </c>
      <c r="W121" s="173">
        <f>'2026 Νοέμβριος'!D47</f>
        <v/>
      </c>
      <c r="X121" s="36">
        <f>V121+W121</f>
        <v/>
      </c>
      <c r="Y121" s="173">
        <f>'2026 Δεκέμβριος'!D47</f>
        <v/>
      </c>
      <c r="Z121" s="36">
        <f>X121+Y121</f>
        <v/>
      </c>
      <c r="AA121" s="36">
        <f>C121+E121+G121+I121+K121+M121+O121+Q121+S121+U121+W121+Y121</f>
        <v/>
      </c>
    </row>
    <row r="122">
      <c r="A122" s="45">
        <f>'2026 Ιανουάριος'!C48</f>
        <v/>
      </c>
      <c r="B122" s="35" t="n">
        <v>2026</v>
      </c>
      <c r="C122" s="173">
        <f>'2026 Ιανουάριος'!D48</f>
        <v/>
      </c>
      <c r="D122" s="36">
        <f>C122</f>
        <v/>
      </c>
      <c r="E122" s="173">
        <f>'2026 Φεβρουάριος'!D48</f>
        <v/>
      </c>
      <c r="F122" s="36">
        <f>D122+E122</f>
        <v/>
      </c>
      <c r="G122" s="173">
        <f>'2026 Μάρτιος'!D48</f>
        <v/>
      </c>
      <c r="H122" s="36">
        <f>F122+G122</f>
        <v/>
      </c>
      <c r="I122" s="173">
        <f>'2026 Απρίλιος'!D48</f>
        <v/>
      </c>
      <c r="J122" s="36">
        <f>H122+I122</f>
        <v/>
      </c>
      <c r="K122" s="173">
        <f>'2026 Μάιος'!D48</f>
        <v/>
      </c>
      <c r="L122" s="36">
        <f>J122+K122</f>
        <v/>
      </c>
      <c r="M122" s="173">
        <f>'2026 Ιούνιος'!D48</f>
        <v/>
      </c>
      <c r="N122" s="36">
        <f>L122+M122</f>
        <v/>
      </c>
      <c r="O122" s="173">
        <f>'2026 Ιούλιος'!D48</f>
        <v/>
      </c>
      <c r="P122" s="36">
        <f>N122+O122</f>
        <v/>
      </c>
      <c r="Q122" s="173">
        <f>'2026 Aύγουστος'!D48</f>
        <v/>
      </c>
      <c r="R122" s="36">
        <f>P122+Q122</f>
        <v/>
      </c>
      <c r="S122" s="173">
        <f>'2026 Σεπτέμβριος'!D48</f>
        <v/>
      </c>
      <c r="T122" s="36">
        <f>R122+S122</f>
        <v/>
      </c>
      <c r="U122" s="173">
        <f>'2026 Οκτώβριος'!D48</f>
        <v/>
      </c>
      <c r="V122" s="36">
        <f>T122+U122</f>
        <v/>
      </c>
      <c r="W122" s="173">
        <f>'2026 Νοέμβριος'!D48</f>
        <v/>
      </c>
      <c r="X122" s="36">
        <f>V122+W122</f>
        <v/>
      </c>
      <c r="Y122" s="173">
        <f>'2026 Δεκέμβριος'!D48</f>
        <v/>
      </c>
      <c r="Z122" s="36">
        <f>X122+Y122</f>
        <v/>
      </c>
      <c r="AA122" s="36">
        <f>C122+E122+G122+I122+K122+M122+O122+Q122+S122+U122+W122+Y122</f>
        <v/>
      </c>
    </row>
    <row r="123">
      <c r="A123" s="46">
        <f>'2026 Ιανουάριος'!C49</f>
        <v/>
      </c>
      <c r="B123" s="35" t="n">
        <v>2026</v>
      </c>
      <c r="C123" s="173">
        <f>'2026 Ιανουάριος'!D49</f>
        <v/>
      </c>
      <c r="D123" s="36">
        <f>C123</f>
        <v/>
      </c>
      <c r="E123" s="173">
        <f>'2026 Φεβρουάριος'!D49</f>
        <v/>
      </c>
      <c r="F123" s="36">
        <f>D123+E123</f>
        <v/>
      </c>
      <c r="G123" s="173">
        <f>'2026 Μάρτιος'!D49</f>
        <v/>
      </c>
      <c r="H123" s="36">
        <f>F123+G123</f>
        <v/>
      </c>
      <c r="I123" s="173">
        <f>'2026 Απρίλιος'!D49</f>
        <v/>
      </c>
      <c r="J123" s="36">
        <f>H123+I123</f>
        <v/>
      </c>
      <c r="K123" s="173">
        <f>'2026 Μάιος'!D49</f>
        <v/>
      </c>
      <c r="L123" s="36">
        <f>J123+K123</f>
        <v/>
      </c>
      <c r="M123" s="173">
        <f>'2026 Ιούνιος'!D49</f>
        <v/>
      </c>
      <c r="N123" s="36">
        <f>L123+M123</f>
        <v/>
      </c>
      <c r="O123" s="173">
        <f>'2026 Ιούλιος'!D49</f>
        <v/>
      </c>
      <c r="P123" s="36">
        <f>N123+O123</f>
        <v/>
      </c>
      <c r="Q123" s="173">
        <f>'2026 Aύγουστος'!D49</f>
        <v/>
      </c>
      <c r="R123" s="36">
        <f>P123+Q123</f>
        <v/>
      </c>
      <c r="S123" s="173">
        <f>'2026 Σεπτέμβριος'!D49</f>
        <v/>
      </c>
      <c r="T123" s="36">
        <f>R123+S123</f>
        <v/>
      </c>
      <c r="U123" s="173">
        <f>'2026 Οκτώβριος'!D49</f>
        <v/>
      </c>
      <c r="V123" s="36">
        <f>T123+U123</f>
        <v/>
      </c>
      <c r="W123" s="173">
        <f>'2026 Νοέμβριος'!D49</f>
        <v/>
      </c>
      <c r="X123" s="36">
        <f>V123+W123</f>
        <v/>
      </c>
      <c r="Y123" s="173">
        <f>'2026 Δεκέμβριος'!D49</f>
        <v/>
      </c>
      <c r="Z123" s="36">
        <f>X123+Y123</f>
        <v/>
      </c>
      <c r="AA123" s="36">
        <f>C123+E123+G123+I123+K123+M123+O123+Q123+S123+U123+W123+Y123</f>
        <v/>
      </c>
    </row>
    <row r="124">
      <c r="A124" s="46">
        <f>'2026 Ιανουάριος'!C50</f>
        <v/>
      </c>
      <c r="B124" s="35" t="n">
        <v>2026</v>
      </c>
      <c r="C124" s="173">
        <f>'2026 Ιανουάριος'!D50</f>
        <v/>
      </c>
      <c r="D124" s="36">
        <f>C124</f>
        <v/>
      </c>
      <c r="E124" s="173">
        <f>'2026 Φεβρουάριος'!D50</f>
        <v/>
      </c>
      <c r="F124" s="36">
        <f>D124+E124</f>
        <v/>
      </c>
      <c r="G124" s="173">
        <f>'2026 Μάρτιος'!D50</f>
        <v/>
      </c>
      <c r="H124" s="36">
        <f>F124+G124</f>
        <v/>
      </c>
      <c r="I124" s="173">
        <f>'2026 Απρίλιος'!D50</f>
        <v/>
      </c>
      <c r="J124" s="36">
        <f>H124+I124</f>
        <v/>
      </c>
      <c r="K124" s="173">
        <f>'2026 Μάιος'!D50</f>
        <v/>
      </c>
      <c r="L124" s="36">
        <f>J124+K124</f>
        <v/>
      </c>
      <c r="M124" s="173">
        <f>'2026 Ιούνιος'!D50</f>
        <v/>
      </c>
      <c r="N124" s="36">
        <f>L124+M124</f>
        <v/>
      </c>
      <c r="O124" s="173">
        <f>'2026 Ιούλιος'!D50</f>
        <v/>
      </c>
      <c r="P124" s="36">
        <f>N124+O124</f>
        <v/>
      </c>
      <c r="Q124" s="173">
        <f>'2026 Aύγουστος'!D50</f>
        <v/>
      </c>
      <c r="R124" s="36">
        <f>P124+Q124</f>
        <v/>
      </c>
      <c r="S124" s="173">
        <f>'2026 Σεπτέμβριος'!D50</f>
        <v/>
      </c>
      <c r="T124" s="36">
        <f>R124+S124</f>
        <v/>
      </c>
      <c r="U124" s="173">
        <f>'2026 Οκτώβριος'!D50</f>
        <v/>
      </c>
      <c r="V124" s="36">
        <f>T124+U124</f>
        <v/>
      </c>
      <c r="W124" s="173">
        <f>'2026 Νοέμβριος'!D50</f>
        <v/>
      </c>
      <c r="X124" s="36">
        <f>V124+W124</f>
        <v/>
      </c>
      <c r="Y124" s="173">
        <f>'2026 Δεκέμβριος'!D50</f>
        <v/>
      </c>
      <c r="Z124" s="36">
        <f>X124+Y124</f>
        <v/>
      </c>
      <c r="AA124" s="36">
        <f>C124+E124+G124+I124+K124+M124+O124+Q124+S124+U124+W124+Y124</f>
        <v/>
      </c>
    </row>
    <row r="125">
      <c r="A125" s="46">
        <f>'2026 Ιανουάριος'!C51</f>
        <v/>
      </c>
      <c r="B125" s="35" t="n">
        <v>2026</v>
      </c>
      <c r="C125" s="173">
        <f>'2026 Ιανουάριος'!D51</f>
        <v/>
      </c>
      <c r="D125" s="36">
        <f>C125</f>
        <v/>
      </c>
      <c r="E125" s="173">
        <f>'2026 Φεβρουάριος'!D51</f>
        <v/>
      </c>
      <c r="F125" s="36">
        <f>D125+E125</f>
        <v/>
      </c>
      <c r="G125" s="173">
        <f>'2026 Μάρτιος'!D51</f>
        <v/>
      </c>
      <c r="H125" s="36">
        <f>F125+G125</f>
        <v/>
      </c>
      <c r="I125" s="173">
        <f>'2026 Απρίλιος'!D51</f>
        <v/>
      </c>
      <c r="J125" s="36">
        <f>H125+I125</f>
        <v/>
      </c>
      <c r="K125" s="173">
        <f>'2026 Μάιος'!D51</f>
        <v/>
      </c>
      <c r="L125" s="36">
        <f>J125+K125</f>
        <v/>
      </c>
      <c r="M125" s="173">
        <f>'2026 Ιούνιος'!D51</f>
        <v/>
      </c>
      <c r="N125" s="36">
        <f>L125+M125</f>
        <v/>
      </c>
      <c r="O125" s="173">
        <f>'2026 Ιούλιος'!D51</f>
        <v/>
      </c>
      <c r="P125" s="36">
        <f>N125+O125</f>
        <v/>
      </c>
      <c r="Q125" s="173">
        <f>'2026 Aύγουστος'!D51</f>
        <v/>
      </c>
      <c r="R125" s="36">
        <f>P125+Q125</f>
        <v/>
      </c>
      <c r="S125" s="173">
        <f>'2026 Σεπτέμβριος'!D51</f>
        <v/>
      </c>
      <c r="T125" s="36">
        <f>R125+S125</f>
        <v/>
      </c>
      <c r="U125" s="173">
        <f>'2026 Οκτώβριος'!D51</f>
        <v/>
      </c>
      <c r="V125" s="36">
        <f>T125+U125</f>
        <v/>
      </c>
      <c r="W125" s="173">
        <f>'2026 Νοέμβριος'!D51</f>
        <v/>
      </c>
      <c r="X125" s="36">
        <f>V125+W125</f>
        <v/>
      </c>
      <c r="Y125" s="173">
        <f>'2026 Δεκέμβριος'!D51</f>
        <v/>
      </c>
      <c r="Z125" s="36">
        <f>X125+Y125</f>
        <v/>
      </c>
      <c r="AA125" s="36">
        <f>C125+E125+G125+I125+K125+M125+O125+Q125+S125+U125+W125+Y125</f>
        <v/>
      </c>
    </row>
    <row r="126">
      <c r="A126" s="45">
        <f>'2026 Ιανουάριος'!C52</f>
        <v/>
      </c>
      <c r="B126" s="35" t="n">
        <v>2026</v>
      </c>
      <c r="C126" s="173">
        <f>'2026 Ιανουάριος'!D52</f>
        <v/>
      </c>
      <c r="D126" s="36">
        <f>C126</f>
        <v/>
      </c>
      <c r="E126" s="173">
        <f>'2026 Φεβρουάριος'!D52</f>
        <v/>
      </c>
      <c r="F126" s="36">
        <f>D126+E126</f>
        <v/>
      </c>
      <c r="G126" s="173">
        <f>'2026 Μάρτιος'!D52</f>
        <v/>
      </c>
      <c r="H126" s="36">
        <f>F126+G126</f>
        <v/>
      </c>
      <c r="I126" s="173">
        <f>'2026 Απρίλιος'!D52</f>
        <v/>
      </c>
      <c r="J126" s="36">
        <f>H126+I126</f>
        <v/>
      </c>
      <c r="K126" s="173">
        <f>'2026 Μάιος'!D52</f>
        <v/>
      </c>
      <c r="L126" s="36">
        <f>J126+K126</f>
        <v/>
      </c>
      <c r="M126" s="173">
        <f>'2026 Ιούνιος'!D52</f>
        <v/>
      </c>
      <c r="N126" s="36">
        <f>L126+M126</f>
        <v/>
      </c>
      <c r="O126" s="173">
        <f>'2026 Ιούλιος'!D52</f>
        <v/>
      </c>
      <c r="P126" s="36">
        <f>N126+O126</f>
        <v/>
      </c>
      <c r="Q126" s="173">
        <f>'2026 Aύγουστος'!D52</f>
        <v/>
      </c>
      <c r="R126" s="36">
        <f>P126+Q126</f>
        <v/>
      </c>
      <c r="S126" s="173">
        <f>'2026 Σεπτέμβριος'!D52</f>
        <v/>
      </c>
      <c r="T126" s="36">
        <f>R126+S126</f>
        <v/>
      </c>
      <c r="U126" s="173">
        <f>'2026 Οκτώβριος'!D52</f>
        <v/>
      </c>
      <c r="V126" s="36">
        <f>T126+U126</f>
        <v/>
      </c>
      <c r="W126" s="173">
        <f>'2026 Νοέμβριος'!D52</f>
        <v/>
      </c>
      <c r="X126" s="36">
        <f>V126+W126</f>
        <v/>
      </c>
      <c r="Y126" s="173">
        <f>'2026 Δεκέμβριος'!D52</f>
        <v/>
      </c>
      <c r="Z126" s="36">
        <f>X126+Y126</f>
        <v/>
      </c>
      <c r="AA126" s="36">
        <f>C126+E126+G126+I126+K126+M126+O126+Q126+S126+U126+W126+Y126</f>
        <v/>
      </c>
    </row>
    <row r="127">
      <c r="A127" s="45">
        <f>'2026 Ιανουάριος'!C53</f>
        <v/>
      </c>
      <c r="B127" s="35" t="n">
        <v>2026</v>
      </c>
      <c r="C127" s="173">
        <f>'2026 Ιανουάριος'!D53</f>
        <v/>
      </c>
      <c r="D127" s="36">
        <f>C127</f>
        <v/>
      </c>
      <c r="E127" s="173">
        <f>'2026 Φεβρουάριος'!D53</f>
        <v/>
      </c>
      <c r="F127" s="36">
        <f>D127+E127</f>
        <v/>
      </c>
      <c r="G127" s="173">
        <f>'2026 Μάρτιος'!D53</f>
        <v/>
      </c>
      <c r="H127" s="36">
        <f>F127+G127</f>
        <v/>
      </c>
      <c r="I127" s="173">
        <f>'2026 Απρίλιος'!D53</f>
        <v/>
      </c>
      <c r="J127" s="36">
        <f>H127+I127</f>
        <v/>
      </c>
      <c r="K127" s="173">
        <f>'2026 Μάιος'!D53</f>
        <v/>
      </c>
      <c r="L127" s="36">
        <f>J127+K127</f>
        <v/>
      </c>
      <c r="M127" s="173">
        <f>'2026 Ιούνιος'!D53</f>
        <v/>
      </c>
      <c r="N127" s="36">
        <f>L127+M127</f>
        <v/>
      </c>
      <c r="O127" s="173">
        <f>'2026 Ιούλιος'!D53</f>
        <v/>
      </c>
      <c r="P127" s="36">
        <f>N127+O127</f>
        <v/>
      </c>
      <c r="Q127" s="173">
        <f>'2026 Aύγουστος'!D53</f>
        <v/>
      </c>
      <c r="R127" s="36">
        <f>P127+Q127</f>
        <v/>
      </c>
      <c r="S127" s="173">
        <f>'2026 Σεπτέμβριος'!D53</f>
        <v/>
      </c>
      <c r="T127" s="36">
        <f>R127+S127</f>
        <v/>
      </c>
      <c r="U127" s="173">
        <f>'2026 Οκτώβριος'!D53</f>
        <v/>
      </c>
      <c r="V127" s="36">
        <f>T127+U127</f>
        <v/>
      </c>
      <c r="W127" s="173">
        <f>'2026 Νοέμβριος'!D53</f>
        <v/>
      </c>
      <c r="X127" s="36">
        <f>V127+W127</f>
        <v/>
      </c>
      <c r="Y127" s="173">
        <f>'2026 Δεκέμβριος'!D53</f>
        <v/>
      </c>
      <c r="Z127" s="36">
        <f>X127+Y127</f>
        <v/>
      </c>
      <c r="AA127" s="36">
        <f>C127+E127+G127+I127+K127+M127+O127+Q127+S127+U127+W127+Y127</f>
        <v/>
      </c>
    </row>
    <row r="128">
      <c r="A128" s="46">
        <f>'2026 Ιανουάριος'!C54</f>
        <v/>
      </c>
      <c r="B128" s="35" t="n">
        <v>2026</v>
      </c>
      <c r="C128" s="173">
        <f>'2026 Ιανουάριος'!D54</f>
        <v/>
      </c>
      <c r="D128" s="36">
        <f>C128</f>
        <v/>
      </c>
      <c r="E128" s="173">
        <f>'2026 Φεβρουάριος'!D54</f>
        <v/>
      </c>
      <c r="F128" s="36">
        <f>D128+E128</f>
        <v/>
      </c>
      <c r="G128" s="173">
        <f>'2026 Μάρτιος'!D54</f>
        <v/>
      </c>
      <c r="H128" s="36">
        <f>F128+G128</f>
        <v/>
      </c>
      <c r="I128" s="173">
        <f>'2026 Απρίλιος'!D54</f>
        <v/>
      </c>
      <c r="J128" s="36">
        <f>H128+I128</f>
        <v/>
      </c>
      <c r="K128" s="173">
        <f>'2026 Μάιος'!D54</f>
        <v/>
      </c>
      <c r="L128" s="36">
        <f>J128+K128</f>
        <v/>
      </c>
      <c r="M128" s="173">
        <f>'2026 Ιούνιος'!D54</f>
        <v/>
      </c>
      <c r="N128" s="36">
        <f>L128+M128</f>
        <v/>
      </c>
      <c r="O128" s="173">
        <f>'2026 Ιούλιος'!D54</f>
        <v/>
      </c>
      <c r="P128" s="36">
        <f>N128+O128</f>
        <v/>
      </c>
      <c r="Q128" s="173">
        <f>'2026 Aύγουστος'!D54</f>
        <v/>
      </c>
      <c r="R128" s="36">
        <f>P128+Q128</f>
        <v/>
      </c>
      <c r="S128" s="173">
        <f>'2026 Σεπτέμβριος'!D54</f>
        <v/>
      </c>
      <c r="T128" s="36">
        <f>R128+S128</f>
        <v/>
      </c>
      <c r="U128" s="173">
        <f>'2026 Οκτώβριος'!D54</f>
        <v/>
      </c>
      <c r="V128" s="36">
        <f>T128+U128</f>
        <v/>
      </c>
      <c r="W128" s="173">
        <f>'2026 Νοέμβριος'!D54</f>
        <v/>
      </c>
      <c r="X128" s="36">
        <f>V128+W128</f>
        <v/>
      </c>
      <c r="Y128" s="173">
        <f>'2026 Δεκέμβριος'!D54</f>
        <v/>
      </c>
      <c r="Z128" s="36">
        <f>X128+Y128</f>
        <v/>
      </c>
      <c r="AA128" s="36">
        <f>C128+E128+G128+I128+K128+M128+O128+Q128+S128+U128+W128+Y128</f>
        <v/>
      </c>
    </row>
    <row r="129">
      <c r="A129" s="46">
        <f>'2026 Ιανουάριος'!C55</f>
        <v/>
      </c>
      <c r="B129" s="35" t="n">
        <v>2026</v>
      </c>
      <c r="C129" s="173">
        <f>'2026 Ιανουάριος'!D55</f>
        <v/>
      </c>
      <c r="D129" s="36">
        <f>C129</f>
        <v/>
      </c>
      <c r="E129" s="173">
        <f>'2026 Φεβρουάριος'!D55</f>
        <v/>
      </c>
      <c r="F129" s="36">
        <f>D129+E129</f>
        <v/>
      </c>
      <c r="G129" s="173">
        <f>'2026 Μάρτιος'!D55</f>
        <v/>
      </c>
      <c r="H129" s="36">
        <f>F129+G129</f>
        <v/>
      </c>
      <c r="I129" s="173">
        <f>'2026 Απρίλιος'!D55</f>
        <v/>
      </c>
      <c r="J129" s="36">
        <f>H129+I129</f>
        <v/>
      </c>
      <c r="K129" s="173">
        <f>'2026 Μάιος'!D55</f>
        <v/>
      </c>
      <c r="L129" s="36">
        <f>J129+K129</f>
        <v/>
      </c>
      <c r="M129" s="173">
        <f>'2026 Ιούνιος'!D55</f>
        <v/>
      </c>
      <c r="N129" s="36">
        <f>L129+M129</f>
        <v/>
      </c>
      <c r="O129" s="173">
        <f>'2026 Ιούλιος'!D55</f>
        <v/>
      </c>
      <c r="P129" s="36">
        <f>N129+O129</f>
        <v/>
      </c>
      <c r="Q129" s="173">
        <f>'2026 Aύγουστος'!D55</f>
        <v/>
      </c>
      <c r="R129" s="36">
        <f>P129+Q129</f>
        <v/>
      </c>
      <c r="S129" s="173">
        <f>'2026 Σεπτέμβριος'!D55</f>
        <v/>
      </c>
      <c r="T129" s="36">
        <f>R129+S129</f>
        <v/>
      </c>
      <c r="U129" s="173">
        <f>'2026 Οκτώβριος'!D55</f>
        <v/>
      </c>
      <c r="V129" s="36">
        <f>T129+U129</f>
        <v/>
      </c>
      <c r="W129" s="173">
        <f>'2026 Νοέμβριος'!D55</f>
        <v/>
      </c>
      <c r="X129" s="36">
        <f>V129+W129</f>
        <v/>
      </c>
      <c r="Y129" s="173">
        <f>'2026 Δεκέμβριος'!D55</f>
        <v/>
      </c>
      <c r="Z129" s="36">
        <f>X129+Y129</f>
        <v/>
      </c>
      <c r="AA129" s="36">
        <f>C129+E129+G129+I129+K129+M129+O129+Q129+S129+U129+W129+Y129</f>
        <v/>
      </c>
    </row>
    <row r="130">
      <c r="A130" s="46">
        <f>'2026 Ιανουάριος'!C56</f>
        <v/>
      </c>
      <c r="B130" s="35" t="n">
        <v>2026</v>
      </c>
      <c r="C130" s="173">
        <f>'2026 Ιανουάριος'!D56</f>
        <v/>
      </c>
      <c r="D130" s="36">
        <f>C130</f>
        <v/>
      </c>
      <c r="E130" s="173">
        <f>'2026 Φεβρουάριος'!D56</f>
        <v/>
      </c>
      <c r="F130" s="36">
        <f>D130+E130</f>
        <v/>
      </c>
      <c r="G130" s="173">
        <f>'2026 Μάρτιος'!D56</f>
        <v/>
      </c>
      <c r="H130" s="36">
        <f>F130+G130</f>
        <v/>
      </c>
      <c r="I130" s="173">
        <f>'2026 Απρίλιος'!D56</f>
        <v/>
      </c>
      <c r="J130" s="36">
        <f>H130+I130</f>
        <v/>
      </c>
      <c r="K130" s="173">
        <f>'2026 Μάιος'!D56</f>
        <v/>
      </c>
      <c r="L130" s="36">
        <f>J130+K130</f>
        <v/>
      </c>
      <c r="M130" s="173">
        <f>'2026 Ιούνιος'!D56</f>
        <v/>
      </c>
      <c r="N130" s="36">
        <f>L130+M130</f>
        <v/>
      </c>
      <c r="O130" s="173">
        <f>'2026 Ιούλιος'!D56</f>
        <v/>
      </c>
      <c r="P130" s="36">
        <f>N130+O130</f>
        <v/>
      </c>
      <c r="Q130" s="173">
        <f>'2026 Aύγουστος'!D56</f>
        <v/>
      </c>
      <c r="R130" s="36">
        <f>P130+Q130</f>
        <v/>
      </c>
      <c r="S130" s="173">
        <f>'2026 Σεπτέμβριος'!D56</f>
        <v/>
      </c>
      <c r="T130" s="36">
        <f>R130+S130</f>
        <v/>
      </c>
      <c r="U130" s="173">
        <f>'2026 Οκτώβριος'!D56</f>
        <v/>
      </c>
      <c r="V130" s="36">
        <f>T130+U130</f>
        <v/>
      </c>
      <c r="W130" s="173">
        <f>'2026 Νοέμβριος'!D56</f>
        <v/>
      </c>
      <c r="X130" s="36">
        <f>V130+W130</f>
        <v/>
      </c>
      <c r="Y130" s="173">
        <f>'2026 Δεκέμβριος'!D56</f>
        <v/>
      </c>
      <c r="Z130" s="36">
        <f>X130+Y130</f>
        <v/>
      </c>
      <c r="AA130" s="36">
        <f>C130+E130+G130+I130+K130+M130+O130+Q130+S130+U130+W130+Y130</f>
        <v/>
      </c>
    </row>
    <row r="131">
      <c r="A131" s="46">
        <f>'2026 Ιανουάριος'!C57</f>
        <v/>
      </c>
      <c r="B131" s="35" t="n">
        <v>2026</v>
      </c>
      <c r="C131" s="173">
        <f>'2026 Ιανουάριος'!D57</f>
        <v/>
      </c>
      <c r="D131" s="36">
        <f>C131</f>
        <v/>
      </c>
      <c r="E131" s="173">
        <f>'2026 Φεβρουάριος'!D57</f>
        <v/>
      </c>
      <c r="F131" s="36">
        <f>D131+E131</f>
        <v/>
      </c>
      <c r="G131" s="173">
        <f>'2026 Μάρτιος'!D57</f>
        <v/>
      </c>
      <c r="H131" s="36">
        <f>F131+G131</f>
        <v/>
      </c>
      <c r="I131" s="173">
        <f>'2026 Απρίλιος'!D57</f>
        <v/>
      </c>
      <c r="J131" s="36">
        <f>H131+I131</f>
        <v/>
      </c>
      <c r="K131" s="173">
        <f>'2026 Μάιος'!D57</f>
        <v/>
      </c>
      <c r="L131" s="36">
        <f>J131+K131</f>
        <v/>
      </c>
      <c r="M131" s="173">
        <f>'2026 Ιούνιος'!D57</f>
        <v/>
      </c>
      <c r="N131" s="36">
        <f>L131+M131</f>
        <v/>
      </c>
      <c r="O131" s="173">
        <f>'2026 Ιούλιος'!D57</f>
        <v/>
      </c>
      <c r="P131" s="36">
        <f>N131+O131</f>
        <v/>
      </c>
      <c r="Q131" s="173">
        <f>'2026 Aύγουστος'!D57</f>
        <v/>
      </c>
      <c r="R131" s="36">
        <f>P131+Q131</f>
        <v/>
      </c>
      <c r="S131" s="173">
        <f>'2026 Σεπτέμβριος'!D57</f>
        <v/>
      </c>
      <c r="T131" s="36">
        <f>R131+S131</f>
        <v/>
      </c>
      <c r="U131" s="173">
        <f>'2026 Οκτώβριος'!D57</f>
        <v/>
      </c>
      <c r="V131" s="36">
        <f>T131+U131</f>
        <v/>
      </c>
      <c r="W131" s="173">
        <f>'2026 Νοέμβριος'!D57</f>
        <v/>
      </c>
      <c r="X131" s="36">
        <f>V131+W131</f>
        <v/>
      </c>
      <c r="Y131" s="173">
        <f>'2026 Δεκέμβριος'!D57</f>
        <v/>
      </c>
      <c r="Z131" s="36">
        <f>X131+Y131</f>
        <v/>
      </c>
      <c r="AA131" s="36">
        <f>C131+E131+G131+I131+K131+M131+O131+Q131+S131+U131+W131+Y131</f>
        <v/>
      </c>
    </row>
    <row r="132">
      <c r="A132" s="46">
        <f>'2026 Ιανουάριος'!C58</f>
        <v/>
      </c>
      <c r="B132" s="35" t="n">
        <v>2026</v>
      </c>
      <c r="C132" s="173">
        <f>'2026 Ιανουάριος'!D58</f>
        <v/>
      </c>
      <c r="D132" s="36">
        <f>C132</f>
        <v/>
      </c>
      <c r="E132" s="173">
        <f>'2026 Φεβρουάριος'!D58</f>
        <v/>
      </c>
      <c r="F132" s="36">
        <f>D132+E132</f>
        <v/>
      </c>
      <c r="G132" s="173">
        <f>'2026 Μάρτιος'!D58</f>
        <v/>
      </c>
      <c r="H132" s="36">
        <f>F132+G132</f>
        <v/>
      </c>
      <c r="I132" s="173">
        <f>'2026 Απρίλιος'!D58</f>
        <v/>
      </c>
      <c r="J132" s="36">
        <f>H132+I132</f>
        <v/>
      </c>
      <c r="K132" s="173">
        <f>'2026 Μάιος'!D58</f>
        <v/>
      </c>
      <c r="L132" s="36">
        <f>J132+K132</f>
        <v/>
      </c>
      <c r="M132" s="173">
        <f>'2026 Ιούνιος'!D58</f>
        <v/>
      </c>
      <c r="N132" s="36">
        <f>L132+M132</f>
        <v/>
      </c>
      <c r="O132" s="173">
        <f>'2026 Ιούλιος'!D58</f>
        <v/>
      </c>
      <c r="P132" s="36">
        <f>N132+O132</f>
        <v/>
      </c>
      <c r="Q132" s="173">
        <f>'2026 Aύγουστος'!D58</f>
        <v/>
      </c>
      <c r="R132" s="36">
        <f>P132+Q132</f>
        <v/>
      </c>
      <c r="S132" s="173">
        <f>'2026 Σεπτέμβριος'!D58</f>
        <v/>
      </c>
      <c r="T132" s="36">
        <f>R132+S132</f>
        <v/>
      </c>
      <c r="U132" s="173">
        <f>'2026 Οκτώβριος'!D58</f>
        <v/>
      </c>
      <c r="V132" s="36">
        <f>T132+U132</f>
        <v/>
      </c>
      <c r="W132" s="173">
        <f>'2026 Νοέμβριος'!D58</f>
        <v/>
      </c>
      <c r="X132" s="36">
        <f>V132+W132</f>
        <v/>
      </c>
      <c r="Y132" s="173">
        <f>'2026 Δεκέμβριος'!D58</f>
        <v/>
      </c>
      <c r="Z132" s="36">
        <f>X132+Y132</f>
        <v/>
      </c>
      <c r="AA132" s="36">
        <f>C132+E132+G132+I132+K132+M132+O132+Q132+S132+U132+W132+Y132</f>
        <v/>
      </c>
    </row>
    <row r="133">
      <c r="A133" s="46">
        <f>'2026 Ιανουάριος'!C59</f>
        <v/>
      </c>
      <c r="B133" s="35" t="n">
        <v>2026</v>
      </c>
      <c r="C133" s="173">
        <f>'2026 Ιανουάριος'!D59</f>
        <v/>
      </c>
      <c r="D133" s="36">
        <f>C133</f>
        <v/>
      </c>
      <c r="E133" s="173">
        <f>'2026 Φεβρουάριος'!D59</f>
        <v/>
      </c>
      <c r="F133" s="36">
        <f>D133+E133</f>
        <v/>
      </c>
      <c r="G133" s="173">
        <f>'2026 Μάρτιος'!D59</f>
        <v/>
      </c>
      <c r="H133" s="36">
        <f>F133+G133</f>
        <v/>
      </c>
      <c r="I133" s="173">
        <f>'2026 Απρίλιος'!D59</f>
        <v/>
      </c>
      <c r="J133" s="36">
        <f>H133+I133</f>
        <v/>
      </c>
      <c r="K133" s="173">
        <f>'2026 Μάιος'!D59</f>
        <v/>
      </c>
      <c r="L133" s="36">
        <f>J133+K133</f>
        <v/>
      </c>
      <c r="M133" s="173">
        <f>'2026 Ιούνιος'!D59</f>
        <v/>
      </c>
      <c r="N133" s="36">
        <f>L133+M133</f>
        <v/>
      </c>
      <c r="O133" s="173">
        <f>'2026 Ιούλιος'!D59</f>
        <v/>
      </c>
      <c r="P133" s="36">
        <f>N133+O133</f>
        <v/>
      </c>
      <c r="Q133" s="173">
        <f>'2026 Aύγουστος'!D59</f>
        <v/>
      </c>
      <c r="R133" s="36">
        <f>P133+Q133</f>
        <v/>
      </c>
      <c r="S133" s="173">
        <f>'2026 Σεπτέμβριος'!D59</f>
        <v/>
      </c>
      <c r="T133" s="36">
        <f>R133+S133</f>
        <v/>
      </c>
      <c r="U133" s="173">
        <f>'2026 Οκτώβριος'!D59</f>
        <v/>
      </c>
      <c r="V133" s="36">
        <f>T133+U133</f>
        <v/>
      </c>
      <c r="W133" s="173">
        <f>'2026 Νοέμβριος'!D59</f>
        <v/>
      </c>
      <c r="X133" s="36">
        <f>V133+W133</f>
        <v/>
      </c>
      <c r="Y133" s="173">
        <f>'2026 Δεκέμβριος'!D59</f>
        <v/>
      </c>
      <c r="Z133" s="36">
        <f>X133+Y133</f>
        <v/>
      </c>
      <c r="AA133" s="36">
        <f>C133+E133+G133+I133+K133+M133+O133+Q133+S133+U133+W133+Y133</f>
        <v/>
      </c>
    </row>
    <row r="134">
      <c r="A134" s="46">
        <f>'2026 Ιανουάριος'!C60</f>
        <v/>
      </c>
      <c r="B134" s="35" t="n">
        <v>2026</v>
      </c>
      <c r="C134" s="173">
        <f>'2026 Ιανουάριος'!D60</f>
        <v/>
      </c>
      <c r="D134" s="36">
        <f>C134</f>
        <v/>
      </c>
      <c r="E134" s="173">
        <f>'2026 Φεβρουάριος'!D60</f>
        <v/>
      </c>
      <c r="F134" s="36">
        <f>D134+E134</f>
        <v/>
      </c>
      <c r="G134" s="173">
        <f>'2026 Μάρτιος'!D60</f>
        <v/>
      </c>
      <c r="H134" s="36">
        <f>F134+G134</f>
        <v/>
      </c>
      <c r="I134" s="173">
        <f>'2026 Απρίλιος'!D60</f>
        <v/>
      </c>
      <c r="J134" s="36">
        <f>H134+I134</f>
        <v/>
      </c>
      <c r="K134" s="173">
        <f>'2026 Μάιος'!D60</f>
        <v/>
      </c>
      <c r="L134" s="36">
        <f>J134+K134</f>
        <v/>
      </c>
      <c r="M134" s="173">
        <f>'2026 Ιούνιος'!D60</f>
        <v/>
      </c>
      <c r="N134" s="36">
        <f>L134+M134</f>
        <v/>
      </c>
      <c r="O134" s="173">
        <f>'2026 Ιούλιος'!D60</f>
        <v/>
      </c>
      <c r="P134" s="36">
        <f>N134+O134</f>
        <v/>
      </c>
      <c r="Q134" s="173">
        <f>'2026 Aύγουστος'!D60</f>
        <v/>
      </c>
      <c r="R134" s="36">
        <f>P134+Q134</f>
        <v/>
      </c>
      <c r="S134" s="173">
        <f>'2026 Σεπτέμβριος'!D60</f>
        <v/>
      </c>
      <c r="T134" s="36">
        <f>R134+S134</f>
        <v/>
      </c>
      <c r="U134" s="173">
        <f>'2026 Οκτώβριος'!D60</f>
        <v/>
      </c>
      <c r="V134" s="36">
        <f>T134+U134</f>
        <v/>
      </c>
      <c r="W134" s="173">
        <f>'2026 Νοέμβριος'!D60</f>
        <v/>
      </c>
      <c r="X134" s="36">
        <f>V134+W134</f>
        <v/>
      </c>
      <c r="Y134" s="173">
        <f>'2026 Δεκέμβριος'!D60</f>
        <v/>
      </c>
      <c r="Z134" s="36">
        <f>X134+Y134</f>
        <v/>
      </c>
      <c r="AA134" s="36">
        <f>C134+E134+G134+I134+K134+M134+O134+Q134+S134+U134+W134+Y134</f>
        <v/>
      </c>
    </row>
    <row r="135">
      <c r="A135" s="46">
        <f>'2026 Ιανουάριος'!C61</f>
        <v/>
      </c>
      <c r="B135" s="35" t="n">
        <v>2026</v>
      </c>
      <c r="C135" s="173">
        <f>'2026 Ιανουάριος'!D61</f>
        <v/>
      </c>
      <c r="D135" s="36">
        <f>C135</f>
        <v/>
      </c>
      <c r="E135" s="173">
        <f>'2026 Φεβρουάριος'!D61</f>
        <v/>
      </c>
      <c r="F135" s="36">
        <f>D135+E135</f>
        <v/>
      </c>
      <c r="G135" s="173">
        <f>'2026 Μάρτιος'!D61</f>
        <v/>
      </c>
      <c r="H135" s="36">
        <f>F135+G135</f>
        <v/>
      </c>
      <c r="I135" s="173">
        <f>'2026 Απρίλιος'!D61</f>
        <v/>
      </c>
      <c r="J135" s="36">
        <f>H135+I135</f>
        <v/>
      </c>
      <c r="K135" s="173">
        <f>'2026 Μάιος'!D61</f>
        <v/>
      </c>
      <c r="L135" s="36">
        <f>J135+K135</f>
        <v/>
      </c>
      <c r="M135" s="173">
        <f>'2026 Ιούνιος'!D61</f>
        <v/>
      </c>
      <c r="N135" s="36">
        <f>L135+M135</f>
        <v/>
      </c>
      <c r="O135" s="173">
        <f>'2026 Ιούλιος'!D61</f>
        <v/>
      </c>
      <c r="P135" s="36">
        <f>N135+O135</f>
        <v/>
      </c>
      <c r="Q135" s="173">
        <f>'2026 Aύγουστος'!D61</f>
        <v/>
      </c>
      <c r="R135" s="36">
        <f>P135+Q135</f>
        <v/>
      </c>
      <c r="S135" s="173">
        <f>'2026 Σεπτέμβριος'!D61</f>
        <v/>
      </c>
      <c r="T135" s="36">
        <f>R135+S135</f>
        <v/>
      </c>
      <c r="U135" s="173">
        <f>'2026 Οκτώβριος'!D61</f>
        <v/>
      </c>
      <c r="V135" s="36">
        <f>T135+U135</f>
        <v/>
      </c>
      <c r="W135" s="173">
        <f>'2026 Νοέμβριος'!D61</f>
        <v/>
      </c>
      <c r="X135" s="36">
        <f>V135+W135</f>
        <v/>
      </c>
      <c r="Y135" s="173">
        <f>'2026 Δεκέμβριος'!D61</f>
        <v/>
      </c>
      <c r="Z135" s="36">
        <f>X135+Y135</f>
        <v/>
      </c>
      <c r="AA135" s="36">
        <f>C135+E135+G135+I135+K135+M135+O135+Q135+S135+U135+W135+Y135</f>
        <v/>
      </c>
    </row>
    <row r="136">
      <c r="A136" s="46">
        <f>'2026 Ιανουάριος'!C62</f>
        <v/>
      </c>
      <c r="B136" s="35" t="n">
        <v>2026</v>
      </c>
      <c r="C136" s="173">
        <f>'2026 Ιανουάριος'!D62</f>
        <v/>
      </c>
      <c r="D136" s="36">
        <f>C136</f>
        <v/>
      </c>
      <c r="E136" s="173">
        <f>'2026 Φεβρουάριος'!D62</f>
        <v/>
      </c>
      <c r="F136" s="36">
        <f>D136+E136</f>
        <v/>
      </c>
      <c r="G136" s="173">
        <f>'2026 Μάρτιος'!D62</f>
        <v/>
      </c>
      <c r="H136" s="36">
        <f>F136+G136</f>
        <v/>
      </c>
      <c r="I136" s="173">
        <f>'2026 Απρίλιος'!D62</f>
        <v/>
      </c>
      <c r="J136" s="36">
        <f>H136+I136</f>
        <v/>
      </c>
      <c r="K136" s="173">
        <f>'2026 Μάιος'!D62</f>
        <v/>
      </c>
      <c r="L136" s="36">
        <f>J136+K136</f>
        <v/>
      </c>
      <c r="M136" s="173">
        <f>'2026 Ιούνιος'!D62</f>
        <v/>
      </c>
      <c r="N136" s="36">
        <f>L136+M136</f>
        <v/>
      </c>
      <c r="O136" s="173">
        <f>'2026 Ιούλιος'!D62</f>
        <v/>
      </c>
      <c r="P136" s="36">
        <f>N136+O136</f>
        <v/>
      </c>
      <c r="Q136" s="173">
        <f>'2026 Aύγουστος'!D62</f>
        <v/>
      </c>
      <c r="R136" s="36">
        <f>P136+Q136</f>
        <v/>
      </c>
      <c r="S136" s="173">
        <f>'2026 Σεπτέμβριος'!D62</f>
        <v/>
      </c>
      <c r="T136" s="36">
        <f>R136+S136</f>
        <v/>
      </c>
      <c r="U136" s="173">
        <f>'2026 Οκτώβριος'!D62</f>
        <v/>
      </c>
      <c r="V136" s="36">
        <f>T136+U136</f>
        <v/>
      </c>
      <c r="W136" s="173">
        <f>'2026 Νοέμβριος'!D62</f>
        <v/>
      </c>
      <c r="X136" s="36">
        <f>V136+W136</f>
        <v/>
      </c>
      <c r="Y136" s="173">
        <f>'2026 Δεκέμβριος'!D62</f>
        <v/>
      </c>
      <c r="Z136" s="36">
        <f>X136+Y136</f>
        <v/>
      </c>
      <c r="AA136" s="36">
        <f>C136+E136+G136+I136+K136+M136+O136+Q136+S136+U136+W136+Y136</f>
        <v/>
      </c>
    </row>
    <row r="137">
      <c r="A137" s="46">
        <f>'2026 Ιανουάριος'!C63</f>
        <v/>
      </c>
      <c r="B137" s="35" t="n">
        <v>2026</v>
      </c>
      <c r="C137" s="173">
        <f>'2026 Ιανουάριος'!D63</f>
        <v/>
      </c>
      <c r="D137" s="36">
        <f>C137</f>
        <v/>
      </c>
      <c r="E137" s="173">
        <f>'2026 Φεβρουάριος'!D63</f>
        <v/>
      </c>
      <c r="F137" s="36">
        <f>D137+E137</f>
        <v/>
      </c>
      <c r="G137" s="173">
        <f>'2026 Μάρτιος'!D63</f>
        <v/>
      </c>
      <c r="H137" s="36">
        <f>F137+G137</f>
        <v/>
      </c>
      <c r="I137" s="173">
        <f>'2026 Απρίλιος'!D63</f>
        <v/>
      </c>
      <c r="J137" s="36">
        <f>H137+I137</f>
        <v/>
      </c>
      <c r="K137" s="173">
        <f>'2026 Μάιος'!D63</f>
        <v/>
      </c>
      <c r="L137" s="36">
        <f>J137+K137</f>
        <v/>
      </c>
      <c r="M137" s="173">
        <f>'2026 Ιούνιος'!D63</f>
        <v/>
      </c>
      <c r="N137" s="36">
        <f>L137+M137</f>
        <v/>
      </c>
      <c r="O137" s="173">
        <f>'2026 Ιούλιος'!D63</f>
        <v/>
      </c>
      <c r="P137" s="36">
        <f>N137+O137</f>
        <v/>
      </c>
      <c r="Q137" s="173">
        <f>'2026 Aύγουστος'!D63</f>
        <v/>
      </c>
      <c r="R137" s="36">
        <f>P137+Q137</f>
        <v/>
      </c>
      <c r="S137" s="173">
        <f>'2026 Σεπτέμβριος'!D63</f>
        <v/>
      </c>
      <c r="T137" s="36">
        <f>R137+S137</f>
        <v/>
      </c>
      <c r="U137" s="173">
        <f>'2026 Οκτώβριος'!D63</f>
        <v/>
      </c>
      <c r="V137" s="36">
        <f>T137+U137</f>
        <v/>
      </c>
      <c r="W137" s="173">
        <f>'2026 Νοέμβριος'!D63</f>
        <v/>
      </c>
      <c r="X137" s="36">
        <f>V137+W137</f>
        <v/>
      </c>
      <c r="Y137" s="173">
        <f>'2026 Δεκέμβριος'!D63</f>
        <v/>
      </c>
      <c r="Z137" s="36">
        <f>X137+Y137</f>
        <v/>
      </c>
      <c r="AA137" s="36">
        <f>C137+E137+G137+I137+K137+M137+O137+Q137+S137+U137+W137+Y137</f>
        <v/>
      </c>
    </row>
    <row r="138">
      <c r="A138" s="46">
        <f>'2026 Ιανουάριος'!C64</f>
        <v/>
      </c>
      <c r="B138" s="35" t="n">
        <v>2026</v>
      </c>
      <c r="C138" s="173">
        <f>'2026 Ιανουάριος'!D64</f>
        <v/>
      </c>
      <c r="D138" s="36">
        <f>C138</f>
        <v/>
      </c>
      <c r="E138" s="173">
        <f>'2026 Φεβρουάριος'!D64</f>
        <v/>
      </c>
      <c r="F138" s="36">
        <f>D138+E138</f>
        <v/>
      </c>
      <c r="G138" s="173">
        <f>'2026 Μάρτιος'!D64</f>
        <v/>
      </c>
      <c r="H138" s="36">
        <f>F138+G138</f>
        <v/>
      </c>
      <c r="I138" s="173">
        <f>'2026 Απρίλιος'!D64</f>
        <v/>
      </c>
      <c r="J138" s="36">
        <f>H138+I138</f>
        <v/>
      </c>
      <c r="K138" s="173">
        <f>'2026 Μάιος'!D64</f>
        <v/>
      </c>
      <c r="L138" s="36">
        <f>J138+K138</f>
        <v/>
      </c>
      <c r="M138" s="173">
        <f>'2026 Ιούνιος'!D64</f>
        <v/>
      </c>
      <c r="N138" s="36">
        <f>L138+M138</f>
        <v/>
      </c>
      <c r="O138" s="173">
        <f>'2026 Ιούλιος'!D64</f>
        <v/>
      </c>
      <c r="P138" s="36">
        <f>N138+O138</f>
        <v/>
      </c>
      <c r="Q138" s="173">
        <f>'2026 Aύγουστος'!D64</f>
        <v/>
      </c>
      <c r="R138" s="36">
        <f>P138+Q138</f>
        <v/>
      </c>
      <c r="S138" s="173">
        <f>'2026 Σεπτέμβριος'!D64</f>
        <v/>
      </c>
      <c r="T138" s="36">
        <f>R138+S138</f>
        <v/>
      </c>
      <c r="U138" s="173">
        <f>'2026 Οκτώβριος'!D64</f>
        <v/>
      </c>
      <c r="V138" s="36">
        <f>T138+U138</f>
        <v/>
      </c>
      <c r="W138" s="173">
        <f>'2026 Νοέμβριος'!D64</f>
        <v/>
      </c>
      <c r="X138" s="36">
        <f>V138+W138</f>
        <v/>
      </c>
      <c r="Y138" s="173">
        <f>'2026 Δεκέμβριος'!D64</f>
        <v/>
      </c>
      <c r="Z138" s="36">
        <f>X138+Y138</f>
        <v/>
      </c>
      <c r="AA138" s="36">
        <f>C138+E138+G138+I138+K138+M138+O138+Q138+S138+U138+W138+Y138</f>
        <v/>
      </c>
    </row>
    <row r="139">
      <c r="A139" s="46">
        <f>'2026 Ιανουάριος'!C65</f>
        <v/>
      </c>
      <c r="B139" s="35" t="n">
        <v>2026</v>
      </c>
      <c r="C139" s="173">
        <f>'2026 Ιανουάριος'!D65</f>
        <v/>
      </c>
      <c r="D139" s="36">
        <f>C139</f>
        <v/>
      </c>
      <c r="E139" s="173">
        <f>'2026 Φεβρουάριος'!D65</f>
        <v/>
      </c>
      <c r="F139" s="36">
        <f>D139+E139</f>
        <v/>
      </c>
      <c r="G139" s="173">
        <f>'2026 Μάρτιος'!D65</f>
        <v/>
      </c>
      <c r="H139" s="36">
        <f>F139+G139</f>
        <v/>
      </c>
      <c r="I139" s="173">
        <f>'2026 Απρίλιος'!D65</f>
        <v/>
      </c>
      <c r="J139" s="36">
        <f>H139+I139</f>
        <v/>
      </c>
      <c r="K139" s="173">
        <f>'2026 Μάιος'!D65</f>
        <v/>
      </c>
      <c r="L139" s="36">
        <f>J139+K139</f>
        <v/>
      </c>
      <c r="M139" s="173">
        <f>'2026 Ιούνιος'!D65</f>
        <v/>
      </c>
      <c r="N139" s="36">
        <f>L139+M139</f>
        <v/>
      </c>
      <c r="O139" s="173">
        <f>'2026 Ιούλιος'!D65</f>
        <v/>
      </c>
      <c r="P139" s="36">
        <f>N139+O139</f>
        <v/>
      </c>
      <c r="Q139" s="173">
        <f>'2026 Aύγουστος'!D65</f>
        <v/>
      </c>
      <c r="R139" s="36">
        <f>P139+Q139</f>
        <v/>
      </c>
      <c r="S139" s="173">
        <f>'2026 Σεπτέμβριος'!D65</f>
        <v/>
      </c>
      <c r="T139" s="36">
        <f>R139+S139</f>
        <v/>
      </c>
      <c r="U139" s="173">
        <f>'2026 Οκτώβριος'!D65</f>
        <v/>
      </c>
      <c r="V139" s="36">
        <f>T139+U139</f>
        <v/>
      </c>
      <c r="W139" s="173">
        <f>'2026 Νοέμβριος'!D65</f>
        <v/>
      </c>
      <c r="X139" s="36">
        <f>V139+W139</f>
        <v/>
      </c>
      <c r="Y139" s="173">
        <f>'2026 Δεκέμβριος'!D65</f>
        <v/>
      </c>
      <c r="Z139" s="36">
        <f>X139+Y139</f>
        <v/>
      </c>
      <c r="AA139" s="36">
        <f>C139+E139+G139+I139+K139+M139+O139+Q139+S139+U139+W139+Y139</f>
        <v/>
      </c>
    </row>
    <row r="140">
      <c r="A140" s="46">
        <f>'2026 Ιανουάριος'!C66</f>
        <v/>
      </c>
      <c r="B140" s="35" t="n">
        <v>2026</v>
      </c>
      <c r="C140" s="173">
        <f>'2026 Ιανουάριος'!D66</f>
        <v/>
      </c>
      <c r="D140" s="36">
        <f>C140</f>
        <v/>
      </c>
      <c r="E140" s="173">
        <f>'2026 Φεβρουάριος'!D66</f>
        <v/>
      </c>
      <c r="F140" s="36">
        <f>D140+E140</f>
        <v/>
      </c>
      <c r="G140" s="173">
        <f>'2026 Μάρτιος'!D66</f>
        <v/>
      </c>
      <c r="H140" s="36">
        <f>F140+G140</f>
        <v/>
      </c>
      <c r="I140" s="173">
        <f>'2026 Απρίλιος'!D66</f>
        <v/>
      </c>
      <c r="J140" s="36">
        <f>H140+I140</f>
        <v/>
      </c>
      <c r="K140" s="173">
        <f>'2026 Μάιος'!D66</f>
        <v/>
      </c>
      <c r="L140" s="36">
        <f>J140+K140</f>
        <v/>
      </c>
      <c r="M140" s="173">
        <f>'2026 Ιούνιος'!D66</f>
        <v/>
      </c>
      <c r="N140" s="36">
        <f>L140+M140</f>
        <v/>
      </c>
      <c r="O140" s="173">
        <f>'2026 Ιούλιος'!D66</f>
        <v/>
      </c>
      <c r="P140" s="36">
        <f>N140+O140</f>
        <v/>
      </c>
      <c r="Q140" s="173">
        <f>'2026 Aύγουστος'!D66</f>
        <v/>
      </c>
      <c r="R140" s="36">
        <f>P140+Q140</f>
        <v/>
      </c>
      <c r="S140" s="173">
        <f>'2026 Σεπτέμβριος'!D66</f>
        <v/>
      </c>
      <c r="T140" s="36">
        <f>R140+S140</f>
        <v/>
      </c>
      <c r="U140" s="173">
        <f>'2026 Οκτώβριος'!D66</f>
        <v/>
      </c>
      <c r="V140" s="36">
        <f>T140+U140</f>
        <v/>
      </c>
      <c r="W140" s="173">
        <f>'2026 Νοέμβριος'!D66</f>
        <v/>
      </c>
      <c r="X140" s="36">
        <f>V140+W140</f>
        <v/>
      </c>
      <c r="Y140" s="173">
        <f>'2026 Δεκέμβριος'!D66</f>
        <v/>
      </c>
      <c r="Z140" s="36">
        <f>X140+Y140</f>
        <v/>
      </c>
      <c r="AA140" s="36">
        <f>C140+E140+G140+I140+K140+M140+O140+Q140+S140+U140+W140+Y140</f>
        <v/>
      </c>
    </row>
    <row r="141">
      <c r="A141" s="46">
        <f>'2026 Ιανουάριος'!C67</f>
        <v/>
      </c>
      <c r="B141" s="35" t="n">
        <v>2026</v>
      </c>
      <c r="C141" s="173">
        <f>'2026 Ιανουάριος'!D67</f>
        <v/>
      </c>
      <c r="D141" s="36">
        <f>C141</f>
        <v/>
      </c>
      <c r="E141" s="173">
        <f>'2026 Φεβρουάριος'!D67</f>
        <v/>
      </c>
      <c r="F141" s="36">
        <f>D141+E141</f>
        <v/>
      </c>
      <c r="G141" s="173">
        <f>'2026 Μάρτιος'!D67</f>
        <v/>
      </c>
      <c r="H141" s="36">
        <f>F141+G141</f>
        <v/>
      </c>
      <c r="I141" s="173">
        <f>'2026 Απρίλιος'!D67</f>
        <v/>
      </c>
      <c r="J141" s="36">
        <f>H141+I141</f>
        <v/>
      </c>
      <c r="K141" s="173">
        <f>'2026 Μάιος'!D67</f>
        <v/>
      </c>
      <c r="L141" s="36">
        <f>J141+K141</f>
        <v/>
      </c>
      <c r="M141" s="173">
        <f>'2026 Ιούνιος'!D67</f>
        <v/>
      </c>
      <c r="N141" s="36">
        <f>L141+M141</f>
        <v/>
      </c>
      <c r="O141" s="173">
        <f>'2026 Ιούλιος'!D67</f>
        <v/>
      </c>
      <c r="P141" s="36">
        <f>N141+O141</f>
        <v/>
      </c>
      <c r="Q141" s="173">
        <f>'2026 Aύγουστος'!D67</f>
        <v/>
      </c>
      <c r="R141" s="36">
        <f>P141+Q141</f>
        <v/>
      </c>
      <c r="S141" s="173">
        <f>'2026 Σεπτέμβριος'!D67</f>
        <v/>
      </c>
      <c r="T141" s="36">
        <f>R141+S141</f>
        <v/>
      </c>
      <c r="U141" s="173">
        <f>'2026 Οκτώβριος'!D67</f>
        <v/>
      </c>
      <c r="V141" s="36">
        <f>T141+U141</f>
        <v/>
      </c>
      <c r="W141" s="173">
        <f>'2026 Νοέμβριος'!D67</f>
        <v/>
      </c>
      <c r="X141" s="36">
        <f>V141+W141</f>
        <v/>
      </c>
      <c r="Y141" s="173">
        <f>'2026 Δεκέμβριος'!D67</f>
        <v/>
      </c>
      <c r="Z141" s="36">
        <f>X141+Y141</f>
        <v/>
      </c>
      <c r="AA141" s="36">
        <f>C141+E141+G141+I141+K141+M141+O141+Q141+S141+U141+W141+Y141</f>
        <v/>
      </c>
    </row>
    <row r="142">
      <c r="A142" s="46">
        <f>'2026 Ιανουάριος'!C68</f>
        <v/>
      </c>
      <c r="B142" s="35" t="n">
        <v>2026</v>
      </c>
      <c r="C142" s="173">
        <f>'2026 Ιανουάριος'!D68</f>
        <v/>
      </c>
      <c r="D142" s="36">
        <f>C142</f>
        <v/>
      </c>
      <c r="E142" s="173">
        <f>'2026 Φεβρουάριος'!D68</f>
        <v/>
      </c>
      <c r="F142" s="36">
        <f>D142+E142</f>
        <v/>
      </c>
      <c r="G142" s="173">
        <f>'2026 Μάρτιος'!D68</f>
        <v/>
      </c>
      <c r="H142" s="36">
        <f>F142+G142</f>
        <v/>
      </c>
      <c r="I142" s="173">
        <f>'2026 Απρίλιος'!D68</f>
        <v/>
      </c>
      <c r="J142" s="36">
        <f>H142+I142</f>
        <v/>
      </c>
      <c r="K142" s="173">
        <f>'2026 Μάιος'!D68</f>
        <v/>
      </c>
      <c r="L142" s="36">
        <f>J142+K142</f>
        <v/>
      </c>
      <c r="M142" s="173">
        <f>'2026 Ιούνιος'!D68</f>
        <v/>
      </c>
      <c r="N142" s="36">
        <f>L142+M142</f>
        <v/>
      </c>
      <c r="O142" s="173">
        <f>'2026 Ιούλιος'!D68</f>
        <v/>
      </c>
      <c r="P142" s="36">
        <f>N142+O142</f>
        <v/>
      </c>
      <c r="Q142" s="173">
        <f>'2026 Aύγουστος'!D68</f>
        <v/>
      </c>
      <c r="R142" s="36">
        <f>P142+Q142</f>
        <v/>
      </c>
      <c r="S142" s="173">
        <f>'2026 Σεπτέμβριος'!D68</f>
        <v/>
      </c>
      <c r="T142" s="36">
        <f>R142+S142</f>
        <v/>
      </c>
      <c r="U142" s="173">
        <f>'2026 Οκτώβριος'!D68</f>
        <v/>
      </c>
      <c r="V142" s="36">
        <f>T142+U142</f>
        <v/>
      </c>
      <c r="W142" s="173">
        <f>'2026 Νοέμβριος'!D68</f>
        <v/>
      </c>
      <c r="X142" s="36">
        <f>V142+W142</f>
        <v/>
      </c>
      <c r="Y142" s="173">
        <f>'2026 Δεκέμβριος'!D68</f>
        <v/>
      </c>
      <c r="Z142" s="36">
        <f>X142+Y142</f>
        <v/>
      </c>
      <c r="AA142" s="36">
        <f>C142+E142+G142+I142+K142+M142+O142+Q142+S142+U142+W142+Y142</f>
        <v/>
      </c>
    </row>
    <row r="143" ht="28.5" customHeight="1">
      <c r="A143" s="46">
        <f>'2026 Ιανουάριος'!C69</f>
        <v/>
      </c>
      <c r="B143" s="35" t="n">
        <v>2026</v>
      </c>
      <c r="C143" s="173">
        <f>'2026 Ιανουάριος'!D69</f>
        <v/>
      </c>
      <c r="D143" s="36">
        <f>C143</f>
        <v/>
      </c>
      <c r="E143" s="173">
        <f>'2026 Φεβρουάριος'!D69</f>
        <v/>
      </c>
      <c r="F143" s="36">
        <f>D143+E143</f>
        <v/>
      </c>
      <c r="G143" s="173">
        <f>'2026 Μάρτιος'!D69</f>
        <v/>
      </c>
      <c r="H143" s="36">
        <f>F143+G143</f>
        <v/>
      </c>
      <c r="I143" s="173">
        <f>'2026 Απρίλιος'!D69</f>
        <v/>
      </c>
      <c r="J143" s="36">
        <f>H143+I143</f>
        <v/>
      </c>
      <c r="K143" s="173">
        <f>'2026 Μάιος'!D69</f>
        <v/>
      </c>
      <c r="L143" s="36">
        <f>J143+K143</f>
        <v/>
      </c>
      <c r="M143" s="173">
        <f>'2026 Ιούνιος'!D69</f>
        <v/>
      </c>
      <c r="N143" s="36">
        <f>L143+M143</f>
        <v/>
      </c>
      <c r="O143" s="173">
        <f>'2026 Ιούλιος'!D69</f>
        <v/>
      </c>
      <c r="P143" s="36">
        <f>N143+O143</f>
        <v/>
      </c>
      <c r="Q143" s="173">
        <f>'2026 Aύγουστος'!D69</f>
        <v/>
      </c>
      <c r="R143" s="36">
        <f>P143+Q143</f>
        <v/>
      </c>
      <c r="S143" s="173">
        <f>'2026 Σεπτέμβριος'!D69</f>
        <v/>
      </c>
      <c r="T143" s="36">
        <f>R143+S143</f>
        <v/>
      </c>
      <c r="U143" s="173">
        <f>'2026 Οκτώβριος'!D69</f>
        <v/>
      </c>
      <c r="V143" s="36">
        <f>T143+U143</f>
        <v/>
      </c>
      <c r="W143" s="173">
        <f>'2026 Νοέμβριος'!D69</f>
        <v/>
      </c>
      <c r="X143" s="36">
        <f>V143+W143</f>
        <v/>
      </c>
      <c r="Y143" s="173">
        <f>'2026 Δεκέμβριος'!D69</f>
        <v/>
      </c>
      <c r="Z143" s="36">
        <f>X143+Y143</f>
        <v/>
      </c>
      <c r="AA143" s="36">
        <f>C143+E143+G143+I143+K143+M143+O143+Q143+S143+U143+W143+Y143</f>
        <v/>
      </c>
    </row>
    <row r="144" ht="28.5" customHeight="1">
      <c r="A144" s="46">
        <f>'2026 Ιανουάριος'!C70</f>
        <v/>
      </c>
      <c r="B144" s="35" t="n">
        <v>2026</v>
      </c>
      <c r="C144" s="173">
        <f>'2026 Ιανουάριος'!D70</f>
        <v/>
      </c>
      <c r="D144" s="36">
        <f>C144</f>
        <v/>
      </c>
      <c r="E144" s="173">
        <f>'2026 Φεβρουάριος'!D70</f>
        <v/>
      </c>
      <c r="F144" s="36">
        <f>D144+E144</f>
        <v/>
      </c>
      <c r="G144" s="173">
        <f>'2026 Μάρτιος'!D70</f>
        <v/>
      </c>
      <c r="H144" s="36">
        <f>F144+G144</f>
        <v/>
      </c>
      <c r="I144" s="173">
        <f>'2026 Απρίλιος'!D70</f>
        <v/>
      </c>
      <c r="J144" s="36">
        <f>H144+I144</f>
        <v/>
      </c>
      <c r="K144" s="173">
        <f>'2026 Μάιος'!D70</f>
        <v/>
      </c>
      <c r="L144" s="36">
        <f>J144+K144</f>
        <v/>
      </c>
      <c r="M144" s="173">
        <f>'2026 Ιούνιος'!D70</f>
        <v/>
      </c>
      <c r="N144" s="36">
        <f>L144+M144</f>
        <v/>
      </c>
      <c r="O144" s="173">
        <f>'2026 Ιούλιος'!D70</f>
        <v/>
      </c>
      <c r="P144" s="36">
        <f>N144+O144</f>
        <v/>
      </c>
      <c r="Q144" s="173">
        <f>'2026 Aύγουστος'!D70</f>
        <v/>
      </c>
      <c r="R144" s="36">
        <f>P144+Q144</f>
        <v/>
      </c>
      <c r="S144" s="173">
        <f>'2026 Σεπτέμβριος'!D70</f>
        <v/>
      </c>
      <c r="T144" s="36">
        <f>R144+S144</f>
        <v/>
      </c>
      <c r="U144" s="173">
        <f>'2026 Οκτώβριος'!D70</f>
        <v/>
      </c>
      <c r="V144" s="36">
        <f>T144+U144</f>
        <v/>
      </c>
      <c r="W144" s="173">
        <f>'2026 Νοέμβριος'!D70</f>
        <v/>
      </c>
      <c r="X144" s="36">
        <f>V144+W144</f>
        <v/>
      </c>
      <c r="Y144" s="173">
        <f>'2026 Δεκέμβριος'!D70</f>
        <v/>
      </c>
      <c r="Z144" s="36">
        <f>X144+Y144</f>
        <v/>
      </c>
      <c r="AA144" s="36">
        <f>C144+E144+G144+I144+K144+M144+O144+Q144+S144+U144+W144+Y144</f>
        <v/>
      </c>
    </row>
    <row r="145">
      <c r="A145" s="46">
        <f>'2026 Ιανουάριος'!C71</f>
        <v/>
      </c>
      <c r="B145" s="35" t="n">
        <v>2026</v>
      </c>
      <c r="C145" s="173">
        <f>'2026 Ιανουάριος'!D71</f>
        <v/>
      </c>
      <c r="D145" s="36">
        <f>C145</f>
        <v/>
      </c>
      <c r="E145" s="173">
        <f>'2026 Φεβρουάριος'!D71</f>
        <v/>
      </c>
      <c r="F145" s="36">
        <f>D145+E145</f>
        <v/>
      </c>
      <c r="G145" s="173">
        <f>'2026 Μάρτιος'!D71</f>
        <v/>
      </c>
      <c r="H145" s="36">
        <f>F145+G145</f>
        <v/>
      </c>
      <c r="I145" s="173">
        <f>'2026 Απρίλιος'!D71</f>
        <v/>
      </c>
      <c r="J145" s="36">
        <f>H145+I145</f>
        <v/>
      </c>
      <c r="K145" s="173">
        <f>'2026 Μάιος'!D71</f>
        <v/>
      </c>
      <c r="L145" s="36">
        <f>J145+K145</f>
        <v/>
      </c>
      <c r="M145" s="173">
        <f>'2026 Ιούνιος'!D71</f>
        <v/>
      </c>
      <c r="N145" s="36">
        <f>L145+M145</f>
        <v/>
      </c>
      <c r="O145" s="173">
        <f>'2026 Ιούλιος'!D71</f>
        <v/>
      </c>
      <c r="P145" s="36">
        <f>N145+O145</f>
        <v/>
      </c>
      <c r="Q145" s="173">
        <f>'2026 Aύγουστος'!D71</f>
        <v/>
      </c>
      <c r="R145" s="36">
        <f>P145+Q145</f>
        <v/>
      </c>
      <c r="S145" s="173">
        <f>'2026 Σεπτέμβριος'!D71</f>
        <v/>
      </c>
      <c r="T145" s="36">
        <f>R145+S145</f>
        <v/>
      </c>
      <c r="U145" s="173">
        <f>'2026 Οκτώβριος'!D71</f>
        <v/>
      </c>
      <c r="V145" s="36">
        <f>T145+U145</f>
        <v/>
      </c>
      <c r="W145" s="173">
        <f>'2026 Νοέμβριος'!D71</f>
        <v/>
      </c>
      <c r="X145" s="36">
        <f>V145+W145</f>
        <v/>
      </c>
      <c r="Y145" s="173">
        <f>'2026 Δεκέμβριος'!D71</f>
        <v/>
      </c>
      <c r="Z145" s="36">
        <f>X145+Y145</f>
        <v/>
      </c>
      <c r="AA145" s="36">
        <f>C145+E145+G145+I145+K145+M145+O145+Q145+S145+U145+W145+Y145</f>
        <v/>
      </c>
    </row>
    <row r="146" ht="28.5" customHeight="1">
      <c r="A146" s="46">
        <f>'2026 Ιανουάριος'!C72</f>
        <v/>
      </c>
      <c r="B146" s="35" t="n">
        <v>2026</v>
      </c>
      <c r="C146" s="173">
        <f>'2026 Ιανουάριος'!D72</f>
        <v/>
      </c>
      <c r="D146" s="36">
        <f>C146</f>
        <v/>
      </c>
      <c r="E146" s="173">
        <f>'2026 Φεβρουάριος'!D72</f>
        <v/>
      </c>
      <c r="F146" s="36">
        <f>D146+E146</f>
        <v/>
      </c>
      <c r="G146" s="173">
        <f>'2026 Μάρτιος'!D72</f>
        <v/>
      </c>
      <c r="H146" s="36">
        <f>F146+G146</f>
        <v/>
      </c>
      <c r="I146" s="173">
        <f>'2026 Απρίλιος'!D72</f>
        <v/>
      </c>
      <c r="J146" s="36">
        <f>H146+I146</f>
        <v/>
      </c>
      <c r="K146" s="173">
        <f>'2026 Μάιος'!D72</f>
        <v/>
      </c>
      <c r="L146" s="36">
        <f>J146+K146</f>
        <v/>
      </c>
      <c r="M146" s="173">
        <f>'2026 Ιούνιος'!D72</f>
        <v/>
      </c>
      <c r="N146" s="36">
        <f>L146+M146</f>
        <v/>
      </c>
      <c r="O146" s="173">
        <f>'2026 Ιούλιος'!D72</f>
        <v/>
      </c>
      <c r="P146" s="36">
        <f>N146+O146</f>
        <v/>
      </c>
      <c r="Q146" s="173">
        <f>'2026 Aύγουστος'!D72</f>
        <v/>
      </c>
      <c r="R146" s="36">
        <f>P146+Q146</f>
        <v/>
      </c>
      <c r="S146" s="173">
        <f>'2026 Σεπτέμβριος'!D72</f>
        <v/>
      </c>
      <c r="T146" s="36">
        <f>R146+S146</f>
        <v/>
      </c>
      <c r="U146" s="173">
        <f>'2026 Οκτώβριος'!D72</f>
        <v/>
      </c>
      <c r="V146" s="36">
        <f>T146+U146</f>
        <v/>
      </c>
      <c r="W146" s="173">
        <f>'2026 Νοέμβριος'!D72</f>
        <v/>
      </c>
      <c r="X146" s="36">
        <f>V146+W146</f>
        <v/>
      </c>
      <c r="Y146" s="173">
        <f>'2026 Δεκέμβριος'!D72</f>
        <v/>
      </c>
      <c r="Z146" s="36">
        <f>X146+Y146</f>
        <v/>
      </c>
      <c r="AA146" s="36">
        <f>C146+E146+G146+I146+K146+M146+O146+Q146+S146+U146+W146+Y146</f>
        <v/>
      </c>
    </row>
    <row r="147" ht="28.5" customHeight="1">
      <c r="A147" s="46">
        <f>'2026 Ιανουάριος'!C73</f>
        <v/>
      </c>
      <c r="B147" s="35" t="n">
        <v>2026</v>
      </c>
      <c r="C147" s="173">
        <f>'2026 Ιανουάριος'!D73</f>
        <v/>
      </c>
      <c r="D147" s="36">
        <f>C147</f>
        <v/>
      </c>
      <c r="E147" s="173">
        <f>'2026 Φεβρουάριος'!D73</f>
        <v/>
      </c>
      <c r="F147" s="36">
        <f>D147+E147</f>
        <v/>
      </c>
      <c r="G147" s="173">
        <f>'2026 Μάρτιος'!D73</f>
        <v/>
      </c>
      <c r="H147" s="36">
        <f>F147+G147</f>
        <v/>
      </c>
      <c r="I147" s="173">
        <f>'2026 Απρίλιος'!D73</f>
        <v/>
      </c>
      <c r="J147" s="36">
        <f>H147+I147</f>
        <v/>
      </c>
      <c r="K147" s="173">
        <f>'2026 Μάιος'!D73</f>
        <v/>
      </c>
      <c r="L147" s="36">
        <f>J147+K147</f>
        <v/>
      </c>
      <c r="M147" s="173">
        <f>'2026 Ιούνιος'!D73</f>
        <v/>
      </c>
      <c r="N147" s="36">
        <f>L147+M147</f>
        <v/>
      </c>
      <c r="O147" s="173">
        <f>'2026 Ιούλιος'!D73</f>
        <v/>
      </c>
      <c r="P147" s="36">
        <f>N147+O147</f>
        <v/>
      </c>
      <c r="Q147" s="173">
        <f>'2026 Aύγουστος'!D73</f>
        <v/>
      </c>
      <c r="R147" s="36">
        <f>P147+Q147</f>
        <v/>
      </c>
      <c r="S147" s="173">
        <f>'2026 Σεπτέμβριος'!D73</f>
        <v/>
      </c>
      <c r="T147" s="36">
        <f>R147+S147</f>
        <v/>
      </c>
      <c r="U147" s="173">
        <f>'2026 Οκτώβριος'!D73</f>
        <v/>
      </c>
      <c r="V147" s="36">
        <f>T147+U147</f>
        <v/>
      </c>
      <c r="W147" s="173">
        <f>'2026 Νοέμβριος'!D73</f>
        <v/>
      </c>
      <c r="X147" s="36">
        <f>V147+W147</f>
        <v/>
      </c>
      <c r="Y147" s="173">
        <f>'2026 Δεκέμβριος'!D73</f>
        <v/>
      </c>
      <c r="Z147" s="36">
        <f>X147+Y147</f>
        <v/>
      </c>
      <c r="AA147" s="36">
        <f>C147+E147+G147+I147+K147+M147+O147+Q147+S147+U147+W147+Y147</f>
        <v/>
      </c>
    </row>
    <row r="148">
      <c r="A148" s="46">
        <f>'2026 Ιανουάριος'!C74</f>
        <v/>
      </c>
      <c r="B148" s="35" t="n">
        <v>2026</v>
      </c>
      <c r="C148" s="173">
        <f>'2026 Ιανουάριος'!D74</f>
        <v/>
      </c>
      <c r="D148" s="36">
        <f>C148</f>
        <v/>
      </c>
      <c r="E148" s="173">
        <f>'2026 Φεβρουάριος'!D74</f>
        <v/>
      </c>
      <c r="F148" s="36">
        <f>D148+E148</f>
        <v/>
      </c>
      <c r="G148" s="173">
        <f>'2026 Μάρτιος'!D74</f>
        <v/>
      </c>
      <c r="H148" s="36">
        <f>F148+G148</f>
        <v/>
      </c>
      <c r="I148" s="173">
        <f>'2026 Απρίλιος'!D74</f>
        <v/>
      </c>
      <c r="J148" s="36">
        <f>H148+I148</f>
        <v/>
      </c>
      <c r="K148" s="173">
        <f>'2026 Μάιος'!D74</f>
        <v/>
      </c>
      <c r="L148" s="36">
        <f>J148+K148</f>
        <v/>
      </c>
      <c r="M148" s="173">
        <f>'2026 Ιούνιος'!D74</f>
        <v/>
      </c>
      <c r="N148" s="36">
        <f>L148+M148</f>
        <v/>
      </c>
      <c r="O148" s="173">
        <f>'2026 Ιούλιος'!D74</f>
        <v/>
      </c>
      <c r="P148" s="36">
        <f>N148+O148</f>
        <v/>
      </c>
      <c r="Q148" s="173">
        <f>'2026 Aύγουστος'!D74</f>
        <v/>
      </c>
      <c r="R148" s="36">
        <f>P148+Q148</f>
        <v/>
      </c>
      <c r="S148" s="173">
        <f>'2026 Σεπτέμβριος'!D74</f>
        <v/>
      </c>
      <c r="T148" s="36">
        <f>R148+S148</f>
        <v/>
      </c>
      <c r="U148" s="173">
        <f>'2026 Οκτώβριος'!D74</f>
        <v/>
      </c>
      <c r="V148" s="36">
        <f>T148+U148</f>
        <v/>
      </c>
      <c r="W148" s="173">
        <f>'2026 Νοέμβριος'!D74</f>
        <v/>
      </c>
      <c r="X148" s="36">
        <f>V148+W148</f>
        <v/>
      </c>
      <c r="Y148" s="173">
        <f>'2026 Δεκέμβριος'!D74</f>
        <v/>
      </c>
      <c r="Z148" s="36">
        <f>X148+Y148</f>
        <v/>
      </c>
      <c r="AA148" s="36">
        <f>C148+E148+G148+I148+K148+M148+O148+Q148+S148+U148+W148+Y148</f>
        <v/>
      </c>
    </row>
    <row r="149">
      <c r="A149" s="46">
        <f>'2026 Ιανουάριος'!C75</f>
        <v/>
      </c>
      <c r="B149" s="35" t="n">
        <v>2026</v>
      </c>
      <c r="C149" s="173">
        <f>'2026 Ιανουάριος'!D75</f>
        <v/>
      </c>
      <c r="D149" s="36">
        <f>C149</f>
        <v/>
      </c>
      <c r="E149" s="173">
        <f>'2026 Φεβρουάριος'!D75</f>
        <v/>
      </c>
      <c r="F149" s="36">
        <f>D149+E149</f>
        <v/>
      </c>
      <c r="G149" s="173">
        <f>'2026 Μάρτιος'!D75</f>
        <v/>
      </c>
      <c r="H149" s="36">
        <f>F149+G149</f>
        <v/>
      </c>
      <c r="I149" s="173">
        <f>'2026 Απρίλιος'!D75</f>
        <v/>
      </c>
      <c r="J149" s="36">
        <f>H149+I149</f>
        <v/>
      </c>
      <c r="K149" s="173">
        <f>'2026 Μάιος'!D75</f>
        <v/>
      </c>
      <c r="L149" s="36">
        <f>J149+K149</f>
        <v/>
      </c>
      <c r="M149" s="173">
        <f>'2026 Ιούνιος'!D75</f>
        <v/>
      </c>
      <c r="N149" s="36">
        <f>L149+M149</f>
        <v/>
      </c>
      <c r="O149" s="173">
        <f>'2026 Ιούλιος'!D75</f>
        <v/>
      </c>
      <c r="P149" s="36">
        <f>N149+O149</f>
        <v/>
      </c>
      <c r="Q149" s="173">
        <f>'2026 Aύγουστος'!D75</f>
        <v/>
      </c>
      <c r="R149" s="36">
        <f>P149+Q149</f>
        <v/>
      </c>
      <c r="S149" s="173">
        <f>'2026 Σεπτέμβριος'!D75</f>
        <v/>
      </c>
      <c r="T149" s="36">
        <f>R149+S149</f>
        <v/>
      </c>
      <c r="U149" s="173">
        <f>'2026 Οκτώβριος'!D75</f>
        <v/>
      </c>
      <c r="V149" s="36">
        <f>T149+U149</f>
        <v/>
      </c>
      <c r="W149" s="173">
        <f>'2026 Νοέμβριος'!D75</f>
        <v/>
      </c>
      <c r="X149" s="36">
        <f>V149+W149</f>
        <v/>
      </c>
      <c r="Y149" s="173">
        <f>'2026 Δεκέμβριος'!D75</f>
        <v/>
      </c>
      <c r="Z149" s="36">
        <f>X149+Y149</f>
        <v/>
      </c>
      <c r="AA149" s="36">
        <f>C149+E149+G149+I149+K149+M149+O149+Q149+S149+U149+W149+Y149</f>
        <v/>
      </c>
    </row>
    <row r="150">
      <c r="A150" s="46">
        <f>'2026 Ιανουάριος'!C76</f>
        <v/>
      </c>
      <c r="B150" s="35" t="n">
        <v>2026</v>
      </c>
      <c r="C150" s="173">
        <f>'2026 Ιανουάριος'!D76</f>
        <v/>
      </c>
      <c r="D150" s="36">
        <f>SUM(D118:D149)</f>
        <v/>
      </c>
      <c r="E150" s="173">
        <f>'2026 Φεβρουάριος'!D76</f>
        <v/>
      </c>
      <c r="F150" s="36">
        <f>D150+E150</f>
        <v/>
      </c>
      <c r="G150" s="173">
        <f>'2026 Μάρτιος'!D76</f>
        <v/>
      </c>
      <c r="H150" s="36">
        <f>F150+G150</f>
        <v/>
      </c>
      <c r="I150" s="173">
        <f>'2026 Απρίλιος'!D76</f>
        <v/>
      </c>
      <c r="J150" s="36">
        <f>H150+I150</f>
        <v/>
      </c>
      <c r="K150" s="173">
        <f>'2026 Μάιος'!D76</f>
        <v/>
      </c>
      <c r="L150" s="36">
        <f>J150+K150</f>
        <v/>
      </c>
      <c r="M150" s="173">
        <f>'2026 Ιούνιος'!D76</f>
        <v/>
      </c>
      <c r="N150" s="36">
        <f>L150+M150</f>
        <v/>
      </c>
      <c r="O150" s="173">
        <f>'2026 Ιούλιος'!D76</f>
        <v/>
      </c>
      <c r="P150" s="36">
        <f>N150+O150</f>
        <v/>
      </c>
      <c r="Q150" s="173">
        <f>'2026 Aύγουστος'!D76</f>
        <v/>
      </c>
      <c r="R150" s="36">
        <f>P150+Q150</f>
        <v/>
      </c>
      <c r="S150" s="173">
        <f>'2026 Σεπτέμβριος'!D76</f>
        <v/>
      </c>
      <c r="T150" s="36">
        <f>R150+S150</f>
        <v/>
      </c>
      <c r="U150" s="173">
        <f>'2026 Οκτώβριος'!D76</f>
        <v/>
      </c>
      <c r="V150" s="36">
        <f>T150+U150</f>
        <v/>
      </c>
      <c r="W150" s="173">
        <f>'2026 Νοέμβριος'!D76</f>
        <v/>
      </c>
      <c r="X150" s="36">
        <f>V150+W150</f>
        <v/>
      </c>
      <c r="Y150" s="173">
        <f>'2026 Δεκέμβριος'!D76</f>
        <v/>
      </c>
      <c r="Z150" s="36">
        <f>X150+Y150</f>
        <v/>
      </c>
      <c r="AA150" s="36">
        <f>C150+E150+G150+I150+K150+M150+O150+Q150+S150+U150+W150+Y150</f>
        <v/>
      </c>
    </row>
    <row r="151">
      <c r="A151" s="46">
        <f>'2026 Ιανουάριος'!C77</f>
        <v/>
      </c>
      <c r="B151" s="35" t="n">
        <v>2026</v>
      </c>
      <c r="C151" s="173">
        <f>'2026 Ιανουάριος'!D77</f>
        <v/>
      </c>
      <c r="D151" s="36">
        <f>SUM(D119:D150)</f>
        <v/>
      </c>
      <c r="E151" s="173">
        <f>'2026 Φεβρουάριος'!D77</f>
        <v/>
      </c>
      <c r="F151" s="36">
        <f>D151+E151</f>
        <v/>
      </c>
      <c r="G151" s="173">
        <f>'2026 Μάρτιος'!D77</f>
        <v/>
      </c>
      <c r="H151" s="36">
        <f>F151+G151</f>
        <v/>
      </c>
      <c r="I151" s="173">
        <f>'2026 Απρίλιος'!D77</f>
        <v/>
      </c>
      <c r="J151" s="37">
        <f>H151+I151</f>
        <v/>
      </c>
      <c r="K151" s="173">
        <f>'2026 Μάιος'!D77</f>
        <v/>
      </c>
      <c r="L151" s="36">
        <f>J151+K151</f>
        <v/>
      </c>
      <c r="M151" s="173">
        <f>'2026 Ιούνιος'!D77</f>
        <v/>
      </c>
      <c r="N151" s="36">
        <f>L151+M151</f>
        <v/>
      </c>
      <c r="O151" s="173">
        <f>'2026 Ιούλιος'!D77</f>
        <v/>
      </c>
      <c r="P151" s="36">
        <f>N151+O151</f>
        <v/>
      </c>
      <c r="Q151" s="173">
        <f>'2026 Aύγουστος'!D77</f>
        <v/>
      </c>
      <c r="R151" s="36">
        <f>P151+Q151</f>
        <v/>
      </c>
      <c r="S151" s="173">
        <f>'2026 Σεπτέμβριος'!D77</f>
        <v/>
      </c>
      <c r="T151" s="36">
        <f>R151+S151</f>
        <v/>
      </c>
      <c r="U151" s="173">
        <f>'2026 Οκτώβριος'!D77</f>
        <v/>
      </c>
      <c r="V151" s="36">
        <f>T151+U151</f>
        <v/>
      </c>
      <c r="W151" s="173">
        <f>'2026 Νοέμβριος'!D77</f>
        <v/>
      </c>
      <c r="X151" s="36">
        <f>V151+W151</f>
        <v/>
      </c>
      <c r="Y151" s="173">
        <f>'2026 Δεκέμβριος'!D77</f>
        <v/>
      </c>
      <c r="Z151" s="36">
        <f>X151+Y151</f>
        <v/>
      </c>
      <c r="AA151" s="36">
        <f>C151+E151+G151+I151+K151+M151+O151+Q151+S151+U151+W151+Y151</f>
        <v/>
      </c>
    </row>
    <row r="152">
      <c r="A152" s="159" t="inlineStr">
        <is>
          <t>Σύνολα</t>
        </is>
      </c>
      <c r="B152" s="35" t="n"/>
      <c r="C152" s="174">
        <f>SUM(C118:C151)</f>
        <v/>
      </c>
      <c r="D152" s="37">
        <f>C152</f>
        <v/>
      </c>
      <c r="E152" s="174">
        <f>SUM(E118:E151)</f>
        <v/>
      </c>
      <c r="F152" s="37">
        <f>D152+E152</f>
        <v/>
      </c>
      <c r="G152" s="174">
        <f>SUM(G118:G151)</f>
        <v/>
      </c>
      <c r="H152" s="37">
        <f>F152+G152</f>
        <v/>
      </c>
      <c r="I152" s="174">
        <f>SUM(I118:I151)</f>
        <v/>
      </c>
      <c r="J152" s="37">
        <f>H152+I152</f>
        <v/>
      </c>
      <c r="K152" s="174">
        <f>SUM(K118:K151)</f>
        <v/>
      </c>
      <c r="L152" s="36">
        <f>J152+K152</f>
        <v/>
      </c>
      <c r="M152" s="174">
        <f>SUM(M118:M151)</f>
        <v/>
      </c>
      <c r="N152" s="36">
        <f>L152+M152</f>
        <v/>
      </c>
      <c r="O152" s="173">
        <f>'2026 Ιούλιος'!D78</f>
        <v/>
      </c>
      <c r="P152" s="36">
        <f>N152+O152</f>
        <v/>
      </c>
      <c r="Q152" s="173">
        <f>SUM(Q118:Q151)</f>
        <v/>
      </c>
      <c r="R152" s="36">
        <f>P152+Q152</f>
        <v/>
      </c>
      <c r="S152" s="174">
        <f>SUM(S118:S151)</f>
        <v/>
      </c>
      <c r="T152" s="36">
        <f>R152+S152</f>
        <v/>
      </c>
      <c r="U152" s="174">
        <f>SUM(U118:U151)</f>
        <v/>
      </c>
      <c r="V152" s="36">
        <f>T152+U152</f>
        <v/>
      </c>
      <c r="W152" s="173">
        <f>SUM(W118:W151)</f>
        <v/>
      </c>
      <c r="X152" s="36">
        <f>V152+W152</f>
        <v/>
      </c>
      <c r="Y152" s="173">
        <f>SUM(Y118:Y151)</f>
        <v/>
      </c>
      <c r="Z152" s="36">
        <f>X152+Y152</f>
        <v/>
      </c>
      <c r="AA152" s="36">
        <f>C152+E152+G152+I152+K152+M152+O152+Q152+S152+U152+W152+Y152</f>
        <v/>
      </c>
    </row>
    <row r="153">
      <c r="A153" s="39" t="inlineStr">
        <is>
          <t>Επαλήθευση</t>
        </is>
      </c>
      <c r="B153" s="56" t="n"/>
      <c r="C153" s="175" t="n"/>
      <c r="E153" s="175" t="n"/>
      <c r="G153" s="175" t="n"/>
      <c r="I153" s="175" t="n"/>
      <c r="K153" s="175" t="n"/>
      <c r="M153" s="175" t="n"/>
      <c r="O153" s="175" t="n"/>
      <c r="Q153" s="175" t="n"/>
      <c r="S153" s="175" t="n"/>
      <c r="U153" s="175" t="n"/>
      <c r="W153" s="175" t="n"/>
      <c r="Y153" s="175" t="n"/>
    </row>
    <row r="154"/>
    <row r="155"/>
    <row r="156"/>
    <row r="157"/>
    <row r="158" ht="17.25" customHeight="1">
      <c r="A158" s="178" t="inlineStr">
        <is>
          <t>Κατηγορία εξόδου / Κόστος sales / mareketing</t>
        </is>
      </c>
      <c r="B158" s="35" t="inlineStr">
        <is>
          <t xml:space="preserve">¨Ετος </t>
        </is>
      </c>
      <c r="C158" s="172" t="inlineStr">
        <is>
          <t>Ιανουάριος 2026</t>
        </is>
      </c>
      <c r="D158" s="35" t="inlineStr">
        <is>
          <t>Προοδευτικά Ιαν 2026</t>
        </is>
      </c>
      <c r="E158" s="172" t="inlineStr">
        <is>
          <t>Φεβρουάριος 2026</t>
        </is>
      </c>
      <c r="F158" s="35" t="inlineStr">
        <is>
          <t>Προοδευτικά  Φεβρ. 2026</t>
        </is>
      </c>
      <c r="G158" s="172" t="inlineStr">
        <is>
          <t>Μάρτιος 2026</t>
        </is>
      </c>
      <c r="H158" s="35" t="inlineStr">
        <is>
          <t>Προοδευτικά Μάρτιος 2026</t>
        </is>
      </c>
      <c r="I158" s="172" t="inlineStr">
        <is>
          <t>Απρίλιος 2026</t>
        </is>
      </c>
      <c r="J158" s="35" t="inlineStr">
        <is>
          <t>Προοδευτικά Απρίλιος 2026</t>
        </is>
      </c>
      <c r="K158" s="172" t="inlineStr">
        <is>
          <t>Μάιος 2026</t>
        </is>
      </c>
      <c r="L158" s="35" t="inlineStr">
        <is>
          <t>Προοδευτικά Μάιος 2026</t>
        </is>
      </c>
      <c r="M158" s="172" t="inlineStr">
        <is>
          <t>Ιούνιος 2026</t>
        </is>
      </c>
      <c r="N158" s="35" t="inlineStr">
        <is>
          <t>Προοδευτικά Ιούνιος 2026</t>
        </is>
      </c>
      <c r="O158" s="172" t="inlineStr">
        <is>
          <t xml:space="preserve">Ιούλιος 2026 </t>
        </is>
      </c>
      <c r="P158" s="35" t="inlineStr">
        <is>
          <t>Προοδευτικά Ιούλιος 2026</t>
        </is>
      </c>
      <c r="Q158" s="172" t="inlineStr">
        <is>
          <t>Αύγουστος 2026</t>
        </is>
      </c>
      <c r="R158" s="35" t="inlineStr">
        <is>
          <t>Προοδευτικά Αύγουστος 2026</t>
        </is>
      </c>
      <c r="S158" s="172" t="inlineStr">
        <is>
          <t>Σεπτέμβριος 2026</t>
        </is>
      </c>
      <c r="T158" s="35" t="inlineStr">
        <is>
          <t>Προοδευτικά  Σεπτέμβριος 2026</t>
        </is>
      </c>
      <c r="U158" s="172" t="inlineStr">
        <is>
          <t>Οκτώβριος 2026</t>
        </is>
      </c>
      <c r="V158" s="35" t="inlineStr">
        <is>
          <t>Προοδευτικά Οκτώβριος 2026</t>
        </is>
      </c>
      <c r="W158" s="172" t="inlineStr">
        <is>
          <t>Νοέμβριος 2026</t>
        </is>
      </c>
      <c r="X158" s="35" t="inlineStr">
        <is>
          <t>Προοδευτικά Νοέμβριος 2026</t>
        </is>
      </c>
      <c r="Y158" s="172" t="inlineStr">
        <is>
          <t>Δεκέμβριος 2026</t>
        </is>
      </c>
      <c r="Z158" s="35" t="inlineStr">
        <is>
          <t>Προοδευτικό Σύνολο Δεκεμβρίου 2026</t>
        </is>
      </c>
      <c r="AA158" s="35" t="inlineStr">
        <is>
          <t>Γενικό Σύνολο Μηνών ανά κατηγορία Εξόδου 2026</t>
        </is>
      </c>
    </row>
    <row r="159">
      <c r="A159" s="45">
        <f>'2026 Ιανουάριος'!C85</f>
        <v/>
      </c>
      <c r="B159" s="35" t="n">
        <v>2026</v>
      </c>
      <c r="C159" s="173">
        <f>'2026 Ιανουάριος'!D85</f>
        <v/>
      </c>
      <c r="D159" s="36">
        <f>C159</f>
        <v/>
      </c>
      <c r="E159" s="173">
        <f>'2026 Φεβρουάριος'!D85</f>
        <v/>
      </c>
      <c r="F159" s="36">
        <f>D159+E159</f>
        <v/>
      </c>
      <c r="G159" s="173">
        <f>'2026 Μάρτιος'!D85</f>
        <v/>
      </c>
      <c r="H159" s="36">
        <f>F159+G159</f>
        <v/>
      </c>
      <c r="I159" s="173">
        <f>'2026 Απρίλιος'!D85</f>
        <v/>
      </c>
      <c r="J159" s="36">
        <f>H159+I159</f>
        <v/>
      </c>
      <c r="K159" s="173">
        <f>'2026 Μάιος'!D85</f>
        <v/>
      </c>
      <c r="L159" s="36">
        <f>J159+K159</f>
        <v/>
      </c>
      <c r="M159" s="173">
        <f>'2026 Ιούνιος'!D85</f>
        <v/>
      </c>
      <c r="N159" s="36">
        <f>L159+M159</f>
        <v/>
      </c>
      <c r="O159" s="173">
        <f>'2026 Ιούλιος'!D85</f>
        <v/>
      </c>
      <c r="P159" s="36">
        <f>N159+O159</f>
        <v/>
      </c>
      <c r="Q159" s="173">
        <f>'2026 Aύγουστος'!D85</f>
        <v/>
      </c>
      <c r="R159" s="36">
        <f>P159+Q159</f>
        <v/>
      </c>
      <c r="S159" s="173">
        <f>'2026 Σεπτέμβριος'!D85</f>
        <v/>
      </c>
      <c r="T159" s="36">
        <f>R159+S159</f>
        <v/>
      </c>
      <c r="U159" s="173">
        <f>'2026 Οκτώβριος'!D85</f>
        <v/>
      </c>
      <c r="V159" s="36">
        <f>T159+U159</f>
        <v/>
      </c>
      <c r="W159" s="173">
        <f>'2026 Νοέμβριος'!D85</f>
        <v/>
      </c>
      <c r="X159" s="36">
        <f>V159+W159</f>
        <v/>
      </c>
      <c r="Y159" s="173">
        <f>'2026 Δεκέμβριος'!D85</f>
        <v/>
      </c>
      <c r="Z159" s="36">
        <f>X159+Y159</f>
        <v/>
      </c>
      <c r="AA159" s="36">
        <f>C159+E159+G159+I159+K159+M159+O159+Q159+S159+U159+W159+Y159</f>
        <v/>
      </c>
    </row>
    <row r="160">
      <c r="A160" s="45">
        <f>'2026 Ιανουάριος'!C86</f>
        <v/>
      </c>
      <c r="B160" s="35" t="n">
        <v>2026</v>
      </c>
      <c r="C160" s="173">
        <f>'2026 Ιανουάριος'!D86</f>
        <v/>
      </c>
      <c r="D160" s="36">
        <f>C160</f>
        <v/>
      </c>
      <c r="E160" s="173">
        <f>'2026 Φεβρουάριος'!D86</f>
        <v/>
      </c>
      <c r="F160" s="36">
        <f>D160+E160</f>
        <v/>
      </c>
      <c r="G160" s="173">
        <f>'2026 Μάρτιος'!D86</f>
        <v/>
      </c>
      <c r="H160" s="36">
        <f>F160+G160</f>
        <v/>
      </c>
      <c r="I160" s="173">
        <f>'2026 Απρίλιος'!D86</f>
        <v/>
      </c>
      <c r="J160" s="36">
        <f>H160+I160</f>
        <v/>
      </c>
      <c r="K160" s="173">
        <f>'2026 Μάιος'!D86</f>
        <v/>
      </c>
      <c r="L160" s="36">
        <f>J160+K160</f>
        <v/>
      </c>
      <c r="M160" s="173">
        <f>'2026 Ιούνιος'!D86</f>
        <v/>
      </c>
      <c r="N160" s="36">
        <f>L160+M160</f>
        <v/>
      </c>
      <c r="O160" s="173">
        <f>'2026 Ιούλιος'!D86</f>
        <v/>
      </c>
      <c r="P160" s="36">
        <f>N160+O160</f>
        <v/>
      </c>
      <c r="Q160" s="173">
        <f>'2026 Aύγουστος'!D86</f>
        <v/>
      </c>
      <c r="R160" s="36">
        <f>P160+Q160</f>
        <v/>
      </c>
      <c r="S160" s="173">
        <f>'2026 Σεπτέμβριος'!D86</f>
        <v/>
      </c>
      <c r="T160" s="36">
        <f>R160+S160</f>
        <v/>
      </c>
      <c r="U160" s="173">
        <f>'2026 Οκτώβριος'!D86</f>
        <v/>
      </c>
      <c r="V160" s="36">
        <f>T160+U160</f>
        <v/>
      </c>
      <c r="W160" s="173">
        <f>'2026 Νοέμβριος'!D86</f>
        <v/>
      </c>
      <c r="X160" s="36">
        <f>V160+W160</f>
        <v/>
      </c>
      <c r="Y160" s="173">
        <f>'2026 Δεκέμβριος'!D86</f>
        <v/>
      </c>
      <c r="Z160" s="36">
        <f>X160+Y160</f>
        <v/>
      </c>
      <c r="AA160" s="36">
        <f>C160+E160+G160+I160+K160+M160+O160+Q160+S160+U160+W160+Y160</f>
        <v/>
      </c>
    </row>
    <row r="161">
      <c r="A161" s="45">
        <f>'2026 Ιανουάριος'!C87</f>
        <v/>
      </c>
      <c r="B161" s="35" t="n">
        <v>2026</v>
      </c>
      <c r="C161" s="173">
        <f>'2026 Ιανουάριος'!D87</f>
        <v/>
      </c>
      <c r="D161" s="36">
        <f>C161</f>
        <v/>
      </c>
      <c r="E161" s="173">
        <f>'2026 Φεβρουάριος'!D87</f>
        <v/>
      </c>
      <c r="F161" s="36">
        <f>D161+E161</f>
        <v/>
      </c>
      <c r="G161" s="173">
        <f>'2026 Μάρτιος'!D87</f>
        <v/>
      </c>
      <c r="H161" s="36">
        <f>F161+G161</f>
        <v/>
      </c>
      <c r="I161" s="173">
        <f>'2026 Απρίλιος'!D87</f>
        <v/>
      </c>
      <c r="J161" s="36">
        <f>H161+I161</f>
        <v/>
      </c>
      <c r="K161" s="173">
        <f>'2026 Μάιος'!D87</f>
        <v/>
      </c>
      <c r="L161" s="36">
        <f>J161+K161</f>
        <v/>
      </c>
      <c r="M161" s="173">
        <f>'2026 Ιούνιος'!D87</f>
        <v/>
      </c>
      <c r="N161" s="36">
        <f>L161+M161</f>
        <v/>
      </c>
      <c r="O161" s="173">
        <f>'2026 Ιούλιος'!D87</f>
        <v/>
      </c>
      <c r="P161" s="36">
        <f>N161+O161</f>
        <v/>
      </c>
      <c r="Q161" s="173">
        <f>'2026 Aύγουστος'!D87</f>
        <v/>
      </c>
      <c r="R161" s="36">
        <f>P161+Q161</f>
        <v/>
      </c>
      <c r="S161" s="173">
        <f>'2026 Σεπτέμβριος'!D87</f>
        <v/>
      </c>
      <c r="T161" s="36">
        <f>R161+S161</f>
        <v/>
      </c>
      <c r="U161" s="173">
        <f>'2026 Οκτώβριος'!D87</f>
        <v/>
      </c>
      <c r="V161" s="36">
        <f>T161+U161</f>
        <v/>
      </c>
      <c r="W161" s="173">
        <f>'2026 Νοέμβριος'!D87</f>
        <v/>
      </c>
      <c r="X161" s="36">
        <f>V161+W161</f>
        <v/>
      </c>
      <c r="Y161" s="173">
        <f>'2026 Δεκέμβριος'!D87</f>
        <v/>
      </c>
      <c r="Z161" s="36">
        <f>X161+Y161</f>
        <v/>
      </c>
      <c r="AA161" s="36">
        <f>C161+E161+G161+I161+K161+M161+O161+Q161+S161+U161+W161+Y161</f>
        <v/>
      </c>
    </row>
    <row r="162">
      <c r="A162" s="45">
        <f>'2026 Ιανουάριος'!C88</f>
        <v/>
      </c>
      <c r="B162" s="35" t="n">
        <v>2026</v>
      </c>
      <c r="C162" s="173">
        <f>'2026 Ιανουάριος'!D88</f>
        <v/>
      </c>
      <c r="D162" s="36">
        <f>C162</f>
        <v/>
      </c>
      <c r="E162" s="173">
        <f>'2026 Φεβρουάριος'!D88</f>
        <v/>
      </c>
      <c r="F162" s="36">
        <f>D162+E162</f>
        <v/>
      </c>
      <c r="G162" s="173">
        <f>'2026 Μάρτιος'!D88</f>
        <v/>
      </c>
      <c r="H162" s="36">
        <f>F162+G162</f>
        <v/>
      </c>
      <c r="I162" s="173">
        <f>'2026 Απρίλιος'!D88</f>
        <v/>
      </c>
      <c r="J162" s="36">
        <f>H162+I162</f>
        <v/>
      </c>
      <c r="K162" s="173">
        <f>'2026 Μάιος'!D88</f>
        <v/>
      </c>
      <c r="L162" s="36">
        <f>J162+K162</f>
        <v/>
      </c>
      <c r="M162" s="173">
        <f>'2026 Ιούνιος'!D88</f>
        <v/>
      </c>
      <c r="N162" s="36">
        <f>L162+M162</f>
        <v/>
      </c>
      <c r="O162" s="173">
        <f>'2026 Ιούλιος'!D88</f>
        <v/>
      </c>
      <c r="P162" s="36">
        <f>N162+O162</f>
        <v/>
      </c>
      <c r="Q162" s="173">
        <f>'2026 Aύγουστος'!D88</f>
        <v/>
      </c>
      <c r="R162" s="36">
        <f>P162+Q162</f>
        <v/>
      </c>
      <c r="S162" s="173">
        <f>'2026 Σεπτέμβριος'!D88</f>
        <v/>
      </c>
      <c r="T162" s="36">
        <f>R162+S162</f>
        <v/>
      </c>
      <c r="U162" s="173">
        <f>'2026 Οκτώβριος'!D88</f>
        <v/>
      </c>
      <c r="V162" s="36">
        <f>T162+U162</f>
        <v/>
      </c>
      <c r="W162" s="173">
        <f>'2026 Νοέμβριος'!D88</f>
        <v/>
      </c>
      <c r="X162" s="36">
        <f>V162+W162</f>
        <v/>
      </c>
      <c r="Y162" s="173">
        <f>'2026 Δεκέμβριος'!D88</f>
        <v/>
      </c>
      <c r="Z162" s="36">
        <f>X162+Y162</f>
        <v/>
      </c>
      <c r="AA162" s="36">
        <f>C162+E162+G162+I162+K162+M162+O162+Q162+S162+U162+W162+Y162</f>
        <v/>
      </c>
    </row>
    <row r="163">
      <c r="A163" s="45">
        <f>'2026 Ιανουάριος'!C89</f>
        <v/>
      </c>
      <c r="B163" s="35" t="n">
        <v>2026</v>
      </c>
      <c r="C163" s="173">
        <f>'2026 Ιανουάριος'!D89</f>
        <v/>
      </c>
      <c r="D163" s="36">
        <f>C163</f>
        <v/>
      </c>
      <c r="E163" s="173">
        <f>'2026 Φεβρουάριος'!D89</f>
        <v/>
      </c>
      <c r="F163" s="36">
        <f>D163+E163</f>
        <v/>
      </c>
      <c r="G163" s="173">
        <f>'2026 Μάρτιος'!D89</f>
        <v/>
      </c>
      <c r="H163" s="36">
        <f>F163+G163</f>
        <v/>
      </c>
      <c r="I163" s="173">
        <f>'2026 Απρίλιος'!D89</f>
        <v/>
      </c>
      <c r="J163" s="36">
        <f>H163+I163</f>
        <v/>
      </c>
      <c r="K163" s="173">
        <f>'2026 Μάιος'!D89</f>
        <v/>
      </c>
      <c r="L163" s="36">
        <f>J163+K163</f>
        <v/>
      </c>
      <c r="M163" s="173">
        <f>'2026 Ιούνιος'!D89</f>
        <v/>
      </c>
      <c r="N163" s="36">
        <f>L163+M163</f>
        <v/>
      </c>
      <c r="O163" s="173">
        <f>'2026 Ιούλιος'!D89</f>
        <v/>
      </c>
      <c r="P163" s="36">
        <f>N163+O163</f>
        <v/>
      </c>
      <c r="Q163" s="173">
        <f>'2026 Aύγουστος'!D89</f>
        <v/>
      </c>
      <c r="R163" s="36">
        <f>P163+Q163</f>
        <v/>
      </c>
      <c r="S163" s="173">
        <f>'2026 Σεπτέμβριος'!D89</f>
        <v/>
      </c>
      <c r="T163" s="36">
        <f>R163+S163</f>
        <v/>
      </c>
      <c r="U163" s="173">
        <f>'2026 Οκτώβριος'!D89</f>
        <v/>
      </c>
      <c r="V163" s="36">
        <f>T163+U163</f>
        <v/>
      </c>
      <c r="W163" s="173">
        <f>'2026 Νοέμβριος'!D89</f>
        <v/>
      </c>
      <c r="X163" s="36">
        <f>V163+W163</f>
        <v/>
      </c>
      <c r="Y163" s="173">
        <f>'2026 Δεκέμβριος'!D89</f>
        <v/>
      </c>
      <c r="Z163" s="36">
        <f>X163+Y163</f>
        <v/>
      </c>
      <c r="AA163" s="36">
        <f>C163+E163+G163+I163+K163+M163+O163+Q163+S163+U163+W163+Y163</f>
        <v/>
      </c>
    </row>
    <row r="164">
      <c r="A164" s="45">
        <f>'2026 Ιανουάριος'!C90</f>
        <v/>
      </c>
      <c r="B164" s="35" t="n">
        <v>2026</v>
      </c>
      <c r="C164" s="173">
        <f>'2026 Ιανουάριος'!D90</f>
        <v/>
      </c>
      <c r="D164" s="36">
        <f>C164</f>
        <v/>
      </c>
      <c r="E164" s="173">
        <f>'2026 Φεβρουάριος'!D90</f>
        <v/>
      </c>
      <c r="F164" s="36">
        <f>D164+E164</f>
        <v/>
      </c>
      <c r="G164" s="173">
        <f>'2026 Μάρτιος'!D90</f>
        <v/>
      </c>
      <c r="H164" s="36">
        <f>F164+G164</f>
        <v/>
      </c>
      <c r="I164" s="173">
        <f>'2026 Απρίλιος'!D90</f>
        <v/>
      </c>
      <c r="J164" s="36">
        <f>H164+I164</f>
        <v/>
      </c>
      <c r="K164" s="173">
        <f>'2026 Μάιος'!D90</f>
        <v/>
      </c>
      <c r="L164" s="36">
        <f>J164+K164</f>
        <v/>
      </c>
      <c r="M164" s="173">
        <f>'2026 Ιούνιος'!D90</f>
        <v/>
      </c>
      <c r="N164" s="36">
        <f>L164+M164</f>
        <v/>
      </c>
      <c r="O164" s="173">
        <f>'2026 Ιούλιος'!D90</f>
        <v/>
      </c>
      <c r="P164" s="36">
        <f>N164+O164</f>
        <v/>
      </c>
      <c r="Q164" s="173">
        <f>'2026 Aύγουστος'!D90</f>
        <v/>
      </c>
      <c r="R164" s="36">
        <f>P164+Q164</f>
        <v/>
      </c>
      <c r="S164" s="173">
        <f>'2026 Σεπτέμβριος'!D90</f>
        <v/>
      </c>
      <c r="T164" s="36">
        <f>R164+S164</f>
        <v/>
      </c>
      <c r="U164" s="173">
        <f>'2026 Οκτώβριος'!D90</f>
        <v/>
      </c>
      <c r="V164" s="36">
        <f>T164+U164</f>
        <v/>
      </c>
      <c r="W164" s="173">
        <f>'2026 Νοέμβριος'!D90</f>
        <v/>
      </c>
      <c r="X164" s="36">
        <f>V164+W164</f>
        <v/>
      </c>
      <c r="Y164" s="173">
        <f>'2026 Δεκέμβριος'!D90</f>
        <v/>
      </c>
      <c r="Z164" s="36">
        <f>X164+Y164</f>
        <v/>
      </c>
      <c r="AA164" s="36">
        <f>C164+E164+G164+I164+K164+M164+O164+Q164+S164+U164+W164+Y164</f>
        <v/>
      </c>
    </row>
    <row r="165">
      <c r="A165" s="45">
        <f>'2026 Ιανουάριος'!C91</f>
        <v/>
      </c>
      <c r="B165" s="35" t="n">
        <v>2026</v>
      </c>
      <c r="C165" s="173">
        <f>'2026 Ιανουάριος'!D91</f>
        <v/>
      </c>
      <c r="D165" s="36">
        <f>C165</f>
        <v/>
      </c>
      <c r="E165" s="173">
        <f>'2026 Φεβρουάριος'!D91</f>
        <v/>
      </c>
      <c r="F165" s="36">
        <f>D165+E165</f>
        <v/>
      </c>
      <c r="G165" s="173">
        <f>'2026 Μάρτιος'!D91</f>
        <v/>
      </c>
      <c r="H165" s="36">
        <f>F165+G165</f>
        <v/>
      </c>
      <c r="I165" s="173">
        <f>'2026 Απρίλιος'!D91</f>
        <v/>
      </c>
      <c r="J165" s="36">
        <f>H165+I165</f>
        <v/>
      </c>
      <c r="K165" s="173">
        <f>'2026 Μάιος'!D91</f>
        <v/>
      </c>
      <c r="L165" s="36">
        <f>J165+K165</f>
        <v/>
      </c>
      <c r="M165" s="173">
        <f>'2026 Ιούνιος'!D91</f>
        <v/>
      </c>
      <c r="N165" s="36">
        <f>L165+M165</f>
        <v/>
      </c>
      <c r="O165" s="173">
        <f>'2026 Ιούλιος'!D91</f>
        <v/>
      </c>
      <c r="P165" s="36">
        <f>N165+O165</f>
        <v/>
      </c>
      <c r="Q165" s="173">
        <f>'2026 Aύγουστος'!D91</f>
        <v/>
      </c>
      <c r="R165" s="36">
        <f>P165+Q165</f>
        <v/>
      </c>
      <c r="S165" s="173">
        <f>'2026 Σεπτέμβριος'!D91</f>
        <v/>
      </c>
      <c r="T165" s="36">
        <f>R165+S165</f>
        <v/>
      </c>
      <c r="U165" s="173">
        <f>'2026 Οκτώβριος'!D91</f>
        <v/>
      </c>
      <c r="V165" s="36">
        <f>T165+U165</f>
        <v/>
      </c>
      <c r="W165" s="173">
        <f>'2026 Νοέμβριος'!D91</f>
        <v/>
      </c>
      <c r="X165" s="36">
        <f>V165+W165</f>
        <v/>
      </c>
      <c r="Y165" s="173">
        <f>'2026 Δεκέμβριος'!D91</f>
        <v/>
      </c>
      <c r="Z165" s="36">
        <f>X165+Y165</f>
        <v/>
      </c>
      <c r="AA165" s="36">
        <f>C165+E165+G165+I165+K165+M165+O165+Q165+S165+U165+W165+Y165</f>
        <v/>
      </c>
    </row>
    <row r="166">
      <c r="A166" s="45">
        <f>'2026 Ιανουάριος'!C92</f>
        <v/>
      </c>
      <c r="B166" s="35" t="n">
        <v>2026</v>
      </c>
      <c r="C166" s="173">
        <f>'2026 Ιανουάριος'!D92</f>
        <v/>
      </c>
      <c r="D166" s="36">
        <f>C166</f>
        <v/>
      </c>
      <c r="E166" s="173">
        <f>'2026 Φεβρουάριος'!D92</f>
        <v/>
      </c>
      <c r="F166" s="36">
        <f>D166+E166</f>
        <v/>
      </c>
      <c r="G166" s="173">
        <f>'2026 Μάρτιος'!D92</f>
        <v/>
      </c>
      <c r="H166" s="36">
        <f>F166+G166</f>
        <v/>
      </c>
      <c r="I166" s="173">
        <f>'2026 Απρίλιος'!D92</f>
        <v/>
      </c>
      <c r="J166" s="36">
        <f>H166+I166</f>
        <v/>
      </c>
      <c r="K166" s="173">
        <f>'2026 Μάιος'!D92</f>
        <v/>
      </c>
      <c r="L166" s="36">
        <f>J166+K166</f>
        <v/>
      </c>
      <c r="M166" s="173">
        <f>'2026 Ιούνιος'!D92</f>
        <v/>
      </c>
      <c r="N166" s="36">
        <f>L166+M166</f>
        <v/>
      </c>
      <c r="O166" s="173">
        <f>'2026 Ιούλιος'!D92</f>
        <v/>
      </c>
      <c r="P166" s="36">
        <f>N166+O166</f>
        <v/>
      </c>
      <c r="Q166" s="173">
        <f>'2026 Aύγουστος'!D92</f>
        <v/>
      </c>
      <c r="R166" s="36">
        <f>P166+Q166</f>
        <v/>
      </c>
      <c r="S166" s="173">
        <f>'2026 Σεπτέμβριος'!D92</f>
        <v/>
      </c>
      <c r="T166" s="36">
        <f>R166+S166</f>
        <v/>
      </c>
      <c r="U166" s="173">
        <f>'2026 Οκτώβριος'!D92</f>
        <v/>
      </c>
      <c r="V166" s="36">
        <f>T166+U166</f>
        <v/>
      </c>
      <c r="W166" s="173">
        <f>'2026 Νοέμβριος'!D92</f>
        <v/>
      </c>
      <c r="X166" s="36">
        <f>V166+W166</f>
        <v/>
      </c>
      <c r="Y166" s="173">
        <f>'2026 Δεκέμβριος'!D92</f>
        <v/>
      </c>
      <c r="Z166" s="36">
        <f>X166+Y166</f>
        <v/>
      </c>
      <c r="AA166" s="36">
        <f>C166+E166+G166+I166+K166+M166+O166+Q166+S166+U166+W166+Y166</f>
        <v/>
      </c>
    </row>
    <row r="167">
      <c r="A167" s="45">
        <f>'2026 Ιανουάριος'!C93</f>
        <v/>
      </c>
      <c r="B167" s="35" t="n">
        <v>2026</v>
      </c>
      <c r="C167" s="173">
        <f>'2026 Ιανουάριος'!D93</f>
        <v/>
      </c>
      <c r="D167" s="36">
        <f>C167</f>
        <v/>
      </c>
      <c r="E167" s="173">
        <f>'2026 Φεβρουάριος'!D93</f>
        <v/>
      </c>
      <c r="F167" s="36">
        <f>D167+E167</f>
        <v/>
      </c>
      <c r="G167" s="173">
        <f>'2026 Μάρτιος'!D93</f>
        <v/>
      </c>
      <c r="H167" s="36">
        <f>F167+G167</f>
        <v/>
      </c>
      <c r="I167" s="173">
        <f>'2026 Απρίλιος'!D93</f>
        <v/>
      </c>
      <c r="J167" s="36">
        <f>H167+I167</f>
        <v/>
      </c>
      <c r="K167" s="173">
        <f>'2026 Μάιος'!D93</f>
        <v/>
      </c>
      <c r="L167" s="36">
        <f>J167+K167</f>
        <v/>
      </c>
      <c r="M167" s="173">
        <f>'2026 Ιούνιος'!D93</f>
        <v/>
      </c>
      <c r="N167" s="36">
        <f>L167+M167</f>
        <v/>
      </c>
      <c r="O167" s="173">
        <f>'2026 Ιούλιος'!D93</f>
        <v/>
      </c>
      <c r="P167" s="36">
        <f>N167+O167</f>
        <v/>
      </c>
      <c r="Q167" s="173">
        <f>'2026 Aύγουστος'!D93</f>
        <v/>
      </c>
      <c r="R167" s="36">
        <f>P167+Q167</f>
        <v/>
      </c>
      <c r="S167" s="173">
        <f>'2026 Σεπτέμβριος'!D93</f>
        <v/>
      </c>
      <c r="T167" s="36">
        <f>R167+S167</f>
        <v/>
      </c>
      <c r="U167" s="173">
        <f>'2026 Οκτώβριος'!D93</f>
        <v/>
      </c>
      <c r="V167" s="36">
        <f>T167+U167</f>
        <v/>
      </c>
      <c r="W167" s="173">
        <f>'2026 Νοέμβριος'!D93</f>
        <v/>
      </c>
      <c r="X167" s="36">
        <f>V167+W167</f>
        <v/>
      </c>
      <c r="Y167" s="173">
        <f>'2026 Δεκέμβριος'!D93</f>
        <v/>
      </c>
      <c r="Z167" s="36">
        <f>X167+Y167</f>
        <v/>
      </c>
      <c r="AA167" s="36">
        <f>C167+E167+G167+I167+K167+M167+O167+Q167+S167+U167+W167+Y167</f>
        <v/>
      </c>
    </row>
    <row r="168">
      <c r="A168" s="45">
        <f>'2026 Ιανουάριος'!C94</f>
        <v/>
      </c>
      <c r="B168" s="35" t="n">
        <v>2026</v>
      </c>
      <c r="C168" s="173">
        <f>'2026 Ιανουάριος'!D94</f>
        <v/>
      </c>
      <c r="D168" s="36">
        <f>C168</f>
        <v/>
      </c>
      <c r="E168" s="173">
        <f>'2026 Φεβρουάριος'!D94</f>
        <v/>
      </c>
      <c r="F168" s="36">
        <f>D168+E168</f>
        <v/>
      </c>
      <c r="G168" s="173">
        <f>'2026 Μάρτιος'!D94</f>
        <v/>
      </c>
      <c r="H168" s="36">
        <f>F168+G168</f>
        <v/>
      </c>
      <c r="I168" s="173">
        <f>'2026 Απρίλιος'!D94</f>
        <v/>
      </c>
      <c r="J168" s="36">
        <f>H168+I168</f>
        <v/>
      </c>
      <c r="K168" s="173">
        <f>'2026 Μάιος'!D94</f>
        <v/>
      </c>
      <c r="L168" s="36">
        <f>J168+K168</f>
        <v/>
      </c>
      <c r="M168" s="173">
        <f>'2026 Ιούνιος'!D94</f>
        <v/>
      </c>
      <c r="N168" s="36">
        <f>L168+M168</f>
        <v/>
      </c>
      <c r="O168" s="173">
        <f>'2026 Ιούλιος'!D94</f>
        <v/>
      </c>
      <c r="P168" s="36">
        <f>N168+O168</f>
        <v/>
      </c>
      <c r="Q168" s="173">
        <f>'2026 Aύγουστος'!D94</f>
        <v/>
      </c>
      <c r="R168" s="36">
        <f>P168+Q168</f>
        <v/>
      </c>
      <c r="S168" s="173">
        <f>'2026 Σεπτέμβριος'!D94</f>
        <v/>
      </c>
      <c r="T168" s="36">
        <f>R168+S168</f>
        <v/>
      </c>
      <c r="U168" s="173">
        <f>'2026 Οκτώβριος'!D94</f>
        <v/>
      </c>
      <c r="V168" s="36">
        <f>T168+U168</f>
        <v/>
      </c>
      <c r="W168" s="173">
        <f>'2026 Νοέμβριος'!D94</f>
        <v/>
      </c>
      <c r="X168" s="36">
        <f>V168+W168</f>
        <v/>
      </c>
      <c r="Y168" s="173">
        <f>'2026 Δεκέμβριος'!D94</f>
        <v/>
      </c>
      <c r="Z168" s="36">
        <f>X168+Y168</f>
        <v/>
      </c>
      <c r="AA168" s="36">
        <f>C168+E168+G168+I168+K168+M168+O168+Q168+S168+U168+W168+Y168</f>
        <v/>
      </c>
    </row>
    <row r="169">
      <c r="A169" s="45">
        <f>'2026 Ιανουάριος'!C95</f>
        <v/>
      </c>
      <c r="B169" s="35" t="n">
        <v>2026</v>
      </c>
      <c r="C169" s="173">
        <f>'2026 Ιανουάριος'!D95</f>
        <v/>
      </c>
      <c r="D169" s="36">
        <f>C169</f>
        <v/>
      </c>
      <c r="E169" s="173">
        <f>'2026 Φεβρουάριος'!D95</f>
        <v/>
      </c>
      <c r="F169" s="36">
        <f>D169+E169</f>
        <v/>
      </c>
      <c r="G169" s="173">
        <f>'2026 Μάρτιος'!D95</f>
        <v/>
      </c>
      <c r="H169" s="36">
        <f>F169+G169</f>
        <v/>
      </c>
      <c r="I169" s="173">
        <f>'2026 Απρίλιος'!D95</f>
        <v/>
      </c>
      <c r="J169" s="36">
        <f>H169+I169</f>
        <v/>
      </c>
      <c r="K169" s="173">
        <f>'2026 Μάιος'!D95</f>
        <v/>
      </c>
      <c r="L169" s="36">
        <f>J169+K169</f>
        <v/>
      </c>
      <c r="M169" s="173">
        <f>'2026 Ιούνιος'!D95</f>
        <v/>
      </c>
      <c r="N169" s="36">
        <f>L169+M169</f>
        <v/>
      </c>
      <c r="O169" s="173">
        <f>'2026 Ιούλιος'!D95</f>
        <v/>
      </c>
      <c r="P169" s="36">
        <f>N169+O169</f>
        <v/>
      </c>
      <c r="Q169" s="173">
        <f>'2026 Aύγουστος'!D95</f>
        <v/>
      </c>
      <c r="R169" s="36">
        <f>P169+Q169</f>
        <v/>
      </c>
      <c r="S169" s="173">
        <f>'2026 Σεπτέμβριος'!D95</f>
        <v/>
      </c>
      <c r="T169" s="36">
        <f>R169+S169</f>
        <v/>
      </c>
      <c r="U169" s="173">
        <f>'2026 Οκτώβριος'!D95</f>
        <v/>
      </c>
      <c r="V169" s="36">
        <f>T169+U169</f>
        <v/>
      </c>
      <c r="W169" s="173">
        <f>'2026 Νοέμβριος'!D95</f>
        <v/>
      </c>
      <c r="X169" s="36">
        <f>V169+W169</f>
        <v/>
      </c>
      <c r="Y169" s="173">
        <f>'2026 Δεκέμβριος'!D95</f>
        <v/>
      </c>
      <c r="Z169" s="36">
        <f>X169+Y169</f>
        <v/>
      </c>
      <c r="AA169" s="36">
        <f>C169+E169+G169+I169+K169+M169+O169+Q169+S169+U169+W169+Y169</f>
        <v/>
      </c>
    </row>
    <row r="170">
      <c r="A170" s="45">
        <f>'2026 Ιανουάριος'!C96</f>
        <v/>
      </c>
      <c r="B170" s="35" t="n">
        <v>2026</v>
      </c>
      <c r="C170" s="173">
        <f>'2026 Ιανουάριος'!D96</f>
        <v/>
      </c>
      <c r="D170" s="36">
        <f>C170</f>
        <v/>
      </c>
      <c r="E170" s="173">
        <f>'2026 Φεβρουάριος'!D96</f>
        <v/>
      </c>
      <c r="F170" s="36">
        <f>D170+E170</f>
        <v/>
      </c>
      <c r="G170" s="173">
        <f>'2026 Μάρτιος'!D96</f>
        <v/>
      </c>
      <c r="H170" s="36">
        <f>F170+G170</f>
        <v/>
      </c>
      <c r="I170" s="173">
        <f>'2026 Απρίλιος'!D96</f>
        <v/>
      </c>
      <c r="J170" s="36">
        <f>H170+I170</f>
        <v/>
      </c>
      <c r="K170" s="173">
        <f>'2026 Μάιος'!D96</f>
        <v/>
      </c>
      <c r="L170" s="36">
        <f>J170+K170</f>
        <v/>
      </c>
      <c r="M170" s="173">
        <f>'2026 Ιούνιος'!D96</f>
        <v/>
      </c>
      <c r="N170" s="36">
        <f>L170+M170</f>
        <v/>
      </c>
      <c r="O170" s="173">
        <f>'2026 Ιούλιος'!D96</f>
        <v/>
      </c>
      <c r="P170" s="36">
        <f>N170+O170</f>
        <v/>
      </c>
      <c r="Q170" s="173">
        <f>'2026 Aύγουστος'!D96</f>
        <v/>
      </c>
      <c r="R170" s="36">
        <f>P170+Q170</f>
        <v/>
      </c>
      <c r="S170" s="173">
        <f>'2026 Σεπτέμβριος'!D96</f>
        <v/>
      </c>
      <c r="T170" s="36">
        <f>R170+S170</f>
        <v/>
      </c>
      <c r="U170" s="173">
        <f>'2026 Οκτώβριος'!D96</f>
        <v/>
      </c>
      <c r="V170" s="36">
        <f>T170+U170</f>
        <v/>
      </c>
      <c r="W170" s="173">
        <f>'2026 Νοέμβριος'!D96</f>
        <v/>
      </c>
      <c r="X170" s="36">
        <f>V170+W170</f>
        <v/>
      </c>
      <c r="Y170" s="173">
        <f>'2026 Δεκέμβριος'!D96</f>
        <v/>
      </c>
      <c r="Z170" s="36">
        <f>X170+Y170</f>
        <v/>
      </c>
      <c r="AA170" s="36">
        <f>C170+E170+G170+I170+K170+M170+O170+Q170+S170+U170+W170+Y170</f>
        <v/>
      </c>
    </row>
    <row r="171">
      <c r="A171" s="45">
        <f>'2026 Ιανουάριος'!C97</f>
        <v/>
      </c>
      <c r="B171" s="35" t="n">
        <v>2026</v>
      </c>
      <c r="C171" s="173">
        <f>'2026 Ιανουάριος'!D97</f>
        <v/>
      </c>
      <c r="D171" s="36">
        <f>C171</f>
        <v/>
      </c>
      <c r="E171" s="173">
        <f>'2026 Φεβρουάριος'!D97</f>
        <v/>
      </c>
      <c r="F171" s="36">
        <f>D171+E171</f>
        <v/>
      </c>
      <c r="G171" s="173">
        <f>'2026 Μάρτιος'!D97</f>
        <v/>
      </c>
      <c r="H171" s="36">
        <f>F171+G171</f>
        <v/>
      </c>
      <c r="I171" s="173">
        <f>'2026 Απρίλιος'!D97</f>
        <v/>
      </c>
      <c r="J171" s="36">
        <f>H171+I171</f>
        <v/>
      </c>
      <c r="K171" s="173">
        <f>'2026 Μάιος'!D97</f>
        <v/>
      </c>
      <c r="L171" s="36">
        <f>J171+K171</f>
        <v/>
      </c>
      <c r="M171" s="173">
        <f>'2026 Ιούνιος'!D97</f>
        <v/>
      </c>
      <c r="N171" s="36">
        <f>L171+M171</f>
        <v/>
      </c>
      <c r="O171" s="173">
        <f>'2026 Ιούλιος'!D97</f>
        <v/>
      </c>
      <c r="P171" s="36">
        <f>N171+O171</f>
        <v/>
      </c>
      <c r="Q171" s="173">
        <f>'2026 Aύγουστος'!D97</f>
        <v/>
      </c>
      <c r="R171" s="36">
        <f>P171+Q171</f>
        <v/>
      </c>
      <c r="S171" s="173">
        <f>'2026 Σεπτέμβριος'!D97</f>
        <v/>
      </c>
      <c r="T171" s="36">
        <f>R171+S171</f>
        <v/>
      </c>
      <c r="U171" s="173">
        <f>'2026 Οκτώβριος'!D97</f>
        <v/>
      </c>
      <c r="V171" s="36">
        <f>T171+U171</f>
        <v/>
      </c>
      <c r="W171" s="173">
        <f>'2026 Νοέμβριος'!D97</f>
        <v/>
      </c>
      <c r="X171" s="36">
        <f>V171+W171</f>
        <v/>
      </c>
      <c r="Y171" s="173">
        <f>'2026 Δεκέμβριος'!D97</f>
        <v/>
      </c>
      <c r="Z171" s="36">
        <f>X171+Y171</f>
        <v/>
      </c>
      <c r="AA171" s="36">
        <f>C171+E171+G171+I171+K171+M171+O171+Q171+S171+U171+W171+Y171</f>
        <v/>
      </c>
    </row>
    <row r="172">
      <c r="A172" s="45">
        <f>'2026 Ιανουάριος'!C98</f>
        <v/>
      </c>
      <c r="B172" s="35" t="n">
        <v>2026</v>
      </c>
      <c r="C172" s="173">
        <f>'2026 Ιανουάριος'!D98</f>
        <v/>
      </c>
      <c r="D172" s="36">
        <f>C172</f>
        <v/>
      </c>
      <c r="E172" s="173">
        <f>'2026 Φεβρουάριος'!D98</f>
        <v/>
      </c>
      <c r="F172" s="36">
        <f>D172+E172</f>
        <v/>
      </c>
      <c r="G172" s="173">
        <f>'2026 Μάρτιος'!D98</f>
        <v/>
      </c>
      <c r="H172" s="36">
        <f>F172+G172</f>
        <v/>
      </c>
      <c r="I172" s="173">
        <f>'2026 Απρίλιος'!D98</f>
        <v/>
      </c>
      <c r="J172" s="36">
        <f>H172+I172</f>
        <v/>
      </c>
      <c r="K172" s="173">
        <f>'2026 Μάιος'!D98</f>
        <v/>
      </c>
      <c r="L172" s="36">
        <f>J172+K172</f>
        <v/>
      </c>
      <c r="M172" s="173">
        <f>'2026 Ιούνιος'!D98</f>
        <v/>
      </c>
      <c r="N172" s="36">
        <f>L172+M172</f>
        <v/>
      </c>
      <c r="O172" s="173">
        <f>'2026 Ιούλιος'!D98</f>
        <v/>
      </c>
      <c r="P172" s="36">
        <f>N172+O172</f>
        <v/>
      </c>
      <c r="Q172" s="173">
        <f>'2026 Aύγουστος'!D98</f>
        <v/>
      </c>
      <c r="R172" s="36">
        <f>P172+Q172</f>
        <v/>
      </c>
      <c r="S172" s="173">
        <f>'2026 Σεπτέμβριος'!D98</f>
        <v/>
      </c>
      <c r="T172" s="36">
        <f>R172+S172</f>
        <v/>
      </c>
      <c r="U172" s="173">
        <f>'2026 Οκτώβριος'!D98</f>
        <v/>
      </c>
      <c r="V172" s="36">
        <f>T172+U172</f>
        <v/>
      </c>
      <c r="W172" s="173">
        <f>'2026 Νοέμβριος'!D98</f>
        <v/>
      </c>
      <c r="X172" s="36">
        <f>V172+W172</f>
        <v/>
      </c>
      <c r="Y172" s="173">
        <f>'2026 Δεκέμβριος'!D98</f>
        <v/>
      </c>
      <c r="Z172" s="36">
        <f>X172+Y172</f>
        <v/>
      </c>
      <c r="AA172" s="36">
        <f>C172+E172+G172+I172+K172+M172+O172+Q172+S172+U172+W172+Y172</f>
        <v/>
      </c>
    </row>
    <row r="173">
      <c r="A173" s="45">
        <f>'2026 Ιανουάριος'!C99</f>
        <v/>
      </c>
      <c r="B173" s="35" t="n">
        <v>2026</v>
      </c>
      <c r="C173" s="173">
        <f>'2026 Ιανουάριος'!D99</f>
        <v/>
      </c>
      <c r="D173" s="36">
        <f>C173</f>
        <v/>
      </c>
      <c r="E173" s="173">
        <f>'2026 Φεβρουάριος'!D99</f>
        <v/>
      </c>
      <c r="F173" s="36">
        <f>D173+E173</f>
        <v/>
      </c>
      <c r="G173" s="173">
        <f>'2026 Μάρτιος'!D99</f>
        <v/>
      </c>
      <c r="H173" s="36">
        <f>F173+G173</f>
        <v/>
      </c>
      <c r="I173" s="173">
        <f>'2026 Απρίλιος'!D99</f>
        <v/>
      </c>
      <c r="J173" s="36">
        <f>H173+I173</f>
        <v/>
      </c>
      <c r="K173" s="173">
        <f>'2026 Μάιος'!D99</f>
        <v/>
      </c>
      <c r="L173" s="36">
        <f>J173+K173</f>
        <v/>
      </c>
      <c r="M173" s="173">
        <f>'2026 Ιούνιος'!D99</f>
        <v/>
      </c>
      <c r="N173" s="36">
        <f>L173+M173</f>
        <v/>
      </c>
      <c r="O173" s="173">
        <f>'2026 Ιούλιος'!D99</f>
        <v/>
      </c>
      <c r="P173" s="36">
        <f>N173+O173</f>
        <v/>
      </c>
      <c r="Q173" s="173">
        <f>'2026 Aύγουστος'!D99</f>
        <v/>
      </c>
      <c r="R173" s="36">
        <f>P173+Q173</f>
        <v/>
      </c>
      <c r="S173" s="173">
        <f>'2026 Σεπτέμβριος'!D99</f>
        <v/>
      </c>
      <c r="T173" s="36">
        <f>R173+S173</f>
        <v/>
      </c>
      <c r="U173" s="173">
        <f>'2026 Οκτώβριος'!D99</f>
        <v/>
      </c>
      <c r="V173" s="36">
        <f>T173+U173</f>
        <v/>
      </c>
      <c r="W173" s="173">
        <f>'2026 Νοέμβριος'!D99</f>
        <v/>
      </c>
      <c r="X173" s="36">
        <f>V173+W173</f>
        <v/>
      </c>
      <c r="Y173" s="173">
        <f>'2026 Δεκέμβριος'!D99</f>
        <v/>
      </c>
      <c r="Z173" s="36">
        <f>X173+Y173</f>
        <v/>
      </c>
      <c r="AA173" s="36">
        <f>C173+E173+G173+I173+K173+M173+O173+Q173+S173+U173+W173+Y173</f>
        <v/>
      </c>
    </row>
    <row r="174">
      <c r="A174" s="45">
        <f>'2026 Ιανουάριος'!C100</f>
        <v/>
      </c>
      <c r="B174" s="35" t="n">
        <v>2026</v>
      </c>
      <c r="C174" s="173">
        <f>'2026 Ιανουάριος'!D100</f>
        <v/>
      </c>
      <c r="D174" s="36">
        <f>C174</f>
        <v/>
      </c>
      <c r="E174" s="173">
        <f>'2026 Φεβρουάριος'!D100</f>
        <v/>
      </c>
      <c r="F174" s="36">
        <f>D174+E174</f>
        <v/>
      </c>
      <c r="G174" s="173">
        <f>'2026 Μάρτιος'!D100</f>
        <v/>
      </c>
      <c r="H174" s="36">
        <f>F174+G174</f>
        <v/>
      </c>
      <c r="I174" s="173">
        <f>'2026 Απρίλιος'!D100</f>
        <v/>
      </c>
      <c r="J174" s="36">
        <f>H174+I174</f>
        <v/>
      </c>
      <c r="K174" s="173">
        <f>'2026 Μάιος'!D100</f>
        <v/>
      </c>
      <c r="L174" s="36">
        <f>J174+K174</f>
        <v/>
      </c>
      <c r="M174" s="173">
        <f>'2026 Ιούνιος'!D100</f>
        <v/>
      </c>
      <c r="N174" s="36">
        <f>L174+M174</f>
        <v/>
      </c>
      <c r="O174" s="173">
        <f>'2026 Ιούλιος'!D100</f>
        <v/>
      </c>
      <c r="P174" s="36">
        <f>N174+O174</f>
        <v/>
      </c>
      <c r="Q174" s="173">
        <f>'2026 Aύγουστος'!D100</f>
        <v/>
      </c>
      <c r="R174" s="36">
        <f>P174+Q174</f>
        <v/>
      </c>
      <c r="S174" s="173">
        <f>'2026 Σεπτέμβριος'!D100</f>
        <v/>
      </c>
      <c r="T174" s="36">
        <f>R174+S174</f>
        <v/>
      </c>
      <c r="U174" s="173">
        <f>'2026 Οκτώβριος'!D100</f>
        <v/>
      </c>
      <c r="V174" s="36">
        <f>T174+U174</f>
        <v/>
      </c>
      <c r="W174" s="173">
        <f>'2026 Νοέμβριος'!D100</f>
        <v/>
      </c>
      <c r="X174" s="36">
        <f>V174+W174</f>
        <v/>
      </c>
      <c r="Y174" s="173">
        <f>'2026 Δεκέμβριος'!D100</f>
        <v/>
      </c>
      <c r="Z174" s="36">
        <f>X174+Y174</f>
        <v/>
      </c>
      <c r="AA174" s="36">
        <f>C174+E174+G174+I174+K174+M174+O174+Q174+S174+U174+W174+Y174</f>
        <v/>
      </c>
    </row>
    <row r="175" ht="28.5" customHeight="1">
      <c r="A175" s="45">
        <f>'2026 Ιανουάριος'!C101</f>
        <v/>
      </c>
      <c r="B175" s="35" t="n">
        <v>2026</v>
      </c>
      <c r="C175" s="173">
        <f>'2026 Ιανουάριος'!D101</f>
        <v/>
      </c>
      <c r="D175" s="36">
        <f>C175</f>
        <v/>
      </c>
      <c r="E175" s="173">
        <f>'2026 Φεβρουάριος'!D101</f>
        <v/>
      </c>
      <c r="F175" s="36">
        <f>D175+E175</f>
        <v/>
      </c>
      <c r="G175" s="173">
        <f>'2026 Μάρτιος'!D101</f>
        <v/>
      </c>
      <c r="H175" s="36">
        <f>F175+G175</f>
        <v/>
      </c>
      <c r="I175" s="173">
        <f>'2026 Απρίλιος'!D101</f>
        <v/>
      </c>
      <c r="J175" s="36">
        <f>H175+I175</f>
        <v/>
      </c>
      <c r="K175" s="173">
        <f>'2026 Μάιος'!D101</f>
        <v/>
      </c>
      <c r="L175" s="36">
        <f>J175+K175</f>
        <v/>
      </c>
      <c r="M175" s="173">
        <f>'2026 Ιούνιος'!D101</f>
        <v/>
      </c>
      <c r="N175" s="36">
        <f>L175+M175</f>
        <v/>
      </c>
      <c r="O175" s="173">
        <f>'2026 Ιούλιος'!D101</f>
        <v/>
      </c>
      <c r="P175" s="36">
        <f>N175+O175</f>
        <v/>
      </c>
      <c r="Q175" s="173">
        <f>'2026 Aύγουστος'!D101</f>
        <v/>
      </c>
      <c r="R175" s="36">
        <f>P175+Q175</f>
        <v/>
      </c>
      <c r="S175" s="173">
        <f>'2026 Σεπτέμβριος'!D101</f>
        <v/>
      </c>
      <c r="T175" s="36">
        <f>R175+S175</f>
        <v/>
      </c>
      <c r="U175" s="173">
        <f>'2026 Οκτώβριος'!D101</f>
        <v/>
      </c>
      <c r="V175" s="36">
        <f>T175+U175</f>
        <v/>
      </c>
      <c r="W175" s="173">
        <f>'2026 Νοέμβριος'!D101</f>
        <v/>
      </c>
      <c r="X175" s="36">
        <f>V175+W175</f>
        <v/>
      </c>
      <c r="Y175" s="173">
        <f>'2026 Δεκέμβριος'!D101</f>
        <v/>
      </c>
      <c r="Z175" s="36">
        <f>X175+Y175</f>
        <v/>
      </c>
      <c r="AA175" s="36">
        <f>C175+E175+G175+I175+K175+M175+O175+Q175+S175+U175+W175+Y175</f>
        <v/>
      </c>
    </row>
    <row r="176">
      <c r="A176" s="45">
        <f>'2026 Ιανουάριος'!C102</f>
        <v/>
      </c>
      <c r="B176" s="35" t="n">
        <v>2026</v>
      </c>
      <c r="C176" s="173">
        <f>'2026 Ιανουάριος'!D102</f>
        <v/>
      </c>
      <c r="D176" s="36">
        <f>C176</f>
        <v/>
      </c>
      <c r="E176" s="173">
        <f>'2026 Φεβρουάριος'!D102</f>
        <v/>
      </c>
      <c r="F176" s="36">
        <f>D176+E176</f>
        <v/>
      </c>
      <c r="G176" s="173">
        <f>'2026 Μάρτιος'!D102</f>
        <v/>
      </c>
      <c r="H176" s="36">
        <f>F176+G176</f>
        <v/>
      </c>
      <c r="I176" s="173">
        <f>'2026 Απρίλιος'!D102</f>
        <v/>
      </c>
      <c r="J176" s="36">
        <f>H176+I176</f>
        <v/>
      </c>
      <c r="K176" s="173">
        <f>'2026 Μάιος'!D102</f>
        <v/>
      </c>
      <c r="L176" s="36">
        <f>J176+K176</f>
        <v/>
      </c>
      <c r="M176" s="173">
        <f>'2026 Ιούνιος'!D102</f>
        <v/>
      </c>
      <c r="N176" s="36">
        <f>L176+M176</f>
        <v/>
      </c>
      <c r="O176" s="173">
        <f>'2026 Ιούλιος'!D102</f>
        <v/>
      </c>
      <c r="P176" s="36">
        <f>N176+O176</f>
        <v/>
      </c>
      <c r="Q176" s="173">
        <f>'2026 Aύγουστος'!D102</f>
        <v/>
      </c>
      <c r="R176" s="36">
        <f>P176+Q176</f>
        <v/>
      </c>
      <c r="S176" s="173">
        <f>'2026 Σεπτέμβριος'!D102</f>
        <v/>
      </c>
      <c r="T176" s="36">
        <f>R176+S176</f>
        <v/>
      </c>
      <c r="U176" s="173">
        <f>'2026 Οκτώβριος'!D102</f>
        <v/>
      </c>
      <c r="V176" s="36">
        <f>T176+U176</f>
        <v/>
      </c>
      <c r="W176" s="173">
        <f>'2026 Νοέμβριος'!D102</f>
        <v/>
      </c>
      <c r="X176" s="36">
        <f>V176+W176</f>
        <v/>
      </c>
      <c r="Y176" s="173">
        <f>'2026 Δεκέμβριος'!D102</f>
        <v/>
      </c>
      <c r="Z176" s="36">
        <f>X176+Y176</f>
        <v/>
      </c>
      <c r="AA176" s="36">
        <f>C176+E176+G176+I176+K176+M176+O176+Q176+S176+U176+W176+Y176</f>
        <v/>
      </c>
    </row>
    <row r="177">
      <c r="A177" s="45">
        <f>'2026 Ιανουάριος'!C103</f>
        <v/>
      </c>
      <c r="B177" s="35" t="n">
        <v>2026</v>
      </c>
      <c r="C177" s="173">
        <f>'2026 Ιανουάριος'!D103</f>
        <v/>
      </c>
      <c r="D177" s="36">
        <f>C177</f>
        <v/>
      </c>
      <c r="E177" s="173">
        <f>'2026 Φεβρουάριος'!D103</f>
        <v/>
      </c>
      <c r="F177" s="36">
        <f>D177+E177</f>
        <v/>
      </c>
      <c r="G177" s="173">
        <f>'2026 Μάρτιος'!D103</f>
        <v/>
      </c>
      <c r="H177" s="36">
        <f>F177+G177</f>
        <v/>
      </c>
      <c r="I177" s="173">
        <f>'2026 Απρίλιος'!D103</f>
        <v/>
      </c>
      <c r="J177" s="36">
        <f>H177+I177</f>
        <v/>
      </c>
      <c r="K177" s="173">
        <f>'2026 Μάιος'!D103</f>
        <v/>
      </c>
      <c r="L177" s="36">
        <f>J177+K177</f>
        <v/>
      </c>
      <c r="M177" s="173">
        <f>'2026 Ιούνιος'!D103</f>
        <v/>
      </c>
      <c r="N177" s="36">
        <f>L177+M177</f>
        <v/>
      </c>
      <c r="O177" s="173">
        <f>'2026 Ιούλιος'!D103</f>
        <v/>
      </c>
      <c r="P177" s="36">
        <f>N177+O177</f>
        <v/>
      </c>
      <c r="Q177" s="173">
        <f>'2026 Aύγουστος'!D103</f>
        <v/>
      </c>
      <c r="R177" s="36">
        <f>P177+Q177</f>
        <v/>
      </c>
      <c r="S177" s="173">
        <f>'2026 Σεπτέμβριος'!D103</f>
        <v/>
      </c>
      <c r="T177" s="36">
        <f>R177+S177</f>
        <v/>
      </c>
      <c r="U177" s="173">
        <f>'2026 Οκτώβριος'!D103</f>
        <v/>
      </c>
      <c r="V177" s="36">
        <f>T177+U177</f>
        <v/>
      </c>
      <c r="W177" s="173">
        <f>'2026 Νοέμβριος'!D103</f>
        <v/>
      </c>
      <c r="X177" s="36">
        <f>V177+W177</f>
        <v/>
      </c>
      <c r="Y177" s="173">
        <f>'2026 Δεκέμβριος'!D103</f>
        <v/>
      </c>
      <c r="Z177" s="36">
        <f>X177+Y177</f>
        <v/>
      </c>
      <c r="AA177" s="36">
        <f>C177+E177+G177+I177+K177+M177+O177+Q177+S177+U177+W177+Y177</f>
        <v/>
      </c>
    </row>
    <row r="178">
      <c r="A178" s="45">
        <f>'2026 Ιανουάριος'!C104</f>
        <v/>
      </c>
      <c r="B178" s="35" t="n">
        <v>2026</v>
      </c>
      <c r="C178" s="173">
        <f>'2026 Ιανουάριος'!D104</f>
        <v/>
      </c>
      <c r="D178" s="36">
        <f>C178</f>
        <v/>
      </c>
      <c r="E178" s="173">
        <f>'2026 Φεβρουάριος'!D104</f>
        <v/>
      </c>
      <c r="F178" s="36">
        <f>D178+E178</f>
        <v/>
      </c>
      <c r="G178" s="173">
        <f>'2026 Μάρτιος'!D104</f>
        <v/>
      </c>
      <c r="H178" s="36">
        <f>F178+G178</f>
        <v/>
      </c>
      <c r="I178" s="173">
        <f>'2026 Απρίλιος'!D104</f>
        <v/>
      </c>
      <c r="J178" s="36">
        <f>H178+I178</f>
        <v/>
      </c>
      <c r="K178" s="173">
        <f>'2026 Μάιος'!D104</f>
        <v/>
      </c>
      <c r="L178" s="36">
        <f>J178+K178</f>
        <v/>
      </c>
      <c r="M178" s="173">
        <f>'2026 Ιούνιος'!D104</f>
        <v/>
      </c>
      <c r="N178" s="36">
        <f>L178+M178</f>
        <v/>
      </c>
      <c r="O178" s="173">
        <f>'2026 Ιούλιος'!D104</f>
        <v/>
      </c>
      <c r="P178" s="36">
        <f>N178+O178</f>
        <v/>
      </c>
      <c r="Q178" s="173">
        <f>'2026 Aύγουστος'!D104</f>
        <v/>
      </c>
      <c r="R178" s="36">
        <f>P178+Q178</f>
        <v/>
      </c>
      <c r="S178" s="173">
        <f>'2026 Σεπτέμβριος'!D104</f>
        <v/>
      </c>
      <c r="T178" s="36">
        <f>R178+S178</f>
        <v/>
      </c>
      <c r="U178" s="173">
        <f>'2026 Οκτώβριος'!D104</f>
        <v/>
      </c>
      <c r="V178" s="36">
        <f>T178+U178</f>
        <v/>
      </c>
      <c r="W178" s="173">
        <f>'2026 Νοέμβριος'!D104</f>
        <v/>
      </c>
      <c r="X178" s="36">
        <f>V178+W178</f>
        <v/>
      </c>
      <c r="Y178" s="173">
        <f>'2026 Δεκέμβριος'!D104</f>
        <v/>
      </c>
      <c r="Z178" s="36">
        <f>X178+Y178</f>
        <v/>
      </c>
      <c r="AA178" s="36">
        <f>C178+E178+G178+I178+K178+M178+O178+Q178+S178+U178+W178+Y178</f>
        <v/>
      </c>
    </row>
    <row r="179">
      <c r="A179" s="45">
        <f>'2026 Ιανουάριος'!C105</f>
        <v/>
      </c>
      <c r="B179" s="35" t="n">
        <v>2026</v>
      </c>
      <c r="C179" s="173">
        <f>'2026 Ιανουάριος'!D105</f>
        <v/>
      </c>
      <c r="D179" s="36">
        <f>C179</f>
        <v/>
      </c>
      <c r="E179" s="173">
        <f>'2026 Φεβρουάριος'!D105</f>
        <v/>
      </c>
      <c r="F179" s="36">
        <f>D179+E179</f>
        <v/>
      </c>
      <c r="G179" s="173">
        <f>'2026 Μάρτιος'!D105</f>
        <v/>
      </c>
      <c r="H179" s="36">
        <f>F179+G179</f>
        <v/>
      </c>
      <c r="I179" s="173">
        <f>'2026 Απρίλιος'!D105</f>
        <v/>
      </c>
      <c r="J179" s="36">
        <f>H179+I179</f>
        <v/>
      </c>
      <c r="K179" s="173">
        <f>'2026 Μάιος'!D105</f>
        <v/>
      </c>
      <c r="L179" s="36">
        <f>J179+K179</f>
        <v/>
      </c>
      <c r="M179" s="173">
        <f>'2026 Ιούνιος'!D105</f>
        <v/>
      </c>
      <c r="N179" s="36">
        <f>L179+M179</f>
        <v/>
      </c>
      <c r="O179" s="173">
        <f>'2026 Ιούλιος'!D105</f>
        <v/>
      </c>
      <c r="P179" s="36">
        <f>N179+O179</f>
        <v/>
      </c>
      <c r="Q179" s="173">
        <f>'2026 Aύγουστος'!D105</f>
        <v/>
      </c>
      <c r="R179" s="36">
        <f>P179+Q179</f>
        <v/>
      </c>
      <c r="S179" s="173">
        <f>'2026 Σεπτέμβριος'!D105</f>
        <v/>
      </c>
      <c r="T179" s="36">
        <f>R179+S179</f>
        <v/>
      </c>
      <c r="U179" s="173">
        <f>'2026 Οκτώβριος'!D105</f>
        <v/>
      </c>
      <c r="V179" s="36">
        <f>T179+U179</f>
        <v/>
      </c>
      <c r="W179" s="173">
        <f>'2026 Νοέμβριος'!D105</f>
        <v/>
      </c>
      <c r="X179" s="36">
        <f>V179+W179</f>
        <v/>
      </c>
      <c r="Y179" s="173">
        <f>'2026 Δεκέμβριος'!D105</f>
        <v/>
      </c>
      <c r="Z179" s="36">
        <f>X179+Y179</f>
        <v/>
      </c>
      <c r="AA179" s="36">
        <f>C179+E179+G179+I179+K179+M179+O179+Q179+S179+U179+W179+Y179</f>
        <v/>
      </c>
    </row>
    <row r="180">
      <c r="A180" s="45">
        <f>'2026 Ιανουάριος'!C106</f>
        <v/>
      </c>
      <c r="B180" s="35" t="n">
        <v>2026</v>
      </c>
      <c r="C180" s="173">
        <f>'2026 Ιανουάριος'!D106</f>
        <v/>
      </c>
      <c r="D180" s="36">
        <f>C180</f>
        <v/>
      </c>
      <c r="E180" s="173">
        <f>'2026 Φεβρουάριος'!D106</f>
        <v/>
      </c>
      <c r="F180" s="36">
        <f>D180+E180</f>
        <v/>
      </c>
      <c r="G180" s="173">
        <f>'2026 Μάρτιος'!D106</f>
        <v/>
      </c>
      <c r="H180" s="36">
        <f>F180+G180</f>
        <v/>
      </c>
      <c r="I180" s="173">
        <f>'2026 Απρίλιος'!D106</f>
        <v/>
      </c>
      <c r="J180" s="36">
        <f>H180+I180</f>
        <v/>
      </c>
      <c r="K180" s="173">
        <f>'2026 Μάιος'!D106</f>
        <v/>
      </c>
      <c r="L180" s="36">
        <f>J180+K180</f>
        <v/>
      </c>
      <c r="M180" s="173">
        <f>'2026 Ιούνιος'!D106</f>
        <v/>
      </c>
      <c r="N180" s="36">
        <f>L180+M180</f>
        <v/>
      </c>
      <c r="O180" s="173">
        <f>'2026 Ιούλιος'!D106</f>
        <v/>
      </c>
      <c r="P180" s="36">
        <f>N180+O180</f>
        <v/>
      </c>
      <c r="Q180" s="173">
        <f>'2026 Aύγουστος'!D106</f>
        <v/>
      </c>
      <c r="R180" s="36">
        <f>P180+Q180</f>
        <v/>
      </c>
      <c r="S180" s="173">
        <f>'2026 Σεπτέμβριος'!D106</f>
        <v/>
      </c>
      <c r="T180" s="36">
        <f>R180+S180</f>
        <v/>
      </c>
      <c r="U180" s="173">
        <f>'2026 Οκτώβριος'!D106</f>
        <v/>
      </c>
      <c r="V180" s="36">
        <f>T180+U180</f>
        <v/>
      </c>
      <c r="W180" s="173">
        <f>'2026 Νοέμβριος'!D106</f>
        <v/>
      </c>
      <c r="X180" s="36">
        <f>V180+W180</f>
        <v/>
      </c>
      <c r="Y180" s="173">
        <f>'2026 Δεκέμβριος'!D106</f>
        <v/>
      </c>
      <c r="Z180" s="36">
        <f>X180+Y180</f>
        <v/>
      </c>
      <c r="AA180" s="36">
        <f>C180+E180+G180+I180+K180+M180+O180+Q180+S180+U180+W180+Y180</f>
        <v/>
      </c>
    </row>
    <row r="181">
      <c r="A181" s="45">
        <f>'2026 Ιανουάριος'!C107</f>
        <v/>
      </c>
      <c r="B181" s="35" t="n">
        <v>2026</v>
      </c>
      <c r="C181" s="173">
        <f>'2026 Ιανουάριος'!D107</f>
        <v/>
      </c>
      <c r="D181" s="36">
        <f>C181</f>
        <v/>
      </c>
      <c r="E181" s="173">
        <f>'2026 Φεβρουάριος'!D107</f>
        <v/>
      </c>
      <c r="F181" s="36">
        <f>D181+E181</f>
        <v/>
      </c>
      <c r="G181" s="173">
        <f>'2026 Μάρτιος'!D107</f>
        <v/>
      </c>
      <c r="H181" s="36">
        <f>F181+G181</f>
        <v/>
      </c>
      <c r="I181" s="173">
        <f>'2026 Απρίλιος'!D107</f>
        <v/>
      </c>
      <c r="J181" s="36">
        <f>H181+I181</f>
        <v/>
      </c>
      <c r="K181" s="173">
        <f>'2026 Μάιος'!D107</f>
        <v/>
      </c>
      <c r="L181" s="36">
        <f>J181+K181</f>
        <v/>
      </c>
      <c r="M181" s="173">
        <f>'2026 Ιούνιος'!D107</f>
        <v/>
      </c>
      <c r="N181" s="36">
        <f>L181+M181</f>
        <v/>
      </c>
      <c r="O181" s="173">
        <f>'2026 Ιούλιος'!D107</f>
        <v/>
      </c>
      <c r="P181" s="36">
        <f>N181+O181</f>
        <v/>
      </c>
      <c r="Q181" s="173">
        <f>'2026 Aύγουστος'!D107</f>
        <v/>
      </c>
      <c r="R181" s="36">
        <f>P181+Q181</f>
        <v/>
      </c>
      <c r="S181" s="173">
        <f>'2026 Σεπτέμβριος'!D107</f>
        <v/>
      </c>
      <c r="T181" s="36">
        <f>R181+S181</f>
        <v/>
      </c>
      <c r="U181" s="173">
        <f>'2026 Οκτώβριος'!D107</f>
        <v/>
      </c>
      <c r="V181" s="36">
        <f>T181+U181</f>
        <v/>
      </c>
      <c r="W181" s="173">
        <f>'2026 Νοέμβριος'!D107</f>
        <v/>
      </c>
      <c r="X181" s="36">
        <f>V181+W181</f>
        <v/>
      </c>
      <c r="Y181" s="173">
        <f>'2026 Δεκέμβριος'!D107</f>
        <v/>
      </c>
      <c r="Z181" s="36">
        <f>X181+Y181</f>
        <v/>
      </c>
      <c r="AA181" s="36">
        <f>C181+E181+G181+I181+K181+M181+O181+Q181+S181+U181+W181+Y181</f>
        <v/>
      </c>
    </row>
    <row r="182">
      <c r="A182" s="45">
        <f>'2026 Ιανουάριος'!C108</f>
        <v/>
      </c>
      <c r="B182" s="35" t="n">
        <v>2026</v>
      </c>
      <c r="C182" s="173">
        <f>'2026 Ιανουάριος'!D108</f>
        <v/>
      </c>
      <c r="D182" s="36">
        <f>C182</f>
        <v/>
      </c>
      <c r="E182" s="173">
        <f>'2026 Φεβρουάριος'!D108</f>
        <v/>
      </c>
      <c r="F182" s="36">
        <f>D182+E182</f>
        <v/>
      </c>
      <c r="G182" s="173">
        <f>'2026 Μάρτιος'!D108</f>
        <v/>
      </c>
      <c r="H182" s="36">
        <f>F182+G182</f>
        <v/>
      </c>
      <c r="I182" s="173">
        <f>'2026 Απρίλιος'!D108</f>
        <v/>
      </c>
      <c r="J182" s="36">
        <f>H182+I182</f>
        <v/>
      </c>
      <c r="K182" s="173">
        <f>'2026 Μάιος'!D108</f>
        <v/>
      </c>
      <c r="L182" s="36">
        <f>J182+K182</f>
        <v/>
      </c>
      <c r="M182" s="173">
        <f>'2026 Ιούνιος'!D108</f>
        <v/>
      </c>
      <c r="N182" s="36">
        <f>L182+M182</f>
        <v/>
      </c>
      <c r="O182" s="173">
        <f>'2026 Ιούλιος'!D108</f>
        <v/>
      </c>
      <c r="P182" s="36">
        <f>N182+O182</f>
        <v/>
      </c>
      <c r="Q182" s="173">
        <f>'2026 Aύγουστος'!D108</f>
        <v/>
      </c>
      <c r="R182" s="36">
        <f>P182+Q182</f>
        <v/>
      </c>
      <c r="S182" s="173">
        <f>'2026 Σεπτέμβριος'!D108</f>
        <v/>
      </c>
      <c r="T182" s="36">
        <f>R182+S182</f>
        <v/>
      </c>
      <c r="U182" s="173">
        <f>'2026 Οκτώβριος'!D108</f>
        <v/>
      </c>
      <c r="V182" s="36">
        <f>T182+U182</f>
        <v/>
      </c>
      <c r="W182" s="173">
        <f>'2026 Νοέμβριος'!D108</f>
        <v/>
      </c>
      <c r="X182" s="36">
        <f>V182+W182</f>
        <v/>
      </c>
      <c r="Y182" s="173">
        <f>'2026 Δεκέμβριος'!D108</f>
        <v/>
      </c>
      <c r="Z182" s="36">
        <f>X182+Y182</f>
        <v/>
      </c>
      <c r="AA182" s="36">
        <f>C182+E182+G182+I182+K182+M182+O182+Q182+S182+U182+W182+Y182</f>
        <v/>
      </c>
    </row>
    <row r="183">
      <c r="A183" s="45">
        <f>'2026 Ιανουάριος'!C109</f>
        <v/>
      </c>
      <c r="B183" s="35" t="n">
        <v>2026</v>
      </c>
      <c r="C183" s="173">
        <f>'2026 Ιανουάριος'!D109</f>
        <v/>
      </c>
      <c r="D183" s="36">
        <f>C183</f>
        <v/>
      </c>
      <c r="E183" s="173">
        <f>'2026 Φεβρουάριος'!D109</f>
        <v/>
      </c>
      <c r="F183" s="36">
        <f>D183+E183</f>
        <v/>
      </c>
      <c r="G183" s="173">
        <f>'2026 Μάρτιος'!D109</f>
        <v/>
      </c>
      <c r="H183" s="36">
        <f>F183+G183</f>
        <v/>
      </c>
      <c r="I183" s="173">
        <f>'2026 Απρίλιος'!D109</f>
        <v/>
      </c>
      <c r="J183" s="36">
        <f>H183+I183</f>
        <v/>
      </c>
      <c r="K183" s="173">
        <f>'2026 Μάιος'!D109</f>
        <v/>
      </c>
      <c r="L183" s="36">
        <f>J183+K183</f>
        <v/>
      </c>
      <c r="M183" s="173">
        <f>'2026 Ιούνιος'!D109</f>
        <v/>
      </c>
      <c r="N183" s="36">
        <f>L183+M183</f>
        <v/>
      </c>
      <c r="O183" s="173">
        <f>'2026 Ιούλιος'!D109</f>
        <v/>
      </c>
      <c r="P183" s="36">
        <f>N183+O183</f>
        <v/>
      </c>
      <c r="Q183" s="173">
        <f>'2026 Aύγουστος'!D109</f>
        <v/>
      </c>
      <c r="R183" s="36">
        <f>P183+Q183</f>
        <v/>
      </c>
      <c r="S183" s="173">
        <f>'2026 Σεπτέμβριος'!D109</f>
        <v/>
      </c>
      <c r="T183" s="36">
        <f>R183+S183</f>
        <v/>
      </c>
      <c r="U183" s="173">
        <f>'2026 Οκτώβριος'!D109</f>
        <v/>
      </c>
      <c r="V183" s="36">
        <f>T183+U183</f>
        <v/>
      </c>
      <c r="W183" s="173">
        <f>'2026 Νοέμβριος'!D109</f>
        <v/>
      </c>
      <c r="X183" s="36">
        <f>V183+W183</f>
        <v/>
      </c>
      <c r="Y183" s="173">
        <f>'2026 Δεκέμβριος'!D109</f>
        <v/>
      </c>
      <c r="Z183" s="36">
        <f>X183+Y183</f>
        <v/>
      </c>
      <c r="AA183" s="36">
        <f>C183+E183+G183+I183+K183+M183+O183+Q183+S183+U183+W183+Y183</f>
        <v/>
      </c>
    </row>
    <row r="184">
      <c r="A184" s="45">
        <f>'2026 Ιανουάριος'!C110</f>
        <v/>
      </c>
      <c r="B184" s="35" t="n">
        <v>2026</v>
      </c>
      <c r="C184" s="173">
        <f>'2026 Ιανουάριος'!D110</f>
        <v/>
      </c>
      <c r="D184" s="36">
        <f>C184</f>
        <v/>
      </c>
      <c r="E184" s="173">
        <f>'2026 Φεβρουάριος'!D110</f>
        <v/>
      </c>
      <c r="F184" s="36">
        <f>D184+E184</f>
        <v/>
      </c>
      <c r="G184" s="173">
        <f>'2026 Μάρτιος'!D110</f>
        <v/>
      </c>
      <c r="H184" s="36">
        <f>F184+G184</f>
        <v/>
      </c>
      <c r="I184" s="173">
        <f>'2026 Απρίλιος'!D110</f>
        <v/>
      </c>
      <c r="J184" s="36">
        <f>H184+I184</f>
        <v/>
      </c>
      <c r="K184" s="173">
        <f>'2026 Μάιος'!D110</f>
        <v/>
      </c>
      <c r="L184" s="36">
        <f>J184+K184</f>
        <v/>
      </c>
      <c r="M184" s="173">
        <f>'2026 Ιούνιος'!D110</f>
        <v/>
      </c>
      <c r="N184" s="36">
        <f>L184+M184</f>
        <v/>
      </c>
      <c r="O184" s="173">
        <f>'2026 Ιούλιος'!D110</f>
        <v/>
      </c>
      <c r="P184" s="36">
        <f>N184+O184</f>
        <v/>
      </c>
      <c r="Q184" s="173">
        <f>'2026 Aύγουστος'!D110</f>
        <v/>
      </c>
      <c r="R184" s="36">
        <f>P184+Q184</f>
        <v/>
      </c>
      <c r="S184" s="173">
        <f>'2026 Σεπτέμβριος'!D110</f>
        <v/>
      </c>
      <c r="T184" s="36">
        <f>R184+S184</f>
        <v/>
      </c>
      <c r="U184" s="173">
        <f>'2026 Οκτώβριος'!D110</f>
        <v/>
      </c>
      <c r="W184" s="173">
        <f>'2026 Νοέμβριος'!D110</f>
        <v/>
      </c>
      <c r="X184" s="36">
        <f>V184+W184</f>
        <v/>
      </c>
      <c r="Y184" s="173">
        <f>'2026 Δεκέμβριος'!D110</f>
        <v/>
      </c>
      <c r="Z184" s="36">
        <f>X184+Y184</f>
        <v/>
      </c>
      <c r="AA184" s="36">
        <f>C184+E184+G184+I184+K184+M184+O184+Q184+S184+U184+W184+Y184</f>
        <v/>
      </c>
    </row>
    <row r="185" ht="47.25" customHeight="1">
      <c r="A185" s="35" t="inlineStr">
        <is>
          <t>ΣΥΝΟΛΟ ΕΞΟΔΩΝ</t>
        </is>
      </c>
      <c r="B185" s="35" t="n"/>
      <c r="C185" s="173">
        <f>SUM(C121:C184)</f>
        <v/>
      </c>
      <c r="D185" s="36">
        <f>SUM(D121:D184)</f>
        <v/>
      </c>
      <c r="E185" s="36">
        <f>SUM(E121:E184)</f>
        <v/>
      </c>
      <c r="F185" s="36">
        <f>D185+E185</f>
        <v/>
      </c>
      <c r="G185" s="173">
        <f>SUM(G121:G184)</f>
        <v/>
      </c>
      <c r="H185" s="36">
        <f>F185+G185</f>
        <v/>
      </c>
      <c r="I185" s="173">
        <f>SUM(I121:I184)</f>
        <v/>
      </c>
      <c r="J185" s="36">
        <f>H185+I185</f>
        <v/>
      </c>
      <c r="K185" s="173">
        <f>SUM(K121:K184)</f>
        <v/>
      </c>
      <c r="L185" s="36">
        <f>J185+K185</f>
        <v/>
      </c>
      <c r="M185" s="173">
        <f>SUM(M121:M184)</f>
        <v/>
      </c>
      <c r="N185" s="36">
        <f>L185+M185</f>
        <v/>
      </c>
      <c r="O185" s="173">
        <f>SUM(O121:O184)</f>
        <v/>
      </c>
      <c r="P185" s="36">
        <f>N185+O185</f>
        <v/>
      </c>
      <c r="Q185" s="173">
        <f>SUM(Q121:Q184)</f>
        <v/>
      </c>
      <c r="R185" s="36">
        <f>P185+Q185</f>
        <v/>
      </c>
      <c r="S185" s="173">
        <f>SUM(S121:S184)</f>
        <v/>
      </c>
      <c r="T185" s="36">
        <f>R185+S185</f>
        <v/>
      </c>
      <c r="U185" s="173">
        <f>SUM(U121:U184)</f>
        <v/>
      </c>
      <c r="V185" s="36">
        <f>SUM(V121:V183)</f>
        <v/>
      </c>
      <c r="W185" s="173">
        <f>SUM(W121:W184)</f>
        <v/>
      </c>
      <c r="X185" s="36">
        <f>V185+W185</f>
        <v/>
      </c>
      <c r="Y185" s="173">
        <f>SUM(Y121:Y184)</f>
        <v/>
      </c>
      <c r="Z185" s="36">
        <f>X185+Y185</f>
        <v/>
      </c>
      <c r="AA185" s="36">
        <f>C185+E185+G185+I185+K185+M185+O185+Q185+S185+U185+W185+Y185</f>
        <v/>
      </c>
    </row>
    <row r="186">
      <c r="W186" t="inlineStr">
        <is>
          <t>l</t>
        </is>
      </c>
    </row>
    <row r="187"/>
    <row r="188"/>
    <row r="189"/>
    <row r="190" ht="17.25" customHeight="1">
      <c r="A190" s="178" t="inlineStr">
        <is>
          <t xml:space="preserve">Κατηγορία εξόδου / ΚΟΣΤΟΣ ΔΙΟΙΙΚΗΣΗΣ ΜΗΝΟΣ </t>
        </is>
      </c>
      <c r="B190" s="35" t="inlineStr">
        <is>
          <t xml:space="preserve">¨Ετος </t>
        </is>
      </c>
      <c r="C190" s="172" t="inlineStr">
        <is>
          <t>Ιανουάριος 2026</t>
        </is>
      </c>
      <c r="D190" s="35" t="inlineStr">
        <is>
          <t>Προοδευτικά Ιαν 2026</t>
        </is>
      </c>
      <c r="E190" s="172" t="inlineStr">
        <is>
          <t>Φεβρουάριος 2026</t>
        </is>
      </c>
      <c r="F190" s="35" t="inlineStr">
        <is>
          <t>Προοδευτικά  Φεβρ. 2026</t>
        </is>
      </c>
      <c r="G190" s="172" t="inlineStr">
        <is>
          <t>Μάρτιος 2026</t>
        </is>
      </c>
      <c r="H190" s="35" t="inlineStr">
        <is>
          <t>Προοδευτικά Μάρτιος 2026</t>
        </is>
      </c>
      <c r="I190" s="172" t="inlineStr">
        <is>
          <t>Απρίλιος 2026</t>
        </is>
      </c>
      <c r="J190" s="35" t="inlineStr">
        <is>
          <t>Προοδευτικά Απρίλιος 2026</t>
        </is>
      </c>
      <c r="K190" s="172" t="inlineStr">
        <is>
          <t>Μάιος 2026</t>
        </is>
      </c>
      <c r="L190" s="35" t="inlineStr">
        <is>
          <t>Προοδευτικά Μάιος 2026</t>
        </is>
      </c>
      <c r="M190" s="172" t="inlineStr">
        <is>
          <t>Ιούνιος 2026</t>
        </is>
      </c>
      <c r="N190" s="35" t="inlineStr">
        <is>
          <t>Προοδευτικά Ιούνιος 2026</t>
        </is>
      </c>
      <c r="O190" s="172" t="inlineStr">
        <is>
          <t xml:space="preserve">Ιούλιος 2026 </t>
        </is>
      </c>
      <c r="P190" s="35" t="inlineStr">
        <is>
          <t>Προοδευτικά Ιούλιος 2026</t>
        </is>
      </c>
      <c r="Q190" s="172" t="inlineStr">
        <is>
          <t>Αύγουστος 2026</t>
        </is>
      </c>
      <c r="R190" s="35" t="inlineStr">
        <is>
          <t>Προοδευτικά Αύγουστος 2026</t>
        </is>
      </c>
      <c r="S190" s="172" t="inlineStr">
        <is>
          <t>Σεπτέμβριος 2026</t>
        </is>
      </c>
      <c r="T190" s="35" t="inlineStr">
        <is>
          <t>Προοδευτικά  Σεπτέμβριος 2026</t>
        </is>
      </c>
      <c r="U190" s="172" t="inlineStr">
        <is>
          <t>Οκτώβριος 2026</t>
        </is>
      </c>
      <c r="V190" s="35" t="inlineStr">
        <is>
          <t>Προοδευτικά Οκτώβριος 2026</t>
        </is>
      </c>
      <c r="W190" s="172" t="inlineStr">
        <is>
          <t>Νοέμβριος 2026</t>
        </is>
      </c>
      <c r="X190" s="35" t="inlineStr">
        <is>
          <t>Προοδευτικά Νοέμβριος 2026</t>
        </is>
      </c>
      <c r="Y190" s="172" t="inlineStr">
        <is>
          <t>Δεκέμβριος 2026</t>
        </is>
      </c>
      <c r="Z190" s="35" t="inlineStr">
        <is>
          <t>Προοδευτικό Σύνολο Δεκεμβρίου 2026</t>
        </is>
      </c>
      <c r="AA190" s="35" t="inlineStr">
        <is>
          <t>Γενικό Σύνολο Μηνών ανά κατηγορία Εξόδου 2026</t>
        </is>
      </c>
    </row>
    <row r="191">
      <c r="A191" s="44">
        <f>'2026 Ιανουάριος'!C117</f>
        <v/>
      </c>
      <c r="B191" s="35" t="n">
        <v>2026</v>
      </c>
      <c r="C191" s="173">
        <f>'2026 Ιανουάριος'!D117</f>
        <v/>
      </c>
      <c r="D191" s="36">
        <f>C191</f>
        <v/>
      </c>
      <c r="E191" s="173">
        <f>'2026 Φεβρουάριος'!D117</f>
        <v/>
      </c>
      <c r="F191" s="36">
        <f>D191+E191</f>
        <v/>
      </c>
      <c r="G191" s="173">
        <f>'2026 Μάρτιος'!D117</f>
        <v/>
      </c>
      <c r="H191" s="36">
        <f>F191+G191</f>
        <v/>
      </c>
      <c r="I191" s="173">
        <f>'2026 Απρίλιος'!D117</f>
        <v/>
      </c>
      <c r="J191" s="36">
        <f>H191+I191</f>
        <v/>
      </c>
      <c r="K191" s="173">
        <f>'2026 Μάιος'!D117</f>
        <v/>
      </c>
      <c r="L191" s="36">
        <f>J191+K191</f>
        <v/>
      </c>
      <c r="M191" s="173">
        <f>'2026 Ιούνιος'!D117</f>
        <v/>
      </c>
      <c r="N191" s="36">
        <f>L191+M191</f>
        <v/>
      </c>
      <c r="O191" s="173">
        <f>'2026 Ιούλιος'!D117</f>
        <v/>
      </c>
      <c r="P191" s="36">
        <f>N191+O191</f>
        <v/>
      </c>
      <c r="Q191" s="173">
        <f>'2026 Aύγουστος'!D117</f>
        <v/>
      </c>
      <c r="R191" s="36">
        <f>P191+Q191</f>
        <v/>
      </c>
      <c r="S191" s="173">
        <f>'2026 Σεπτέμβριος'!D117</f>
        <v/>
      </c>
      <c r="T191" s="36">
        <f>R191+S191</f>
        <v/>
      </c>
      <c r="U191" s="173">
        <f>'2026 Οκτώβριος'!D117</f>
        <v/>
      </c>
      <c r="V191" s="36">
        <f>T191+U191</f>
        <v/>
      </c>
      <c r="W191" s="173">
        <f>'2026 Νοέμβριος'!D117</f>
        <v/>
      </c>
      <c r="X191" s="36">
        <f>V191+W191</f>
        <v/>
      </c>
      <c r="Y191" s="173">
        <f>'2026 Δεκέμβριος'!D117</f>
        <v/>
      </c>
      <c r="Z191" s="36">
        <f>X191+Y191</f>
        <v/>
      </c>
      <c r="AA191" s="36">
        <f>C191+E191+G191+I191+K191+M191+O191+Q191+S191+U191+W191+Y191</f>
        <v/>
      </c>
    </row>
    <row r="192">
      <c r="A192" s="44">
        <f>'2026 Ιανουάριος'!C118</f>
        <v/>
      </c>
      <c r="B192" s="35" t="n">
        <v>2026</v>
      </c>
      <c r="C192" s="173">
        <f>'2026 Ιανουάριος'!D118</f>
        <v/>
      </c>
      <c r="D192" s="36">
        <f>C192</f>
        <v/>
      </c>
      <c r="E192" s="173">
        <f>'2026 Φεβρουάριος'!D118</f>
        <v/>
      </c>
      <c r="F192" s="36">
        <f>D192+E192</f>
        <v/>
      </c>
      <c r="G192" s="173">
        <f>'2026 Μάρτιος'!D118</f>
        <v/>
      </c>
      <c r="H192" s="36">
        <f>F192+G192</f>
        <v/>
      </c>
      <c r="I192" s="173">
        <f>'2026 Απρίλιος'!D118</f>
        <v/>
      </c>
      <c r="J192" s="36">
        <f>H192+I192</f>
        <v/>
      </c>
      <c r="K192" s="173">
        <f>'2026 Μάιος'!D118</f>
        <v/>
      </c>
      <c r="L192" s="36">
        <f>J192+K192</f>
        <v/>
      </c>
      <c r="M192" s="173">
        <f>'2026 Ιούνιος'!D118</f>
        <v/>
      </c>
      <c r="N192" s="36">
        <f>L192+M192</f>
        <v/>
      </c>
      <c r="O192" s="173">
        <f>'2026 Ιούλιος'!D118</f>
        <v/>
      </c>
      <c r="P192" s="36">
        <f>N192+O192</f>
        <v/>
      </c>
      <c r="Q192" s="173">
        <f>'2026 Aύγουστος'!D118</f>
        <v/>
      </c>
      <c r="R192" s="36">
        <f>P192+Q192</f>
        <v/>
      </c>
      <c r="S192" s="173">
        <f>'2026 Σεπτέμβριος'!D118</f>
        <v/>
      </c>
      <c r="T192" s="36">
        <f>R192+S192</f>
        <v/>
      </c>
      <c r="U192" s="173">
        <f>'2026 Οκτώβριος'!D118</f>
        <v/>
      </c>
      <c r="V192" s="36">
        <f>T192+U192</f>
        <v/>
      </c>
      <c r="W192" s="173">
        <f>'2026 Νοέμβριος'!D118</f>
        <v/>
      </c>
      <c r="X192" s="36">
        <f>V192+W192</f>
        <v/>
      </c>
      <c r="Y192" s="173">
        <f>'2026 Δεκέμβριος'!D118</f>
        <v/>
      </c>
      <c r="Z192" s="36">
        <f>X192+Y192</f>
        <v/>
      </c>
      <c r="AA192" s="36">
        <f>C192+E192+G192+I192+K192+M192+O192+Q192+S192+U192+W192+Y192</f>
        <v/>
      </c>
    </row>
    <row r="193">
      <c r="A193" s="44">
        <f>'2026 Ιανουάριος'!C119</f>
        <v/>
      </c>
      <c r="B193" s="35" t="n">
        <v>2026</v>
      </c>
      <c r="C193" s="173">
        <f>'2026 Ιανουάριος'!D119</f>
        <v/>
      </c>
      <c r="D193" s="36">
        <f>C193</f>
        <v/>
      </c>
      <c r="E193" s="173">
        <f>'2026 Φεβρουάριος'!D119</f>
        <v/>
      </c>
      <c r="F193" s="36">
        <f>D193+E193</f>
        <v/>
      </c>
      <c r="G193" s="173">
        <f>'2026 Μάρτιος'!D119</f>
        <v/>
      </c>
      <c r="H193" s="36">
        <f>F193+G193</f>
        <v/>
      </c>
      <c r="I193" s="173">
        <f>'2026 Απρίλιος'!D119</f>
        <v/>
      </c>
      <c r="J193" s="36">
        <f>H193+I193</f>
        <v/>
      </c>
      <c r="K193" s="173">
        <f>'2026 Μάιος'!D119</f>
        <v/>
      </c>
      <c r="L193" s="36">
        <f>J193+K193</f>
        <v/>
      </c>
      <c r="M193" s="173">
        <f>'2026 Ιούνιος'!D119</f>
        <v/>
      </c>
      <c r="N193" s="36">
        <f>L193+M193</f>
        <v/>
      </c>
      <c r="O193" s="173">
        <f>'2026 Ιούλιος'!D119</f>
        <v/>
      </c>
      <c r="P193" s="36">
        <f>N193+O193</f>
        <v/>
      </c>
      <c r="Q193" s="173">
        <f>'2026 Aύγουστος'!D119</f>
        <v/>
      </c>
      <c r="R193" s="36">
        <f>P193+Q193</f>
        <v/>
      </c>
      <c r="S193" s="173">
        <f>'2026 Σεπτέμβριος'!D119</f>
        <v/>
      </c>
      <c r="T193" s="36">
        <f>R193+S193</f>
        <v/>
      </c>
      <c r="U193" s="173">
        <f>'2026 Οκτώβριος'!D119</f>
        <v/>
      </c>
      <c r="V193" s="36">
        <f>T193+U193</f>
        <v/>
      </c>
      <c r="W193" s="173">
        <f>'2026 Νοέμβριος'!D119</f>
        <v/>
      </c>
      <c r="X193" s="36">
        <f>V193+W193</f>
        <v/>
      </c>
      <c r="Y193" s="173">
        <f>'2026 Δεκέμβριος'!D119</f>
        <v/>
      </c>
      <c r="Z193" s="36">
        <f>X193+Y193</f>
        <v/>
      </c>
      <c r="AA193" s="36">
        <f>C193+E193+G193+I193+K193+M193+O193+Q193+S193+U193+W193+Y193</f>
        <v/>
      </c>
    </row>
    <row r="194">
      <c r="A194" s="44">
        <f>'2026 Ιανουάριος'!C120</f>
        <v/>
      </c>
      <c r="B194" s="35" t="n">
        <v>2026</v>
      </c>
      <c r="C194" s="173">
        <f>'2026 Ιανουάριος'!D120</f>
        <v/>
      </c>
      <c r="D194" s="36">
        <f>C194</f>
        <v/>
      </c>
      <c r="E194" s="173">
        <f>'2026 Φεβρουάριος'!D120</f>
        <v/>
      </c>
      <c r="F194" s="36">
        <f>D194+E194</f>
        <v/>
      </c>
      <c r="G194" s="173">
        <f>'2026 Μάρτιος'!D120</f>
        <v/>
      </c>
      <c r="H194" s="36">
        <f>F194+G194</f>
        <v/>
      </c>
      <c r="I194" s="173">
        <f>'2026 Απρίλιος'!D120</f>
        <v/>
      </c>
      <c r="J194" s="36">
        <f>H194+I194</f>
        <v/>
      </c>
      <c r="K194" s="173">
        <f>'2026 Μάιος'!D120</f>
        <v/>
      </c>
      <c r="L194" s="36">
        <f>J194+K194</f>
        <v/>
      </c>
      <c r="M194" s="173">
        <f>'2026 Ιούνιος'!D120</f>
        <v/>
      </c>
      <c r="N194" s="36">
        <f>L194+M194</f>
        <v/>
      </c>
      <c r="O194" s="173">
        <f>'2026 Ιούλιος'!D120</f>
        <v/>
      </c>
      <c r="P194" s="36">
        <f>N194+O194</f>
        <v/>
      </c>
      <c r="Q194" s="173">
        <f>'2026 Aύγουστος'!D120</f>
        <v/>
      </c>
      <c r="R194" s="36">
        <f>P194+Q194</f>
        <v/>
      </c>
      <c r="S194" s="173">
        <f>'2026 Σεπτέμβριος'!D120</f>
        <v/>
      </c>
      <c r="T194" s="36">
        <f>R194+S194</f>
        <v/>
      </c>
      <c r="U194" s="173">
        <f>'2026 Οκτώβριος'!D120</f>
        <v/>
      </c>
      <c r="V194" s="36">
        <f>T194+U194</f>
        <v/>
      </c>
      <c r="W194" s="173">
        <f>'2026 Νοέμβριος'!D120</f>
        <v/>
      </c>
      <c r="X194" s="36">
        <f>V194+W194</f>
        <v/>
      </c>
      <c r="Y194" s="173">
        <f>'2026 Δεκέμβριος'!D120</f>
        <v/>
      </c>
      <c r="Z194" s="36">
        <f>X194+Y194</f>
        <v/>
      </c>
      <c r="AA194" s="36">
        <f>C194+E194+G194+I194+K194+M194+O194+Q194+S194+U194+W194+Y194</f>
        <v/>
      </c>
    </row>
    <row r="195">
      <c r="A195" s="44">
        <f>'2026 Ιανουάριος'!C121</f>
        <v/>
      </c>
      <c r="B195" s="35" t="n">
        <v>2026</v>
      </c>
      <c r="C195" s="173">
        <f>'2026 Ιανουάριος'!D121</f>
        <v/>
      </c>
      <c r="D195" s="36">
        <f>C195</f>
        <v/>
      </c>
      <c r="E195" s="173">
        <f>'2026 Φεβρουάριος'!D121</f>
        <v/>
      </c>
      <c r="F195" s="36">
        <f>D195+E195</f>
        <v/>
      </c>
      <c r="G195" s="173">
        <f>'2026 Μάρτιος'!D121</f>
        <v/>
      </c>
      <c r="H195" s="36">
        <f>F195+G195</f>
        <v/>
      </c>
      <c r="I195" s="173">
        <f>'2026 Απρίλιος'!D121</f>
        <v/>
      </c>
      <c r="J195" s="36">
        <f>H195+I195</f>
        <v/>
      </c>
      <c r="K195" s="173">
        <f>'2026 Μάιος'!D121</f>
        <v/>
      </c>
      <c r="L195" s="36">
        <f>J195+K195</f>
        <v/>
      </c>
      <c r="M195" s="173">
        <f>'2026 Ιούνιος'!D121</f>
        <v/>
      </c>
      <c r="N195" s="36">
        <f>L195+M195</f>
        <v/>
      </c>
      <c r="O195" s="173">
        <f>'2026 Ιούλιος'!D121</f>
        <v/>
      </c>
      <c r="P195" s="36">
        <f>N195+O195</f>
        <v/>
      </c>
      <c r="Q195" s="173">
        <f>'2026 Aύγουστος'!D121</f>
        <v/>
      </c>
      <c r="R195" s="36">
        <f>P195+Q195</f>
        <v/>
      </c>
      <c r="S195" s="173">
        <f>'2026 Σεπτέμβριος'!D121</f>
        <v/>
      </c>
      <c r="T195" s="36">
        <f>R195+S195</f>
        <v/>
      </c>
      <c r="U195" s="173">
        <f>'2026 Οκτώβριος'!D121</f>
        <v/>
      </c>
      <c r="V195" s="36">
        <f>T195+U195</f>
        <v/>
      </c>
      <c r="W195" s="173">
        <f>'2026 Νοέμβριος'!D121</f>
        <v/>
      </c>
      <c r="X195" s="36">
        <f>V195+W195</f>
        <v/>
      </c>
      <c r="Y195" s="173">
        <f>'2026 Δεκέμβριος'!D121</f>
        <v/>
      </c>
      <c r="Z195" s="36">
        <f>X195+Y195</f>
        <v/>
      </c>
      <c r="AA195" s="36">
        <f>C195+E195+G195+I195+K195+M195+O195+Q195+S195+U195+W195+Y195</f>
        <v/>
      </c>
    </row>
    <row r="196">
      <c r="A196" s="44">
        <f>'2026 Ιανουάριος'!C122</f>
        <v/>
      </c>
      <c r="B196" s="35" t="n">
        <v>2026</v>
      </c>
      <c r="C196" s="173">
        <f>'2026 Ιανουάριος'!D122</f>
        <v/>
      </c>
      <c r="D196" s="36">
        <f>C196</f>
        <v/>
      </c>
      <c r="E196" s="173">
        <f>'2026 Φεβρουάριος'!D122</f>
        <v/>
      </c>
      <c r="F196" s="36">
        <f>D196+E196</f>
        <v/>
      </c>
      <c r="G196" s="173">
        <f>'2026 Μάρτιος'!D122</f>
        <v/>
      </c>
      <c r="H196" s="36">
        <f>F196+G196</f>
        <v/>
      </c>
      <c r="I196" s="173">
        <f>'2026 Απρίλιος'!D122</f>
        <v/>
      </c>
      <c r="J196" s="36">
        <f>H196+I196</f>
        <v/>
      </c>
      <c r="K196" s="173">
        <f>'2026 Μάιος'!D122</f>
        <v/>
      </c>
      <c r="L196" s="36">
        <f>J196+K196</f>
        <v/>
      </c>
      <c r="M196" s="173">
        <f>'2026 Ιούνιος'!D122</f>
        <v/>
      </c>
      <c r="N196" s="36">
        <f>L196+M196</f>
        <v/>
      </c>
      <c r="O196" s="173">
        <f>'2026 Ιούλιος'!D122</f>
        <v/>
      </c>
      <c r="P196" s="36">
        <f>N196+O196</f>
        <v/>
      </c>
      <c r="Q196" s="173">
        <f>'2026 Aύγουστος'!D122</f>
        <v/>
      </c>
      <c r="R196" s="36">
        <f>P196+Q196</f>
        <v/>
      </c>
      <c r="S196" s="173">
        <f>'2026 Σεπτέμβριος'!D122</f>
        <v/>
      </c>
      <c r="T196" s="36">
        <f>R196+S196</f>
        <v/>
      </c>
      <c r="U196" s="173">
        <f>'2026 Οκτώβριος'!D122</f>
        <v/>
      </c>
      <c r="V196" s="36">
        <f>T196+U196</f>
        <v/>
      </c>
      <c r="W196" s="173">
        <f>'2026 Νοέμβριος'!D122</f>
        <v/>
      </c>
      <c r="X196" s="36">
        <f>V196+W196</f>
        <v/>
      </c>
      <c r="Y196" s="173">
        <f>'2026 Δεκέμβριος'!D122</f>
        <v/>
      </c>
      <c r="Z196" s="36">
        <f>X196+Y196</f>
        <v/>
      </c>
      <c r="AA196" s="36">
        <f>C196+E196+G196+I196+K196+M196+O196+Q196+S196+U196+W196+Y196</f>
        <v/>
      </c>
    </row>
    <row r="197">
      <c r="A197" s="44">
        <f>'2026 Ιανουάριος'!C123</f>
        <v/>
      </c>
      <c r="B197" s="35" t="n">
        <v>2026</v>
      </c>
      <c r="C197" s="173">
        <f>'2026 Ιανουάριος'!D123</f>
        <v/>
      </c>
      <c r="D197" s="36">
        <f>C197</f>
        <v/>
      </c>
      <c r="E197" s="173">
        <f>'2026 Φεβρουάριος'!D123</f>
        <v/>
      </c>
      <c r="F197" s="36">
        <f>D197+E197</f>
        <v/>
      </c>
      <c r="G197" s="173">
        <f>'2026 Μάρτιος'!D123</f>
        <v/>
      </c>
      <c r="H197" s="36">
        <f>F197+G197</f>
        <v/>
      </c>
      <c r="I197" s="173">
        <f>'2026 Απρίλιος'!D123</f>
        <v/>
      </c>
      <c r="J197" s="36">
        <f>H197+I197</f>
        <v/>
      </c>
      <c r="K197" s="173">
        <f>'2026 Μάιος'!D123</f>
        <v/>
      </c>
      <c r="L197" s="36">
        <f>J197+K197</f>
        <v/>
      </c>
      <c r="M197" s="173">
        <f>'2026 Ιούνιος'!D123</f>
        <v/>
      </c>
      <c r="N197" s="36">
        <f>L197+M197</f>
        <v/>
      </c>
      <c r="O197" s="173">
        <f>'2026 Ιούλιος'!D123</f>
        <v/>
      </c>
      <c r="P197" s="36">
        <f>N197+O197</f>
        <v/>
      </c>
      <c r="Q197" s="173">
        <f>'2026 Aύγουστος'!D123</f>
        <v/>
      </c>
      <c r="R197" s="36">
        <f>P197+Q197</f>
        <v/>
      </c>
      <c r="S197" s="173">
        <f>'2026 Σεπτέμβριος'!D123</f>
        <v/>
      </c>
      <c r="T197" s="36">
        <f>R197+S197</f>
        <v/>
      </c>
      <c r="U197" s="173">
        <f>'2026 Οκτώβριος'!D123</f>
        <v/>
      </c>
      <c r="V197" s="36">
        <f>T197+U197</f>
        <v/>
      </c>
      <c r="W197" s="173">
        <f>'2026 Νοέμβριος'!D123</f>
        <v/>
      </c>
      <c r="X197" s="36">
        <f>V197+W197</f>
        <v/>
      </c>
      <c r="Y197" s="173">
        <f>'2026 Δεκέμβριος'!D123</f>
        <v/>
      </c>
      <c r="Z197" s="36">
        <f>X197+Y197</f>
        <v/>
      </c>
      <c r="AA197" s="36">
        <f>C197+E197+G197+I197+K197+M197+O197+Q197+S197+U197+W197+Y197</f>
        <v/>
      </c>
    </row>
    <row r="198">
      <c r="A198" s="44">
        <f>'2026 Ιανουάριος'!C124</f>
        <v/>
      </c>
      <c r="B198" s="35" t="n">
        <v>2026</v>
      </c>
      <c r="C198" s="173">
        <f>'2026 Ιανουάριος'!D124</f>
        <v/>
      </c>
      <c r="D198" s="36">
        <f>C198</f>
        <v/>
      </c>
      <c r="E198" s="173">
        <f>'2026 Φεβρουάριος'!D124</f>
        <v/>
      </c>
      <c r="F198" s="36">
        <f>D198+E198</f>
        <v/>
      </c>
      <c r="G198" s="173">
        <f>'2026 Μάρτιος'!D124</f>
        <v/>
      </c>
      <c r="H198" s="36">
        <f>F198+G198</f>
        <v/>
      </c>
      <c r="I198" s="173">
        <f>'2026 Απρίλιος'!D124</f>
        <v/>
      </c>
      <c r="J198" s="36">
        <f>H198+I198</f>
        <v/>
      </c>
      <c r="K198" s="173">
        <f>'2026 Μάιος'!D124</f>
        <v/>
      </c>
      <c r="L198" s="36">
        <f>J198+K198</f>
        <v/>
      </c>
      <c r="M198" s="173">
        <f>'2026 Ιούνιος'!D124</f>
        <v/>
      </c>
      <c r="N198" s="36">
        <f>L198+M198</f>
        <v/>
      </c>
      <c r="O198" s="173">
        <f>'2026 Ιούλιος'!D124</f>
        <v/>
      </c>
      <c r="P198" s="36">
        <f>N198+O198</f>
        <v/>
      </c>
      <c r="Q198" s="173">
        <f>'2026 Aύγουστος'!D124</f>
        <v/>
      </c>
      <c r="R198" s="36">
        <f>P198+Q198</f>
        <v/>
      </c>
      <c r="S198" s="173">
        <f>'2026 Σεπτέμβριος'!D124</f>
        <v/>
      </c>
      <c r="T198" s="36">
        <f>R198+S198</f>
        <v/>
      </c>
      <c r="U198" s="173">
        <f>'2026 Οκτώβριος'!D124</f>
        <v/>
      </c>
      <c r="V198" s="36">
        <f>T198+U198</f>
        <v/>
      </c>
      <c r="W198" s="173">
        <f>'2026 Νοέμβριος'!D124</f>
        <v/>
      </c>
      <c r="X198" s="36">
        <f>V198+W198</f>
        <v/>
      </c>
      <c r="Y198" s="173">
        <f>'2026 Δεκέμβριος'!D124</f>
        <v/>
      </c>
      <c r="Z198" s="36">
        <f>X198+Y198</f>
        <v/>
      </c>
      <c r="AA198" s="36">
        <f>C198+E198+G198+I198+K198+M198+O198+Q198+S198+U198+W198+Y198</f>
        <v/>
      </c>
    </row>
    <row r="199">
      <c r="A199" s="44">
        <f>'2026 Ιανουάριος'!C125</f>
        <v/>
      </c>
      <c r="B199" s="35" t="n">
        <v>2026</v>
      </c>
      <c r="C199" s="173">
        <f>'2026 Ιανουάριος'!D125</f>
        <v/>
      </c>
      <c r="D199" s="36">
        <f>C199</f>
        <v/>
      </c>
      <c r="E199" s="173">
        <f>'2026 Φεβρουάριος'!D125</f>
        <v/>
      </c>
      <c r="F199" s="36">
        <f>D199+E199</f>
        <v/>
      </c>
      <c r="G199" s="173">
        <f>'2026 Μάρτιος'!D125</f>
        <v/>
      </c>
      <c r="H199" s="36">
        <f>F199+G199</f>
        <v/>
      </c>
      <c r="I199" s="173">
        <f>'2026 Απρίλιος'!D125</f>
        <v/>
      </c>
      <c r="J199" s="36">
        <f>H199+I199</f>
        <v/>
      </c>
      <c r="K199" s="173">
        <f>'2026 Μάιος'!D125</f>
        <v/>
      </c>
      <c r="L199" s="36">
        <f>J199+K199</f>
        <v/>
      </c>
      <c r="M199" s="173">
        <f>'2026 Ιούνιος'!D125</f>
        <v/>
      </c>
      <c r="N199" s="36">
        <f>L199+M199</f>
        <v/>
      </c>
      <c r="O199" s="173">
        <f>'2026 Ιούλιος'!D125</f>
        <v/>
      </c>
      <c r="P199" s="36">
        <f>N199+O199</f>
        <v/>
      </c>
      <c r="Q199" s="173">
        <f>'2026 Aύγουστος'!D125</f>
        <v/>
      </c>
      <c r="R199" s="36">
        <f>P199+Q199</f>
        <v/>
      </c>
      <c r="S199" s="173">
        <f>'2026 Σεπτέμβριος'!D125</f>
        <v/>
      </c>
      <c r="T199" s="36">
        <f>R199+S199</f>
        <v/>
      </c>
      <c r="U199" s="173">
        <f>'2026 Οκτώβριος'!D125</f>
        <v/>
      </c>
      <c r="V199" s="36">
        <f>T199+U199</f>
        <v/>
      </c>
      <c r="W199" s="173">
        <f>'2026 Νοέμβριος'!D125</f>
        <v/>
      </c>
      <c r="X199" s="36">
        <f>V199+W199</f>
        <v/>
      </c>
      <c r="Y199" s="173">
        <f>'2026 Δεκέμβριος'!D125</f>
        <v/>
      </c>
      <c r="Z199" s="36">
        <f>X199+Y199</f>
        <v/>
      </c>
      <c r="AA199" s="36">
        <f>C199+E199+G199+I199+K199+M199+O199+Q199+S199+U199+W199+Y199</f>
        <v/>
      </c>
    </row>
    <row r="200">
      <c r="A200" s="44">
        <f>'2026 Ιανουάριος'!C126</f>
        <v/>
      </c>
      <c r="B200" s="35" t="n">
        <v>2026</v>
      </c>
      <c r="C200" s="173">
        <f>'2026 Ιανουάριος'!D126</f>
        <v/>
      </c>
      <c r="D200" s="36">
        <f>C200</f>
        <v/>
      </c>
      <c r="E200" s="173">
        <f>'2026 Φεβρουάριος'!D126</f>
        <v/>
      </c>
      <c r="F200" s="36">
        <f>D200+E200</f>
        <v/>
      </c>
      <c r="G200" s="173">
        <f>'2026 Μάρτιος'!D126</f>
        <v/>
      </c>
      <c r="H200" s="36">
        <f>F200+G200</f>
        <v/>
      </c>
      <c r="I200" s="173">
        <f>'2026 Απρίλιος'!D126</f>
        <v/>
      </c>
      <c r="J200" s="36">
        <f>H200+I200</f>
        <v/>
      </c>
      <c r="K200" s="173">
        <f>'2026 Μάιος'!D126</f>
        <v/>
      </c>
      <c r="L200" s="36">
        <f>J200+K200</f>
        <v/>
      </c>
      <c r="M200" s="173">
        <f>'2026 Ιούνιος'!D126</f>
        <v/>
      </c>
      <c r="N200" s="36">
        <f>L200+M200</f>
        <v/>
      </c>
      <c r="O200" s="173">
        <f>'2026 Ιούλιος'!D126</f>
        <v/>
      </c>
      <c r="P200" s="36">
        <f>N200+O200</f>
        <v/>
      </c>
      <c r="Q200" s="173">
        <f>'2026 Aύγουστος'!D126</f>
        <v/>
      </c>
      <c r="R200" s="36">
        <f>P200+Q200</f>
        <v/>
      </c>
      <c r="S200" s="173">
        <f>'2026 Σεπτέμβριος'!D126</f>
        <v/>
      </c>
      <c r="T200" s="36">
        <f>R200+S200</f>
        <v/>
      </c>
      <c r="U200" s="173">
        <f>'2026 Οκτώβριος'!D126</f>
        <v/>
      </c>
      <c r="V200" s="36">
        <f>T200+U200</f>
        <v/>
      </c>
      <c r="W200" s="173">
        <f>'2026 Νοέμβριος'!D126</f>
        <v/>
      </c>
      <c r="X200" s="36">
        <f>V200+W200</f>
        <v/>
      </c>
      <c r="Y200" s="173">
        <f>'2026 Δεκέμβριος'!D126</f>
        <v/>
      </c>
      <c r="Z200" s="36">
        <f>X200+Y200</f>
        <v/>
      </c>
      <c r="AA200" s="36">
        <f>C200+E200+G200+I200+K200+M200+O200+Q200+S200+U200+W200+Y200</f>
        <v/>
      </c>
    </row>
    <row r="201">
      <c r="A201" s="44">
        <f>'2026 Ιανουάριος'!C127</f>
        <v/>
      </c>
      <c r="B201" s="35" t="n">
        <v>2026</v>
      </c>
      <c r="C201" s="173">
        <f>'2026 Ιανουάριος'!D127</f>
        <v/>
      </c>
      <c r="D201" s="36">
        <f>C201</f>
        <v/>
      </c>
      <c r="E201" s="173">
        <f>'2026 Φεβρουάριος'!D127</f>
        <v/>
      </c>
      <c r="F201" s="36">
        <f>D201+E201</f>
        <v/>
      </c>
      <c r="G201" s="173">
        <f>'2026 Μάρτιος'!D127</f>
        <v/>
      </c>
      <c r="H201" s="36">
        <f>F201+G201</f>
        <v/>
      </c>
      <c r="I201" s="173">
        <f>'2026 Απρίλιος'!D127</f>
        <v/>
      </c>
      <c r="J201" s="36">
        <f>H201+I201</f>
        <v/>
      </c>
      <c r="K201" s="173">
        <f>'2026 Μάιος'!D127</f>
        <v/>
      </c>
      <c r="L201" s="36">
        <f>J201+K201</f>
        <v/>
      </c>
      <c r="M201" s="173">
        <f>'2026 Ιούνιος'!D127</f>
        <v/>
      </c>
      <c r="N201" s="36">
        <f>L201+M201</f>
        <v/>
      </c>
      <c r="O201" s="173">
        <f>'2026 Ιούλιος'!D127</f>
        <v/>
      </c>
      <c r="P201" s="36">
        <f>N201+O201</f>
        <v/>
      </c>
      <c r="Q201" s="173">
        <f>'2026 Aύγουστος'!D127</f>
        <v/>
      </c>
      <c r="R201" s="36">
        <f>P201+Q201</f>
        <v/>
      </c>
      <c r="S201" s="173">
        <f>'2026 Σεπτέμβριος'!D127</f>
        <v/>
      </c>
      <c r="T201" s="36">
        <f>R201+S201</f>
        <v/>
      </c>
      <c r="U201" s="173">
        <f>'2026 Οκτώβριος'!D127</f>
        <v/>
      </c>
      <c r="V201" s="36">
        <f>T201+U201</f>
        <v/>
      </c>
      <c r="W201" s="173">
        <f>'2026 Νοέμβριος'!D127</f>
        <v/>
      </c>
      <c r="X201" s="36">
        <f>V201+W201</f>
        <v/>
      </c>
      <c r="Y201" s="173">
        <f>'2026 Δεκέμβριος'!D127</f>
        <v/>
      </c>
      <c r="Z201" s="36">
        <f>X201+Y201</f>
        <v/>
      </c>
      <c r="AA201" s="36">
        <f>C201+E201+G201+I201+K201+M201+O201+Q201+S201+U201+W201+Y201</f>
        <v/>
      </c>
    </row>
    <row r="202">
      <c r="A202" s="44">
        <f>'2026 Ιανουάριος'!C128</f>
        <v/>
      </c>
      <c r="B202" s="35" t="n">
        <v>2026</v>
      </c>
      <c r="C202" s="173">
        <f>'2026 Ιανουάριος'!D128</f>
        <v/>
      </c>
      <c r="D202" s="36">
        <f>C202</f>
        <v/>
      </c>
      <c r="E202" s="173">
        <f>'2026 Φεβρουάριος'!D128</f>
        <v/>
      </c>
      <c r="F202" s="36">
        <f>D202+E202</f>
        <v/>
      </c>
      <c r="G202" s="173">
        <f>'2026 Μάρτιος'!D128</f>
        <v/>
      </c>
      <c r="H202" s="36">
        <f>F202+G202</f>
        <v/>
      </c>
      <c r="I202" s="173">
        <f>'2026 Απρίλιος'!D128</f>
        <v/>
      </c>
      <c r="J202" s="36">
        <f>H202+I202</f>
        <v/>
      </c>
      <c r="K202" s="173">
        <f>'2026 Μάιος'!D128</f>
        <v/>
      </c>
      <c r="L202" s="36">
        <f>J202+K202</f>
        <v/>
      </c>
      <c r="M202" s="173">
        <f>'2026 Ιούνιος'!D128</f>
        <v/>
      </c>
      <c r="N202" s="36">
        <f>L202+M202</f>
        <v/>
      </c>
      <c r="O202" s="173">
        <f>'2026 Ιούλιος'!D128</f>
        <v/>
      </c>
      <c r="P202" s="36">
        <f>N202+O202</f>
        <v/>
      </c>
      <c r="Q202" s="173">
        <f>'2026 Aύγουστος'!D128</f>
        <v/>
      </c>
      <c r="R202" s="36">
        <f>P202+Q202</f>
        <v/>
      </c>
      <c r="S202" s="173">
        <f>'2026 Σεπτέμβριος'!D128</f>
        <v/>
      </c>
      <c r="T202" s="36">
        <f>R202+S202</f>
        <v/>
      </c>
      <c r="U202" s="173">
        <f>'2026 Οκτώβριος'!D128</f>
        <v/>
      </c>
      <c r="V202" s="36">
        <f>T202+U202</f>
        <v/>
      </c>
      <c r="W202" s="173">
        <f>'2026 Νοέμβριος'!D128</f>
        <v/>
      </c>
      <c r="X202" s="36">
        <f>V202+W202</f>
        <v/>
      </c>
      <c r="Y202" s="173">
        <f>'2026 Δεκέμβριος'!D128</f>
        <v/>
      </c>
      <c r="Z202" s="36">
        <f>X202+Y202</f>
        <v/>
      </c>
      <c r="AA202" s="36">
        <f>C202+E202+G202+I202+K202+M202+O202+Q202+S202+U202+W202+Y202</f>
        <v/>
      </c>
    </row>
    <row r="203">
      <c r="A203" s="44">
        <f>'2026 Ιανουάριος'!C129</f>
        <v/>
      </c>
      <c r="B203" s="35" t="n">
        <v>2026</v>
      </c>
      <c r="C203" s="173">
        <f>'2026 Ιανουάριος'!D129</f>
        <v/>
      </c>
      <c r="D203" s="36">
        <f>C203</f>
        <v/>
      </c>
      <c r="E203" s="173">
        <f>'2026 Φεβρουάριος'!D129</f>
        <v/>
      </c>
      <c r="F203" s="36">
        <f>D203+E203</f>
        <v/>
      </c>
      <c r="G203" s="173">
        <f>'2026 Μάρτιος'!D129</f>
        <v/>
      </c>
      <c r="H203" s="36">
        <f>F203+G203</f>
        <v/>
      </c>
      <c r="I203" s="173">
        <f>'2026 Απρίλιος'!D129</f>
        <v/>
      </c>
      <c r="J203" s="36">
        <f>H203+I203</f>
        <v/>
      </c>
      <c r="K203" s="173">
        <f>'2026 Μάιος'!D129</f>
        <v/>
      </c>
      <c r="L203" s="36">
        <f>J203+K203</f>
        <v/>
      </c>
      <c r="M203" s="173">
        <f>'2026 Ιούνιος'!D129</f>
        <v/>
      </c>
      <c r="N203" s="36">
        <f>L203+M203</f>
        <v/>
      </c>
      <c r="O203" s="173">
        <f>'2026 Ιούλιος'!D129</f>
        <v/>
      </c>
      <c r="P203" s="36">
        <f>N203+O203</f>
        <v/>
      </c>
      <c r="Q203" s="173">
        <f>'2026 Aύγουστος'!D129</f>
        <v/>
      </c>
      <c r="R203" s="36">
        <f>P203+Q203</f>
        <v/>
      </c>
      <c r="S203" s="173">
        <f>'2026 Σεπτέμβριος'!D129</f>
        <v/>
      </c>
      <c r="T203" s="36">
        <f>R203+S203</f>
        <v/>
      </c>
      <c r="U203" s="173">
        <f>'2026 Οκτώβριος'!D129</f>
        <v/>
      </c>
      <c r="V203" s="36">
        <f>T203+U203</f>
        <v/>
      </c>
      <c r="W203" s="173">
        <f>'2026 Νοέμβριος'!D129</f>
        <v/>
      </c>
      <c r="X203" s="36">
        <f>V203+W203</f>
        <v/>
      </c>
      <c r="Y203" s="173">
        <f>'2026 Δεκέμβριος'!D129</f>
        <v/>
      </c>
      <c r="Z203" s="36">
        <f>X203+Y203</f>
        <v/>
      </c>
      <c r="AA203" s="36">
        <f>C203+E203+G203+I203+K203+M203+O203+Q203+S203+U203+W203+Y203</f>
        <v/>
      </c>
    </row>
    <row r="204">
      <c r="A204" s="44">
        <f>'2026 Ιανουάριος'!C130</f>
        <v/>
      </c>
      <c r="B204" s="35" t="n">
        <v>2026</v>
      </c>
      <c r="C204" s="173">
        <f>'2026 Ιανουάριος'!D130</f>
        <v/>
      </c>
      <c r="D204" s="36">
        <f>C204</f>
        <v/>
      </c>
      <c r="E204" s="173">
        <f>'2026 Φεβρουάριος'!D130</f>
        <v/>
      </c>
      <c r="F204" s="36">
        <f>D204+E204</f>
        <v/>
      </c>
      <c r="G204" s="173">
        <f>'2026 Μάρτιος'!D130</f>
        <v/>
      </c>
      <c r="H204" s="36">
        <f>F204+G204</f>
        <v/>
      </c>
      <c r="I204" s="173">
        <f>'2026 Απρίλιος'!D130</f>
        <v/>
      </c>
      <c r="J204" s="36">
        <f>H204+I204</f>
        <v/>
      </c>
      <c r="K204" s="173">
        <f>'2026 Μάιος'!D130</f>
        <v/>
      </c>
      <c r="L204" s="36">
        <f>J204+K204</f>
        <v/>
      </c>
      <c r="M204" s="173">
        <f>'2026 Ιούνιος'!D130</f>
        <v/>
      </c>
      <c r="N204" s="36">
        <f>L204+M204</f>
        <v/>
      </c>
      <c r="O204" s="173">
        <f>'2026 Ιούλιος'!D130</f>
        <v/>
      </c>
      <c r="P204" s="36">
        <f>N204+O204</f>
        <v/>
      </c>
      <c r="Q204" s="173">
        <f>'2026 Aύγουστος'!D130</f>
        <v/>
      </c>
      <c r="R204" s="36">
        <f>P204+Q204</f>
        <v/>
      </c>
      <c r="S204" s="173">
        <f>'2026 Σεπτέμβριος'!D130</f>
        <v/>
      </c>
      <c r="T204" s="36">
        <f>R204+S204</f>
        <v/>
      </c>
      <c r="U204" s="173">
        <f>'2026 Οκτώβριος'!D130</f>
        <v/>
      </c>
      <c r="V204" s="36">
        <f>T204+U204</f>
        <v/>
      </c>
      <c r="W204" s="173">
        <f>'2026 Νοέμβριος'!D130</f>
        <v/>
      </c>
      <c r="X204" s="36">
        <f>V204+W204</f>
        <v/>
      </c>
      <c r="Y204" s="173">
        <f>'2026 Δεκέμβριος'!D130</f>
        <v/>
      </c>
      <c r="Z204" s="36">
        <f>X204+Y204</f>
        <v/>
      </c>
      <c r="AA204" s="36">
        <f>C204+E204+G204+I204+K204+M204+O204+Q204+S204+U204+W204+Y204</f>
        <v/>
      </c>
    </row>
    <row r="205">
      <c r="A205" s="44">
        <f>'2026 Ιανουάριος'!C131</f>
        <v/>
      </c>
      <c r="B205" s="35" t="n">
        <v>2026</v>
      </c>
      <c r="C205" s="173">
        <f>'2026 Ιανουάριος'!D131</f>
        <v/>
      </c>
      <c r="D205" s="36">
        <f>C205</f>
        <v/>
      </c>
      <c r="E205" s="173">
        <f>'2026 Φεβρουάριος'!D131</f>
        <v/>
      </c>
      <c r="F205" s="36">
        <f>D205+E205</f>
        <v/>
      </c>
      <c r="G205" s="173">
        <f>'2026 Μάρτιος'!D131</f>
        <v/>
      </c>
      <c r="H205" s="36">
        <f>F205+G205</f>
        <v/>
      </c>
      <c r="I205" s="173">
        <f>'2026 Απρίλιος'!D131</f>
        <v/>
      </c>
      <c r="J205" s="36">
        <f>H205+I205</f>
        <v/>
      </c>
      <c r="K205" s="173">
        <f>'2026 Μάιος'!D131</f>
        <v/>
      </c>
      <c r="L205" s="36">
        <f>J205+K205</f>
        <v/>
      </c>
      <c r="M205" s="173">
        <f>'2026 Ιούνιος'!D131</f>
        <v/>
      </c>
      <c r="N205" s="36">
        <f>L205+M205</f>
        <v/>
      </c>
      <c r="O205" s="173">
        <f>'2026 Ιούλιος'!D131</f>
        <v/>
      </c>
      <c r="P205" s="36">
        <f>N205+O205</f>
        <v/>
      </c>
      <c r="Q205" s="173">
        <f>'2026 Aύγουστος'!D131</f>
        <v/>
      </c>
      <c r="R205" s="36">
        <f>P205+Q205</f>
        <v/>
      </c>
      <c r="S205" s="173">
        <f>'2026 Σεπτέμβριος'!D131</f>
        <v/>
      </c>
      <c r="T205" s="36">
        <f>R205+S205</f>
        <v/>
      </c>
      <c r="U205" s="173">
        <f>'2026 Οκτώβριος'!D131</f>
        <v/>
      </c>
      <c r="V205" s="36">
        <f>T205+U205</f>
        <v/>
      </c>
      <c r="W205" s="173">
        <f>'2026 Νοέμβριος'!D131</f>
        <v/>
      </c>
      <c r="X205" s="36">
        <f>V205+W205</f>
        <v/>
      </c>
      <c r="Y205" s="173">
        <f>'2026 Δεκέμβριος'!D131</f>
        <v/>
      </c>
      <c r="Z205" s="36">
        <f>X205+Y205</f>
        <v/>
      </c>
      <c r="AA205" s="36">
        <f>C205+E205+G205+I205+K205+M205+O205+Q205+S205+U205+W205+Y205</f>
        <v/>
      </c>
    </row>
    <row r="206">
      <c r="A206" s="44">
        <f>'2026 Ιανουάριος'!C132</f>
        <v/>
      </c>
      <c r="B206" s="35" t="n">
        <v>2026</v>
      </c>
      <c r="C206" s="173">
        <f>'2026 Ιανουάριος'!D132</f>
        <v/>
      </c>
      <c r="D206" s="36">
        <f>C206</f>
        <v/>
      </c>
      <c r="E206" s="173">
        <f>'2026 Φεβρουάριος'!D132</f>
        <v/>
      </c>
      <c r="F206" s="36">
        <f>D206+E206</f>
        <v/>
      </c>
      <c r="G206" s="173">
        <f>'2026 Μάρτιος'!D132</f>
        <v/>
      </c>
      <c r="H206" s="36">
        <f>F206+G206</f>
        <v/>
      </c>
      <c r="I206" s="173">
        <f>'2026 Απρίλιος'!D132</f>
        <v/>
      </c>
      <c r="J206" s="36">
        <f>H206+I206</f>
        <v/>
      </c>
      <c r="K206" s="173">
        <f>'2026 Μάιος'!D132</f>
        <v/>
      </c>
      <c r="L206" s="36">
        <f>J206+K206</f>
        <v/>
      </c>
      <c r="M206" s="173">
        <f>'2026 Ιούνιος'!D132</f>
        <v/>
      </c>
      <c r="N206" s="36">
        <f>L206+M206</f>
        <v/>
      </c>
      <c r="O206" s="173">
        <f>'2026 Ιούλιος'!D132</f>
        <v/>
      </c>
      <c r="P206" s="36">
        <f>N206+O206</f>
        <v/>
      </c>
      <c r="Q206" s="173">
        <f>'2026 Aύγουστος'!D132</f>
        <v/>
      </c>
      <c r="R206" s="36">
        <f>P206+Q206</f>
        <v/>
      </c>
      <c r="S206" s="173">
        <f>'2026 Σεπτέμβριος'!D132</f>
        <v/>
      </c>
      <c r="T206" s="36">
        <f>R206+S206</f>
        <v/>
      </c>
      <c r="U206" s="173">
        <f>'2026 Οκτώβριος'!D132</f>
        <v/>
      </c>
      <c r="V206" s="36">
        <f>T206+U206</f>
        <v/>
      </c>
      <c r="W206" s="173">
        <f>'2026 Νοέμβριος'!D132</f>
        <v/>
      </c>
      <c r="X206" s="36">
        <f>V206+W206</f>
        <v/>
      </c>
      <c r="Y206" s="173">
        <f>'2026 Δεκέμβριος'!D132</f>
        <v/>
      </c>
      <c r="Z206" s="36">
        <f>X206+Y206</f>
        <v/>
      </c>
      <c r="AA206" s="36">
        <f>C206+E206+G206+I206+K206+M206+O206+Q206+S206+U206+W206+Y206</f>
        <v/>
      </c>
    </row>
    <row r="207">
      <c r="A207" s="44">
        <f>'2026 Ιανουάριος'!C133</f>
        <v/>
      </c>
      <c r="B207" s="35" t="n">
        <v>2026</v>
      </c>
      <c r="C207" s="173">
        <f>'2026 Ιανουάριος'!D133</f>
        <v/>
      </c>
      <c r="D207" s="36">
        <f>C207</f>
        <v/>
      </c>
      <c r="E207" s="173">
        <f>'2026 Φεβρουάριος'!D133</f>
        <v/>
      </c>
      <c r="F207" s="36">
        <f>D207+E207</f>
        <v/>
      </c>
      <c r="G207" s="173">
        <f>'2026 Μάρτιος'!D133</f>
        <v/>
      </c>
      <c r="H207" s="36">
        <f>F207+G207</f>
        <v/>
      </c>
      <c r="I207" s="173">
        <f>'2026 Απρίλιος'!D133</f>
        <v/>
      </c>
      <c r="J207" s="36">
        <f>H207+I207</f>
        <v/>
      </c>
      <c r="K207" s="173">
        <f>'2026 Μάιος'!D133</f>
        <v/>
      </c>
      <c r="L207" s="36">
        <f>J207+K207</f>
        <v/>
      </c>
      <c r="M207" s="173">
        <f>'2026 Ιούνιος'!D133</f>
        <v/>
      </c>
      <c r="N207" s="36">
        <f>L207+M207</f>
        <v/>
      </c>
      <c r="O207" s="173">
        <f>'2026 Ιούλιος'!D133</f>
        <v/>
      </c>
      <c r="P207" s="36">
        <f>N207+O207</f>
        <v/>
      </c>
      <c r="Q207" s="173">
        <f>'2026 Aύγουστος'!D133</f>
        <v/>
      </c>
      <c r="R207" s="36">
        <f>P207+Q207</f>
        <v/>
      </c>
      <c r="S207" s="173">
        <f>'2026 Σεπτέμβριος'!D133</f>
        <v/>
      </c>
      <c r="T207" s="36">
        <f>R207+S207</f>
        <v/>
      </c>
      <c r="U207" s="173">
        <f>'2026 Οκτώβριος'!D133</f>
        <v/>
      </c>
      <c r="V207" s="36">
        <f>T207+U207</f>
        <v/>
      </c>
      <c r="W207" s="173">
        <f>'2026 Νοέμβριος'!D133</f>
        <v/>
      </c>
      <c r="X207" s="36">
        <f>V207+W207</f>
        <v/>
      </c>
      <c r="Y207" s="173">
        <f>'2026 Δεκέμβριος'!D133</f>
        <v/>
      </c>
      <c r="Z207" s="36">
        <f>X207+Y207</f>
        <v/>
      </c>
      <c r="AA207" s="36">
        <f>C207+E207+G207+I207+K207+M207+O207+Q207+S207+U207+W207+Y207</f>
        <v/>
      </c>
    </row>
    <row r="208">
      <c r="A208" s="44">
        <f>'2026 Ιανουάριος'!C134</f>
        <v/>
      </c>
      <c r="B208" s="35" t="n">
        <v>2026</v>
      </c>
      <c r="C208" s="173">
        <f>'2026 Ιανουάριος'!D134</f>
        <v/>
      </c>
      <c r="D208" s="36">
        <f>C208</f>
        <v/>
      </c>
      <c r="E208" s="173">
        <f>'2026 Φεβρουάριος'!D134</f>
        <v/>
      </c>
      <c r="F208" s="36">
        <f>D208+E208</f>
        <v/>
      </c>
      <c r="G208" s="173">
        <f>'2026 Μάρτιος'!D134</f>
        <v/>
      </c>
      <c r="H208" s="36">
        <f>F208+G208</f>
        <v/>
      </c>
      <c r="I208" s="173">
        <f>'2026 Απρίλιος'!D134</f>
        <v/>
      </c>
      <c r="J208" s="36">
        <f>H208+I208</f>
        <v/>
      </c>
      <c r="K208" s="173">
        <f>'2026 Μάιος'!D134</f>
        <v/>
      </c>
      <c r="L208" s="36">
        <f>J208+K208</f>
        <v/>
      </c>
      <c r="M208" s="173">
        <f>'2026 Ιούνιος'!D134</f>
        <v/>
      </c>
      <c r="N208" s="36">
        <f>L208+M208</f>
        <v/>
      </c>
      <c r="O208" s="173">
        <f>'2026 Ιούλιος'!D134</f>
        <v/>
      </c>
      <c r="P208" s="36">
        <f>N208+O208</f>
        <v/>
      </c>
      <c r="Q208" s="173">
        <f>'2026 Aύγουστος'!D134</f>
        <v/>
      </c>
      <c r="R208" s="36">
        <f>P208+Q208</f>
        <v/>
      </c>
      <c r="S208" s="173">
        <f>'2026 Σεπτέμβριος'!D134</f>
        <v/>
      </c>
      <c r="T208" s="36">
        <f>R208+S208</f>
        <v/>
      </c>
      <c r="U208" s="173">
        <f>'2026 Οκτώβριος'!D134</f>
        <v/>
      </c>
      <c r="V208" s="36">
        <f>T208+U208</f>
        <v/>
      </c>
      <c r="W208" s="173">
        <f>'2026 Νοέμβριος'!D134</f>
        <v/>
      </c>
      <c r="X208" s="36">
        <f>V208+W208</f>
        <v/>
      </c>
      <c r="Y208" s="173">
        <f>'2026 Δεκέμβριος'!D134</f>
        <v/>
      </c>
      <c r="Z208" s="36">
        <f>X208+Y208</f>
        <v/>
      </c>
      <c r="AA208" s="36">
        <f>C208+E208+G208+I208+K208+M208+O208+Q208+S208+U208+W208+Y208</f>
        <v/>
      </c>
    </row>
    <row r="209">
      <c r="A209" s="44">
        <f>'2026 Ιανουάριος'!C135</f>
        <v/>
      </c>
      <c r="B209" s="35" t="n">
        <v>2026</v>
      </c>
      <c r="C209" s="173">
        <f>'2026 Ιανουάριος'!D135</f>
        <v/>
      </c>
      <c r="D209" s="36">
        <f>C209</f>
        <v/>
      </c>
      <c r="E209" s="173">
        <f>'2026 Φεβρουάριος'!D135</f>
        <v/>
      </c>
      <c r="F209" s="36">
        <f>D209+E209</f>
        <v/>
      </c>
      <c r="G209" s="173">
        <f>'2026 Μάρτιος'!D135</f>
        <v/>
      </c>
      <c r="H209" s="36">
        <f>F209+G209</f>
        <v/>
      </c>
      <c r="I209" s="173">
        <f>'2026 Απρίλιος'!D135</f>
        <v/>
      </c>
      <c r="J209" s="36">
        <f>H209+I209</f>
        <v/>
      </c>
      <c r="K209" s="173">
        <f>'2026 Μάιος'!D135</f>
        <v/>
      </c>
      <c r="L209" s="36">
        <f>J209+K209</f>
        <v/>
      </c>
      <c r="M209" s="173">
        <f>'2026 Ιούνιος'!D135</f>
        <v/>
      </c>
      <c r="N209" s="36">
        <f>L209+M209</f>
        <v/>
      </c>
      <c r="O209" s="173">
        <f>'2026 Ιούλιος'!D135</f>
        <v/>
      </c>
      <c r="P209" s="36">
        <f>N209+O209</f>
        <v/>
      </c>
      <c r="Q209" s="173">
        <f>'2026 Aύγουστος'!D135</f>
        <v/>
      </c>
      <c r="R209" s="36">
        <f>P209+Q209</f>
        <v/>
      </c>
      <c r="S209" s="173">
        <f>'2026 Σεπτέμβριος'!D135</f>
        <v/>
      </c>
      <c r="T209" s="36">
        <f>R209+S209</f>
        <v/>
      </c>
      <c r="U209" s="173">
        <f>'2026 Οκτώβριος'!D135</f>
        <v/>
      </c>
      <c r="V209" s="36">
        <f>T209+U209</f>
        <v/>
      </c>
      <c r="W209" s="173">
        <f>'2026 Νοέμβριος'!D135</f>
        <v/>
      </c>
      <c r="X209" s="36">
        <f>V209+W209</f>
        <v/>
      </c>
      <c r="Y209" s="173">
        <f>'2026 Δεκέμβριος'!D135</f>
        <v/>
      </c>
      <c r="Z209" s="36">
        <f>X209+Y209</f>
        <v/>
      </c>
      <c r="AA209" s="36">
        <f>C209+E209+G209+I209+K209+M209+O209+Q209+S209+U209+W209+Y209</f>
        <v/>
      </c>
    </row>
    <row r="210">
      <c r="A210" s="44">
        <f>'2026 Ιανουάριος'!C136</f>
        <v/>
      </c>
      <c r="B210" s="35" t="n">
        <v>2026</v>
      </c>
      <c r="C210" s="173">
        <f>'2026 Ιανουάριος'!D136</f>
        <v/>
      </c>
      <c r="D210" s="36">
        <f>C210</f>
        <v/>
      </c>
      <c r="E210" s="173">
        <f>'2026 Φεβρουάριος'!D136</f>
        <v/>
      </c>
      <c r="F210" s="36">
        <f>D210+E210</f>
        <v/>
      </c>
      <c r="G210" s="173">
        <f>'2026 Μάρτιος'!D136</f>
        <v/>
      </c>
      <c r="H210" s="36">
        <f>F210+G210</f>
        <v/>
      </c>
      <c r="I210" s="173">
        <f>'2026 Απρίλιος'!D136</f>
        <v/>
      </c>
      <c r="J210" s="36">
        <f>H210+I210</f>
        <v/>
      </c>
      <c r="K210" s="173">
        <f>'2026 Μάιος'!D136</f>
        <v/>
      </c>
      <c r="L210" s="36">
        <f>J210+K210</f>
        <v/>
      </c>
      <c r="M210" s="173">
        <f>'2026 Ιούνιος'!D136</f>
        <v/>
      </c>
      <c r="N210" s="36">
        <f>L210+M210</f>
        <v/>
      </c>
      <c r="O210" s="173">
        <f>'2026 Ιούλιος'!D136</f>
        <v/>
      </c>
      <c r="P210" s="36">
        <f>N210+O210</f>
        <v/>
      </c>
      <c r="Q210" s="173">
        <f>'2026 Aύγουστος'!D136</f>
        <v/>
      </c>
      <c r="R210" s="36">
        <f>P210+Q210</f>
        <v/>
      </c>
      <c r="S210" s="173">
        <f>'2026 Σεπτέμβριος'!D136</f>
        <v/>
      </c>
      <c r="T210" s="36">
        <f>R210+S210</f>
        <v/>
      </c>
      <c r="U210" s="173">
        <f>'2026 Οκτώβριος'!D136</f>
        <v/>
      </c>
      <c r="V210" s="36">
        <f>T210+U210</f>
        <v/>
      </c>
      <c r="W210" s="173">
        <f>'2026 Νοέμβριος'!D136</f>
        <v/>
      </c>
      <c r="X210" s="36">
        <f>V210+W210</f>
        <v/>
      </c>
      <c r="Y210" s="173">
        <f>'2026 Δεκέμβριος'!D136</f>
        <v/>
      </c>
      <c r="Z210" s="36">
        <f>X210+Y210</f>
        <v/>
      </c>
      <c r="AA210" s="36">
        <f>C210+E210+G210+I210+K210+M210+O210+Q210+S210+U210+W210+Y210</f>
        <v/>
      </c>
    </row>
    <row r="211">
      <c r="A211" s="44">
        <f>'2026 Ιανουάριος'!C137</f>
        <v/>
      </c>
      <c r="B211" s="35" t="n">
        <v>2026</v>
      </c>
      <c r="C211" s="173">
        <f>'2026 Ιανουάριος'!D137</f>
        <v/>
      </c>
      <c r="D211" s="36">
        <f>C211</f>
        <v/>
      </c>
      <c r="E211" s="173">
        <f>'2026 Φεβρουάριος'!D137</f>
        <v/>
      </c>
      <c r="F211" s="36">
        <f>D211+E211</f>
        <v/>
      </c>
      <c r="G211" s="173">
        <f>'2026 Μάρτιος'!D137</f>
        <v/>
      </c>
      <c r="H211" s="36">
        <f>F211+G211</f>
        <v/>
      </c>
      <c r="I211" s="173">
        <f>'2026 Απρίλιος'!D137</f>
        <v/>
      </c>
      <c r="J211" s="36">
        <f>H211+I211</f>
        <v/>
      </c>
      <c r="K211" s="173">
        <f>'2026 Μάιος'!D137</f>
        <v/>
      </c>
      <c r="L211" s="36">
        <f>J211+K211</f>
        <v/>
      </c>
      <c r="M211" s="173">
        <f>'2026 Ιούνιος'!D137</f>
        <v/>
      </c>
      <c r="N211" s="36">
        <f>L211+M211</f>
        <v/>
      </c>
      <c r="O211" s="173">
        <f>'2026 Ιούλιος'!D137</f>
        <v/>
      </c>
      <c r="P211" s="36">
        <f>N211+O211</f>
        <v/>
      </c>
      <c r="Q211" s="173">
        <f>'2026 Aύγουστος'!D137</f>
        <v/>
      </c>
      <c r="R211" s="36">
        <f>P211+Q211</f>
        <v/>
      </c>
      <c r="S211" s="173">
        <f>'2026 Σεπτέμβριος'!D137</f>
        <v/>
      </c>
      <c r="T211" s="36">
        <f>R211+S211</f>
        <v/>
      </c>
      <c r="U211" s="173">
        <f>'2026 Οκτώβριος'!D137</f>
        <v/>
      </c>
      <c r="V211" s="36">
        <f>T211+U211</f>
        <v/>
      </c>
      <c r="W211" s="173">
        <f>'2026 Νοέμβριος'!D137</f>
        <v/>
      </c>
      <c r="X211" s="36">
        <f>V211+W211</f>
        <v/>
      </c>
      <c r="Y211" s="173">
        <f>'2026 Δεκέμβριος'!D137</f>
        <v/>
      </c>
      <c r="Z211" s="36">
        <f>X211+Y211</f>
        <v/>
      </c>
      <c r="AA211" s="36">
        <f>C211+E211+G211+I211+K211+M211+O211+Q211+S211+U211+W211+Y211</f>
        <v/>
      </c>
    </row>
    <row r="212">
      <c r="A212" s="44">
        <f>'2026 Ιανουάριος'!C138</f>
        <v/>
      </c>
      <c r="B212" s="35" t="n">
        <v>2026</v>
      </c>
      <c r="C212" s="173">
        <f>'2026 Ιανουάριος'!D138</f>
        <v/>
      </c>
      <c r="D212" s="36">
        <f>C212</f>
        <v/>
      </c>
      <c r="E212" s="173">
        <f>'2026 Φεβρουάριος'!D138</f>
        <v/>
      </c>
      <c r="F212" s="36">
        <f>D212+E212</f>
        <v/>
      </c>
      <c r="G212" s="173">
        <f>'2026 Μάρτιος'!D138</f>
        <v/>
      </c>
      <c r="H212" s="36">
        <f>F212+G212</f>
        <v/>
      </c>
      <c r="I212" s="173">
        <f>'2026 Απρίλιος'!D138</f>
        <v/>
      </c>
      <c r="J212" s="36">
        <f>H212+I212</f>
        <v/>
      </c>
      <c r="K212" s="173">
        <f>'2026 Μάιος'!D138</f>
        <v/>
      </c>
      <c r="L212" s="36">
        <f>J212+K212</f>
        <v/>
      </c>
      <c r="M212" s="173">
        <f>'2026 Ιούνιος'!D138</f>
        <v/>
      </c>
      <c r="N212" s="36">
        <f>L212+M212</f>
        <v/>
      </c>
      <c r="O212" s="173">
        <f>'2026 Ιούλιος'!D138</f>
        <v/>
      </c>
      <c r="P212" s="36">
        <f>N212+O212</f>
        <v/>
      </c>
      <c r="Q212" s="173">
        <f>'2026 Aύγουστος'!D138</f>
        <v/>
      </c>
      <c r="R212" s="36">
        <f>P212+Q212</f>
        <v/>
      </c>
      <c r="S212" s="173">
        <f>'2026 Σεπτέμβριος'!D138</f>
        <v/>
      </c>
      <c r="T212" s="36">
        <f>R212+S212</f>
        <v/>
      </c>
      <c r="U212" s="173">
        <f>'2026 Οκτώβριος'!D138</f>
        <v/>
      </c>
      <c r="V212" s="36">
        <f>T212+U212</f>
        <v/>
      </c>
      <c r="W212" s="173">
        <f>'2026 Νοέμβριος'!D138</f>
        <v/>
      </c>
      <c r="X212" s="36">
        <f>V212+W212</f>
        <v/>
      </c>
      <c r="Y212" s="173">
        <f>'2026 Δεκέμβριος'!D138</f>
        <v/>
      </c>
      <c r="Z212" s="36">
        <f>X212+Y212</f>
        <v/>
      </c>
      <c r="AA212" s="36">
        <f>C212+E212+G212+I212+K212+M212+O212+Q212+S212+U212+W212+Y212</f>
        <v/>
      </c>
    </row>
    <row r="213">
      <c r="A213" s="44">
        <f>'2026 Ιανουάριος'!C139</f>
        <v/>
      </c>
      <c r="B213" s="35" t="n">
        <v>2026</v>
      </c>
      <c r="C213" s="173">
        <f>'2026 Ιανουάριος'!D139</f>
        <v/>
      </c>
      <c r="D213" s="36">
        <f>C213</f>
        <v/>
      </c>
      <c r="E213" s="173">
        <f>'2026 Φεβρουάριος'!D139</f>
        <v/>
      </c>
      <c r="F213" s="36">
        <f>D213+E213</f>
        <v/>
      </c>
      <c r="G213" s="173">
        <f>'2026 Μάρτιος'!D139</f>
        <v/>
      </c>
      <c r="H213" s="36">
        <f>F213+G213</f>
        <v/>
      </c>
      <c r="I213" s="173">
        <f>'2026 Απρίλιος'!D139</f>
        <v/>
      </c>
      <c r="J213" s="36">
        <f>H213+I213</f>
        <v/>
      </c>
      <c r="K213" s="173">
        <f>'2026 Μάιος'!D139</f>
        <v/>
      </c>
      <c r="L213" s="36">
        <f>J213+K213</f>
        <v/>
      </c>
      <c r="M213" s="173">
        <f>'2026 Ιούνιος'!D139</f>
        <v/>
      </c>
      <c r="N213" s="36">
        <f>L213+M213</f>
        <v/>
      </c>
      <c r="O213" s="173">
        <f>'2026 Ιούλιος'!D139</f>
        <v/>
      </c>
      <c r="P213" s="36">
        <f>N213+O213</f>
        <v/>
      </c>
      <c r="Q213" s="173">
        <f>'2026 Aύγουστος'!D139</f>
        <v/>
      </c>
      <c r="R213" s="36">
        <f>P213+Q213</f>
        <v/>
      </c>
      <c r="S213" s="173">
        <f>'2026 Σεπτέμβριος'!D139</f>
        <v/>
      </c>
      <c r="T213" s="36">
        <f>R213+S213</f>
        <v/>
      </c>
      <c r="U213" s="173">
        <f>'2026 Οκτώβριος'!D139</f>
        <v/>
      </c>
      <c r="V213" s="36">
        <f>T213+U213</f>
        <v/>
      </c>
      <c r="W213" s="173">
        <f>'2026 Νοέμβριος'!D139</f>
        <v/>
      </c>
      <c r="X213" s="36">
        <f>V213+W213</f>
        <v/>
      </c>
      <c r="Y213" s="173">
        <f>'2026 Δεκέμβριος'!D139</f>
        <v/>
      </c>
      <c r="Z213" s="36">
        <f>X213+Y213</f>
        <v/>
      </c>
      <c r="AA213" s="36">
        <f>C213+E213+G213+I213+K213+M213+O213+Q213+S213+U213+W213+Y213</f>
        <v/>
      </c>
    </row>
    <row r="214">
      <c r="A214" s="44">
        <f>'2026 Ιανουάριος'!C140</f>
        <v/>
      </c>
      <c r="B214" s="35" t="n">
        <v>2026</v>
      </c>
      <c r="C214" s="173">
        <f>'2026 Ιανουάριος'!D140</f>
        <v/>
      </c>
      <c r="D214" s="36">
        <f>C214</f>
        <v/>
      </c>
      <c r="E214" s="173">
        <f>'2026 Φεβρουάριος'!D140</f>
        <v/>
      </c>
      <c r="F214" s="36">
        <f>D214+E214</f>
        <v/>
      </c>
      <c r="G214" s="173">
        <f>'2026 Μάρτιος'!D140</f>
        <v/>
      </c>
      <c r="H214" s="36">
        <f>F214+G214</f>
        <v/>
      </c>
      <c r="I214" s="173">
        <f>'2026 Απρίλιος'!D140</f>
        <v/>
      </c>
      <c r="J214" s="36">
        <f>H214+I214</f>
        <v/>
      </c>
      <c r="K214" s="173">
        <f>'2026 Μάιος'!D140</f>
        <v/>
      </c>
      <c r="L214" s="36">
        <f>J214+K214</f>
        <v/>
      </c>
      <c r="M214" s="173">
        <f>'2026 Ιούνιος'!D140</f>
        <v/>
      </c>
      <c r="N214" s="36">
        <f>L214+M214</f>
        <v/>
      </c>
      <c r="O214" s="173">
        <f>'2026 Ιούλιος'!D140</f>
        <v/>
      </c>
      <c r="P214" s="36">
        <f>N214+O214</f>
        <v/>
      </c>
      <c r="Q214" s="173">
        <f>'2026 Aύγουστος'!D140</f>
        <v/>
      </c>
      <c r="R214" s="36">
        <f>P214+Q214</f>
        <v/>
      </c>
      <c r="S214" s="173">
        <f>'2026 Σεπτέμβριος'!D140</f>
        <v/>
      </c>
      <c r="T214" s="36">
        <f>R214+S214</f>
        <v/>
      </c>
      <c r="U214" s="173">
        <f>'2026 Οκτώβριος'!D140</f>
        <v/>
      </c>
      <c r="V214" s="36">
        <f>T214+U214</f>
        <v/>
      </c>
      <c r="W214" s="173">
        <f>'2026 Νοέμβριος'!D140</f>
        <v/>
      </c>
      <c r="X214" s="36">
        <f>V214+W214</f>
        <v/>
      </c>
      <c r="Y214" s="173">
        <f>'2026 Δεκέμβριος'!D140</f>
        <v/>
      </c>
      <c r="Z214" s="36">
        <f>X214+Y214</f>
        <v/>
      </c>
      <c r="AA214" s="36">
        <f>C214+E214+G214+I214+K214+M214+O214+Q214+S214+U214+W214+Y214</f>
        <v/>
      </c>
    </row>
    <row r="215">
      <c r="A215" s="44">
        <f>'2026 Ιανουάριος'!C141</f>
        <v/>
      </c>
      <c r="B215" s="35" t="n">
        <v>2026</v>
      </c>
      <c r="C215" s="173">
        <f>'2026 Ιανουάριος'!D141</f>
        <v/>
      </c>
      <c r="D215" s="36">
        <f>C215</f>
        <v/>
      </c>
      <c r="E215" s="173">
        <f>'2026 Φεβρουάριος'!D141</f>
        <v/>
      </c>
      <c r="F215" s="36">
        <f>D215+E215</f>
        <v/>
      </c>
      <c r="G215" s="173">
        <f>'2026 Μάρτιος'!D141</f>
        <v/>
      </c>
      <c r="H215" s="36">
        <f>F215+G215</f>
        <v/>
      </c>
      <c r="I215" s="173">
        <f>'2026 Απρίλιος'!D141</f>
        <v/>
      </c>
      <c r="J215" s="36">
        <f>H215+I215</f>
        <v/>
      </c>
      <c r="K215" s="173">
        <f>'2026 Μάιος'!D141</f>
        <v/>
      </c>
      <c r="L215" s="36">
        <f>J215+K215</f>
        <v/>
      </c>
      <c r="M215" s="173">
        <f>'2026 Ιούνιος'!D141</f>
        <v/>
      </c>
      <c r="N215" s="36">
        <f>L215+M215</f>
        <v/>
      </c>
      <c r="O215" s="173">
        <f>'2026 Ιούλιος'!D141</f>
        <v/>
      </c>
      <c r="P215" s="36">
        <f>N215+O215</f>
        <v/>
      </c>
      <c r="Q215" s="173">
        <f>'2026 Aύγουστος'!D141</f>
        <v/>
      </c>
      <c r="R215" s="36">
        <f>P215+Q215</f>
        <v/>
      </c>
      <c r="S215" s="173">
        <f>'2026 Σεπτέμβριος'!D141</f>
        <v/>
      </c>
      <c r="T215" s="36">
        <f>R215+S215</f>
        <v/>
      </c>
      <c r="U215" s="173">
        <f>'2026 Οκτώβριος'!D141</f>
        <v/>
      </c>
      <c r="V215" s="36">
        <f>T215+U215</f>
        <v/>
      </c>
      <c r="W215" s="173">
        <f>'2026 Νοέμβριος'!D141</f>
        <v/>
      </c>
      <c r="X215" s="36">
        <f>V215+W215</f>
        <v/>
      </c>
      <c r="Y215" s="173">
        <f>'2026 Δεκέμβριος'!D141</f>
        <v/>
      </c>
      <c r="Z215" s="36">
        <f>X215+Y215</f>
        <v/>
      </c>
      <c r="AA215" s="36">
        <f>C215+E215+G215+I215+K215+M215+O215+Q215+S215+U215+W215+Y215</f>
        <v/>
      </c>
    </row>
    <row r="216">
      <c r="A216" s="44">
        <f>'2026 Ιανουάριος'!C142</f>
        <v/>
      </c>
      <c r="B216" s="35" t="n">
        <v>2026</v>
      </c>
      <c r="C216" s="173">
        <f>'2026 Ιανουάριος'!D142</f>
        <v/>
      </c>
      <c r="D216" s="36">
        <f>C216</f>
        <v/>
      </c>
      <c r="E216" s="173">
        <f>'2026 Φεβρουάριος'!D142</f>
        <v/>
      </c>
      <c r="F216" s="36">
        <f>D216+E216</f>
        <v/>
      </c>
      <c r="G216" s="173">
        <f>'2026 Μάρτιος'!D142</f>
        <v/>
      </c>
      <c r="H216" s="36">
        <f>F216+G216</f>
        <v/>
      </c>
      <c r="I216" s="173">
        <f>'2026 Απρίλιος'!D142</f>
        <v/>
      </c>
      <c r="J216" s="36">
        <f>H216+I216</f>
        <v/>
      </c>
      <c r="K216" s="173">
        <f>'2026 Μάιος'!D142</f>
        <v/>
      </c>
      <c r="L216" s="36">
        <f>J216+K216</f>
        <v/>
      </c>
      <c r="M216" s="173">
        <f>'2026 Ιούνιος'!D142</f>
        <v/>
      </c>
      <c r="N216" s="36">
        <f>L216+M216</f>
        <v/>
      </c>
      <c r="O216" s="173">
        <f>'2026 Ιούλιος'!D142</f>
        <v/>
      </c>
      <c r="P216" s="36">
        <f>N216+O216</f>
        <v/>
      </c>
      <c r="Q216" s="173">
        <f>'2026 Aύγουστος'!D142</f>
        <v/>
      </c>
      <c r="R216" s="36">
        <f>P216+Q216</f>
        <v/>
      </c>
      <c r="S216" s="173">
        <f>'2026 Σεπτέμβριος'!D142</f>
        <v/>
      </c>
      <c r="T216" s="36">
        <f>R216+S216</f>
        <v/>
      </c>
      <c r="U216" s="173">
        <f>'2026 Οκτώβριος'!D142</f>
        <v/>
      </c>
      <c r="V216" s="36">
        <f>T216+U216</f>
        <v/>
      </c>
      <c r="W216" s="173">
        <f>'2026 Νοέμβριος'!D142</f>
        <v/>
      </c>
      <c r="X216" s="36">
        <f>V216+W216</f>
        <v/>
      </c>
      <c r="Y216" s="173">
        <f>'2026 Δεκέμβριος'!D142</f>
        <v/>
      </c>
      <c r="Z216" s="36">
        <f>X216+Y216</f>
        <v/>
      </c>
      <c r="AA216" s="36">
        <f>C216+E216+G216+I216+K216+M216+O216+Q216+S216+U216+W216+Y216</f>
        <v/>
      </c>
    </row>
    <row r="217" ht="28.5" customHeight="1">
      <c r="A217" s="44">
        <f>'2026 Ιανουάριος'!C143</f>
        <v/>
      </c>
      <c r="B217" s="35" t="n">
        <v>2026</v>
      </c>
      <c r="C217" s="173">
        <f>'2026 Ιανουάριος'!D143</f>
        <v/>
      </c>
      <c r="D217" s="36">
        <f>C217</f>
        <v/>
      </c>
      <c r="E217" s="173">
        <f>'2026 Φεβρουάριος'!D143</f>
        <v/>
      </c>
      <c r="F217" s="36">
        <f>D217+E217</f>
        <v/>
      </c>
      <c r="G217" s="173">
        <f>'2026 Μάρτιος'!D143</f>
        <v/>
      </c>
      <c r="H217" s="36">
        <f>F217+G217</f>
        <v/>
      </c>
      <c r="I217" s="173">
        <f>'2026 Απρίλιος'!D143</f>
        <v/>
      </c>
      <c r="J217" s="36">
        <f>H217+I217</f>
        <v/>
      </c>
      <c r="K217" s="173">
        <f>'2026 Μάιος'!D143</f>
        <v/>
      </c>
      <c r="L217" s="36">
        <f>J217+K217</f>
        <v/>
      </c>
      <c r="M217" s="173">
        <f>'2026 Ιούνιος'!D143</f>
        <v/>
      </c>
      <c r="N217" s="36">
        <f>L217+M217</f>
        <v/>
      </c>
      <c r="O217" s="173">
        <f>'2026 Ιούλιος'!D143</f>
        <v/>
      </c>
      <c r="P217" s="36">
        <f>N217+O217</f>
        <v/>
      </c>
      <c r="Q217" s="173">
        <f>'2026 Aύγουστος'!D143</f>
        <v/>
      </c>
      <c r="R217" s="36">
        <f>P217+Q217</f>
        <v/>
      </c>
      <c r="S217" s="173">
        <f>'2026 Σεπτέμβριος'!D143</f>
        <v/>
      </c>
      <c r="T217" s="36">
        <f>R217+S217</f>
        <v/>
      </c>
      <c r="U217" s="173">
        <f>'2026 Οκτώβριος'!D143</f>
        <v/>
      </c>
      <c r="V217" s="36">
        <f>T217+U217</f>
        <v/>
      </c>
      <c r="W217" s="173">
        <f>'2026 Νοέμβριος'!D143</f>
        <v/>
      </c>
      <c r="X217" s="36">
        <f>V217+W217</f>
        <v/>
      </c>
      <c r="Y217" s="173">
        <f>'2026 Δεκέμβριος'!D143</f>
        <v/>
      </c>
      <c r="Z217" s="36">
        <f>X217+Y217</f>
        <v/>
      </c>
      <c r="AA217" s="36">
        <f>C217+E217+G217+I217+K217+M217+O217+Q217+S217+U217+W217+Y217</f>
        <v/>
      </c>
    </row>
    <row r="218" ht="28.5" customHeight="1">
      <c r="A218" s="44">
        <f>'2026 Ιανουάριος'!C144</f>
        <v/>
      </c>
      <c r="B218" s="35" t="n">
        <v>2026</v>
      </c>
      <c r="C218" s="173">
        <f>'2026 Ιανουάριος'!D144</f>
        <v/>
      </c>
      <c r="D218" s="36">
        <f>C218</f>
        <v/>
      </c>
      <c r="E218" s="173">
        <f>'2026 Φεβρουάριος'!D144</f>
        <v/>
      </c>
      <c r="F218" s="36">
        <f>D218+E218</f>
        <v/>
      </c>
      <c r="G218" s="173">
        <f>'2026 Μάρτιος'!D144</f>
        <v/>
      </c>
      <c r="H218" s="36">
        <f>F218+G218</f>
        <v/>
      </c>
      <c r="I218" s="173">
        <f>'2026 Απρίλιος'!D144</f>
        <v/>
      </c>
      <c r="J218" s="36">
        <f>H218+I218</f>
        <v/>
      </c>
      <c r="K218" s="173">
        <f>'2026 Μάιος'!D144</f>
        <v/>
      </c>
      <c r="L218" s="36">
        <f>J218+K218</f>
        <v/>
      </c>
      <c r="M218" s="173">
        <f>'2026 Ιούνιος'!D144</f>
        <v/>
      </c>
      <c r="N218" s="36">
        <f>L218+M218</f>
        <v/>
      </c>
      <c r="O218" s="173">
        <f>'2026 Ιούλιος'!D144</f>
        <v/>
      </c>
      <c r="P218" s="36">
        <f>N218+O218</f>
        <v/>
      </c>
      <c r="Q218" s="173">
        <f>'2026 Aύγουστος'!D144</f>
        <v/>
      </c>
      <c r="R218" s="36">
        <f>P218+Q218</f>
        <v/>
      </c>
      <c r="S218" s="173">
        <f>'2026 Σεπτέμβριος'!D144</f>
        <v/>
      </c>
      <c r="T218" s="36">
        <f>R218+S218</f>
        <v/>
      </c>
      <c r="U218" s="173">
        <f>'2026 Οκτώβριος'!D144</f>
        <v/>
      </c>
      <c r="V218" s="36">
        <f>T218+U218</f>
        <v/>
      </c>
      <c r="W218" s="173">
        <f>'2026 Νοέμβριος'!D144</f>
        <v/>
      </c>
      <c r="X218" s="36">
        <f>V218+W218</f>
        <v/>
      </c>
      <c r="Y218" s="173">
        <f>'2026 Δεκέμβριος'!D144</f>
        <v/>
      </c>
      <c r="Z218" s="36">
        <f>X218+Y218</f>
        <v/>
      </c>
      <c r="AA218" s="36">
        <f>C218+E218+G218+I218+K218+M218+O218+Q218+S218+U218+W218+Y218</f>
        <v/>
      </c>
    </row>
    <row r="219">
      <c r="A219" s="44">
        <f>'2026 Ιανουάριος'!C145</f>
        <v/>
      </c>
      <c r="B219" s="35" t="n">
        <v>2026</v>
      </c>
      <c r="C219" s="173">
        <f>'2026 Ιανουάριος'!D145</f>
        <v/>
      </c>
      <c r="D219" s="36">
        <f>C219</f>
        <v/>
      </c>
      <c r="E219" s="173">
        <f>'2026 Φεβρουάριος'!D145</f>
        <v/>
      </c>
      <c r="F219" s="36">
        <f>D219+E219</f>
        <v/>
      </c>
      <c r="G219" s="173">
        <f>'2026 Μάρτιος'!D145</f>
        <v/>
      </c>
      <c r="H219" s="36">
        <f>F219+G219</f>
        <v/>
      </c>
      <c r="I219" s="173">
        <f>'2026 Απρίλιος'!D145</f>
        <v/>
      </c>
      <c r="J219" s="36">
        <f>H219+I219</f>
        <v/>
      </c>
      <c r="K219" s="173">
        <f>'2026 Μάιος'!D145</f>
        <v/>
      </c>
      <c r="L219" s="36">
        <f>J219+K219</f>
        <v/>
      </c>
      <c r="M219" s="173">
        <f>'2026 Ιούνιος'!D145</f>
        <v/>
      </c>
      <c r="N219" s="36">
        <f>L219+M219</f>
        <v/>
      </c>
      <c r="O219" s="173">
        <f>'2026 Ιούλιος'!D145</f>
        <v/>
      </c>
      <c r="P219" s="36">
        <f>N219+O219</f>
        <v/>
      </c>
      <c r="Q219" s="173">
        <f>'2026 Aύγουστος'!D145</f>
        <v/>
      </c>
      <c r="R219" s="36">
        <f>P219+Q219</f>
        <v/>
      </c>
      <c r="S219" s="173">
        <f>'2026 Σεπτέμβριος'!D145</f>
        <v/>
      </c>
      <c r="T219" s="36">
        <f>R219+S219</f>
        <v/>
      </c>
      <c r="U219" s="173">
        <f>'2026 Οκτώβριος'!D145</f>
        <v/>
      </c>
      <c r="V219" s="36">
        <f>T219+U219</f>
        <v/>
      </c>
      <c r="W219" s="173">
        <f>'2026 Νοέμβριος'!D145</f>
        <v/>
      </c>
      <c r="X219" s="36">
        <f>V219+W219</f>
        <v/>
      </c>
      <c r="Y219" s="173">
        <f>'2026 Δεκέμβριος'!D145</f>
        <v/>
      </c>
      <c r="Z219" s="36">
        <f>X219+Y219</f>
        <v/>
      </c>
      <c r="AA219" s="36">
        <f>C219+E219+G219+I219+K219+M219+O219+Q219+S219+U219+W219+Y219</f>
        <v/>
      </c>
    </row>
    <row r="220">
      <c r="A220" s="44">
        <f>'2026 Ιανουάριος'!C146</f>
        <v/>
      </c>
      <c r="B220" s="35" t="n">
        <v>2026</v>
      </c>
      <c r="C220" s="173">
        <f>'2026 Ιανουάριος'!D146</f>
        <v/>
      </c>
      <c r="D220" s="36">
        <f>C220</f>
        <v/>
      </c>
      <c r="E220" s="173">
        <f>'2026 Φεβρουάριος'!D146</f>
        <v/>
      </c>
      <c r="F220" s="36">
        <f>D220+E220</f>
        <v/>
      </c>
      <c r="G220" s="173">
        <f>'2026 Μάρτιος'!D146</f>
        <v/>
      </c>
      <c r="H220" s="36">
        <f>F220+G220</f>
        <v/>
      </c>
      <c r="I220" s="173">
        <f>'2026 Απρίλιος'!D146</f>
        <v/>
      </c>
      <c r="J220" s="36">
        <f>H220+I220</f>
        <v/>
      </c>
      <c r="K220" s="173">
        <f>'2026 Μάιος'!D146</f>
        <v/>
      </c>
      <c r="L220" s="36">
        <f>J220+K220</f>
        <v/>
      </c>
      <c r="M220" s="173">
        <f>'2026 Ιούνιος'!D146</f>
        <v/>
      </c>
      <c r="N220" s="36">
        <f>L220+M220</f>
        <v/>
      </c>
      <c r="O220" s="173">
        <f>'2026 Ιούλιος'!D146</f>
        <v/>
      </c>
      <c r="P220" s="36">
        <f>N220+O220</f>
        <v/>
      </c>
      <c r="Q220" s="173">
        <f>'2026 Aύγουστος'!D146</f>
        <v/>
      </c>
      <c r="R220" s="36">
        <f>P220+Q220</f>
        <v/>
      </c>
      <c r="S220" s="173">
        <f>'2026 Σεπτέμβριος'!D146</f>
        <v/>
      </c>
      <c r="T220" s="36">
        <f>R220+S220</f>
        <v/>
      </c>
      <c r="U220" s="173">
        <f>'2026 Οκτώβριος'!D146</f>
        <v/>
      </c>
      <c r="V220" s="36">
        <f>T220+U220</f>
        <v/>
      </c>
      <c r="W220" s="173">
        <f>'2026 Νοέμβριος'!D146</f>
        <v/>
      </c>
      <c r="X220" s="36">
        <f>V220+W220</f>
        <v/>
      </c>
      <c r="Y220" s="173">
        <f>'2026 Δεκέμβριος'!D146</f>
        <v/>
      </c>
      <c r="Z220" s="36">
        <f>X220+Y220</f>
        <v/>
      </c>
      <c r="AA220" s="36">
        <f>C220+E220+G220+I220+K220+M220+O220+Q220+S220+U220+W220+Y220</f>
        <v/>
      </c>
    </row>
    <row r="221">
      <c r="A221" s="44">
        <f>'2026 Ιανουάριος'!C147</f>
        <v/>
      </c>
      <c r="B221" s="35" t="n">
        <v>2026</v>
      </c>
      <c r="C221" s="173">
        <f>'2026 Ιανουάριος'!D147</f>
        <v/>
      </c>
      <c r="D221" s="36">
        <f>C221</f>
        <v/>
      </c>
      <c r="E221" s="173">
        <f>'2026 Φεβρουάριος'!D147</f>
        <v/>
      </c>
      <c r="F221" s="36">
        <f>D221+E221</f>
        <v/>
      </c>
      <c r="G221" s="173">
        <f>'2026 Μάρτιος'!D147</f>
        <v/>
      </c>
      <c r="H221" s="36">
        <f>F221+G221</f>
        <v/>
      </c>
      <c r="I221" s="173">
        <f>'2026 Απρίλιος'!D147</f>
        <v/>
      </c>
      <c r="J221" s="36">
        <f>H221+I221</f>
        <v/>
      </c>
      <c r="K221" s="173">
        <f>'2026 Μάιος'!D147</f>
        <v/>
      </c>
      <c r="L221" s="36">
        <f>J221+K221</f>
        <v/>
      </c>
      <c r="M221" s="173">
        <f>'2026 Ιούνιος'!D147</f>
        <v/>
      </c>
      <c r="N221" s="36">
        <f>L221+M221</f>
        <v/>
      </c>
      <c r="O221" s="173">
        <f>'2026 Ιούλιος'!D147</f>
        <v/>
      </c>
      <c r="P221" s="36">
        <f>N221+O221</f>
        <v/>
      </c>
      <c r="Q221" s="173">
        <f>'2026 Aύγουστος'!D147</f>
        <v/>
      </c>
      <c r="R221" s="36">
        <f>P221+Q221</f>
        <v/>
      </c>
      <c r="S221" s="173">
        <f>'2026 Σεπτέμβριος'!D147</f>
        <v/>
      </c>
      <c r="T221" s="36">
        <f>R221+S221</f>
        <v/>
      </c>
      <c r="U221" s="173">
        <f>'2026 Οκτώβριος'!D147</f>
        <v/>
      </c>
      <c r="V221" s="36">
        <f>T221+U221</f>
        <v/>
      </c>
      <c r="W221" s="173">
        <f>'2026 Νοέμβριος'!D147</f>
        <v/>
      </c>
      <c r="X221" s="36">
        <f>V221+W221</f>
        <v/>
      </c>
      <c r="Y221" s="173">
        <f>'2026 Δεκέμβριος'!D147</f>
        <v/>
      </c>
      <c r="Z221" s="36">
        <f>X221+Y221</f>
        <v/>
      </c>
      <c r="AA221" s="36">
        <f>C221+E221+G221+I221+K221+M221+O221+Q221+S221+U221+W221+Y221</f>
        <v/>
      </c>
    </row>
    <row r="222">
      <c r="A222" s="44">
        <f>'2026 Ιανουάριος'!C148</f>
        <v/>
      </c>
      <c r="B222" s="35" t="n">
        <v>2026</v>
      </c>
      <c r="C222" s="173">
        <f>'2026 Ιανουάριος'!D148</f>
        <v/>
      </c>
      <c r="D222" s="36">
        <f>C222</f>
        <v/>
      </c>
      <c r="E222" s="173">
        <f>'2026 Φεβρουάριος'!D148</f>
        <v/>
      </c>
      <c r="F222" s="36">
        <f>D222+E222</f>
        <v/>
      </c>
      <c r="G222" s="173">
        <f>'2026 Μάρτιος'!D148</f>
        <v/>
      </c>
      <c r="H222" s="36">
        <f>F222+G222</f>
        <v/>
      </c>
      <c r="I222" s="173">
        <f>'2026 Απρίλιος'!D148</f>
        <v/>
      </c>
      <c r="J222" s="36">
        <f>H222+I222</f>
        <v/>
      </c>
      <c r="K222" s="173">
        <f>'2026 Μάιος'!D148</f>
        <v/>
      </c>
      <c r="L222" s="36">
        <f>J222+K222</f>
        <v/>
      </c>
      <c r="M222" s="173">
        <f>'2026 Ιούνιος'!D148</f>
        <v/>
      </c>
      <c r="N222" s="36">
        <f>L222+M222</f>
        <v/>
      </c>
      <c r="O222" s="173">
        <f>'2026 Ιούλιος'!D148</f>
        <v/>
      </c>
      <c r="P222" s="36">
        <f>N222+O222</f>
        <v/>
      </c>
      <c r="Q222" s="173">
        <f>'2026 Aύγουστος'!D148</f>
        <v/>
      </c>
      <c r="R222" s="36">
        <f>P222+Q222</f>
        <v/>
      </c>
      <c r="S222" s="173">
        <f>'2026 Σεπτέμβριος'!D148</f>
        <v/>
      </c>
      <c r="T222" s="36">
        <f>R222+S222</f>
        <v/>
      </c>
      <c r="U222" s="173">
        <f>'2026 Οκτώβριος'!D148</f>
        <v/>
      </c>
      <c r="V222" s="36">
        <f>T222+U222</f>
        <v/>
      </c>
      <c r="W222" s="173">
        <f>'2026 Νοέμβριος'!D148</f>
        <v/>
      </c>
      <c r="X222" s="36">
        <f>V222+W222</f>
        <v/>
      </c>
      <c r="Y222" s="173">
        <f>'2026 Δεκέμβριος'!D148</f>
        <v/>
      </c>
      <c r="Z222" s="36">
        <f>X222+Y222</f>
        <v/>
      </c>
      <c r="AA222" s="36">
        <f>C222+E222+G222+I222+K222+M222+O222+Q222+S222+U222+W222+Y222</f>
        <v/>
      </c>
    </row>
    <row r="223">
      <c r="A223" s="44">
        <f>'2026 Ιανουάριος'!C149</f>
        <v/>
      </c>
      <c r="B223" s="35" t="n">
        <v>2026</v>
      </c>
      <c r="C223" s="173">
        <f>'2026 Ιανουάριος'!D149</f>
        <v/>
      </c>
      <c r="D223" s="36">
        <f>C223</f>
        <v/>
      </c>
      <c r="E223" s="173">
        <f>'2026 Φεβρουάριος'!D149</f>
        <v/>
      </c>
      <c r="F223" s="36">
        <f>D223+E223</f>
        <v/>
      </c>
      <c r="G223" s="173">
        <f>'2026 Μάρτιος'!D149</f>
        <v/>
      </c>
      <c r="H223" s="36">
        <f>F223+G223</f>
        <v/>
      </c>
      <c r="I223" s="173">
        <f>'2026 Απρίλιος'!D149</f>
        <v/>
      </c>
      <c r="J223" s="36">
        <f>H223+I223</f>
        <v/>
      </c>
      <c r="K223" s="173">
        <f>'2026 Μάιος'!D149</f>
        <v/>
      </c>
      <c r="L223" s="36">
        <f>J223+K223</f>
        <v/>
      </c>
      <c r="M223" s="173">
        <f>'2026 Ιούνιος'!D149</f>
        <v/>
      </c>
      <c r="N223" s="36">
        <f>L223+M223</f>
        <v/>
      </c>
      <c r="O223" s="173">
        <f>'2026 Ιούλιος'!D149</f>
        <v/>
      </c>
      <c r="P223" s="36">
        <f>N223+O223</f>
        <v/>
      </c>
      <c r="Q223" s="173">
        <f>'2026 Aύγουστος'!D149</f>
        <v/>
      </c>
      <c r="R223" s="36">
        <f>P223+Q223</f>
        <v/>
      </c>
      <c r="S223" s="173">
        <f>'2026 Σεπτέμβριος'!D149</f>
        <v/>
      </c>
      <c r="T223" s="36">
        <f>R223+S223</f>
        <v/>
      </c>
      <c r="U223" s="173">
        <f>'2026 Οκτώβριος'!D149</f>
        <v/>
      </c>
      <c r="V223" s="36">
        <f>T223+U223</f>
        <v/>
      </c>
      <c r="W223" s="173">
        <f>'2026 Νοέμβριος'!D149</f>
        <v/>
      </c>
      <c r="X223" s="36">
        <f>V223+W223</f>
        <v/>
      </c>
      <c r="Y223" s="173">
        <f>'2026 Δεκέμβριος'!D149</f>
        <v/>
      </c>
      <c r="Z223" s="36">
        <f>X223+Y223</f>
        <v/>
      </c>
      <c r="AA223" s="36">
        <f>C223+E223+G223+I223+K223+M223+O223+Q223+S223+U223+W223+Y223</f>
        <v/>
      </c>
    </row>
    <row r="224">
      <c r="A224" s="44">
        <f>'2026 Ιανουάριος'!C150</f>
        <v/>
      </c>
      <c r="B224" s="35" t="n">
        <v>2026</v>
      </c>
      <c r="C224" s="173">
        <f>'2026 Ιανουάριος'!D150</f>
        <v/>
      </c>
      <c r="D224" s="36">
        <f>C224</f>
        <v/>
      </c>
      <c r="E224" s="173">
        <f>'2026 Φεβρουάριος'!D150</f>
        <v/>
      </c>
      <c r="F224" s="36">
        <f>D224+E224</f>
        <v/>
      </c>
      <c r="G224" s="173">
        <f>'2026 Μάρτιος'!D150</f>
        <v/>
      </c>
      <c r="H224" s="36">
        <f>F224+G224</f>
        <v/>
      </c>
      <c r="I224" s="173">
        <f>'2026 Απρίλιος'!D150</f>
        <v/>
      </c>
      <c r="J224" s="36">
        <f>H224+I224</f>
        <v/>
      </c>
      <c r="K224" s="173">
        <f>'2026 Μάιος'!D150</f>
        <v/>
      </c>
      <c r="L224" s="36">
        <f>J224+K224</f>
        <v/>
      </c>
      <c r="M224" s="173">
        <f>'2026 Ιούνιος'!D150</f>
        <v/>
      </c>
      <c r="N224" s="36">
        <f>L224+M224</f>
        <v/>
      </c>
      <c r="O224" s="173">
        <f>'2026 Ιούλιος'!D150</f>
        <v/>
      </c>
      <c r="P224" s="36">
        <f>N224+O224</f>
        <v/>
      </c>
      <c r="Q224" s="173">
        <f>'2026 Aύγουστος'!D150</f>
        <v/>
      </c>
      <c r="R224" s="36">
        <f>P224+Q224</f>
        <v/>
      </c>
      <c r="S224" s="173">
        <f>'2026 Σεπτέμβριος'!D150</f>
        <v/>
      </c>
      <c r="T224" s="36">
        <f>R224+S224</f>
        <v/>
      </c>
      <c r="U224" s="173">
        <f>'2026 Οκτώβριος'!D150</f>
        <v/>
      </c>
      <c r="V224" s="36">
        <f>T224+U224</f>
        <v/>
      </c>
      <c r="W224" s="173">
        <f>'2026 Νοέμβριος'!D150</f>
        <v/>
      </c>
      <c r="X224" s="36">
        <f>V224+W224</f>
        <v/>
      </c>
      <c r="Y224" s="173">
        <f>'2026 Δεκέμβριος'!D150</f>
        <v/>
      </c>
      <c r="Z224" s="36">
        <f>X224+Y224</f>
        <v/>
      </c>
      <c r="AA224" s="36">
        <f>C224+E224+G224+I224+K224+M224+O224+Q224+S224+U224+W224+Y224</f>
        <v/>
      </c>
    </row>
    <row r="225">
      <c r="A225" s="44">
        <f>'2026 Ιανουάριος'!C151</f>
        <v/>
      </c>
      <c r="B225" s="35" t="n">
        <v>2026</v>
      </c>
      <c r="C225" s="173">
        <f>'2026 Ιανουάριος'!D151</f>
        <v/>
      </c>
      <c r="D225" s="36">
        <f>C225</f>
        <v/>
      </c>
      <c r="E225" s="173">
        <f>'2026 Φεβρουάριος'!D151</f>
        <v/>
      </c>
      <c r="F225" s="36">
        <f>D225+E225</f>
        <v/>
      </c>
      <c r="G225" s="173">
        <f>'2026 Μάρτιος'!D151</f>
        <v/>
      </c>
      <c r="H225" s="36">
        <f>F225+G225</f>
        <v/>
      </c>
      <c r="I225" s="173">
        <f>'2026 Απρίλιος'!D151</f>
        <v/>
      </c>
      <c r="J225" s="36">
        <f>H225+I225</f>
        <v/>
      </c>
      <c r="K225" s="173">
        <f>'2026 Μάιος'!D151</f>
        <v/>
      </c>
      <c r="L225" s="36">
        <f>J225+K225</f>
        <v/>
      </c>
      <c r="M225" s="173">
        <f>'2026 Ιούνιος'!D151</f>
        <v/>
      </c>
      <c r="N225" s="36">
        <f>L225+M225</f>
        <v/>
      </c>
      <c r="O225" s="173">
        <f>'2026 Ιούλιος'!D151</f>
        <v/>
      </c>
      <c r="P225" s="36">
        <f>N225+O225</f>
        <v/>
      </c>
      <c r="Q225" s="173">
        <f>'2026 Aύγουστος'!D151</f>
        <v/>
      </c>
      <c r="R225" s="36">
        <f>P225+Q225</f>
        <v/>
      </c>
      <c r="S225" s="173">
        <f>'2026 Σεπτέμβριος'!D151</f>
        <v/>
      </c>
      <c r="T225" s="36">
        <f>R225+S225</f>
        <v/>
      </c>
      <c r="U225" s="173">
        <f>'2026 Οκτώβριος'!D151</f>
        <v/>
      </c>
      <c r="V225" s="36">
        <f>T225+U225</f>
        <v/>
      </c>
      <c r="W225" s="173">
        <f>'2026 Νοέμβριος'!D151</f>
        <v/>
      </c>
      <c r="X225" s="36">
        <f>V225+W225</f>
        <v/>
      </c>
      <c r="Y225" s="173">
        <f>'2026 Δεκέμβριος'!D151</f>
        <v/>
      </c>
      <c r="Z225" s="36">
        <f>X225+Y225</f>
        <v/>
      </c>
      <c r="AA225" s="36">
        <f>C225+E225+G225+I225+K225+M225+O225+Q225+S225+U225+W225+Y225</f>
        <v/>
      </c>
    </row>
    <row r="226">
      <c r="A226" s="44">
        <f>'2026 Ιανουάριος'!C152</f>
        <v/>
      </c>
      <c r="B226" s="35" t="n">
        <v>2026</v>
      </c>
      <c r="C226" s="173">
        <f>'2026 Ιανουάριος'!D152</f>
        <v/>
      </c>
      <c r="D226" s="36">
        <f>C226</f>
        <v/>
      </c>
      <c r="E226" s="173">
        <f>'2026 Φεβρουάριος'!D152</f>
        <v/>
      </c>
      <c r="F226" s="36">
        <f>D226+E226</f>
        <v/>
      </c>
      <c r="G226" s="173">
        <f>'2026 Μάρτιος'!D152</f>
        <v/>
      </c>
      <c r="H226" s="36">
        <f>F226+G226</f>
        <v/>
      </c>
      <c r="I226" s="173">
        <f>'2026 Απρίλιος'!D152</f>
        <v/>
      </c>
      <c r="J226" s="36">
        <f>H226+I226</f>
        <v/>
      </c>
      <c r="K226" s="173">
        <f>'2026 Μάιος'!D152</f>
        <v/>
      </c>
      <c r="L226" s="36">
        <f>J226+K226</f>
        <v/>
      </c>
      <c r="M226" s="173">
        <f>'2026 Ιούνιος'!D152</f>
        <v/>
      </c>
      <c r="N226" s="36">
        <f>L226+M226</f>
        <v/>
      </c>
      <c r="O226" s="173">
        <f>'2026 Ιούλιος'!D152</f>
        <v/>
      </c>
      <c r="P226" s="36">
        <f>N226+O226</f>
        <v/>
      </c>
      <c r="Q226" s="173">
        <f>'2026 Aύγουστος'!D152</f>
        <v/>
      </c>
      <c r="R226" s="36">
        <f>P226+Q226</f>
        <v/>
      </c>
      <c r="S226" s="173">
        <f>'2026 Σεπτέμβριος'!D152</f>
        <v/>
      </c>
      <c r="T226" s="36">
        <f>R226+S226</f>
        <v/>
      </c>
      <c r="U226" s="173">
        <f>'2026 Οκτώβριος'!D152</f>
        <v/>
      </c>
      <c r="V226" s="36">
        <f>T226+U226</f>
        <v/>
      </c>
      <c r="W226" s="173">
        <f>'2026 Νοέμβριος'!D152</f>
        <v/>
      </c>
      <c r="X226" s="36">
        <f>V226+W226</f>
        <v/>
      </c>
      <c r="Y226" s="173">
        <f>'2026 Δεκέμβριος'!D152</f>
        <v/>
      </c>
      <c r="Z226" s="36">
        <f>X226+Y226</f>
        <v/>
      </c>
      <c r="AA226" s="36">
        <f>C226+E226+G226+I226+K226+M226+O226+Q226+S226+U226+W226+Y226</f>
        <v/>
      </c>
    </row>
    <row r="227" ht="28.5" customHeight="1">
      <c r="A227" s="44">
        <f>'2026 Ιανουάριος'!C153</f>
        <v/>
      </c>
      <c r="B227" s="35" t="n">
        <v>2026</v>
      </c>
      <c r="C227" s="173">
        <f>'2026 Ιανουάριος'!D153</f>
        <v/>
      </c>
      <c r="D227" s="36">
        <f>C227</f>
        <v/>
      </c>
      <c r="E227" s="173">
        <f>'2026 Φεβρουάριος'!D153</f>
        <v/>
      </c>
      <c r="F227" s="36">
        <f>D227+E227</f>
        <v/>
      </c>
      <c r="G227" s="173">
        <f>'2026 Μάρτιος'!D153</f>
        <v/>
      </c>
      <c r="H227" s="36">
        <f>F227+G227</f>
        <v/>
      </c>
      <c r="I227" s="173">
        <f>'2026 Απρίλιος'!D153</f>
        <v/>
      </c>
      <c r="J227" s="36">
        <f>H227+I227</f>
        <v/>
      </c>
      <c r="K227" s="173">
        <f>'2026 Μάιος'!D153</f>
        <v/>
      </c>
      <c r="L227" s="36">
        <f>J227+K227</f>
        <v/>
      </c>
      <c r="M227" s="173">
        <f>'2026 Ιούνιος'!D153</f>
        <v/>
      </c>
      <c r="N227" s="36">
        <f>L227+M227</f>
        <v/>
      </c>
      <c r="O227" s="173">
        <f>'2026 Ιούλιος'!D153</f>
        <v/>
      </c>
      <c r="P227" s="36">
        <f>N227+O227</f>
        <v/>
      </c>
      <c r="Q227" s="173">
        <f>'2026 Aύγουστος'!D153</f>
        <v/>
      </c>
      <c r="R227" s="36">
        <f>P227+Q227</f>
        <v/>
      </c>
      <c r="S227" s="173">
        <f>'2026 Σεπτέμβριος'!D153</f>
        <v/>
      </c>
      <c r="T227" s="36">
        <f>R227+S227</f>
        <v/>
      </c>
      <c r="U227" s="173">
        <f>'2026 Οκτώβριος'!D153</f>
        <v/>
      </c>
      <c r="V227" s="36">
        <f>T227+U227</f>
        <v/>
      </c>
      <c r="W227" s="173">
        <f>'2026 Νοέμβριος'!D153</f>
        <v/>
      </c>
      <c r="X227" s="36">
        <f>V227+W227</f>
        <v/>
      </c>
      <c r="Y227" s="173">
        <f>'2026 Δεκέμβριος'!D153</f>
        <v/>
      </c>
      <c r="Z227" s="36">
        <f>X227+Y227</f>
        <v/>
      </c>
      <c r="AA227" s="36">
        <f>C227+E227+G227+I227+K227+M227+O227+Q227+S227+U227+W227+Y227</f>
        <v/>
      </c>
    </row>
    <row r="228">
      <c r="A228" s="44">
        <f>'2026 Ιανουάριος'!C154</f>
        <v/>
      </c>
      <c r="B228" s="35" t="n">
        <v>2026</v>
      </c>
      <c r="C228" s="173">
        <f>'2026 Ιανουάριος'!D154</f>
        <v/>
      </c>
      <c r="D228" s="36">
        <f>C228</f>
        <v/>
      </c>
      <c r="E228" s="173">
        <f>'2026 Φεβρουάριος'!D154</f>
        <v/>
      </c>
      <c r="F228" s="36">
        <f>D228+E228</f>
        <v/>
      </c>
      <c r="G228" s="173">
        <f>'2026 Μάρτιος'!D154</f>
        <v/>
      </c>
      <c r="H228" s="36">
        <f>F228+G228</f>
        <v/>
      </c>
      <c r="I228" s="173">
        <f>'2026 Απρίλιος'!D154</f>
        <v/>
      </c>
      <c r="J228" s="36">
        <f>H228+I228</f>
        <v/>
      </c>
      <c r="K228" s="173">
        <f>'2026 Μάιος'!D154</f>
        <v/>
      </c>
      <c r="L228" s="36">
        <f>J228+K228</f>
        <v/>
      </c>
      <c r="M228" s="173">
        <f>'2026 Ιούνιος'!D154</f>
        <v/>
      </c>
      <c r="N228" s="36">
        <f>L228+M228</f>
        <v/>
      </c>
      <c r="O228" s="173">
        <f>'2026 Ιούλιος'!D154</f>
        <v/>
      </c>
      <c r="P228" s="36">
        <f>N228+O228</f>
        <v/>
      </c>
      <c r="Q228" s="173">
        <f>'2026 Aύγουστος'!D154</f>
        <v/>
      </c>
      <c r="R228" s="36">
        <f>P228+Q228</f>
        <v/>
      </c>
      <c r="S228" s="173">
        <f>'2026 Σεπτέμβριος'!D154</f>
        <v/>
      </c>
      <c r="T228" s="36">
        <f>R228+S228</f>
        <v/>
      </c>
      <c r="U228" s="173">
        <f>'2026 Οκτώβριος'!D154</f>
        <v/>
      </c>
      <c r="V228" s="36">
        <f>T228+U228</f>
        <v/>
      </c>
      <c r="W228" s="173">
        <f>'2026 Νοέμβριος'!D154</f>
        <v/>
      </c>
      <c r="X228" s="36">
        <f>V228+W228</f>
        <v/>
      </c>
      <c r="Y228" s="173">
        <f>'2026 Δεκέμβριος'!D154</f>
        <v/>
      </c>
      <c r="Z228" s="36">
        <f>X228+Y228</f>
        <v/>
      </c>
      <c r="AA228" s="36">
        <f>C228+E228+G228+I228+K228+M228+O228+Q228+S228+U228+W228+Y228</f>
        <v/>
      </c>
    </row>
    <row r="229">
      <c r="A229" s="44">
        <f>'2026 Ιανουάριος'!C155</f>
        <v/>
      </c>
      <c r="B229" s="35" t="n">
        <v>2026</v>
      </c>
      <c r="C229" s="173">
        <f>'2026 Ιανουάριος'!D155</f>
        <v/>
      </c>
      <c r="D229" s="36">
        <f>C229</f>
        <v/>
      </c>
      <c r="E229" s="173">
        <f>'2026 Φεβρουάριος'!D155</f>
        <v/>
      </c>
      <c r="F229" s="36">
        <f>D229+E229</f>
        <v/>
      </c>
      <c r="G229" s="173">
        <f>'2026 Μάρτιος'!D155</f>
        <v/>
      </c>
      <c r="H229" s="36">
        <f>F229+G229</f>
        <v/>
      </c>
      <c r="I229" s="173">
        <f>'2026 Απρίλιος'!D155</f>
        <v/>
      </c>
      <c r="J229" s="36">
        <f>H229+I229</f>
        <v/>
      </c>
      <c r="K229" s="173">
        <f>'2026 Μάιος'!D155</f>
        <v/>
      </c>
      <c r="L229" s="36">
        <f>J229+K229</f>
        <v/>
      </c>
      <c r="M229" s="173">
        <f>'2026 Ιούνιος'!D155</f>
        <v/>
      </c>
      <c r="N229" s="36">
        <f>L229+M229</f>
        <v/>
      </c>
      <c r="O229" s="173">
        <f>'2026 Ιούλιος'!D155</f>
        <v/>
      </c>
      <c r="P229" s="36">
        <f>N229+O229</f>
        <v/>
      </c>
      <c r="Q229" s="173">
        <f>'2026 Aύγουστος'!D155</f>
        <v/>
      </c>
      <c r="R229" s="36">
        <f>P229+Q229</f>
        <v/>
      </c>
      <c r="S229" s="173">
        <f>'2026 Σεπτέμβριος'!D155</f>
        <v/>
      </c>
      <c r="T229" s="36">
        <f>R229+S229</f>
        <v/>
      </c>
      <c r="U229" s="173">
        <f>'2026 Οκτώβριος'!D155</f>
        <v/>
      </c>
      <c r="V229" s="36">
        <f>T229+U229</f>
        <v/>
      </c>
      <c r="W229" s="173">
        <f>'2026 Νοέμβριος'!D155</f>
        <v/>
      </c>
      <c r="X229" s="36">
        <f>V229+W229</f>
        <v/>
      </c>
      <c r="Y229" s="173">
        <f>'2026 Δεκέμβριος'!D155</f>
        <v/>
      </c>
      <c r="Z229" s="36">
        <f>X229+Y229</f>
        <v/>
      </c>
      <c r="AA229" s="36">
        <f>C229+E229+G229+I229+K229+M229+O229+Q229+S229+U229+W229+Y229</f>
        <v/>
      </c>
    </row>
    <row r="230">
      <c r="A230" s="44">
        <f>'2026 Ιανουάριος'!C156</f>
        <v/>
      </c>
      <c r="B230" s="35" t="n">
        <v>2026</v>
      </c>
      <c r="C230" s="173">
        <f>'2026 Ιανουάριος'!D156</f>
        <v/>
      </c>
      <c r="D230" s="36">
        <f>C230</f>
        <v/>
      </c>
      <c r="E230" s="173">
        <f>'2026 Φεβρουάριος'!D156</f>
        <v/>
      </c>
      <c r="F230" s="36">
        <f>D230+E230</f>
        <v/>
      </c>
      <c r="G230" s="173">
        <f>'2026 Μάρτιος'!D156</f>
        <v/>
      </c>
      <c r="H230" s="36">
        <f>F230+G230</f>
        <v/>
      </c>
      <c r="I230" s="173">
        <f>'2026 Απρίλιος'!D156</f>
        <v/>
      </c>
      <c r="J230" s="36">
        <f>H230+I230</f>
        <v/>
      </c>
      <c r="K230" s="173">
        <f>'2026 Μάιος'!D156</f>
        <v/>
      </c>
      <c r="L230" s="36">
        <f>J230+K230</f>
        <v/>
      </c>
      <c r="M230" s="173">
        <f>'2026 Ιούνιος'!D156</f>
        <v/>
      </c>
      <c r="N230" s="36">
        <f>L230+M230</f>
        <v/>
      </c>
      <c r="O230" s="173">
        <f>'2026 Ιούλιος'!D156</f>
        <v/>
      </c>
      <c r="P230" s="36">
        <f>N230+O230</f>
        <v/>
      </c>
      <c r="Q230" s="173">
        <f>'2026 Aύγουστος'!D156</f>
        <v/>
      </c>
      <c r="R230" s="36">
        <f>P230+Q230</f>
        <v/>
      </c>
      <c r="S230" s="173">
        <f>'2026 Σεπτέμβριος'!D156</f>
        <v/>
      </c>
      <c r="T230" s="36">
        <f>R230+S230</f>
        <v/>
      </c>
      <c r="U230" s="173">
        <f>'2026 Οκτώβριος'!D156</f>
        <v/>
      </c>
      <c r="W230" s="173">
        <f>'2026 Νοέμβριος'!D156</f>
        <v/>
      </c>
      <c r="X230" s="36">
        <f>V230+W230</f>
        <v/>
      </c>
      <c r="Y230" s="173">
        <f>'2026 Δεκέμβριος'!D156</f>
        <v/>
      </c>
      <c r="Z230" s="36">
        <f>X230+Y230</f>
        <v/>
      </c>
      <c r="AA230" s="36">
        <f>C230+E230+G230+I230+K230+M230+O230+Q230+S230+U230+W230+Y230</f>
        <v/>
      </c>
    </row>
    <row r="231">
      <c r="A231" s="52" t="inlineStr">
        <is>
          <t>ΣΥΝΟΛΟ ΕΞΟΔΩΝ</t>
        </is>
      </c>
      <c r="C231" s="174">
        <f>SUM(C191:C230)</f>
        <v/>
      </c>
      <c r="D231" s="37">
        <f>SUM(D191:D229)</f>
        <v/>
      </c>
      <c r="E231" s="174">
        <f>SUM(E191:E230)</f>
        <v/>
      </c>
      <c r="F231" s="36">
        <f>D231+E231</f>
        <v/>
      </c>
      <c r="G231" s="173">
        <f>SUM(G191:G230)</f>
        <v/>
      </c>
      <c r="H231" s="36">
        <f>F231+G231</f>
        <v/>
      </c>
      <c r="I231" s="174">
        <f>SUM(I191:I230)</f>
        <v/>
      </c>
      <c r="J231" s="36">
        <f>H231+I231</f>
        <v/>
      </c>
      <c r="K231" s="174">
        <f>SUM(K191:K230)</f>
        <v/>
      </c>
      <c r="L231" s="36">
        <f>J231+K231</f>
        <v/>
      </c>
      <c r="M231" s="174">
        <f>SUM(M191:M230)</f>
        <v/>
      </c>
      <c r="N231" s="36">
        <f>L231+M231</f>
        <v/>
      </c>
      <c r="O231" s="173">
        <f>SUM(O191:O230)</f>
        <v/>
      </c>
      <c r="P231" s="36">
        <f>N231+O231</f>
        <v/>
      </c>
      <c r="Q231" s="173">
        <f>SUM(Q191:Q230)</f>
        <v/>
      </c>
      <c r="R231" s="36">
        <f>P231+Q231</f>
        <v/>
      </c>
      <c r="S231" s="174">
        <f>SUM(S191:S230)</f>
        <v/>
      </c>
      <c r="T231" s="36">
        <f>R231+S231</f>
        <v/>
      </c>
      <c r="U231" s="174">
        <f>SUM(U191:U230)</f>
        <v/>
      </c>
      <c r="V231" s="37">
        <f>SUM(V191:V229)</f>
        <v/>
      </c>
      <c r="W231" s="173">
        <f>'2026 Νοέμβριος'!D157</f>
        <v/>
      </c>
      <c r="X231" s="36">
        <f>V231+W231</f>
        <v/>
      </c>
      <c r="Y231" s="174">
        <f>SUM(Y191:Y230)</f>
        <v/>
      </c>
      <c r="Z231" s="36">
        <f>X231+Y231</f>
        <v/>
      </c>
      <c r="AA231" s="36">
        <f>C231+E231+G231+I231+K231+M231+O231+Q231+S231+U231+W231+Y231</f>
        <v/>
      </c>
    </row>
    <row r="232" ht="31.5" customHeight="1">
      <c r="A232" s="179" t="n"/>
      <c r="B232" s="179" t="n"/>
      <c r="C232" s="179" t="n"/>
      <c r="D232" s="179" t="n"/>
      <c r="E232" s="179" t="n"/>
      <c r="F232" s="179" t="n"/>
      <c r="G232" s="179" t="n"/>
      <c r="H232" s="179" t="n"/>
      <c r="I232" s="179" t="n"/>
      <c r="J232" s="179" t="n"/>
      <c r="K232" s="179" t="n"/>
      <c r="L232" s="179" t="n"/>
      <c r="M232" s="179" t="n"/>
      <c r="N232" s="179" t="n"/>
      <c r="O232" s="179" t="n"/>
      <c r="P232" s="179" t="n"/>
      <c r="Q232" s="179" t="n"/>
      <c r="R232" s="179" t="n"/>
      <c r="S232" s="179" t="n"/>
      <c r="T232" s="179" t="n"/>
      <c r="U232" s="179" t="n"/>
      <c r="V232" s="179" t="n"/>
      <c r="W232" s="179" t="n"/>
      <c r="X232" s="179" t="n"/>
      <c r="Y232" s="179" t="n"/>
      <c r="Z232" s="179" t="n"/>
      <c r="AA232" s="179" t="n"/>
    </row>
    <row r="233"/>
    <row r="234"/>
    <row r="235"/>
    <row r="236"/>
    <row r="237"/>
    <row r="238">
      <c r="D238" s="37" t="n"/>
      <c r="F238" s="37" t="n"/>
      <c r="H238" s="37" t="n"/>
      <c r="J238" s="37" t="n"/>
      <c r="L238" s="37" t="n"/>
      <c r="N238" s="37" t="n"/>
      <c r="P238" s="37" t="n"/>
      <c r="R238" s="37" t="n"/>
      <c r="T238" s="37" t="n"/>
      <c r="V238" s="37" t="n"/>
      <c r="X238" s="37" t="n"/>
      <c r="Z238" s="37" t="n"/>
      <c r="AA238" s="37" t="n"/>
    </row>
    <row r="239" ht="26.25" customHeight="1">
      <c r="A239" s="169" t="inlineStr">
        <is>
          <t xml:space="preserve"> ΕΞΟΔΑ 2024</t>
        </is>
      </c>
      <c r="B239" s="168" t="n"/>
      <c r="C239" s="168" t="n"/>
      <c r="D239" s="168" t="n"/>
      <c r="E239" s="168" t="n"/>
      <c r="F239" s="168" t="n"/>
      <c r="G239" s="168" t="n"/>
      <c r="H239" s="168" t="n"/>
      <c r="I239" s="168" t="n"/>
      <c r="J239" s="168" t="n"/>
      <c r="K239" s="168" t="n"/>
      <c r="L239" s="168" t="n"/>
      <c r="M239" s="168" t="n"/>
      <c r="N239" s="168" t="n"/>
      <c r="O239" s="168" t="n"/>
      <c r="P239" s="168" t="n"/>
      <c r="Q239" s="168" t="n"/>
      <c r="R239" s="168" t="n"/>
      <c r="S239" s="168" t="n"/>
      <c r="T239" s="168" t="n"/>
      <c r="U239" s="168" t="n"/>
      <c r="V239" s="168" t="n"/>
      <c r="W239" s="168" t="n"/>
      <c r="X239" s="168" t="n"/>
      <c r="Y239" s="168" t="n"/>
      <c r="Z239" s="168" t="n"/>
      <c r="AA239" s="168" t="n"/>
    </row>
    <row r="240" ht="17.25" customHeight="1">
      <c r="A240" s="53" t="inlineStr">
        <is>
          <t>Κατηγορία εξόδου / Άμεσο κόστος υπηρεσιών</t>
        </is>
      </c>
      <c r="B240" s="35" t="inlineStr">
        <is>
          <t xml:space="preserve">¨Ετος </t>
        </is>
      </c>
      <c r="C240" s="172" t="inlineStr">
        <is>
          <t>Ιανουάριος 2024</t>
        </is>
      </c>
      <c r="D240" s="35" t="inlineStr">
        <is>
          <t>Προοδευτικά Ιαν 2024</t>
        </is>
      </c>
      <c r="E240" s="172" t="inlineStr">
        <is>
          <t>Φεβρουάριος 2024</t>
        </is>
      </c>
      <c r="F240" s="35" t="inlineStr">
        <is>
          <t>Προοδευτικά  Φεβρ. 2024</t>
        </is>
      </c>
      <c r="G240" s="172" t="inlineStr">
        <is>
          <t>Μάρτιος 2024</t>
        </is>
      </c>
      <c r="H240" s="35" t="inlineStr">
        <is>
          <t>Προοδευτικά Μάρτιος 2024</t>
        </is>
      </c>
      <c r="I240" s="172" t="inlineStr">
        <is>
          <t>Απρίλιος 2024</t>
        </is>
      </c>
      <c r="J240" s="35" t="inlineStr">
        <is>
          <t>Προοδευτικά Απρίλιος 2024</t>
        </is>
      </c>
      <c r="K240" s="172" t="inlineStr">
        <is>
          <t>Μάιος 2024</t>
        </is>
      </c>
      <c r="L240" s="35" t="inlineStr">
        <is>
          <t>Προοδευτικά Μάιος 2024</t>
        </is>
      </c>
      <c r="M240" s="172" t="inlineStr">
        <is>
          <t>Ιούνιος 2024</t>
        </is>
      </c>
      <c r="N240" s="35" t="inlineStr">
        <is>
          <t>Προοδευτικά Ιούνιος 2024</t>
        </is>
      </c>
      <c r="O240" s="172" t="inlineStr">
        <is>
          <t xml:space="preserve">Ιούλιος 2024 </t>
        </is>
      </c>
      <c r="P240" s="35" t="inlineStr">
        <is>
          <t>Προοδευτικά Ιούλιος 2024</t>
        </is>
      </c>
      <c r="Q240" s="172" t="inlineStr">
        <is>
          <t>Αύγουστος 2024</t>
        </is>
      </c>
      <c r="R240" s="35" t="inlineStr">
        <is>
          <t>Προοδευτικά Αύγουστος 2024</t>
        </is>
      </c>
      <c r="S240" s="172" t="inlineStr">
        <is>
          <t>Σεπτέμβριος 2024</t>
        </is>
      </c>
      <c r="T240" s="35" t="inlineStr">
        <is>
          <t>Προοδευτικά  Σεπτέμβριος 2024</t>
        </is>
      </c>
      <c r="U240" s="172" t="inlineStr">
        <is>
          <t>Οκτώβριος 2024</t>
        </is>
      </c>
      <c r="V240" s="35" t="inlineStr">
        <is>
          <t>Προοδευτικά Οκτώβριος 2024</t>
        </is>
      </c>
      <c r="W240" s="172" t="inlineStr">
        <is>
          <t>Νοέμβριος 2024</t>
        </is>
      </c>
      <c r="X240" s="35" t="inlineStr">
        <is>
          <t>Προοδευτικά Νοέμβριος 2024</t>
        </is>
      </c>
      <c r="Y240" s="172" t="inlineStr">
        <is>
          <t>Δεκέμβριος 2024</t>
        </is>
      </c>
      <c r="Z240" s="35" t="inlineStr">
        <is>
          <t>Προοδευτικό Σύνολο Δεκεμβρίου 2024</t>
        </is>
      </c>
      <c r="AA240" s="35" t="inlineStr">
        <is>
          <t>Γενικό Σύνολο Μηνών ανά κατηγορία Εξόδου 2024</t>
        </is>
      </c>
    </row>
    <row r="241">
      <c r="A241" s="44">
        <f>'2026 Ιανουάριος'!C44</f>
        <v/>
      </c>
      <c r="B241" s="35" t="n">
        <v>2024</v>
      </c>
      <c r="C241" s="173">
        <f>'2026 Ιανουάριος'!L44</f>
        <v/>
      </c>
      <c r="D241" s="36">
        <f>C241</f>
        <v/>
      </c>
      <c r="E241" s="173">
        <f>'2026 Φεβρουάριος'!L44</f>
        <v/>
      </c>
      <c r="F241" s="36">
        <f>D241+E241</f>
        <v/>
      </c>
      <c r="G241" s="173">
        <f>'2026 Μάρτιος'!L44</f>
        <v/>
      </c>
      <c r="H241" s="36">
        <f>F241+G241</f>
        <v/>
      </c>
      <c r="I241" s="173">
        <f>'2026 Απρίλιος'!L44</f>
        <v/>
      </c>
      <c r="J241" s="36">
        <f>H241+I241</f>
        <v/>
      </c>
      <c r="K241" s="173">
        <f>'2026 Μάιος'!L44</f>
        <v/>
      </c>
      <c r="L241" s="36">
        <f>J241+K241</f>
        <v/>
      </c>
      <c r="M241" s="173">
        <f>'2026 Ιούνιος'!L44</f>
        <v/>
      </c>
      <c r="N241" s="36">
        <f>L241+M241</f>
        <v/>
      </c>
      <c r="O241" s="173">
        <f>'2026 Ιούλιος'!L44</f>
        <v/>
      </c>
      <c r="P241" s="36">
        <f>N241+O241</f>
        <v/>
      </c>
      <c r="Q241" s="173">
        <f>'2026 Aύγουστος'!L44</f>
        <v/>
      </c>
      <c r="R241" s="36">
        <f>P241+Q241</f>
        <v/>
      </c>
      <c r="S241" s="173">
        <f>'2026 Σεπτέμβριος'!L44</f>
        <v/>
      </c>
      <c r="T241" s="36">
        <f>R241+S241</f>
        <v/>
      </c>
      <c r="U241" s="173">
        <f>'2026 Οκτώβριος'!L44</f>
        <v/>
      </c>
      <c r="V241" s="36">
        <f>T241+U241</f>
        <v/>
      </c>
      <c r="W241" s="173">
        <f>'2026 Νοέμβριος'!L44</f>
        <v/>
      </c>
      <c r="X241" s="36">
        <f>V241+W241</f>
        <v/>
      </c>
      <c r="Y241" s="173">
        <f>'2026 Δεκέμβριος'!L44</f>
        <v/>
      </c>
      <c r="Z241" s="36">
        <f>X241+Y241</f>
        <v/>
      </c>
      <c r="AA241" s="36">
        <f>C241+E241+G241+I241+K241+M241+O241+Q241+S241+U241+W241+Y241</f>
        <v/>
      </c>
      <c r="AD241" s="37">
        <f>IF(C118&lt;&gt;0,C241,0) + IF(E118&lt;&gt;0,E241,0) + IF(G118&lt;&gt;0,G241,0) +
IF(I118&lt;&gt;0,I241,0) + IF(K118&lt;&gt;0,K241,0) + IF(M118&lt;&gt;0,M241,0) +
IF(O118&lt;&gt;0,O241,0) + IF(Q118&lt;&gt;0,Q241,0) + IF(S118&lt;&gt;0,S241,0) +
IF(U118&lt;&gt;0,U241,0) + IF(W118&lt;&gt;0,W241,0) + IF(Y118&lt;&gt;0,Y241,0)</f>
        <v/>
      </c>
    </row>
    <row r="242">
      <c r="A242" s="44">
        <f>'2026 Ιανουάριος'!C45</f>
        <v/>
      </c>
      <c r="B242" s="35" t="n">
        <v>2024</v>
      </c>
      <c r="C242" s="173">
        <f>'2026 Ιανουάριος'!L45</f>
        <v/>
      </c>
      <c r="D242" s="36">
        <f>C242</f>
        <v/>
      </c>
      <c r="E242" s="173">
        <f>'2026 Φεβρουάριος'!L45</f>
        <v/>
      </c>
      <c r="F242" s="36">
        <f>D242+E242</f>
        <v/>
      </c>
      <c r="G242" s="173">
        <f>'2026 Μάρτιος'!L45</f>
        <v/>
      </c>
      <c r="H242" s="36">
        <f>F242+G242</f>
        <v/>
      </c>
      <c r="I242" s="173">
        <f>'2026 Απρίλιος'!L45</f>
        <v/>
      </c>
      <c r="J242" s="36">
        <f>H242+I242</f>
        <v/>
      </c>
      <c r="K242" s="173">
        <f>'2026 Μάιος'!L45</f>
        <v/>
      </c>
      <c r="L242" s="36">
        <f>J242+K242</f>
        <v/>
      </c>
      <c r="M242" s="173">
        <f>'2026 Ιούνιος'!L45</f>
        <v/>
      </c>
      <c r="N242" s="36">
        <f>L242+M242</f>
        <v/>
      </c>
      <c r="O242" s="173">
        <f>'2026 Ιούλιος'!L45</f>
        <v/>
      </c>
      <c r="P242" s="36">
        <f>N242+O242</f>
        <v/>
      </c>
      <c r="Q242" s="173">
        <f>'2026 Aύγουστος'!L45</f>
        <v/>
      </c>
      <c r="R242" s="36">
        <f>P242+Q242</f>
        <v/>
      </c>
      <c r="S242" s="173">
        <f>'2026 Σεπτέμβριος'!L45</f>
        <v/>
      </c>
      <c r="T242" s="36">
        <f>R242+S242</f>
        <v/>
      </c>
      <c r="U242" s="173">
        <f>'2026 Οκτώβριος'!L45</f>
        <v/>
      </c>
      <c r="V242" s="36">
        <f>T242+U242</f>
        <v/>
      </c>
      <c r="W242" s="173">
        <f>'2026 Νοέμβριος'!L45</f>
        <v/>
      </c>
      <c r="X242" s="36">
        <f>V242+W242</f>
        <v/>
      </c>
      <c r="Y242" s="173">
        <f>'2026 Δεκέμβριος'!L45</f>
        <v/>
      </c>
      <c r="Z242" s="36">
        <f>X242+Y242</f>
        <v/>
      </c>
      <c r="AA242" s="36">
        <f>C242+E242+G242+I242+K242+M242+O242+Q242+S242+U242+W242+Y242</f>
        <v/>
      </c>
      <c r="AD242" s="37">
        <f>IF(C119&lt;&gt;0,C242,0) + IF(E119&lt;&gt;0,E242,0) + IF(G119&lt;&gt;0,G242,0) +
IF(I119&lt;&gt;0,I242,0) + IF(K119&lt;&gt;0,K242,0) + IF(M119&lt;&gt;0,M242,0) +
IF(O119&lt;&gt;0,O242,0) + IF(Q119&lt;&gt;0,Q242,0) + IF(S119&lt;&gt;0,S242,0) +
IF(U119&lt;&gt;0,U242,0) + IF(W119&lt;&gt;0,W242,0) + IF(Y119&lt;&gt;0,Y242,0)</f>
        <v/>
      </c>
    </row>
    <row r="243">
      <c r="A243" s="44">
        <f>'2026 Ιανουάριος'!C46</f>
        <v/>
      </c>
      <c r="B243" s="35" t="n">
        <v>2024</v>
      </c>
      <c r="C243" s="173">
        <f>'2026 Ιανουάριος'!L46</f>
        <v/>
      </c>
      <c r="D243" s="36">
        <f>C243</f>
        <v/>
      </c>
      <c r="E243" s="173">
        <f>'2026 Φεβρουάριος'!L46</f>
        <v/>
      </c>
      <c r="F243" s="36">
        <f>D243+E243</f>
        <v/>
      </c>
      <c r="G243" s="173">
        <f>'2026 Μάρτιος'!L46</f>
        <v/>
      </c>
      <c r="H243" s="36">
        <f>F243+G243</f>
        <v/>
      </c>
      <c r="I243" s="173">
        <f>'2026 Απρίλιος'!L46</f>
        <v/>
      </c>
      <c r="J243" s="36">
        <f>H243+I243</f>
        <v/>
      </c>
      <c r="K243" s="173">
        <f>'2026 Μάιος'!L46</f>
        <v/>
      </c>
      <c r="L243" s="36">
        <f>J243+K243</f>
        <v/>
      </c>
      <c r="M243" s="173">
        <f>'2026 Ιούνιος'!L46</f>
        <v/>
      </c>
      <c r="N243" s="36">
        <f>L243+M243</f>
        <v/>
      </c>
      <c r="O243" s="173">
        <f>'2026 Ιούλιος'!L46</f>
        <v/>
      </c>
      <c r="P243" s="36">
        <f>N243+O243</f>
        <v/>
      </c>
      <c r="Q243" s="173">
        <f>'2026 Aύγουστος'!L46</f>
        <v/>
      </c>
      <c r="R243" s="36">
        <f>P243+Q243</f>
        <v/>
      </c>
      <c r="S243" s="173">
        <f>'2026 Σεπτέμβριος'!L46</f>
        <v/>
      </c>
      <c r="T243" s="36">
        <f>R243+S243</f>
        <v/>
      </c>
      <c r="U243" s="173">
        <f>'2026 Οκτώβριος'!L46</f>
        <v/>
      </c>
      <c r="V243" s="36">
        <f>T243+U243</f>
        <v/>
      </c>
      <c r="W243" s="173">
        <f>'2026 Νοέμβριος'!L46</f>
        <v/>
      </c>
      <c r="X243" s="36">
        <f>V243+W243</f>
        <v/>
      </c>
      <c r="Y243" s="173">
        <f>'2026 Δεκέμβριος'!L46</f>
        <v/>
      </c>
      <c r="Z243" s="36">
        <f>X243+Y243</f>
        <v/>
      </c>
      <c r="AA243" s="36">
        <f>C243+E243+G243+I243+K243+M243+O243+Q243+S243+U243+W243+Y243</f>
        <v/>
      </c>
      <c r="AD243" s="37">
        <f>IF(C120&lt;&gt;0,C243,0) + IF(E120&lt;&gt;0,E243,0) + IF(G120&lt;&gt;0,G243,0) +
IF(I120&lt;&gt;0,I243,0) + IF(K120&lt;&gt;0,K243,0) + IF(M120&lt;&gt;0,M243,0) +
IF(O120&lt;&gt;0,O243,0) + IF(Q120&lt;&gt;0,Q243,0) + IF(S120&lt;&gt;0,S243,0) +
IF(U120&lt;&gt;0,U243,0) + IF(W120&lt;&gt;0,W243,0) + IF(Y120&lt;&gt;0,Y243,0)</f>
        <v/>
      </c>
    </row>
    <row r="244">
      <c r="A244" s="44">
        <f>'2026 Ιανουάριος'!C49</f>
        <v/>
      </c>
      <c r="B244" s="35" t="n">
        <v>2024</v>
      </c>
      <c r="C244" s="173">
        <f>'2026 Ιανουάριος'!L49</f>
        <v/>
      </c>
      <c r="D244" s="36">
        <f>C244</f>
        <v/>
      </c>
      <c r="E244" s="173">
        <f>'2026 Φεβρουάριος'!L49</f>
        <v/>
      </c>
      <c r="F244" s="36">
        <f>D244+E244</f>
        <v/>
      </c>
      <c r="G244" s="173">
        <f>'2026 Μάρτιος'!L49</f>
        <v/>
      </c>
      <c r="H244" s="36">
        <f>F244+G244</f>
        <v/>
      </c>
      <c r="I244" s="173">
        <f>'2026 Απρίλιος'!L49</f>
        <v/>
      </c>
      <c r="J244" s="36">
        <f>H244+I244</f>
        <v/>
      </c>
      <c r="K244" s="173">
        <f>'2026 Μάιος'!L49</f>
        <v/>
      </c>
      <c r="L244" s="36">
        <f>J244+K244</f>
        <v/>
      </c>
      <c r="M244" s="173">
        <f>'2026 Ιούνιος'!L49</f>
        <v/>
      </c>
      <c r="N244" s="36">
        <f>L244+M244</f>
        <v/>
      </c>
      <c r="O244" s="173">
        <f>'2026 Ιούλιος'!L49</f>
        <v/>
      </c>
      <c r="P244" s="36">
        <f>N244+O244</f>
        <v/>
      </c>
      <c r="Q244" s="173">
        <f>'2026 Aύγουστος'!L49</f>
        <v/>
      </c>
      <c r="R244" s="36">
        <f>P244+Q244</f>
        <v/>
      </c>
      <c r="S244" s="173">
        <f>'2026 Σεπτέμβριος'!L49</f>
        <v/>
      </c>
      <c r="T244" s="36">
        <f>R244+S244</f>
        <v/>
      </c>
      <c r="U244" s="173">
        <f>'2026 Οκτώβριος'!L49</f>
        <v/>
      </c>
      <c r="V244" s="36">
        <f>T244+U244</f>
        <v/>
      </c>
      <c r="W244" s="173">
        <f>'2026 Νοέμβριος'!L49</f>
        <v/>
      </c>
      <c r="X244" s="36">
        <f>V244+W244</f>
        <v/>
      </c>
      <c r="Y244" s="173">
        <f>'2026 Δεκέμβριος'!L49</f>
        <v/>
      </c>
      <c r="Z244" s="36">
        <f>X244+Y244</f>
        <v/>
      </c>
      <c r="AA244" s="36">
        <f>C244+E244+G244+I244+K244+M244+O244+Q244+S244+U244+W244+Y244</f>
        <v/>
      </c>
      <c r="AD244" s="37">
        <f>IF(C123&lt;&gt;0,C244,0) + IF(E123&lt;&gt;0,E244,0) + IF(G123&lt;&gt;0,G244,0) +
IF(I123&lt;&gt;0,I244,0) + IF(K123&lt;&gt;0,K244,0) + IF(M123&lt;&gt;0,M244,0) +
IF(O123&lt;&gt;0,O244,0) + IF(Q123&lt;&gt;0,Q244,0) + IF(S123&lt;&gt;0,S244,0) +
IF(U123&lt;&gt;0,U244,0) + IF(W123&lt;&gt;0,W244,0) + IF(Y123&lt;&gt;0,Y244,0)</f>
        <v/>
      </c>
    </row>
    <row r="245">
      <c r="A245" s="44">
        <f>'2026 Ιανουάριος'!C50</f>
        <v/>
      </c>
      <c r="B245" s="35" t="n">
        <v>2024</v>
      </c>
      <c r="C245" s="173">
        <f>'2026 Ιανουάριος'!L50</f>
        <v/>
      </c>
      <c r="D245" s="36">
        <f>C245</f>
        <v/>
      </c>
      <c r="E245" s="173">
        <f>'2026 Φεβρουάριος'!L50</f>
        <v/>
      </c>
      <c r="F245" s="36">
        <f>D245+E245</f>
        <v/>
      </c>
      <c r="G245" s="173">
        <f>'2026 Μάρτιος'!L50</f>
        <v/>
      </c>
      <c r="H245" s="36">
        <f>F245+G245</f>
        <v/>
      </c>
      <c r="I245" s="173">
        <f>'2026 Απρίλιος'!L50</f>
        <v/>
      </c>
      <c r="J245" s="36">
        <f>H245+I245</f>
        <v/>
      </c>
      <c r="K245" s="173">
        <f>'2026 Μάιος'!L50</f>
        <v/>
      </c>
      <c r="L245" s="36">
        <f>J245+K245</f>
        <v/>
      </c>
      <c r="M245" s="173">
        <f>'2026 Ιούνιος'!L50</f>
        <v/>
      </c>
      <c r="N245" s="36">
        <f>L245+M245</f>
        <v/>
      </c>
      <c r="O245" s="173">
        <f>'2026 Ιούλιος'!L50</f>
        <v/>
      </c>
      <c r="P245" s="36">
        <f>N245+O245</f>
        <v/>
      </c>
      <c r="Q245" s="173">
        <f>'2026 Aύγουστος'!L50</f>
        <v/>
      </c>
      <c r="R245" s="36">
        <f>P245+Q245</f>
        <v/>
      </c>
      <c r="S245" s="173">
        <f>'2026 Σεπτέμβριος'!L50</f>
        <v/>
      </c>
      <c r="T245" s="36">
        <f>R245+S245</f>
        <v/>
      </c>
      <c r="U245" s="173">
        <f>'2026 Οκτώβριος'!L50</f>
        <v/>
      </c>
      <c r="V245" s="36">
        <f>T245+U245</f>
        <v/>
      </c>
      <c r="W245" s="173">
        <f>'2026 Νοέμβριος'!L50</f>
        <v/>
      </c>
      <c r="X245" s="36">
        <f>V245+W245</f>
        <v/>
      </c>
      <c r="Y245" s="173">
        <f>'2026 Δεκέμβριος'!L50</f>
        <v/>
      </c>
      <c r="Z245" s="36">
        <f>X245+Y245</f>
        <v/>
      </c>
      <c r="AA245" s="36">
        <f>C245+E245+G245+I245+K245+M245+O245+Q245+S245+U245+W245+Y245</f>
        <v/>
      </c>
      <c r="AD245" s="37">
        <f>IF(C124&lt;&gt;0,C245,0) + IF(E124&lt;&gt;0,E245,0) + IF(G124&lt;&gt;0,G245,0) +
IF(I124&lt;&gt;0,I245,0) + IF(K124&lt;&gt;0,K245,0) + IF(M124&lt;&gt;0,M245,0) +
IF(O124&lt;&gt;0,O245,0) + IF(Q124&lt;&gt;0,Q245,0) + IF(S124&lt;&gt;0,S245,0) +
IF(U124&lt;&gt;0,U245,0) + IF(W124&lt;&gt;0,W245,0) + IF(Y124&lt;&gt;0,Y245,0)</f>
        <v/>
      </c>
    </row>
    <row r="246">
      <c r="A246" s="44">
        <f>'2026 Ιανουάριος'!C51</f>
        <v/>
      </c>
      <c r="B246" s="35" t="n">
        <v>2024</v>
      </c>
      <c r="C246" s="173">
        <f>'2026 Ιανουάριος'!L51</f>
        <v/>
      </c>
      <c r="D246" s="36">
        <f>C246</f>
        <v/>
      </c>
      <c r="E246" s="173">
        <f>'2026 Φεβρουάριος'!L51</f>
        <v/>
      </c>
      <c r="F246" s="36">
        <f>D246+E246</f>
        <v/>
      </c>
      <c r="G246" s="173">
        <f>'2026 Μάρτιος'!L51</f>
        <v/>
      </c>
      <c r="H246" s="36">
        <f>F246+G246</f>
        <v/>
      </c>
      <c r="I246" s="173">
        <f>'2026 Απρίλιος'!L51</f>
        <v/>
      </c>
      <c r="J246" s="36">
        <f>H246+I246</f>
        <v/>
      </c>
      <c r="K246" s="173">
        <f>'2026 Μάιος'!L51</f>
        <v/>
      </c>
      <c r="L246" s="36">
        <f>J246+K246</f>
        <v/>
      </c>
      <c r="M246" s="173">
        <f>'2026 Ιούνιος'!L51</f>
        <v/>
      </c>
      <c r="N246" s="36">
        <f>L246+M246</f>
        <v/>
      </c>
      <c r="O246" s="173">
        <f>'2026 Ιούλιος'!L51</f>
        <v/>
      </c>
      <c r="P246" s="36">
        <f>N246+O246</f>
        <v/>
      </c>
      <c r="Q246" s="173">
        <f>'2026 Aύγουστος'!L51</f>
        <v/>
      </c>
      <c r="R246" s="36">
        <f>P246+Q246</f>
        <v/>
      </c>
      <c r="S246" s="173">
        <f>'2026 Σεπτέμβριος'!L51</f>
        <v/>
      </c>
      <c r="T246" s="36">
        <f>R246+S246</f>
        <v/>
      </c>
      <c r="U246" s="173">
        <f>'2026 Οκτώβριος'!L51</f>
        <v/>
      </c>
      <c r="V246" s="36">
        <f>T246+U246</f>
        <v/>
      </c>
      <c r="W246" s="173">
        <f>'2026 Νοέμβριος'!L51</f>
        <v/>
      </c>
      <c r="X246" s="36">
        <f>V246+W246</f>
        <v/>
      </c>
      <c r="Y246" s="173">
        <f>'2026 Δεκέμβριος'!L51</f>
        <v/>
      </c>
      <c r="Z246" s="36">
        <f>X246+Y246</f>
        <v/>
      </c>
      <c r="AA246" s="36">
        <f>C246+E246+G246+I246+K246+M246+O246+Q246+S246+U246+W246+Y246</f>
        <v/>
      </c>
      <c r="AD246" s="37">
        <f>IF(C125&lt;&gt;0,C246,0) + IF(E125&lt;&gt;0,E246,0) + IF(G125&lt;&gt;0,G246,0) +
IF(I125&lt;&gt;0,I246,0) + IF(K125&lt;&gt;0,K246,0) + IF(M125&lt;&gt;0,M246,0) +
IF(O125&lt;&gt;0,O246,0) + IF(Q125&lt;&gt;0,Q246,0) + IF(S125&lt;&gt;0,S246,0) +
IF(U125&lt;&gt;0,U246,0) + IF(W125&lt;&gt;0,W246,0) + IF(Y125&lt;&gt;0,Y246,0)</f>
        <v/>
      </c>
    </row>
    <row r="247">
      <c r="A247" s="44">
        <f>'2026 Ιανουάριος'!C54</f>
        <v/>
      </c>
      <c r="B247" s="35" t="n">
        <v>2024</v>
      </c>
      <c r="C247" s="173">
        <f>'2026 Ιανουάριος'!L54</f>
        <v/>
      </c>
      <c r="D247" s="36">
        <f>C247</f>
        <v/>
      </c>
      <c r="E247" s="173">
        <f>'2026 Φεβρουάριος'!L54</f>
        <v/>
      </c>
      <c r="F247" s="36">
        <f>D247+E247</f>
        <v/>
      </c>
      <c r="G247" s="173">
        <f>'2026 Μάρτιος'!L54</f>
        <v/>
      </c>
      <c r="H247" s="36">
        <f>F247+G247</f>
        <v/>
      </c>
      <c r="I247" s="173">
        <f>'2026 Απρίλιος'!L54</f>
        <v/>
      </c>
      <c r="J247" s="36">
        <f>H247+I247</f>
        <v/>
      </c>
      <c r="K247" s="173">
        <f>'2026 Μάιος'!L54</f>
        <v/>
      </c>
      <c r="L247" s="36">
        <f>J247+K247</f>
        <v/>
      </c>
      <c r="M247" s="173">
        <f>'2026 Ιούνιος'!L54</f>
        <v/>
      </c>
      <c r="N247" s="36">
        <f>L247+M247</f>
        <v/>
      </c>
      <c r="O247" s="173">
        <f>'2026 Ιούλιος'!L54</f>
        <v/>
      </c>
      <c r="P247" s="36">
        <f>N247+O247</f>
        <v/>
      </c>
      <c r="Q247" s="173">
        <f>'2026 Aύγουστος'!L54</f>
        <v/>
      </c>
      <c r="R247" s="36">
        <f>P247+Q247</f>
        <v/>
      </c>
      <c r="S247" s="173">
        <f>'2026 Σεπτέμβριος'!L54</f>
        <v/>
      </c>
      <c r="T247" s="36">
        <f>R247+S247</f>
        <v/>
      </c>
      <c r="U247" s="173">
        <f>'2026 Οκτώβριος'!L54</f>
        <v/>
      </c>
      <c r="V247" s="36">
        <f>T247+U247</f>
        <v/>
      </c>
      <c r="W247" s="173">
        <f>'2026 Νοέμβριος'!L54</f>
        <v/>
      </c>
      <c r="X247" s="36">
        <f>V247+W247</f>
        <v/>
      </c>
      <c r="Y247" s="173">
        <f>'2026 Δεκέμβριος'!L54</f>
        <v/>
      </c>
      <c r="Z247" s="36">
        <f>X247+Y247</f>
        <v/>
      </c>
      <c r="AA247" s="36">
        <f>C247+E247+G247+I247+K247+M247+O247+Q247+S247+U247+W247+Y247</f>
        <v/>
      </c>
      <c r="AD247" s="37">
        <f>IF(C128&lt;&gt;0,C247,0) + IF(E128&lt;&gt;0,E247,0) + IF(G128&lt;&gt;0,G247,0) +
IF(I128&lt;&gt;0,I247,0) + IF(K128&lt;&gt;0,K247,0) + IF(M128&lt;&gt;0,M247,0) +
IF(O128&lt;&gt;0,O247,0) + IF(Q128&lt;&gt;0,Q247,0) + IF(S128&lt;&gt;0,S247,0) +
IF(U128&lt;&gt;0,U247,0) + IF(W128&lt;&gt;0,W247,0) + IF(Y128&lt;&gt;0,Y247,0)</f>
        <v/>
      </c>
    </row>
    <row r="248">
      <c r="A248" s="44">
        <f>'2026 Ιανουάριος'!C55</f>
        <v/>
      </c>
      <c r="B248" s="35" t="n">
        <v>2024</v>
      </c>
      <c r="C248" s="173">
        <f>'2026 Ιανουάριος'!L55</f>
        <v/>
      </c>
      <c r="D248" s="36">
        <f>C248</f>
        <v/>
      </c>
      <c r="E248" s="173">
        <f>'2026 Φεβρουάριος'!L55</f>
        <v/>
      </c>
      <c r="F248" s="36">
        <f>D248+E248</f>
        <v/>
      </c>
      <c r="G248" s="173">
        <f>'2026 Μάρτιος'!L55</f>
        <v/>
      </c>
      <c r="H248" s="36">
        <f>F248+G248</f>
        <v/>
      </c>
      <c r="I248" s="173">
        <f>'2026 Απρίλιος'!L55</f>
        <v/>
      </c>
      <c r="J248" s="36">
        <f>H248+I248</f>
        <v/>
      </c>
      <c r="K248" s="173">
        <f>'2026 Μάιος'!L55</f>
        <v/>
      </c>
      <c r="L248" s="36">
        <f>J248+K248</f>
        <v/>
      </c>
      <c r="M248" s="173">
        <f>'2026 Ιούνιος'!L55</f>
        <v/>
      </c>
      <c r="N248" s="36">
        <f>L248+M248</f>
        <v/>
      </c>
      <c r="O248" s="173">
        <f>'2026 Ιούλιος'!L55</f>
        <v/>
      </c>
      <c r="P248" s="36">
        <f>N248+O248</f>
        <v/>
      </c>
      <c r="Q248" s="173">
        <f>'2026 Aύγουστος'!L55</f>
        <v/>
      </c>
      <c r="R248" s="36">
        <f>P248+Q248</f>
        <v/>
      </c>
      <c r="S248" s="173">
        <f>'2026 Σεπτέμβριος'!L55</f>
        <v/>
      </c>
      <c r="T248" s="36">
        <f>R248+S248</f>
        <v/>
      </c>
      <c r="U248" s="173">
        <f>'2026 Οκτώβριος'!L55</f>
        <v/>
      </c>
      <c r="V248" s="36">
        <f>T248+U248</f>
        <v/>
      </c>
      <c r="W248" s="173">
        <f>'2026 Νοέμβριος'!L55</f>
        <v/>
      </c>
      <c r="X248" s="36">
        <f>V248+W248</f>
        <v/>
      </c>
      <c r="Y248" s="173">
        <f>'2026 Δεκέμβριος'!L55</f>
        <v/>
      </c>
      <c r="Z248" s="36">
        <f>X248+Y248</f>
        <v/>
      </c>
      <c r="AA248" s="36">
        <f>C248+E248+G248+I248+K248+M248+O248+Q248+S248+U248+W248+Y248</f>
        <v/>
      </c>
      <c r="AD248" s="37">
        <f>IF(C129&lt;&gt;0,C248,0) + IF(E129&lt;&gt;0,E248,0) + IF(G129&lt;&gt;0,G248,0) +
IF(I129&lt;&gt;0,I248,0) + IF(K129&lt;&gt;0,K248,0) + IF(M129&lt;&gt;0,M248,0) +
IF(O129&lt;&gt;0,O248,0) + IF(Q129&lt;&gt;0,Q248,0) + IF(S129&lt;&gt;0,S248,0) +
IF(U129&lt;&gt;0,U248,0) + IF(W129&lt;&gt;0,W248,0) + IF(Y129&lt;&gt;0,Y248,0)</f>
        <v/>
      </c>
    </row>
    <row r="249">
      <c r="A249" s="44">
        <f>'2026 Ιανουάριος'!C56</f>
        <v/>
      </c>
      <c r="B249" s="35" t="n">
        <v>2024</v>
      </c>
      <c r="C249" s="173">
        <f>'2026 Ιανουάριος'!L56</f>
        <v/>
      </c>
      <c r="D249" s="36">
        <f>C249</f>
        <v/>
      </c>
      <c r="E249" s="173">
        <f>'2026 Φεβρουάριος'!L56</f>
        <v/>
      </c>
      <c r="F249" s="36">
        <f>D249+E249</f>
        <v/>
      </c>
      <c r="G249" s="173">
        <f>'2026 Μάρτιος'!L56</f>
        <v/>
      </c>
      <c r="H249" s="36">
        <f>F249+G249</f>
        <v/>
      </c>
      <c r="I249" s="173">
        <f>'2026 Απρίλιος'!L56</f>
        <v/>
      </c>
      <c r="J249" s="36">
        <f>H249+I249</f>
        <v/>
      </c>
      <c r="K249" s="173">
        <f>'2026 Μάιος'!L56</f>
        <v/>
      </c>
      <c r="L249" s="36">
        <f>J249+K249</f>
        <v/>
      </c>
      <c r="M249" s="173">
        <f>'2026 Ιούνιος'!L56</f>
        <v/>
      </c>
      <c r="N249" s="36">
        <f>L249+M249</f>
        <v/>
      </c>
      <c r="O249" s="173">
        <f>'2026 Ιούλιος'!L56</f>
        <v/>
      </c>
      <c r="P249" s="36">
        <f>N249+O249</f>
        <v/>
      </c>
      <c r="Q249" s="173">
        <f>'2026 Aύγουστος'!L56</f>
        <v/>
      </c>
      <c r="R249" s="36">
        <f>P249+Q249</f>
        <v/>
      </c>
      <c r="S249" s="173">
        <f>'2026 Σεπτέμβριος'!L56</f>
        <v/>
      </c>
      <c r="T249" s="36">
        <f>R249+S249</f>
        <v/>
      </c>
      <c r="U249" s="173">
        <f>'2026 Οκτώβριος'!L56</f>
        <v/>
      </c>
      <c r="V249" s="36">
        <f>T249+U249</f>
        <v/>
      </c>
      <c r="W249" s="173">
        <f>'2026 Νοέμβριος'!L56</f>
        <v/>
      </c>
      <c r="X249" s="36">
        <f>V249+W249</f>
        <v/>
      </c>
      <c r="Y249" s="173">
        <f>'2026 Δεκέμβριος'!L56</f>
        <v/>
      </c>
      <c r="Z249" s="36">
        <f>X249+Y249</f>
        <v/>
      </c>
      <c r="AA249" s="36">
        <f>C249+E249+G249+I249+K249+M249+O249+Q249+S249+U249+W249+Y249</f>
        <v/>
      </c>
      <c r="AD249" s="37">
        <f>IF(C130&lt;&gt;0,C249,0) + IF(E130&lt;&gt;0,E249,0) + IF(G130&lt;&gt;0,G249,0) +
IF(I130&lt;&gt;0,I249,0) + IF(K130&lt;&gt;0,K249,0) + IF(M130&lt;&gt;0,M249,0) +
IF(O130&lt;&gt;0,O249,0) + IF(Q130&lt;&gt;0,Q249,0) + IF(S130&lt;&gt;0,S249,0) +
IF(U130&lt;&gt;0,U249,0) + IF(W130&lt;&gt;0,W249,0) + IF(Y130&lt;&gt;0,Y249,0)</f>
        <v/>
      </c>
    </row>
    <row r="250">
      <c r="A250" s="44">
        <f>'2026 Ιανουάριος'!C57</f>
        <v/>
      </c>
      <c r="B250" s="35" t="n">
        <v>2024</v>
      </c>
      <c r="C250" s="173">
        <f>'2026 Ιανουάριος'!L57</f>
        <v/>
      </c>
      <c r="D250" s="36">
        <f>C250</f>
        <v/>
      </c>
      <c r="E250" s="173">
        <f>'2026 Φεβρουάριος'!L57</f>
        <v/>
      </c>
      <c r="F250" s="36">
        <f>D250+E250</f>
        <v/>
      </c>
      <c r="G250" s="173">
        <f>'2026 Μάρτιος'!L57</f>
        <v/>
      </c>
      <c r="H250" s="36">
        <f>F250+G250</f>
        <v/>
      </c>
      <c r="I250" s="173">
        <f>'2026 Απρίλιος'!L57</f>
        <v/>
      </c>
      <c r="J250" s="36">
        <f>H250+I250</f>
        <v/>
      </c>
      <c r="K250" s="173">
        <f>'2026 Μάιος'!L57</f>
        <v/>
      </c>
      <c r="L250" s="36">
        <f>J250+K250</f>
        <v/>
      </c>
      <c r="M250" s="173">
        <f>'2026 Ιούνιος'!L57</f>
        <v/>
      </c>
      <c r="N250" s="36">
        <f>L250+M250</f>
        <v/>
      </c>
      <c r="O250" s="173">
        <f>'2026 Ιούλιος'!L57</f>
        <v/>
      </c>
      <c r="P250" s="36">
        <f>N250+O250</f>
        <v/>
      </c>
      <c r="Q250" s="173">
        <f>'2026 Aύγουστος'!L57</f>
        <v/>
      </c>
      <c r="R250" s="36">
        <f>P250+Q250</f>
        <v/>
      </c>
      <c r="S250" s="173">
        <f>'2026 Σεπτέμβριος'!L57</f>
        <v/>
      </c>
      <c r="T250" s="36">
        <f>R250+S250</f>
        <v/>
      </c>
      <c r="U250" s="173">
        <f>'2026 Οκτώβριος'!L57</f>
        <v/>
      </c>
      <c r="V250" s="36">
        <f>T250+U250</f>
        <v/>
      </c>
      <c r="W250" s="173">
        <f>'2026 Νοέμβριος'!L57</f>
        <v/>
      </c>
      <c r="X250" s="36">
        <f>V250+W250</f>
        <v/>
      </c>
      <c r="Y250" s="173">
        <f>'2026 Δεκέμβριος'!L57</f>
        <v/>
      </c>
      <c r="Z250" s="36">
        <f>X250+Y250</f>
        <v/>
      </c>
      <c r="AA250" s="36">
        <f>C250+E250+G250+I250+K250+M250+O250+Q250+S250+U250+W250+Y250</f>
        <v/>
      </c>
      <c r="AD250" s="37">
        <f>IF(C131&lt;&gt;0,C250,0) + IF(E131&lt;&gt;0,E250,0) + IF(G131&lt;&gt;0,G250,0) +
IF(I131&lt;&gt;0,I250,0) + IF(K131&lt;&gt;0,K250,0) + IF(M131&lt;&gt;0,M250,0) +
IF(O131&lt;&gt;0,O250,0) + IF(Q131&lt;&gt;0,Q250,0) + IF(S131&lt;&gt;0,S250,0) +
IF(U131&lt;&gt;0,U250,0) + IF(W131&lt;&gt;0,W250,0) + IF(Y131&lt;&gt;0,Y250,0)</f>
        <v/>
      </c>
    </row>
    <row r="251">
      <c r="A251" s="44">
        <f>'2026 Ιανουάριος'!C58</f>
        <v/>
      </c>
      <c r="B251" s="35" t="n">
        <v>2024</v>
      </c>
      <c r="C251" s="173">
        <f>'2026 Ιανουάριος'!L58</f>
        <v/>
      </c>
      <c r="D251" s="36">
        <f>C251</f>
        <v/>
      </c>
      <c r="E251" s="173">
        <f>'2026 Φεβρουάριος'!L58</f>
        <v/>
      </c>
      <c r="F251" s="36">
        <f>D251+E251</f>
        <v/>
      </c>
      <c r="G251" s="173">
        <f>'2026 Μάρτιος'!L58</f>
        <v/>
      </c>
      <c r="H251" s="36">
        <f>F251+G251</f>
        <v/>
      </c>
      <c r="I251" s="173">
        <f>'2026 Απρίλιος'!L58</f>
        <v/>
      </c>
      <c r="J251" s="36">
        <f>H251+I251</f>
        <v/>
      </c>
      <c r="K251" s="173">
        <f>'2026 Μάιος'!L58</f>
        <v/>
      </c>
      <c r="L251" s="36">
        <f>J251+K251</f>
        <v/>
      </c>
      <c r="M251" s="173">
        <f>'2026 Ιούνιος'!L58</f>
        <v/>
      </c>
      <c r="N251" s="36">
        <f>L251+M251</f>
        <v/>
      </c>
      <c r="O251" s="173">
        <f>'2026 Ιούλιος'!L58</f>
        <v/>
      </c>
      <c r="P251" s="36">
        <f>N251+O251</f>
        <v/>
      </c>
      <c r="Q251" s="173">
        <f>'2026 Aύγουστος'!L58</f>
        <v/>
      </c>
      <c r="R251" s="36">
        <f>P251+Q251</f>
        <v/>
      </c>
      <c r="S251" s="173">
        <f>'2026 Σεπτέμβριος'!L58</f>
        <v/>
      </c>
      <c r="T251" s="36">
        <f>R251+S251</f>
        <v/>
      </c>
      <c r="U251" s="173">
        <f>'2026 Οκτώβριος'!L58</f>
        <v/>
      </c>
      <c r="V251" s="36">
        <f>T251+U251</f>
        <v/>
      </c>
      <c r="W251" s="173">
        <f>'2026 Νοέμβριος'!L58</f>
        <v/>
      </c>
      <c r="X251" s="36">
        <f>V251+W251</f>
        <v/>
      </c>
      <c r="Y251" s="173">
        <f>'2026 Δεκέμβριος'!L58</f>
        <v/>
      </c>
      <c r="Z251" s="36">
        <f>X251+Y251</f>
        <v/>
      </c>
      <c r="AA251" s="36">
        <f>C251+E251+G251+I251+K251+M251+O251+Q251+S251+U251+W251+Y251</f>
        <v/>
      </c>
      <c r="AD251" s="37">
        <f>IF(C132&lt;&gt;0,C251,0) + IF(E132&lt;&gt;0,E251,0) + IF(G132&lt;&gt;0,G251,0) +
IF(I132&lt;&gt;0,I251,0) + IF(K132&lt;&gt;0,K251,0) + IF(M132&lt;&gt;0,M251,0) +
IF(O132&lt;&gt;0,O251,0) + IF(Q132&lt;&gt;0,Q251,0) + IF(S132&lt;&gt;0,S251,0) +
IF(U132&lt;&gt;0,U251,0) + IF(W132&lt;&gt;0,W251,0) + IF(Y132&lt;&gt;0,Y251,0)</f>
        <v/>
      </c>
    </row>
    <row r="252">
      <c r="A252" s="44">
        <f>'2026 Ιανουάριος'!C59</f>
        <v/>
      </c>
      <c r="B252" s="35" t="n">
        <v>2024</v>
      </c>
      <c r="C252" s="173">
        <f>'2026 Ιανουάριος'!L59</f>
        <v/>
      </c>
      <c r="D252" s="36">
        <f>C252</f>
        <v/>
      </c>
      <c r="E252" s="173">
        <f>'2026 Φεβρουάριος'!L59</f>
        <v/>
      </c>
      <c r="F252" s="36">
        <f>D252+E252</f>
        <v/>
      </c>
      <c r="G252" s="173">
        <f>'2026 Μάρτιος'!L59</f>
        <v/>
      </c>
      <c r="H252" s="36">
        <f>F252+G252</f>
        <v/>
      </c>
      <c r="I252" s="173">
        <f>'2026 Απρίλιος'!L59</f>
        <v/>
      </c>
      <c r="J252" s="36">
        <f>H252+I252</f>
        <v/>
      </c>
      <c r="K252" s="173">
        <f>'2026 Μάιος'!L59</f>
        <v/>
      </c>
      <c r="L252" s="36">
        <f>J252+K252</f>
        <v/>
      </c>
      <c r="M252" s="173">
        <f>'2026 Ιούνιος'!L59</f>
        <v/>
      </c>
      <c r="N252" s="36">
        <f>L252+M252</f>
        <v/>
      </c>
      <c r="O252" s="173">
        <f>'2026 Ιούλιος'!L59</f>
        <v/>
      </c>
      <c r="P252" s="36">
        <f>N252+O252</f>
        <v/>
      </c>
      <c r="Q252" s="173">
        <f>'2026 Aύγουστος'!L59</f>
        <v/>
      </c>
      <c r="R252" s="36">
        <f>P252+Q252</f>
        <v/>
      </c>
      <c r="S252" s="173">
        <f>'2026 Σεπτέμβριος'!L59</f>
        <v/>
      </c>
      <c r="T252" s="36">
        <f>R252+S252</f>
        <v/>
      </c>
      <c r="U252" s="173">
        <f>'2026 Οκτώβριος'!L59</f>
        <v/>
      </c>
      <c r="V252" s="36">
        <f>T252+U252</f>
        <v/>
      </c>
      <c r="W252" s="173">
        <f>'2026 Νοέμβριος'!L59</f>
        <v/>
      </c>
      <c r="X252" s="36">
        <f>V252+W252</f>
        <v/>
      </c>
      <c r="Y252" s="173">
        <f>'2026 Δεκέμβριος'!L59</f>
        <v/>
      </c>
      <c r="Z252" s="36">
        <f>X252+Y252</f>
        <v/>
      </c>
      <c r="AA252" s="36">
        <f>C252+E252+G252+I252+K252+M252+O252+Q252+S252+U252+W252+Y252</f>
        <v/>
      </c>
      <c r="AD252" s="37">
        <f>IF(C133&lt;&gt;0,C252,0) + IF(E133&lt;&gt;0,E252,0) + IF(G133&lt;&gt;0,G252,0) +
IF(I133&lt;&gt;0,I252,0) + IF(K133&lt;&gt;0,K252,0) + IF(M133&lt;&gt;0,M252,0) +
IF(O133&lt;&gt;0,O252,0) + IF(Q133&lt;&gt;0,Q252,0) + IF(S133&lt;&gt;0,S252,0) +
IF(U133&lt;&gt;0,U252,0) + IF(W133&lt;&gt;0,W252,0) + IF(Y133&lt;&gt;0,Y252,0)</f>
        <v/>
      </c>
    </row>
    <row r="253">
      <c r="A253" s="44">
        <f>'2026 Ιανουάριος'!C60</f>
        <v/>
      </c>
      <c r="B253" s="35" t="n">
        <v>2024</v>
      </c>
      <c r="C253" s="173">
        <f>'2026 Ιανουάριος'!L60</f>
        <v/>
      </c>
      <c r="D253" s="36">
        <f>C253</f>
        <v/>
      </c>
      <c r="E253" s="173">
        <f>'2026 Φεβρουάριος'!L60</f>
        <v/>
      </c>
      <c r="F253" s="36">
        <f>D253+E253</f>
        <v/>
      </c>
      <c r="G253" s="173">
        <f>'2026 Μάρτιος'!L60</f>
        <v/>
      </c>
      <c r="H253" s="36">
        <f>F253+G253</f>
        <v/>
      </c>
      <c r="I253" s="173">
        <f>'2026 Απρίλιος'!L60</f>
        <v/>
      </c>
      <c r="J253" s="36">
        <f>H253+I253</f>
        <v/>
      </c>
      <c r="K253" s="173">
        <f>'2026 Μάιος'!L60</f>
        <v/>
      </c>
      <c r="L253" s="36">
        <f>J253+K253</f>
        <v/>
      </c>
      <c r="M253" s="173">
        <f>'2026 Ιούνιος'!L60</f>
        <v/>
      </c>
      <c r="N253" s="36">
        <f>L253+M253</f>
        <v/>
      </c>
      <c r="O253" s="173">
        <f>'2026 Ιούλιος'!L60</f>
        <v/>
      </c>
      <c r="P253" s="36">
        <f>N253+O253</f>
        <v/>
      </c>
      <c r="Q253" s="173">
        <f>'2026 Aύγουστος'!L60</f>
        <v/>
      </c>
      <c r="R253" s="36">
        <f>P253+Q253</f>
        <v/>
      </c>
      <c r="S253" s="173">
        <f>'2026 Σεπτέμβριος'!L60</f>
        <v/>
      </c>
      <c r="T253" s="36">
        <f>R253+S253</f>
        <v/>
      </c>
      <c r="U253" s="173">
        <f>'2026 Οκτώβριος'!L60</f>
        <v/>
      </c>
      <c r="V253" s="36">
        <f>T253+U253</f>
        <v/>
      </c>
      <c r="W253" s="173">
        <f>'2026 Νοέμβριος'!L60</f>
        <v/>
      </c>
      <c r="X253" s="36">
        <f>V253+W253</f>
        <v/>
      </c>
      <c r="Y253" s="173">
        <f>'2026 Δεκέμβριος'!L60</f>
        <v/>
      </c>
      <c r="Z253" s="36">
        <f>X253+Y253</f>
        <v/>
      </c>
      <c r="AA253" s="36">
        <f>C253+E253+G253+I253+K253+M253+O253+Q253+S253+U253+W253+Y253</f>
        <v/>
      </c>
      <c r="AD253" s="37">
        <f>IF(C134&lt;&gt;0,C253,0) + IF(E134&lt;&gt;0,E253,0) + IF(G134&lt;&gt;0,G253,0) +
IF(I134&lt;&gt;0,I253,0) + IF(K134&lt;&gt;0,K253,0) + IF(M134&lt;&gt;0,M253,0) +
IF(O134&lt;&gt;0,O253,0) + IF(Q134&lt;&gt;0,Q253,0) + IF(S134&lt;&gt;0,S253,0) +
IF(U134&lt;&gt;0,U253,0) + IF(W134&lt;&gt;0,W253,0) + IF(Y134&lt;&gt;0,Y253,0)</f>
        <v/>
      </c>
    </row>
    <row r="254">
      <c r="A254" s="44">
        <f>'2026 Ιανουάριος'!C61</f>
        <v/>
      </c>
      <c r="B254" s="35" t="n">
        <v>2024</v>
      </c>
      <c r="C254" s="173">
        <f>'2026 Ιανουάριος'!L61</f>
        <v/>
      </c>
      <c r="D254" s="36">
        <f>C254</f>
        <v/>
      </c>
      <c r="E254" s="173">
        <f>'2026 Φεβρουάριος'!L61</f>
        <v/>
      </c>
      <c r="F254" s="36">
        <f>D254+E254</f>
        <v/>
      </c>
      <c r="G254" s="173">
        <f>'2026 Μάρτιος'!L61</f>
        <v/>
      </c>
      <c r="H254" s="36">
        <f>F254+G254</f>
        <v/>
      </c>
      <c r="I254" s="173">
        <f>'2026 Απρίλιος'!L61</f>
        <v/>
      </c>
      <c r="J254" s="36">
        <f>H254+I254</f>
        <v/>
      </c>
      <c r="K254" s="173">
        <f>'2026 Μάιος'!L61</f>
        <v/>
      </c>
      <c r="L254" s="36">
        <f>J254+K254</f>
        <v/>
      </c>
      <c r="M254" s="173">
        <f>'2026 Ιούνιος'!L61</f>
        <v/>
      </c>
      <c r="N254" s="36">
        <f>L254+M254</f>
        <v/>
      </c>
      <c r="O254" s="173">
        <f>'2026 Ιούλιος'!L61</f>
        <v/>
      </c>
      <c r="P254" s="36">
        <f>N254+O254</f>
        <v/>
      </c>
      <c r="Q254" s="173">
        <f>'2026 Aύγουστος'!L61</f>
        <v/>
      </c>
      <c r="R254" s="36">
        <f>P254+Q254</f>
        <v/>
      </c>
      <c r="S254" s="173">
        <f>'2026 Σεπτέμβριος'!L61</f>
        <v/>
      </c>
      <c r="T254" s="36">
        <f>R254+S254</f>
        <v/>
      </c>
      <c r="U254" s="173">
        <f>'2026 Οκτώβριος'!L61</f>
        <v/>
      </c>
      <c r="V254" s="36">
        <f>T254+U254</f>
        <v/>
      </c>
      <c r="W254" s="173">
        <f>'2026 Νοέμβριος'!L61</f>
        <v/>
      </c>
      <c r="X254" s="36">
        <f>V254+W254</f>
        <v/>
      </c>
      <c r="Y254" s="173">
        <f>'2026 Δεκέμβριος'!L61</f>
        <v/>
      </c>
      <c r="Z254" s="36">
        <f>X254+Y254</f>
        <v/>
      </c>
      <c r="AA254" s="36">
        <f>C254+E254+G254+I254+K254+M254+O254+Q254+S254+U254+W254+Y254</f>
        <v/>
      </c>
      <c r="AD254" s="37">
        <f>IF(C135&lt;&gt;0,C254,0) + IF(E135&lt;&gt;0,E254,0) + IF(G135&lt;&gt;0,G254,0) +
IF(I135&lt;&gt;0,I254,0) + IF(K135&lt;&gt;0,K254,0) + IF(M135&lt;&gt;0,M254,0) +
IF(O135&lt;&gt;0,O254,0) + IF(Q135&lt;&gt;0,Q254,0) + IF(S135&lt;&gt;0,S254,0) +
IF(U135&lt;&gt;0,U254,0) + IF(W135&lt;&gt;0,W254,0) + IF(Y135&lt;&gt;0,Y254,0)</f>
        <v/>
      </c>
    </row>
    <row r="255">
      <c r="A255" s="44">
        <f>'2026 Ιανουάριος'!C62</f>
        <v/>
      </c>
      <c r="B255" s="35" t="n">
        <v>2024</v>
      </c>
      <c r="C255" s="173">
        <f>'2026 Ιανουάριος'!L62</f>
        <v/>
      </c>
      <c r="D255" s="36">
        <f>C255</f>
        <v/>
      </c>
      <c r="E255" s="173">
        <f>'2026 Φεβρουάριος'!L62</f>
        <v/>
      </c>
      <c r="F255" s="36">
        <f>D255+E255</f>
        <v/>
      </c>
      <c r="G255" s="173">
        <f>'2026 Μάρτιος'!L62</f>
        <v/>
      </c>
      <c r="H255" s="36">
        <f>F255+G255</f>
        <v/>
      </c>
      <c r="I255" s="173">
        <f>'2026 Απρίλιος'!L62</f>
        <v/>
      </c>
      <c r="J255" s="36">
        <f>H255+I255</f>
        <v/>
      </c>
      <c r="K255" s="173">
        <f>'2026 Μάιος'!L62</f>
        <v/>
      </c>
      <c r="L255" s="36">
        <f>J255+K255</f>
        <v/>
      </c>
      <c r="M255" s="173">
        <f>'2026 Ιούνιος'!L62</f>
        <v/>
      </c>
      <c r="N255" s="36">
        <f>L255+M255</f>
        <v/>
      </c>
      <c r="O255" s="173">
        <f>'2026 Ιούλιος'!L62</f>
        <v/>
      </c>
      <c r="P255" s="36">
        <f>N255+O255</f>
        <v/>
      </c>
      <c r="Q255" s="173">
        <f>'2026 Aύγουστος'!L62</f>
        <v/>
      </c>
      <c r="R255" s="36">
        <f>P255+Q255</f>
        <v/>
      </c>
      <c r="S255" s="173">
        <f>'2026 Σεπτέμβριος'!L62</f>
        <v/>
      </c>
      <c r="T255" s="36">
        <f>R255+S255</f>
        <v/>
      </c>
      <c r="U255" s="173">
        <f>'2026 Οκτώβριος'!L62</f>
        <v/>
      </c>
      <c r="V255" s="36">
        <f>T255+U255</f>
        <v/>
      </c>
      <c r="W255" s="173">
        <f>'2026 Νοέμβριος'!L62</f>
        <v/>
      </c>
      <c r="X255" s="36">
        <f>V255+W255</f>
        <v/>
      </c>
      <c r="Y255" s="173">
        <f>'2026 Δεκέμβριος'!L62</f>
        <v/>
      </c>
      <c r="Z255" s="36">
        <f>X255+Y255</f>
        <v/>
      </c>
      <c r="AA255" s="36">
        <f>C255+E255+G255+I255+K255+M255+O255+Q255+S255+U255+W255+Y255</f>
        <v/>
      </c>
      <c r="AD255" s="37">
        <f>IF(C136&lt;&gt;0,C255,0) + IF(E136&lt;&gt;0,E255,0) + IF(G136&lt;&gt;0,G255,0) +
IF(I136&lt;&gt;0,I255,0) + IF(K136&lt;&gt;0,K255,0) + IF(M136&lt;&gt;0,M255,0) +
IF(O136&lt;&gt;0,O255,0) + IF(Q136&lt;&gt;0,Q255,0) + IF(S136&lt;&gt;0,S255,0) +
IF(U136&lt;&gt;0,U255,0) + IF(W136&lt;&gt;0,W255,0) + IF(Y136&lt;&gt;0,Y255,0)</f>
        <v/>
      </c>
    </row>
    <row r="256">
      <c r="A256" s="44">
        <f>'2026 Ιανουάριος'!C63</f>
        <v/>
      </c>
      <c r="B256" s="35" t="n">
        <v>2024</v>
      </c>
      <c r="C256" s="173">
        <f>'2026 Ιανουάριος'!L63</f>
        <v/>
      </c>
      <c r="D256" s="36">
        <f>C256</f>
        <v/>
      </c>
      <c r="E256" s="173">
        <f>'2026 Φεβρουάριος'!L63</f>
        <v/>
      </c>
      <c r="F256" s="36">
        <f>D256+E256</f>
        <v/>
      </c>
      <c r="G256" s="173">
        <f>'2026 Μάρτιος'!L63</f>
        <v/>
      </c>
      <c r="H256" s="36">
        <f>F256+G256</f>
        <v/>
      </c>
      <c r="I256" s="173">
        <f>'2026 Απρίλιος'!L63</f>
        <v/>
      </c>
      <c r="J256" s="36">
        <f>H256+I256</f>
        <v/>
      </c>
      <c r="K256" s="173">
        <f>'2026 Μάιος'!L63</f>
        <v/>
      </c>
      <c r="L256" s="36">
        <f>J256+K256</f>
        <v/>
      </c>
      <c r="M256" s="173">
        <f>'2026 Ιούνιος'!L63</f>
        <v/>
      </c>
      <c r="N256" s="36">
        <f>L256+M256</f>
        <v/>
      </c>
      <c r="O256" s="173">
        <f>'2026 Ιούλιος'!L63</f>
        <v/>
      </c>
      <c r="P256" s="36">
        <f>N256+O256</f>
        <v/>
      </c>
      <c r="Q256" s="173">
        <f>'2026 Aύγουστος'!L63</f>
        <v/>
      </c>
      <c r="R256" s="36">
        <f>P256+Q256</f>
        <v/>
      </c>
      <c r="S256" s="173">
        <f>'2026 Σεπτέμβριος'!L63</f>
        <v/>
      </c>
      <c r="T256" s="36">
        <f>R256+S256</f>
        <v/>
      </c>
      <c r="U256" s="173">
        <f>'2026 Οκτώβριος'!L63</f>
        <v/>
      </c>
      <c r="V256" s="36">
        <f>T256+U256</f>
        <v/>
      </c>
      <c r="W256" s="173">
        <f>'2026 Νοέμβριος'!L63</f>
        <v/>
      </c>
      <c r="X256" s="36">
        <f>V256+W256</f>
        <v/>
      </c>
      <c r="Y256" s="173">
        <f>'2026 Δεκέμβριος'!L63</f>
        <v/>
      </c>
      <c r="Z256" s="36">
        <f>X256+Y256</f>
        <v/>
      </c>
      <c r="AA256" s="36">
        <f>C256+E256+G256+I256+K256+M256+O256+Q256+S256+U256+W256+Y256</f>
        <v/>
      </c>
      <c r="AD256" s="37">
        <f>IF(C137&lt;&gt;0,C256,0) + IF(E137&lt;&gt;0,E256,0) + IF(G137&lt;&gt;0,G256,0) +
IF(I137&lt;&gt;0,I256,0) + IF(K137&lt;&gt;0,K256,0) + IF(M137&lt;&gt;0,M256,0) +
IF(O137&lt;&gt;0,O256,0) + IF(Q137&lt;&gt;0,Q256,0) + IF(S137&lt;&gt;0,S256,0) +
IF(U137&lt;&gt;0,U256,0) + IF(W137&lt;&gt;0,W256,0) + IF(Y137&lt;&gt;0,Y256,0)</f>
        <v/>
      </c>
    </row>
    <row r="257">
      <c r="A257" s="44">
        <f>'2026 Ιανουάριος'!C64</f>
        <v/>
      </c>
      <c r="B257" s="35" t="n">
        <v>2024</v>
      </c>
      <c r="C257" s="173">
        <f>'2026 Ιανουάριος'!L64</f>
        <v/>
      </c>
      <c r="D257" s="36">
        <f>C257</f>
        <v/>
      </c>
      <c r="E257" s="173">
        <f>'2026 Φεβρουάριος'!L64</f>
        <v/>
      </c>
      <c r="F257" s="36">
        <f>D257+E257</f>
        <v/>
      </c>
      <c r="G257" s="173">
        <f>'2026 Μάρτιος'!L64</f>
        <v/>
      </c>
      <c r="H257" s="36">
        <f>F257+G257</f>
        <v/>
      </c>
      <c r="I257" s="173">
        <f>'2026 Απρίλιος'!L64</f>
        <v/>
      </c>
      <c r="J257" s="36">
        <f>H257+I257</f>
        <v/>
      </c>
      <c r="K257" s="173">
        <f>'2026 Μάιος'!L64</f>
        <v/>
      </c>
      <c r="L257" s="36">
        <f>J257+K257</f>
        <v/>
      </c>
      <c r="M257" s="173">
        <f>'2026 Ιούνιος'!L64</f>
        <v/>
      </c>
      <c r="N257" s="36">
        <f>L257+M257</f>
        <v/>
      </c>
      <c r="O257" s="173">
        <f>'2026 Ιούλιος'!L64</f>
        <v/>
      </c>
      <c r="P257" s="36">
        <f>N257+O257</f>
        <v/>
      </c>
      <c r="Q257" s="173">
        <f>'2026 Aύγουστος'!L64</f>
        <v/>
      </c>
      <c r="R257" s="36">
        <f>P257+Q257</f>
        <v/>
      </c>
      <c r="S257" s="173">
        <f>'2026 Σεπτέμβριος'!L64</f>
        <v/>
      </c>
      <c r="T257" s="36">
        <f>R257+S257</f>
        <v/>
      </c>
      <c r="U257" s="173">
        <f>'2026 Οκτώβριος'!L64</f>
        <v/>
      </c>
      <c r="V257" s="36">
        <f>T257+U257</f>
        <v/>
      </c>
      <c r="W257" s="173">
        <f>'2026 Νοέμβριος'!L64</f>
        <v/>
      </c>
      <c r="X257" s="36">
        <f>V257+W257</f>
        <v/>
      </c>
      <c r="Y257" s="173">
        <f>'2026 Δεκέμβριος'!L64</f>
        <v/>
      </c>
      <c r="Z257" s="36">
        <f>X257+Y257</f>
        <v/>
      </c>
      <c r="AA257" s="36">
        <f>C257+E257+G257+I257+K257+M257+O257+Q257+S257+U257+W257+Y257</f>
        <v/>
      </c>
      <c r="AD257" s="37">
        <f>IF(C138&lt;&gt;0,C257,0) + IF(E138&lt;&gt;0,E257,0) + IF(G138&lt;&gt;0,G257,0) +
IF(I138&lt;&gt;0,I257,0) + IF(K138&lt;&gt;0,K257,0) + IF(M138&lt;&gt;0,M257,0) +
IF(O138&lt;&gt;0,O257,0) + IF(Q138&lt;&gt;0,Q257,0) + IF(S138&lt;&gt;0,S257,0) +
IF(U138&lt;&gt;0,U257,0) + IF(W138&lt;&gt;0,W257,0) + IF(Y138&lt;&gt;0,Y257,0)</f>
        <v/>
      </c>
    </row>
    <row r="258">
      <c r="A258" s="44">
        <f>'2026 Ιανουάριος'!C65</f>
        <v/>
      </c>
      <c r="B258" s="35" t="n">
        <v>2024</v>
      </c>
      <c r="C258" s="173">
        <f>'2026 Ιανουάριος'!L65</f>
        <v/>
      </c>
      <c r="D258" s="36">
        <f>C258</f>
        <v/>
      </c>
      <c r="E258" s="173">
        <f>'2026 Φεβρουάριος'!L65</f>
        <v/>
      </c>
      <c r="F258" s="36">
        <f>D258+E258</f>
        <v/>
      </c>
      <c r="G258" s="173">
        <f>'2026 Μάρτιος'!L65</f>
        <v/>
      </c>
      <c r="H258" s="36">
        <f>F258+G258</f>
        <v/>
      </c>
      <c r="I258" s="173">
        <f>'2026 Απρίλιος'!L65</f>
        <v/>
      </c>
      <c r="J258" s="36">
        <f>H258+I258</f>
        <v/>
      </c>
      <c r="K258" s="173">
        <f>'2026 Μάιος'!L65</f>
        <v/>
      </c>
      <c r="L258" s="36">
        <f>J258+K258</f>
        <v/>
      </c>
      <c r="M258" s="173">
        <f>'2026 Ιούνιος'!L65</f>
        <v/>
      </c>
      <c r="N258" s="36">
        <f>L258+M258</f>
        <v/>
      </c>
      <c r="O258" s="173">
        <f>'2026 Ιούλιος'!L65</f>
        <v/>
      </c>
      <c r="P258" s="36">
        <f>N258+O258</f>
        <v/>
      </c>
      <c r="Q258" s="173">
        <f>'2026 Aύγουστος'!L65</f>
        <v/>
      </c>
      <c r="R258" s="36">
        <f>P258+Q258</f>
        <v/>
      </c>
      <c r="S258" s="173">
        <f>'2026 Σεπτέμβριος'!L65</f>
        <v/>
      </c>
      <c r="T258" s="36">
        <f>R258+S258</f>
        <v/>
      </c>
      <c r="U258" s="173">
        <f>'2026 Οκτώβριος'!L65</f>
        <v/>
      </c>
      <c r="V258" s="36">
        <f>T258+U258</f>
        <v/>
      </c>
      <c r="W258" s="173">
        <f>'2026 Νοέμβριος'!L65</f>
        <v/>
      </c>
      <c r="X258" s="36">
        <f>V258+W258</f>
        <v/>
      </c>
      <c r="Y258" s="173">
        <f>'2026 Δεκέμβριος'!L65</f>
        <v/>
      </c>
      <c r="Z258" s="36">
        <f>X258+Y258</f>
        <v/>
      </c>
      <c r="AA258" s="36">
        <f>C258+E258+G258+I258+K258+M258+O258+Q258+S258+U258+W258+Y258</f>
        <v/>
      </c>
      <c r="AD258" s="37">
        <f>IF(C139&lt;&gt;0,C258,0) + IF(E139&lt;&gt;0,E258,0) + IF(G139&lt;&gt;0,G258,0) +
IF(I139&lt;&gt;0,I258,0) + IF(K139&lt;&gt;0,K258,0) + IF(M139&lt;&gt;0,M258,0) +
IF(O139&lt;&gt;0,O258,0) + IF(Q139&lt;&gt;0,Q258,0) + IF(S139&lt;&gt;0,S258,0) +
IF(U139&lt;&gt;0,U258,0) + IF(W139&lt;&gt;0,W258,0) + IF(Y139&lt;&gt;0,Y258,0)</f>
        <v/>
      </c>
    </row>
    <row r="259">
      <c r="A259" s="44">
        <f>'2026 Ιανουάριος'!C66</f>
        <v/>
      </c>
      <c r="B259" s="35" t="n">
        <v>2024</v>
      </c>
      <c r="C259" s="173">
        <f>'2026 Ιανουάριος'!L66</f>
        <v/>
      </c>
      <c r="D259" s="36">
        <f>C259</f>
        <v/>
      </c>
      <c r="E259" s="173">
        <f>'2026 Φεβρουάριος'!L66</f>
        <v/>
      </c>
      <c r="F259" s="36">
        <f>D259+E259</f>
        <v/>
      </c>
      <c r="G259" s="173">
        <f>'2026 Μάρτιος'!L66</f>
        <v/>
      </c>
      <c r="H259" s="36">
        <f>F259+G259</f>
        <v/>
      </c>
      <c r="I259" s="173">
        <f>'2026 Απρίλιος'!L66</f>
        <v/>
      </c>
      <c r="J259" s="36">
        <f>H259+I259</f>
        <v/>
      </c>
      <c r="K259" s="173">
        <f>'2026 Μάιος'!L66</f>
        <v/>
      </c>
      <c r="L259" s="36">
        <f>J259+K259</f>
        <v/>
      </c>
      <c r="M259" s="173">
        <f>'2026 Ιούνιος'!L66</f>
        <v/>
      </c>
      <c r="N259" s="36">
        <f>L259+M259</f>
        <v/>
      </c>
      <c r="O259" s="173">
        <f>'2026 Ιούλιος'!L66</f>
        <v/>
      </c>
      <c r="P259" s="36">
        <f>N259+O259</f>
        <v/>
      </c>
      <c r="Q259" s="173">
        <f>'2026 Aύγουστος'!L66</f>
        <v/>
      </c>
      <c r="R259" s="36">
        <f>P259+Q259</f>
        <v/>
      </c>
      <c r="S259" s="173">
        <f>'2026 Σεπτέμβριος'!L66</f>
        <v/>
      </c>
      <c r="T259" s="36">
        <f>R259+S259</f>
        <v/>
      </c>
      <c r="U259" s="173">
        <f>'2026 Οκτώβριος'!L66</f>
        <v/>
      </c>
      <c r="V259" s="36">
        <f>T259+U259</f>
        <v/>
      </c>
      <c r="W259" s="173">
        <f>'2026 Νοέμβριος'!L66</f>
        <v/>
      </c>
      <c r="X259" s="36">
        <f>V259+W259</f>
        <v/>
      </c>
      <c r="Y259" s="173">
        <f>'2026 Δεκέμβριος'!L66</f>
        <v/>
      </c>
      <c r="Z259" s="36">
        <f>X259+Y259</f>
        <v/>
      </c>
      <c r="AA259" s="36">
        <f>C259+E259+G259+I259+K259+M259+O259+Q259+S259+U259+W259+Y259</f>
        <v/>
      </c>
      <c r="AD259" s="37">
        <f>IF(C140&lt;&gt;0,C259,0) + IF(E140&lt;&gt;0,E259,0) + IF(G140&lt;&gt;0,G259,0) +
IF(I140&lt;&gt;0,I259,0) + IF(K140&lt;&gt;0,K259,0) + IF(M140&lt;&gt;0,M259,0) +
IF(O140&lt;&gt;0,O259,0) + IF(Q140&lt;&gt;0,Q259,0) + IF(S140&lt;&gt;0,S259,0) +
IF(U140&lt;&gt;0,U259,0) + IF(W140&lt;&gt;0,W259,0) + IF(Y140&lt;&gt;0,Y259,0)</f>
        <v/>
      </c>
    </row>
    <row r="260">
      <c r="A260" s="44">
        <f>'2026 Ιανουάριος'!C67</f>
        <v/>
      </c>
      <c r="B260" s="35" t="n">
        <v>2024</v>
      </c>
      <c r="C260" s="173">
        <f>'2026 Ιανουάριος'!L67</f>
        <v/>
      </c>
      <c r="D260" s="36">
        <f>C260</f>
        <v/>
      </c>
      <c r="E260" s="173">
        <f>'2026 Φεβρουάριος'!L67</f>
        <v/>
      </c>
      <c r="F260" s="36">
        <f>D260+E260</f>
        <v/>
      </c>
      <c r="G260" s="173">
        <f>'2026 Μάρτιος'!L67</f>
        <v/>
      </c>
      <c r="H260" s="36">
        <f>F260+G260</f>
        <v/>
      </c>
      <c r="I260" s="173">
        <f>'2026 Απρίλιος'!L67</f>
        <v/>
      </c>
      <c r="J260" s="36">
        <f>H260+I260</f>
        <v/>
      </c>
      <c r="K260" s="173">
        <f>'2026 Μάιος'!L67</f>
        <v/>
      </c>
      <c r="L260" s="36">
        <f>J260+K260</f>
        <v/>
      </c>
      <c r="M260" s="173">
        <f>'2026 Ιούνιος'!L67</f>
        <v/>
      </c>
      <c r="N260" s="36">
        <f>L260+M260</f>
        <v/>
      </c>
      <c r="O260" s="173">
        <f>'2026 Ιούλιος'!L67</f>
        <v/>
      </c>
      <c r="P260" s="36">
        <f>N260+O260</f>
        <v/>
      </c>
      <c r="Q260" s="173">
        <f>'2026 Aύγουστος'!L67</f>
        <v/>
      </c>
      <c r="R260" s="36">
        <f>P260+Q260</f>
        <v/>
      </c>
      <c r="S260" s="173">
        <f>'2026 Σεπτέμβριος'!L67</f>
        <v/>
      </c>
      <c r="T260" s="36">
        <f>R260+S260</f>
        <v/>
      </c>
      <c r="U260" s="173">
        <f>'2026 Οκτώβριος'!L67</f>
        <v/>
      </c>
      <c r="V260" s="36">
        <f>T260+U260</f>
        <v/>
      </c>
      <c r="W260" s="173">
        <f>'2026 Νοέμβριος'!L67</f>
        <v/>
      </c>
      <c r="X260" s="36">
        <f>V260+W260</f>
        <v/>
      </c>
      <c r="Y260" s="173">
        <f>'2026 Δεκέμβριος'!L67</f>
        <v/>
      </c>
      <c r="Z260" s="36">
        <f>X260+Y260</f>
        <v/>
      </c>
      <c r="AA260" s="36">
        <f>C260+E260+G260+I260+K260+M260+O260+Q260+S260+U260+W260+Y260</f>
        <v/>
      </c>
      <c r="AD260" s="37">
        <f>IF(C141&lt;&gt;0,C260,0) + IF(E141&lt;&gt;0,E260,0) + IF(G141&lt;&gt;0,G260,0) +
IF(I141&lt;&gt;0,I260,0) + IF(K141&lt;&gt;0,K260,0) + IF(M141&lt;&gt;0,M260,0) +
IF(O141&lt;&gt;0,O260,0) + IF(Q141&lt;&gt;0,Q260,0) + IF(S141&lt;&gt;0,S260,0) +
IF(U141&lt;&gt;0,U260,0) + IF(W141&lt;&gt;0,W260,0) + IF(Y141&lt;&gt;0,Y260,0)</f>
        <v/>
      </c>
    </row>
    <row r="261">
      <c r="A261" s="44">
        <f>'2026 Ιανουάριος'!C68</f>
        <v/>
      </c>
      <c r="B261" s="35" t="n">
        <v>2024</v>
      </c>
      <c r="C261" s="173">
        <f>'2026 Ιανουάριος'!L68</f>
        <v/>
      </c>
      <c r="D261" s="36">
        <f>C261</f>
        <v/>
      </c>
      <c r="E261" s="173">
        <f>'2026 Φεβρουάριος'!L68</f>
        <v/>
      </c>
      <c r="F261" s="36">
        <f>D261+E261</f>
        <v/>
      </c>
      <c r="G261" s="173">
        <f>'2026 Μάρτιος'!L68</f>
        <v/>
      </c>
      <c r="H261" s="36">
        <f>F261+G261</f>
        <v/>
      </c>
      <c r="I261" s="173">
        <f>'2026 Απρίλιος'!L68</f>
        <v/>
      </c>
      <c r="J261" s="36">
        <f>H261+I261</f>
        <v/>
      </c>
      <c r="K261" s="173">
        <f>'2026 Μάιος'!L68</f>
        <v/>
      </c>
      <c r="L261" s="36">
        <f>J261+K261</f>
        <v/>
      </c>
      <c r="M261" s="173">
        <f>'2026 Ιούνιος'!L68</f>
        <v/>
      </c>
      <c r="N261" s="36">
        <f>L261+M261</f>
        <v/>
      </c>
      <c r="O261" s="173">
        <f>'2026 Ιούλιος'!L68</f>
        <v/>
      </c>
      <c r="P261" s="36">
        <f>N261+O261</f>
        <v/>
      </c>
      <c r="Q261" s="173">
        <f>'2026 Aύγουστος'!L68</f>
        <v/>
      </c>
      <c r="R261" s="36">
        <f>P261+Q261</f>
        <v/>
      </c>
      <c r="S261" s="173">
        <f>'2026 Σεπτέμβριος'!L68</f>
        <v/>
      </c>
      <c r="T261" s="36">
        <f>R261+S261</f>
        <v/>
      </c>
      <c r="U261" s="173">
        <f>'2026 Οκτώβριος'!L68</f>
        <v/>
      </c>
      <c r="V261" s="36">
        <f>T261+U261</f>
        <v/>
      </c>
      <c r="W261" s="173">
        <f>'2026 Νοέμβριος'!L68</f>
        <v/>
      </c>
      <c r="X261" s="36">
        <f>V261+W261</f>
        <v/>
      </c>
      <c r="Y261" s="173">
        <f>'2026 Δεκέμβριος'!L68</f>
        <v/>
      </c>
      <c r="Z261" s="36">
        <f>X261+Y261</f>
        <v/>
      </c>
      <c r="AA261" s="36">
        <f>C261+E261+G261+I261+K261+M261+O261+Q261+S261+U261+W261+Y261</f>
        <v/>
      </c>
      <c r="AD261" s="37">
        <f>IF(C142&lt;&gt;0,C261,0) + IF(E142&lt;&gt;0,E261,0) + IF(G142&lt;&gt;0,G261,0) +
IF(I142&lt;&gt;0,I261,0) + IF(K142&lt;&gt;0,K261,0) + IF(M142&lt;&gt;0,M261,0) +
IF(O142&lt;&gt;0,O261,0) + IF(Q142&lt;&gt;0,Q261,0) + IF(S142&lt;&gt;0,S261,0) +
IF(U142&lt;&gt;0,U261,0) + IF(W142&lt;&gt;0,W261,0) + IF(Y142&lt;&gt;0,Y261,0)</f>
        <v/>
      </c>
    </row>
    <row r="262" ht="28.5" customHeight="1">
      <c r="A262" s="44">
        <f>'2026 Ιανουάριος'!C69</f>
        <v/>
      </c>
      <c r="B262" s="35" t="n">
        <v>2024</v>
      </c>
      <c r="C262" s="173">
        <f>'2026 Ιανουάριος'!L69</f>
        <v/>
      </c>
      <c r="D262" s="36">
        <f>C262</f>
        <v/>
      </c>
      <c r="E262" s="173">
        <f>'2026 Φεβρουάριος'!L69</f>
        <v/>
      </c>
      <c r="F262" s="36">
        <f>D262+E262</f>
        <v/>
      </c>
      <c r="G262" s="173">
        <f>'2026 Μάρτιος'!L69</f>
        <v/>
      </c>
      <c r="H262" s="36">
        <f>F262+G262</f>
        <v/>
      </c>
      <c r="I262" s="173">
        <f>'2026 Απρίλιος'!L69</f>
        <v/>
      </c>
      <c r="J262" s="36">
        <f>H262+I262</f>
        <v/>
      </c>
      <c r="K262" s="173">
        <f>'2026 Μάιος'!L69</f>
        <v/>
      </c>
      <c r="L262" s="36">
        <f>J262+K262</f>
        <v/>
      </c>
      <c r="M262" s="173">
        <f>'2026 Ιούνιος'!L69</f>
        <v/>
      </c>
      <c r="N262" s="36">
        <f>L262+M262</f>
        <v/>
      </c>
      <c r="O262" s="173">
        <f>'2026 Ιούλιος'!L69</f>
        <v/>
      </c>
      <c r="P262" s="36">
        <f>N262+O262</f>
        <v/>
      </c>
      <c r="Q262" s="173">
        <f>'2026 Aύγουστος'!L69</f>
        <v/>
      </c>
      <c r="R262" s="36">
        <f>P262+Q262</f>
        <v/>
      </c>
      <c r="S262" s="173">
        <f>'2026 Σεπτέμβριος'!L69</f>
        <v/>
      </c>
      <c r="T262" s="36">
        <f>R262+S262</f>
        <v/>
      </c>
      <c r="U262" s="173">
        <f>'2026 Οκτώβριος'!L69</f>
        <v/>
      </c>
      <c r="V262" s="36">
        <f>T262+U262</f>
        <v/>
      </c>
      <c r="W262" s="173">
        <f>'2026 Νοέμβριος'!L69</f>
        <v/>
      </c>
      <c r="X262" s="36">
        <f>V262+W262</f>
        <v/>
      </c>
      <c r="Y262" s="173">
        <f>'2026 Δεκέμβριος'!L69</f>
        <v/>
      </c>
      <c r="Z262" s="36">
        <f>X262+Y262</f>
        <v/>
      </c>
      <c r="AA262" s="36">
        <f>C262+E262+G262+I262+K262+M262+O262+Q262+S262+U262+W262+Y262</f>
        <v/>
      </c>
      <c r="AD262" s="37">
        <f>IF(C143&lt;&gt;0,C262,0) + IF(E143&lt;&gt;0,E262,0) + IF(G143&lt;&gt;0,G262,0) +
IF(I143&lt;&gt;0,I262,0) + IF(K143&lt;&gt;0,K262,0) + IF(M143&lt;&gt;0,M262,0) +
IF(O143&lt;&gt;0,O262,0) + IF(Q143&lt;&gt;0,Q262,0) + IF(S143&lt;&gt;0,S262,0) +
IF(U143&lt;&gt;0,U262,0) + IF(W143&lt;&gt;0,W262,0) + IF(Y143&lt;&gt;0,Y262,0)</f>
        <v/>
      </c>
    </row>
    <row r="263" ht="28.5" customHeight="1">
      <c r="A263" s="44">
        <f>'2026 Ιανουάριος'!C70</f>
        <v/>
      </c>
      <c r="B263" s="35" t="n">
        <v>2024</v>
      </c>
      <c r="C263" s="173">
        <f>'2026 Ιανουάριος'!L70</f>
        <v/>
      </c>
      <c r="D263" s="36">
        <f>C263</f>
        <v/>
      </c>
      <c r="E263" s="173">
        <f>'2026 Φεβρουάριος'!L70</f>
        <v/>
      </c>
      <c r="F263" s="36">
        <f>D263+E263</f>
        <v/>
      </c>
      <c r="G263" s="173">
        <f>'2026 Μάρτιος'!L70</f>
        <v/>
      </c>
      <c r="H263" s="36">
        <f>F263+G263</f>
        <v/>
      </c>
      <c r="I263" s="173">
        <f>'2026 Απρίλιος'!L70</f>
        <v/>
      </c>
      <c r="J263" s="36">
        <f>H263+I263</f>
        <v/>
      </c>
      <c r="K263" s="173">
        <f>'2026 Μάιος'!L70</f>
        <v/>
      </c>
      <c r="L263" s="36">
        <f>J263+K263</f>
        <v/>
      </c>
      <c r="M263" s="173">
        <f>'2026 Ιούνιος'!L70</f>
        <v/>
      </c>
      <c r="N263" s="36">
        <f>L263+M263</f>
        <v/>
      </c>
      <c r="O263" s="173">
        <f>'2026 Ιούλιος'!L70</f>
        <v/>
      </c>
      <c r="P263" s="36">
        <f>N263+O263</f>
        <v/>
      </c>
      <c r="Q263" s="173">
        <f>'2026 Aύγουστος'!L70</f>
        <v/>
      </c>
      <c r="R263" s="36">
        <f>P263+Q263</f>
        <v/>
      </c>
      <c r="S263" s="173">
        <f>'2026 Σεπτέμβριος'!L70</f>
        <v/>
      </c>
      <c r="T263" s="36">
        <f>R263+S263</f>
        <v/>
      </c>
      <c r="U263" s="173">
        <f>'2026 Οκτώβριος'!L70</f>
        <v/>
      </c>
      <c r="V263" s="36">
        <f>T263+U263</f>
        <v/>
      </c>
      <c r="W263" s="173">
        <f>'2026 Νοέμβριος'!L70</f>
        <v/>
      </c>
      <c r="X263" s="36">
        <f>V263+W263</f>
        <v/>
      </c>
      <c r="Y263" s="173">
        <f>'2026 Δεκέμβριος'!L70</f>
        <v/>
      </c>
      <c r="Z263" s="36">
        <f>X263+Y263</f>
        <v/>
      </c>
      <c r="AA263" s="36">
        <f>C263+E263+G263+I263+K263+M263+O263+Q263+S263+U263+W263+Y263</f>
        <v/>
      </c>
      <c r="AD263" s="37">
        <f>IF(C144&lt;&gt;0,C263,0) + IF(E144&lt;&gt;0,E263,0) + IF(G144&lt;&gt;0,G263,0) +
IF(I144&lt;&gt;0,I263,0) + IF(K144&lt;&gt;0,K263,0) + IF(M144&lt;&gt;0,M263,0) +
IF(O144&lt;&gt;0,O263,0) + IF(Q144&lt;&gt;0,Q263,0) + IF(S144&lt;&gt;0,S263,0) +
IF(U144&lt;&gt;0,U263,0) + IF(W144&lt;&gt;0,W263,0) + IF(Y144&lt;&gt;0,Y263,0)</f>
        <v/>
      </c>
    </row>
    <row r="264">
      <c r="A264" s="44">
        <f>'2026 Ιανουάριος'!C71</f>
        <v/>
      </c>
      <c r="B264" s="35" t="n">
        <v>2024</v>
      </c>
      <c r="C264" s="173">
        <f>'2026 Ιανουάριος'!L71</f>
        <v/>
      </c>
      <c r="D264" s="36">
        <f>C264</f>
        <v/>
      </c>
      <c r="E264" s="173">
        <f>'2026 Φεβρουάριος'!L71</f>
        <v/>
      </c>
      <c r="F264" s="36">
        <f>D264+E264</f>
        <v/>
      </c>
      <c r="G264" s="173">
        <f>'2026 Μάρτιος'!L71</f>
        <v/>
      </c>
      <c r="H264" s="36">
        <f>F264+G264</f>
        <v/>
      </c>
      <c r="I264" s="173">
        <f>'2026 Απρίλιος'!L71</f>
        <v/>
      </c>
      <c r="J264" s="36">
        <f>H264+I264</f>
        <v/>
      </c>
      <c r="K264" s="173">
        <f>'2026 Μάιος'!L71</f>
        <v/>
      </c>
      <c r="L264" s="36">
        <f>J264+K264</f>
        <v/>
      </c>
      <c r="M264" s="173">
        <f>'2026 Ιούνιος'!L71</f>
        <v/>
      </c>
      <c r="N264" s="36">
        <f>L264+M264</f>
        <v/>
      </c>
      <c r="O264" s="173">
        <f>'2026 Ιούλιος'!L71</f>
        <v/>
      </c>
      <c r="P264" s="36">
        <f>N264+O264</f>
        <v/>
      </c>
      <c r="Q264" s="173">
        <f>'2026 Aύγουστος'!L71</f>
        <v/>
      </c>
      <c r="R264" s="36">
        <f>P264+Q264</f>
        <v/>
      </c>
      <c r="S264" s="173">
        <f>'2026 Σεπτέμβριος'!L71</f>
        <v/>
      </c>
      <c r="T264" s="36">
        <f>R264+S264</f>
        <v/>
      </c>
      <c r="U264" s="173">
        <f>'2026 Οκτώβριος'!L71</f>
        <v/>
      </c>
      <c r="V264" s="36">
        <f>T264+U264</f>
        <v/>
      </c>
      <c r="W264" s="173">
        <f>'2026 Νοέμβριος'!L71</f>
        <v/>
      </c>
      <c r="X264" s="36">
        <f>V264+W264</f>
        <v/>
      </c>
      <c r="Y264" s="173">
        <f>'2026 Δεκέμβριος'!L71</f>
        <v/>
      </c>
      <c r="Z264" s="36">
        <f>X264+Y264</f>
        <v/>
      </c>
      <c r="AA264" s="36">
        <f>C264+E264+G264+I264+K264+M264+O264+Q264+S264+U264+W264+Y264</f>
        <v/>
      </c>
      <c r="AD264" s="37">
        <f>IF(C145&lt;&gt;0,C264,0) + IF(E145&lt;&gt;0,E264,0) + IF(G145&lt;&gt;0,G264,0) +
IF(I145&lt;&gt;0,I264,0) + IF(K145&lt;&gt;0,K264,0) + IF(M145&lt;&gt;0,M264,0) +
IF(O145&lt;&gt;0,O264,0) + IF(Q145&lt;&gt;0,Q264,0) + IF(S145&lt;&gt;0,S264,0) +
IF(U145&lt;&gt;0,U264,0) + IF(W145&lt;&gt;0,W264,0) + IF(Y145&lt;&gt;0,Y264,0)</f>
        <v/>
      </c>
    </row>
    <row r="265" ht="28.5" customHeight="1">
      <c r="A265" s="44">
        <f>'2026 Ιανουάριος'!C72</f>
        <v/>
      </c>
      <c r="B265" s="35" t="n">
        <v>2024</v>
      </c>
      <c r="C265" s="173">
        <f>'2026 Ιανουάριος'!L72</f>
        <v/>
      </c>
      <c r="D265" s="36">
        <f>C265</f>
        <v/>
      </c>
      <c r="E265" s="173">
        <f>'2026 Φεβρουάριος'!L72</f>
        <v/>
      </c>
      <c r="F265" s="36">
        <f>D265+E265</f>
        <v/>
      </c>
      <c r="G265" s="173">
        <f>'2026 Μάρτιος'!L72</f>
        <v/>
      </c>
      <c r="H265" s="36">
        <f>F265+G265</f>
        <v/>
      </c>
      <c r="I265" s="173">
        <f>'2026 Απρίλιος'!L72</f>
        <v/>
      </c>
      <c r="J265" s="36">
        <f>H265+I265</f>
        <v/>
      </c>
      <c r="K265" s="173">
        <f>'2026 Μάιος'!L72</f>
        <v/>
      </c>
      <c r="L265" s="36">
        <f>J265+K265</f>
        <v/>
      </c>
      <c r="M265" s="173">
        <f>'2026 Ιούνιος'!L72</f>
        <v/>
      </c>
      <c r="N265" s="36">
        <f>L265+M265</f>
        <v/>
      </c>
      <c r="O265" s="173">
        <f>'2026 Ιούλιος'!L72</f>
        <v/>
      </c>
      <c r="P265" s="36">
        <f>N265+O265</f>
        <v/>
      </c>
      <c r="Q265" s="173">
        <f>'2026 Aύγουστος'!L72</f>
        <v/>
      </c>
      <c r="R265" s="36">
        <f>P265+Q265</f>
        <v/>
      </c>
      <c r="S265" s="173">
        <f>'2026 Σεπτέμβριος'!L72</f>
        <v/>
      </c>
      <c r="T265" s="36">
        <f>R265+S265</f>
        <v/>
      </c>
      <c r="U265" s="173">
        <f>'2026 Οκτώβριος'!L72</f>
        <v/>
      </c>
      <c r="V265" s="36">
        <f>T265+U265</f>
        <v/>
      </c>
      <c r="W265" s="173">
        <f>'2026 Νοέμβριος'!L72</f>
        <v/>
      </c>
      <c r="X265" s="36">
        <f>V265+W265</f>
        <v/>
      </c>
      <c r="Y265" s="173">
        <f>'2026 Δεκέμβριος'!L72</f>
        <v/>
      </c>
      <c r="Z265" s="36">
        <f>X265+Y265</f>
        <v/>
      </c>
      <c r="AA265" s="36">
        <f>C265+E265+G265+I265+K265+M265+O265+Q265+S265+U265+W265+Y265</f>
        <v/>
      </c>
      <c r="AD265" s="37">
        <f>IF(C146&lt;&gt;0,C265,0) + IF(E146&lt;&gt;0,E265,0) + IF(G146&lt;&gt;0,G265,0) +
IF(I146&lt;&gt;0,I265,0) + IF(K146&lt;&gt;0,K265,0) + IF(M146&lt;&gt;0,M265,0) +
IF(O146&lt;&gt;0,O265,0) + IF(Q146&lt;&gt;0,Q265,0) + IF(S146&lt;&gt;0,S265,0) +
IF(U146&lt;&gt;0,U265,0) + IF(W146&lt;&gt;0,W265,0) + IF(Y146&lt;&gt;0,Y265,0)</f>
        <v/>
      </c>
    </row>
    <row r="266" ht="28.5" customHeight="1">
      <c r="A266" s="44">
        <f>'2026 Ιανουάριος'!C73</f>
        <v/>
      </c>
      <c r="B266" s="35" t="n">
        <v>2024</v>
      </c>
      <c r="C266" s="173">
        <f>'2026 Ιανουάριος'!L73</f>
        <v/>
      </c>
      <c r="D266" s="36">
        <f>C266</f>
        <v/>
      </c>
      <c r="E266" s="173">
        <f>'2026 Φεβρουάριος'!L73</f>
        <v/>
      </c>
      <c r="F266" s="36">
        <f>D266+E266</f>
        <v/>
      </c>
      <c r="G266" s="173">
        <f>'2026 Μάρτιος'!L73</f>
        <v/>
      </c>
      <c r="H266" s="36">
        <f>F266+G266</f>
        <v/>
      </c>
      <c r="I266" s="173">
        <f>'2026 Απρίλιος'!L73</f>
        <v/>
      </c>
      <c r="J266" s="36">
        <f>H266+I266</f>
        <v/>
      </c>
      <c r="K266" s="173">
        <f>'2026 Μάιος'!L73</f>
        <v/>
      </c>
      <c r="L266" s="36">
        <f>J266+K266</f>
        <v/>
      </c>
      <c r="M266" s="173">
        <f>'2026 Ιούνιος'!L73</f>
        <v/>
      </c>
      <c r="N266" s="36">
        <f>L266+M266</f>
        <v/>
      </c>
      <c r="O266" s="173">
        <f>'2026 Ιούλιος'!L73</f>
        <v/>
      </c>
      <c r="P266" s="36">
        <f>N266+O266</f>
        <v/>
      </c>
      <c r="Q266" s="173">
        <f>'2026 Aύγουστος'!L73</f>
        <v/>
      </c>
      <c r="R266" s="36">
        <f>P266+Q266</f>
        <v/>
      </c>
      <c r="S266" s="173">
        <f>'2026 Σεπτέμβριος'!L73</f>
        <v/>
      </c>
      <c r="T266" s="36">
        <f>R266+S266</f>
        <v/>
      </c>
      <c r="U266" s="173">
        <f>'2026 Οκτώβριος'!L73</f>
        <v/>
      </c>
      <c r="V266" s="36">
        <f>T266+U266</f>
        <v/>
      </c>
      <c r="W266" s="173">
        <f>'2026 Νοέμβριος'!L73</f>
        <v/>
      </c>
      <c r="X266" s="36">
        <f>V266+W266</f>
        <v/>
      </c>
      <c r="Y266" s="173">
        <f>'2026 Δεκέμβριος'!L73</f>
        <v/>
      </c>
      <c r="Z266" s="36">
        <f>X266+Y266</f>
        <v/>
      </c>
      <c r="AA266" s="36">
        <f>C266+E266+G266+I266+K266+M266+O266+Q266+S266+U266+W266+Y266</f>
        <v/>
      </c>
      <c r="AD266" s="37">
        <f>IF(C147&lt;&gt;0,C266,0) + IF(E147&lt;&gt;0,E266,0) + IF(G147&lt;&gt;0,G266,0) +
IF(I147&lt;&gt;0,I266,0) + IF(K147&lt;&gt;0,K266,0) + IF(M147&lt;&gt;0,M266,0) +
IF(O147&lt;&gt;0,O266,0) + IF(Q147&lt;&gt;0,Q266,0) + IF(S147&lt;&gt;0,S266,0) +
IF(U147&lt;&gt;0,U266,0) + IF(W147&lt;&gt;0,W266,0) + IF(Y147&lt;&gt;0,Y266,0)</f>
        <v/>
      </c>
    </row>
    <row r="267">
      <c r="A267" s="44">
        <f>'2026 Ιανουάριος'!C74</f>
        <v/>
      </c>
      <c r="B267" s="35" t="n">
        <v>2024</v>
      </c>
      <c r="C267" s="173">
        <f>'2026 Ιανουάριος'!L74</f>
        <v/>
      </c>
      <c r="D267" s="36">
        <f>C267</f>
        <v/>
      </c>
      <c r="E267" s="173">
        <f>'2026 Φεβρουάριος'!L74</f>
        <v/>
      </c>
      <c r="F267" s="36">
        <f>D267+E267</f>
        <v/>
      </c>
      <c r="G267" s="173">
        <f>'2026 Μάρτιος'!L74</f>
        <v/>
      </c>
      <c r="H267" s="36">
        <f>F267+G267</f>
        <v/>
      </c>
      <c r="I267" s="173">
        <f>'2026 Απρίλιος'!L74</f>
        <v/>
      </c>
      <c r="J267" s="36">
        <f>H267+I267</f>
        <v/>
      </c>
      <c r="K267" s="173">
        <f>'2026 Μάιος'!L74</f>
        <v/>
      </c>
      <c r="L267" s="36">
        <f>J267+K267</f>
        <v/>
      </c>
      <c r="M267" s="173">
        <f>'2026 Ιούνιος'!L74</f>
        <v/>
      </c>
      <c r="N267" s="36">
        <f>L267+M267</f>
        <v/>
      </c>
      <c r="O267" s="173">
        <f>'2026 Ιούλιος'!L74</f>
        <v/>
      </c>
      <c r="P267" s="36">
        <f>N267+O267</f>
        <v/>
      </c>
      <c r="Q267" s="173">
        <f>'2026 Aύγουστος'!L74</f>
        <v/>
      </c>
      <c r="R267" s="36">
        <f>P267+Q267</f>
        <v/>
      </c>
      <c r="S267" s="173">
        <f>'2026 Σεπτέμβριος'!L74</f>
        <v/>
      </c>
      <c r="T267" s="36">
        <f>R267+S267</f>
        <v/>
      </c>
      <c r="U267" s="173">
        <f>'2026 Οκτώβριος'!L74</f>
        <v/>
      </c>
      <c r="V267" s="36">
        <f>T267+U267</f>
        <v/>
      </c>
      <c r="W267" s="173">
        <f>'2026 Νοέμβριος'!L74</f>
        <v/>
      </c>
      <c r="X267" s="36">
        <f>V267+W267</f>
        <v/>
      </c>
      <c r="Y267" s="173">
        <f>'2026 Δεκέμβριος'!L74</f>
        <v/>
      </c>
      <c r="Z267" s="36">
        <f>X267+Y267</f>
        <v/>
      </c>
      <c r="AA267" s="36">
        <f>C267+E267+G267+I267+K267+M267+O267+Q267+S267+U267+W267+Y267</f>
        <v/>
      </c>
      <c r="AD267" s="37">
        <f>IF(C148&lt;&gt;0,C267,0) + IF(E148&lt;&gt;0,E267,0) + IF(G148&lt;&gt;0,G267,0) +
IF(I148&lt;&gt;0,I267,0) + IF(K148&lt;&gt;0,K267,0) + IF(M148&lt;&gt;0,M267,0) +
IF(O148&lt;&gt;0,O267,0) + IF(Q148&lt;&gt;0,Q267,0) + IF(S148&lt;&gt;0,S267,0) +
IF(U148&lt;&gt;0,U267,0) + IF(W148&lt;&gt;0,W267,0) + IF(Y148&lt;&gt;0,Y267,0)</f>
        <v/>
      </c>
    </row>
    <row r="268">
      <c r="A268" s="44">
        <f>'2026 Ιανουάριος'!C75</f>
        <v/>
      </c>
      <c r="B268" s="35" t="n">
        <v>2024</v>
      </c>
      <c r="C268" s="173">
        <f>'2026 Ιανουάριος'!L75</f>
        <v/>
      </c>
      <c r="D268" s="36">
        <f>C268</f>
        <v/>
      </c>
      <c r="E268" s="173">
        <f>'2026 Φεβρουάριος'!L75</f>
        <v/>
      </c>
      <c r="F268" s="36">
        <f>D268+E268</f>
        <v/>
      </c>
      <c r="G268" s="173">
        <f>'2026 Μάρτιος'!L75</f>
        <v/>
      </c>
      <c r="H268" s="36">
        <f>F268+G268</f>
        <v/>
      </c>
      <c r="I268" s="173">
        <f>'2026 Απρίλιος'!L75</f>
        <v/>
      </c>
      <c r="J268" s="36">
        <f>H268+I268</f>
        <v/>
      </c>
      <c r="K268" s="173">
        <f>'2026 Μάιος'!L75</f>
        <v/>
      </c>
      <c r="L268" s="36">
        <f>J268+K268</f>
        <v/>
      </c>
      <c r="M268" s="173">
        <f>'2026 Ιούνιος'!L75</f>
        <v/>
      </c>
      <c r="N268" s="36">
        <f>L268+M268</f>
        <v/>
      </c>
      <c r="O268" s="173">
        <f>'2026 Ιούλιος'!L75</f>
        <v/>
      </c>
      <c r="P268" s="36">
        <f>N268+O268</f>
        <v/>
      </c>
      <c r="Q268" s="173">
        <f>'2026 Aύγουστος'!L75</f>
        <v/>
      </c>
      <c r="R268" s="36">
        <f>P268+Q268</f>
        <v/>
      </c>
      <c r="S268" s="173">
        <f>'2026 Σεπτέμβριος'!L75</f>
        <v/>
      </c>
      <c r="T268" s="36">
        <f>R268+S268</f>
        <v/>
      </c>
      <c r="U268" s="173">
        <f>'2026 Οκτώβριος'!L75</f>
        <v/>
      </c>
      <c r="V268" s="36">
        <f>T268+U268</f>
        <v/>
      </c>
      <c r="W268" s="173">
        <f>'2026 Νοέμβριος'!L75</f>
        <v/>
      </c>
      <c r="X268" s="36">
        <f>V268+W268</f>
        <v/>
      </c>
      <c r="Y268" s="173">
        <f>'2026 Δεκέμβριος'!L75</f>
        <v/>
      </c>
      <c r="Z268" s="36">
        <f>X268+Y268</f>
        <v/>
      </c>
      <c r="AA268" s="36">
        <f>C268+E268+G268+I268+K268+M268+O268+Q268+S268+U268+W268+Y268</f>
        <v/>
      </c>
      <c r="AD268" s="37">
        <f>IF(C149&lt;&gt;0,C268,0) + IF(E149&lt;&gt;0,E268,0) + IF(G149&lt;&gt;0,G268,0) +
IF(I149&lt;&gt;0,I268,0) + IF(K149&lt;&gt;0,K268,0) + IF(M149&lt;&gt;0,M268,0) +
IF(O149&lt;&gt;0,O268,0) + IF(Q149&lt;&gt;0,Q268,0) + IF(S149&lt;&gt;0,S268,0) +
IF(U149&lt;&gt;0,U268,0) + IF(W149&lt;&gt;0,W268,0) + IF(Y149&lt;&gt;0,Y268,0)</f>
        <v/>
      </c>
    </row>
    <row r="269">
      <c r="A269" s="44">
        <f>'2026 Ιανουάριος'!C76</f>
        <v/>
      </c>
      <c r="B269" s="35" t="n">
        <v>2024</v>
      </c>
      <c r="C269" s="173">
        <f>'2026 Ιανουάριος'!L76</f>
        <v/>
      </c>
      <c r="D269" s="36">
        <f>C269</f>
        <v/>
      </c>
      <c r="E269" s="173">
        <f>'2026 Φεβρουάριος'!L76</f>
        <v/>
      </c>
      <c r="F269" s="36">
        <f>D269+E269</f>
        <v/>
      </c>
      <c r="G269" s="173">
        <f>'2026 Μάρτιος'!L76</f>
        <v/>
      </c>
      <c r="H269" s="36">
        <f>F269+G269</f>
        <v/>
      </c>
      <c r="I269" s="173">
        <f>'2026 Απρίλιος'!L76</f>
        <v/>
      </c>
      <c r="J269" s="36">
        <f>H269+I269</f>
        <v/>
      </c>
      <c r="K269" s="173">
        <f>'2026 Μάιος'!L76</f>
        <v/>
      </c>
      <c r="L269" s="36">
        <f>J269+K269</f>
        <v/>
      </c>
      <c r="M269" s="173">
        <f>'2026 Ιούνιος'!L76</f>
        <v/>
      </c>
      <c r="N269" s="36">
        <f>L269+M269</f>
        <v/>
      </c>
      <c r="O269" s="173">
        <f>'2026 Ιούλιος'!L76</f>
        <v/>
      </c>
      <c r="P269" s="36">
        <f>N269+O269</f>
        <v/>
      </c>
      <c r="Q269" s="173">
        <f>'2026 Aύγουστος'!L76</f>
        <v/>
      </c>
      <c r="R269" s="36">
        <f>P269+Q269</f>
        <v/>
      </c>
      <c r="S269" s="173">
        <f>'2026 Σεπτέμβριος'!L76</f>
        <v/>
      </c>
      <c r="T269" s="36">
        <f>R269+S269</f>
        <v/>
      </c>
      <c r="U269" s="173">
        <f>'2026 Οκτώβριος'!L76</f>
        <v/>
      </c>
      <c r="V269" s="36">
        <f>T269+U269</f>
        <v/>
      </c>
      <c r="W269" s="173">
        <f>'2026 Νοέμβριος'!L76</f>
        <v/>
      </c>
      <c r="X269" s="36">
        <f>V269+W269</f>
        <v/>
      </c>
      <c r="Y269" s="173">
        <f>'2026 Δεκέμβριος'!L76</f>
        <v/>
      </c>
      <c r="Z269" s="36">
        <f>X269+Y269</f>
        <v/>
      </c>
      <c r="AA269" s="36">
        <f>C269+E269+G269+I269+K269+M269+O269+Q269+S269+U269+W269+Y269</f>
        <v/>
      </c>
      <c r="AD269" s="37">
        <f>IF(C150&lt;&gt;0,C269,0) + IF(E150&lt;&gt;0,E269,0) + IF(G150&lt;&gt;0,G269,0) +
IF(I150&lt;&gt;0,I269,0) + IF(K150&lt;&gt;0,K269,0) + IF(M150&lt;&gt;0,M269,0) +
IF(O150&lt;&gt;0,O269,0) + IF(Q150&lt;&gt;0,Q269,0) + IF(S150&lt;&gt;0,S269,0) +
IF(U150&lt;&gt;0,U269,0) + IF(W150&lt;&gt;0,W269,0) + IF(Y150&lt;&gt;0,Y269,0)</f>
        <v/>
      </c>
    </row>
    <row r="270">
      <c r="A270" s="44">
        <f>'2026 Ιανουάριος'!C77</f>
        <v/>
      </c>
      <c r="B270" s="35" t="n">
        <v>2024</v>
      </c>
      <c r="C270" s="173">
        <f>'2026 Ιανουάριος'!L77</f>
        <v/>
      </c>
      <c r="D270" s="36">
        <f>C270</f>
        <v/>
      </c>
      <c r="E270" s="173">
        <f>'2026 Φεβρουάριος'!L77</f>
        <v/>
      </c>
      <c r="F270" s="36">
        <f>D270+E270</f>
        <v/>
      </c>
      <c r="G270" s="173">
        <f>'2026 Μάρτιος'!L77</f>
        <v/>
      </c>
      <c r="H270" s="36">
        <f>F270+G270</f>
        <v/>
      </c>
      <c r="I270" s="173">
        <f>'2026 Απρίλιος'!L77</f>
        <v/>
      </c>
      <c r="J270" s="36">
        <f>H270+I270</f>
        <v/>
      </c>
      <c r="K270" s="173">
        <f>'2026 Μάιος'!L77</f>
        <v/>
      </c>
      <c r="L270" s="36">
        <f>J270+K270</f>
        <v/>
      </c>
      <c r="M270" s="173">
        <f>'2026 Ιούνιος'!L77</f>
        <v/>
      </c>
      <c r="N270" s="36">
        <f>L270+M270</f>
        <v/>
      </c>
      <c r="O270" s="173">
        <f>'2026 Ιούλιος'!L77</f>
        <v/>
      </c>
      <c r="P270" s="36">
        <f>N270+O270</f>
        <v/>
      </c>
      <c r="Q270" s="173">
        <f>'2026 Aύγουστος'!L77</f>
        <v/>
      </c>
      <c r="R270" s="36">
        <f>P270+Q270</f>
        <v/>
      </c>
      <c r="S270" s="173">
        <f>'2026 Σεπτέμβριος'!L77</f>
        <v/>
      </c>
      <c r="T270" s="36">
        <f>R270+S270</f>
        <v/>
      </c>
      <c r="U270" s="173">
        <f>'2026 Οκτώβριος'!L77</f>
        <v/>
      </c>
      <c r="V270" s="36">
        <f>T270+U270</f>
        <v/>
      </c>
      <c r="W270" s="173">
        <f>'2026 Νοέμβριος'!L77</f>
        <v/>
      </c>
      <c r="X270" s="36">
        <f>V270+W270</f>
        <v/>
      </c>
      <c r="Y270" s="173">
        <f>'2026 Δεκέμβριος'!L77</f>
        <v/>
      </c>
      <c r="Z270" s="36">
        <f>X270+Y270</f>
        <v/>
      </c>
      <c r="AA270" s="36">
        <f>C270+E270+G270+I270+K270+M270+O270+Q270+S270+U270+W270+Y270</f>
        <v/>
      </c>
      <c r="AD270" s="37">
        <f>IF(C151&lt;&gt;0,C270,0) + IF(E151&lt;&gt;0,E270,0) + IF(G151&lt;&gt;0,G270,0) +
IF(I151&lt;&gt;0,I270,0) + IF(K151&lt;&gt;0,K270,0) + IF(M151&lt;&gt;0,M270,0) +
IF(O151&lt;&gt;0,O270,0) + IF(Q151&lt;&gt;0,Q270,0) + IF(S151&lt;&gt;0,S270,0) +
IF(U151&lt;&gt;0,U270,0) + IF(W151&lt;&gt;0,W270,0) + IF(Y151&lt;&gt;0,Y270,0)</f>
        <v/>
      </c>
    </row>
    <row r="271">
      <c r="A271" s="44" t="inlineStr">
        <is>
          <t>Σύνολα</t>
        </is>
      </c>
      <c r="C271" s="174">
        <f>SUM(C241:C270)</f>
        <v/>
      </c>
      <c r="D271" s="36">
        <f>C271</f>
        <v/>
      </c>
      <c r="E271" s="174">
        <f>SUM(E241:E270)</f>
        <v/>
      </c>
      <c r="F271" s="36">
        <f>D271+E271</f>
        <v/>
      </c>
      <c r="G271" s="174">
        <f>SUM(G241:G270)</f>
        <v/>
      </c>
      <c r="H271" s="36">
        <f>F271+G271</f>
        <v/>
      </c>
      <c r="I271" s="174">
        <f>SUM(I241:I270)</f>
        <v/>
      </c>
      <c r="J271" s="36">
        <f>H271+I271</f>
        <v/>
      </c>
      <c r="K271" s="173">
        <f>SUM(K241:K270)</f>
        <v/>
      </c>
      <c r="L271" s="36">
        <f>J271+K271</f>
        <v/>
      </c>
      <c r="M271" s="174">
        <f>SUM(M241:M270)</f>
        <v/>
      </c>
      <c r="N271" s="36">
        <f>L271+M271</f>
        <v/>
      </c>
      <c r="O271" s="173">
        <f>SUM(O241:O270)</f>
        <v/>
      </c>
      <c r="P271" s="36">
        <f>N271+O271</f>
        <v/>
      </c>
      <c r="Q271" s="173">
        <f>'2026 Aύγουστος'!L78</f>
        <v/>
      </c>
      <c r="R271" s="36">
        <f>P271+Q271</f>
        <v/>
      </c>
      <c r="S271" s="173">
        <f>SUM(S241:S270)</f>
        <v/>
      </c>
      <c r="T271" s="36">
        <f>R271+S271</f>
        <v/>
      </c>
      <c r="U271" s="173">
        <f>SUM(U241:U270)</f>
        <v/>
      </c>
      <c r="V271" s="36">
        <f>T271+U271</f>
        <v/>
      </c>
      <c r="W271" s="174">
        <f>SUM(W241:W270)</f>
        <v/>
      </c>
      <c r="X271" s="36">
        <f>V271+W271</f>
        <v/>
      </c>
      <c r="Y271" s="174">
        <f>SUM(Y241:Y270)</f>
        <v/>
      </c>
      <c r="Z271" s="36">
        <f>X271+Y271</f>
        <v/>
      </c>
      <c r="AA271" s="36">
        <f>C271+E271+G271+I271+K271+M271+O271+Q271+S271+U271+W271+Y271</f>
        <v/>
      </c>
      <c r="AD271" s="37" t="n"/>
    </row>
    <row r="272"/>
    <row r="273"/>
    <row r="274"/>
    <row r="275"/>
    <row r="276" ht="17.25" customHeight="1">
      <c r="A276" s="165" t="inlineStr">
        <is>
          <t>Κατηγορία εξόδου / Κόστος sales / mareketing</t>
        </is>
      </c>
      <c r="B276" s="35" t="inlineStr">
        <is>
          <t xml:space="preserve">¨Ετος </t>
        </is>
      </c>
      <c r="C276" s="172" t="inlineStr">
        <is>
          <t>Ιανουάριος 2024</t>
        </is>
      </c>
      <c r="D276" s="35" t="inlineStr">
        <is>
          <t>Προοδευτικά Ιαν 2024</t>
        </is>
      </c>
      <c r="E276" s="172" t="inlineStr">
        <is>
          <t>Φεβρουάριος 2024</t>
        </is>
      </c>
      <c r="F276" s="35" t="inlineStr">
        <is>
          <t>Προοδευτικά  Φεβρ. 2024</t>
        </is>
      </c>
      <c r="G276" s="172" t="inlineStr">
        <is>
          <t>Μάρτιος 2024</t>
        </is>
      </c>
      <c r="H276" s="35" t="inlineStr">
        <is>
          <t>Προοδευτικά Μάρτιος 2024</t>
        </is>
      </c>
      <c r="I276" s="172" t="inlineStr">
        <is>
          <t>Απρίλιος 2024</t>
        </is>
      </c>
      <c r="J276" s="35" t="inlineStr">
        <is>
          <t>Προοδευτικά Απρίλιος 2024</t>
        </is>
      </c>
      <c r="K276" s="172" t="inlineStr">
        <is>
          <t>Μάιος 2024</t>
        </is>
      </c>
      <c r="L276" s="35" t="inlineStr">
        <is>
          <t>Προοδευτικά Μάιος 2024</t>
        </is>
      </c>
      <c r="M276" s="172" t="inlineStr">
        <is>
          <t>Ιούνιος 2024</t>
        </is>
      </c>
      <c r="N276" s="35" t="inlineStr">
        <is>
          <t>Προοδευτικά Ιούνιος 2024</t>
        </is>
      </c>
      <c r="O276" s="172" t="inlineStr">
        <is>
          <t xml:space="preserve">Ιούλιος 2024 </t>
        </is>
      </c>
      <c r="P276" s="35" t="inlineStr">
        <is>
          <t>Προοδευτικά Ιούλιος 2024</t>
        </is>
      </c>
      <c r="Q276" s="172" t="inlineStr">
        <is>
          <t>Αύγουστος 2024</t>
        </is>
      </c>
      <c r="R276" s="35" t="inlineStr">
        <is>
          <t>Προοδευτικά Αύγουστος 2024</t>
        </is>
      </c>
      <c r="S276" s="172" t="inlineStr">
        <is>
          <t>Σεπτέμβριος 2024</t>
        </is>
      </c>
      <c r="T276" s="35" t="inlineStr">
        <is>
          <t>Προοδευτικά  Σεπτέμβριος 2024</t>
        </is>
      </c>
      <c r="U276" s="172" t="inlineStr">
        <is>
          <t>Οκτώβριος 2024</t>
        </is>
      </c>
      <c r="V276" s="35" t="inlineStr">
        <is>
          <t>Προοδευτικά Οκτώβριος 2024</t>
        </is>
      </c>
      <c r="W276" s="172" t="inlineStr">
        <is>
          <t>Νοέμβριος 2024</t>
        </is>
      </c>
      <c r="X276" s="35" t="inlineStr">
        <is>
          <t>Προοδευτικά Νοέμβριος 2024</t>
        </is>
      </c>
      <c r="Y276" s="172" t="inlineStr">
        <is>
          <t>Δεκέμβριος 2024</t>
        </is>
      </c>
      <c r="Z276" s="35" t="inlineStr">
        <is>
          <t>Προοδευτικό Σύνολο Δεκεμβρίου 2024</t>
        </is>
      </c>
      <c r="AA276" s="35" t="inlineStr">
        <is>
          <t>Γενικό Σύνολο Μηνών ανά κατηγορία Εξόδου 2024</t>
        </is>
      </c>
    </row>
    <row r="277">
      <c r="A277" s="166">
        <f>'2026 Ιανουάριος'!C47</f>
        <v/>
      </c>
      <c r="B277" s="56" t="n">
        <v>2024</v>
      </c>
      <c r="C277" s="173">
        <f>'2026 Ιανουάριος'!L47</f>
        <v/>
      </c>
      <c r="D277" s="36">
        <f>C277</f>
        <v/>
      </c>
      <c r="E277" s="173">
        <f>'2026 Φεβρουάριος'!L47</f>
        <v/>
      </c>
      <c r="F277" s="36">
        <f>D277+E277</f>
        <v/>
      </c>
      <c r="G277" s="173">
        <f>'2026 Μάρτιος'!L47</f>
        <v/>
      </c>
      <c r="H277" s="36">
        <f>F277+G277</f>
        <v/>
      </c>
      <c r="I277" s="173">
        <f>'2026 Απρίλιος'!L47</f>
        <v/>
      </c>
      <c r="J277" s="36">
        <f>H277+I277</f>
        <v/>
      </c>
      <c r="K277" s="173">
        <f>'2026 Μάιος'!L47</f>
        <v/>
      </c>
      <c r="L277" s="36">
        <f>J277+K277</f>
        <v/>
      </c>
      <c r="M277" s="173">
        <f>'2026 Ιούνιος'!L47</f>
        <v/>
      </c>
      <c r="N277" s="36">
        <f>L277+M277</f>
        <v/>
      </c>
      <c r="O277" s="173">
        <f>'2026 Ιούλιος'!L47</f>
        <v/>
      </c>
      <c r="P277" s="36">
        <f>N277+O277</f>
        <v/>
      </c>
      <c r="Q277" s="173">
        <f>'2026 Aύγουστος'!L47</f>
        <v/>
      </c>
      <c r="R277" s="36">
        <f>P277+Q277</f>
        <v/>
      </c>
      <c r="S277" s="173">
        <f>'2026 Σεπτέμβριος'!L47</f>
        <v/>
      </c>
      <c r="T277" s="36">
        <f>R277+S277</f>
        <v/>
      </c>
      <c r="U277" s="173">
        <f>'2026 Οκτώβριος'!L47</f>
        <v/>
      </c>
      <c r="V277" s="36">
        <f>T277+U277</f>
        <v/>
      </c>
      <c r="W277" s="173">
        <f>'2026 Νοέμβριος'!L47</f>
        <v/>
      </c>
      <c r="X277" s="36">
        <f>V277+W277</f>
        <v/>
      </c>
      <c r="Y277" s="173">
        <f>'2026 Δεκέμβριος'!L47</f>
        <v/>
      </c>
      <c r="Z277" s="36">
        <f>X277+Y277</f>
        <v/>
      </c>
      <c r="AA277" s="36">
        <f>C277+E277+G277+I277+K277+M277+O277+Q277+S277+U277+W277+Y277</f>
        <v/>
      </c>
      <c r="AD277" s="37">
        <f>IF(C121&lt;&gt;0,C277,0) + IF(E121&lt;&gt;0,E277,0) + IF(G121&lt;&gt;0,G277,0) +
IF(I121&lt;&gt;0,I277,0) + IF(K121&lt;&gt;0,K277,0) + IF(M121&lt;&gt;0,M277,0) +
IF(O121&lt;&gt;0,O277,0) + IF(Q121&lt;&gt;0,Q277,0) + IF(S121&lt;&gt;0,S277,0) +
IF(U121&lt;&gt;0,U277,0) + IF(W121&lt;&gt;0,W277,0) + IF(Y121&lt;&gt;0,Y277,0)</f>
        <v/>
      </c>
    </row>
    <row r="278">
      <c r="A278" s="166">
        <f>'2026 Ιανουάριος'!C48</f>
        <v/>
      </c>
      <c r="B278" s="56" t="n">
        <v>2024</v>
      </c>
      <c r="C278" s="173">
        <f>'2026 Ιανουάριος'!L48</f>
        <v/>
      </c>
      <c r="D278" s="36">
        <f>C278</f>
        <v/>
      </c>
      <c r="E278" s="173">
        <f>'2026 Φεβρουάριος'!L48</f>
        <v/>
      </c>
      <c r="F278" s="36">
        <f>D278+E278</f>
        <v/>
      </c>
      <c r="G278" s="173">
        <f>'2026 Μάρτιος'!L48</f>
        <v/>
      </c>
      <c r="H278" s="36">
        <f>F278+G278</f>
        <v/>
      </c>
      <c r="I278" s="173">
        <f>'2026 Απρίλιος'!L48</f>
        <v/>
      </c>
      <c r="J278" s="36">
        <f>H278+I278</f>
        <v/>
      </c>
      <c r="K278" s="173">
        <f>'2026 Μάιος'!L48</f>
        <v/>
      </c>
      <c r="L278" s="36">
        <f>J278+K278</f>
        <v/>
      </c>
      <c r="M278" s="173">
        <f>'2026 Ιούνιος'!L48</f>
        <v/>
      </c>
      <c r="N278" s="36">
        <f>L278+M278</f>
        <v/>
      </c>
      <c r="O278" s="173">
        <f>'2026 Ιούλιος'!L48</f>
        <v/>
      </c>
      <c r="P278" s="36">
        <f>N278+O278</f>
        <v/>
      </c>
      <c r="Q278" s="173">
        <f>'2026 Aύγουστος'!L48</f>
        <v/>
      </c>
      <c r="R278" s="36">
        <f>P278+Q278</f>
        <v/>
      </c>
      <c r="S278" s="173">
        <f>'2026 Σεπτέμβριος'!L48</f>
        <v/>
      </c>
      <c r="T278" s="36">
        <f>R278+S278</f>
        <v/>
      </c>
      <c r="U278" s="173">
        <f>'2026 Οκτώβριος'!L48</f>
        <v/>
      </c>
      <c r="V278" s="36">
        <f>T278+U278</f>
        <v/>
      </c>
      <c r="W278" s="173">
        <f>'2026 Νοέμβριος'!L48</f>
        <v/>
      </c>
      <c r="X278" s="36">
        <f>V278+W278</f>
        <v/>
      </c>
      <c r="Y278" s="173">
        <f>'2026 Δεκέμβριος'!L48</f>
        <v/>
      </c>
      <c r="Z278" s="36">
        <f>X278+Y278</f>
        <v/>
      </c>
      <c r="AA278" s="36">
        <f>C278+E278+G278+I278+K278+M278+O278+Q278+S278+U278+W278+Y278</f>
        <v/>
      </c>
      <c r="AD278" s="37">
        <f>IF(C122&lt;&gt;0,C278,0) + IF(E122&lt;&gt;0,E278,0) + IF(G122&lt;&gt;0,G278,0) +
IF(I122&lt;&gt;0,I278,0) + IF(K122&lt;&gt;0,K278,0) + IF(M122&lt;&gt;0,M278,0) +
IF(O122&lt;&gt;0,O278,0) + IF(Q122&lt;&gt;0,Q278,0) + IF(S122&lt;&gt;0,S278,0) +
IF(U122&lt;&gt;0,U278,0) + IF(W122&lt;&gt;0,W278,0) + IF(Y122&lt;&gt;0,Y278,0)</f>
        <v/>
      </c>
    </row>
    <row r="279">
      <c r="A279" s="166">
        <f>'2026 Ιανουάριος'!C85</f>
        <v/>
      </c>
      <c r="B279" s="56" t="n">
        <v>2024</v>
      </c>
      <c r="C279" s="173">
        <f>'2026 Ιανουάριος'!L85</f>
        <v/>
      </c>
      <c r="D279" s="36">
        <f>C279</f>
        <v/>
      </c>
      <c r="E279" s="173">
        <f>'2026 Φεβρουάριος'!L85</f>
        <v/>
      </c>
      <c r="F279" s="36">
        <f>D279+E279</f>
        <v/>
      </c>
      <c r="G279" s="173">
        <f>'2026 Μάρτιος'!L85</f>
        <v/>
      </c>
      <c r="H279" s="36">
        <f>F279+G279</f>
        <v/>
      </c>
      <c r="I279" s="173">
        <f>'2026 Απρίλιος'!L85</f>
        <v/>
      </c>
      <c r="J279" s="36">
        <f>H279+I279</f>
        <v/>
      </c>
      <c r="K279" s="173">
        <f>'2026 Μάιος'!L85</f>
        <v/>
      </c>
      <c r="L279" s="36">
        <f>J279+K279</f>
        <v/>
      </c>
      <c r="M279" s="173">
        <f>'2026 Ιούνιος'!L85</f>
        <v/>
      </c>
      <c r="N279" s="36">
        <f>L279+M279</f>
        <v/>
      </c>
      <c r="O279" s="173">
        <f>'2026 Ιούλιος'!L85</f>
        <v/>
      </c>
      <c r="P279" s="36">
        <f>N279+O279</f>
        <v/>
      </c>
      <c r="Q279" s="173">
        <f>'2026 Aύγουστος'!L85</f>
        <v/>
      </c>
      <c r="R279" s="36">
        <f>P279+Q279</f>
        <v/>
      </c>
      <c r="S279" s="173">
        <f>'2026 Σεπτέμβριος'!L85</f>
        <v/>
      </c>
      <c r="T279" s="36">
        <f>R279+S279</f>
        <v/>
      </c>
      <c r="U279" s="173">
        <f>'2026 Οκτώβριος'!L85</f>
        <v/>
      </c>
      <c r="V279" s="36">
        <f>T279+U279</f>
        <v/>
      </c>
      <c r="W279" s="173">
        <f>'2026 Νοέμβριος'!L85</f>
        <v/>
      </c>
      <c r="X279" s="36">
        <f>V279+W279</f>
        <v/>
      </c>
      <c r="Y279" s="173">
        <f>'2026 Δεκέμβριος'!L85</f>
        <v/>
      </c>
      <c r="Z279" s="36">
        <f>X279+Y279</f>
        <v/>
      </c>
      <c r="AA279" s="36">
        <f>C279+E279+G279+I279+K279+M279+O279+Q279+S279+U279+W279+Y279</f>
        <v/>
      </c>
      <c r="AD279" s="37">
        <f>IF(C159&lt;&gt;0,C279,0) + IF(E159&lt;&gt;0,E279,0) + IF(G159&lt;&gt;0,G279,0) +
IF(I159&lt;&gt;0,I279,0) + IF(K159&lt;&gt;0,K279,0) + IF(M159&lt;&gt;0,M279,0) +
IF(O159&lt;&gt;0,O279,0) + IF(Q159&lt;&gt;0,Q279,0) + IF(S159&lt;&gt;0,S279,0) +
IF(U159&lt;&gt;0,U279,0) + IF(W159&lt;&gt;0,W279,0) + IF(Y159&lt;&gt;0,Y279,0)</f>
        <v/>
      </c>
    </row>
    <row r="280">
      <c r="A280" s="166">
        <f>'2026 Ιανουάριος'!C86</f>
        <v/>
      </c>
      <c r="B280" s="56" t="n">
        <v>2024</v>
      </c>
      <c r="C280" s="173">
        <f>'2026 Ιανουάριος'!L86</f>
        <v/>
      </c>
      <c r="D280" s="36">
        <f>C280</f>
        <v/>
      </c>
      <c r="E280" s="173">
        <f>'2026 Φεβρουάριος'!L86</f>
        <v/>
      </c>
      <c r="F280" s="36">
        <f>D280+E280</f>
        <v/>
      </c>
      <c r="G280" s="173">
        <f>'2026 Μάρτιος'!L86</f>
        <v/>
      </c>
      <c r="H280" s="36">
        <f>F280+G280</f>
        <v/>
      </c>
      <c r="I280" s="173">
        <f>'2026 Απρίλιος'!L86</f>
        <v/>
      </c>
      <c r="J280" s="36">
        <f>H280+I280</f>
        <v/>
      </c>
      <c r="K280" s="173">
        <f>'2026 Μάιος'!L86</f>
        <v/>
      </c>
      <c r="L280" s="36">
        <f>J280+K280</f>
        <v/>
      </c>
      <c r="M280" s="173">
        <f>'2026 Ιούνιος'!L86</f>
        <v/>
      </c>
      <c r="N280" s="36">
        <f>L280+M280</f>
        <v/>
      </c>
      <c r="O280" s="173">
        <f>'2026 Ιούλιος'!L86</f>
        <v/>
      </c>
      <c r="P280" s="36">
        <f>N280+O280</f>
        <v/>
      </c>
      <c r="Q280" s="173">
        <f>'2026 Aύγουστος'!L86</f>
        <v/>
      </c>
      <c r="R280" s="36">
        <f>P280+Q280</f>
        <v/>
      </c>
      <c r="S280" s="173">
        <f>'2026 Σεπτέμβριος'!L86</f>
        <v/>
      </c>
      <c r="T280" s="36">
        <f>R280+S280</f>
        <v/>
      </c>
      <c r="U280" s="173">
        <f>'2026 Οκτώβριος'!L86</f>
        <v/>
      </c>
      <c r="V280" s="36">
        <f>T280+U280</f>
        <v/>
      </c>
      <c r="W280" s="173">
        <f>'2026 Νοέμβριος'!L86</f>
        <v/>
      </c>
      <c r="X280" s="36">
        <f>V280+W280</f>
        <v/>
      </c>
      <c r="Y280" s="173">
        <f>'2026 Δεκέμβριος'!L86</f>
        <v/>
      </c>
      <c r="Z280" s="36">
        <f>X280+Y280</f>
        <v/>
      </c>
      <c r="AA280" s="36">
        <f>C280+E280+G280+I280+K280+M280+O280+Q280+S280+U280+W280+Y280</f>
        <v/>
      </c>
      <c r="AD280" s="37">
        <f>IF(C160&lt;&gt;0,C280,0) + IF(E160&lt;&gt;0,E280,0) + IF(G160&lt;&gt;0,G280,0) +
IF(I160&lt;&gt;0,I280,0) + IF(K160&lt;&gt;0,K280,0) + IF(M160&lt;&gt;0,M280,0) +
IF(O160&lt;&gt;0,O280,0) + IF(Q160&lt;&gt;0,Q280,0) + IF(S160&lt;&gt;0,S280,0) +
IF(U160&lt;&gt;0,U280,0) + IF(W160&lt;&gt;0,W280,0) + IF(Y160&lt;&gt;0,Y280,0)</f>
        <v/>
      </c>
    </row>
    <row r="281">
      <c r="A281" s="166">
        <f>'2026 Ιανουάριος'!C52</f>
        <v/>
      </c>
      <c r="B281" s="56" t="n">
        <v>2024</v>
      </c>
      <c r="C281" s="173">
        <f>'2026 Ιανουάριος'!L52</f>
        <v/>
      </c>
      <c r="D281" s="36">
        <f>C281</f>
        <v/>
      </c>
      <c r="E281" s="173">
        <f>'2026 Φεβρουάριος'!L52</f>
        <v/>
      </c>
      <c r="F281" s="36">
        <f>D281+E281</f>
        <v/>
      </c>
      <c r="G281" s="173">
        <f>'2026 Μάρτιος'!L52</f>
        <v/>
      </c>
      <c r="H281" s="36">
        <f>F281+G281</f>
        <v/>
      </c>
      <c r="I281" s="173">
        <f>'2026 Απρίλιος'!L52</f>
        <v/>
      </c>
      <c r="J281" s="36">
        <f>H281+I281</f>
        <v/>
      </c>
      <c r="K281" s="173">
        <f>'2026 Μάιος'!L52</f>
        <v/>
      </c>
      <c r="L281" s="36">
        <f>J281+K281</f>
        <v/>
      </c>
      <c r="M281" s="173">
        <f>'2026 Ιούνιος'!L52</f>
        <v/>
      </c>
      <c r="N281" s="36">
        <f>L281+M281</f>
        <v/>
      </c>
      <c r="O281" s="173">
        <f>'2026 Ιούλιος'!L52</f>
        <v/>
      </c>
      <c r="P281" s="36">
        <f>N281+O281</f>
        <v/>
      </c>
      <c r="Q281" s="173">
        <f>'2026 Aύγουστος'!L52</f>
        <v/>
      </c>
      <c r="R281" s="36">
        <f>P281+Q281</f>
        <v/>
      </c>
      <c r="S281" s="173">
        <f>'2026 Σεπτέμβριος'!L52</f>
        <v/>
      </c>
      <c r="T281" s="36">
        <f>R281+S281</f>
        <v/>
      </c>
      <c r="U281" s="173">
        <f>'2026 Οκτώβριος'!L52</f>
        <v/>
      </c>
      <c r="V281" s="36">
        <f>T281+U281</f>
        <v/>
      </c>
      <c r="W281" s="173">
        <f>'2026 Νοέμβριος'!L52</f>
        <v/>
      </c>
      <c r="X281" s="36">
        <f>V281+W281</f>
        <v/>
      </c>
      <c r="Y281" s="173">
        <f>'2026 Δεκέμβριος'!L52</f>
        <v/>
      </c>
      <c r="Z281" s="36">
        <f>X281+Y281</f>
        <v/>
      </c>
      <c r="AA281" s="36">
        <f>C281+E281+G281+I281+K281+M281+O281+Q281+S281+U281+W281+Y281</f>
        <v/>
      </c>
      <c r="AD281" s="37">
        <f>IF(C126&lt;&gt;0,C281,0) + IF(E126&lt;&gt;0,E281,0) + IF(G126&lt;&gt;0,G281,0) +
IF(I126&lt;&gt;0,I281,0) + IF(K126&lt;&gt;0,K281,0) + IF(M126&lt;&gt;0,M281,0) +
IF(O126&lt;&gt;0,O281,0) + IF(Q126&lt;&gt;0,Q281,0) + IF(S126&lt;&gt;0,S281,0) +
IF(U126&lt;&gt;0,U281,0) + IF(W126&lt;&gt;0,W281,0) + IF(Y126&lt;&gt;0,Y281,0)</f>
        <v/>
      </c>
    </row>
    <row r="282">
      <c r="A282" s="166">
        <f>'2026 Ιανουάριος'!C53</f>
        <v/>
      </c>
      <c r="B282" s="56" t="n">
        <v>2024</v>
      </c>
      <c r="C282" s="173">
        <f>'2026 Ιανουάριος'!L53</f>
        <v/>
      </c>
      <c r="D282" s="36">
        <f>C282</f>
        <v/>
      </c>
      <c r="E282" s="173">
        <f>'2026 Φεβρουάριος'!L53</f>
        <v/>
      </c>
      <c r="F282" s="36">
        <f>D282+E282</f>
        <v/>
      </c>
      <c r="G282" s="173">
        <f>'2026 Μάρτιος'!L53</f>
        <v/>
      </c>
      <c r="H282" s="36">
        <f>F282+G282</f>
        <v/>
      </c>
      <c r="I282" s="173">
        <f>'2026 Απρίλιος'!L53</f>
        <v/>
      </c>
      <c r="J282" s="36">
        <f>H282+I282</f>
        <v/>
      </c>
      <c r="K282" s="173">
        <f>'2026 Μάιος'!L53</f>
        <v/>
      </c>
      <c r="L282" s="36">
        <f>J282+K282</f>
        <v/>
      </c>
      <c r="M282" s="173">
        <f>'2026 Ιούνιος'!L53</f>
        <v/>
      </c>
      <c r="N282" s="36">
        <f>L282+M282</f>
        <v/>
      </c>
      <c r="O282" s="173">
        <f>'2026 Ιούλιος'!L53</f>
        <v/>
      </c>
      <c r="P282" s="36">
        <f>N282+O282</f>
        <v/>
      </c>
      <c r="Q282" s="173">
        <f>'2026 Aύγουστος'!L53</f>
        <v/>
      </c>
      <c r="R282" s="36">
        <f>P282+Q282</f>
        <v/>
      </c>
      <c r="S282" s="173">
        <f>'2026 Σεπτέμβριος'!L53</f>
        <v/>
      </c>
      <c r="T282" s="36">
        <f>R282+S282</f>
        <v/>
      </c>
      <c r="U282" s="173">
        <f>'2026 Οκτώβριος'!L53</f>
        <v/>
      </c>
      <c r="V282" s="36">
        <f>T282+U282</f>
        <v/>
      </c>
      <c r="W282" s="173">
        <f>'2026 Νοέμβριος'!L53</f>
        <v/>
      </c>
      <c r="X282" s="36">
        <f>V282+W282</f>
        <v/>
      </c>
      <c r="Y282" s="173">
        <f>'2026 Δεκέμβριος'!L53</f>
        <v/>
      </c>
      <c r="Z282" s="36">
        <f>X282+Y282</f>
        <v/>
      </c>
      <c r="AA282" s="36">
        <f>C282+E282+G282+I282+K282+M282+O282+Q282+S282+U282+W282+Y282</f>
        <v/>
      </c>
      <c r="AD282" s="37">
        <f>IF(C127&lt;&gt;0,C282,0) + IF(E127&lt;&gt;0,E282,0) + IF(G127&lt;&gt;0,G282,0) +
IF(I127&lt;&gt;0,I282,0) + IF(K127&lt;&gt;0,K282,0) + IF(M127&lt;&gt;0,M282,0) +
IF(O127&lt;&gt;0,O282,0) + IF(Q127&lt;&gt;0,Q282,0) + IF(S127&lt;&gt;0,S282,0) +
IF(U127&lt;&gt;0,U282,0) + IF(W127&lt;&gt;0,W282,0) + IF(Y127&lt;&gt;0,Y282,0)</f>
        <v/>
      </c>
    </row>
    <row r="283">
      <c r="A283" s="166">
        <f>'2026 Ιανουάριος'!C87</f>
        <v/>
      </c>
      <c r="B283" s="56" t="n">
        <v>2024</v>
      </c>
      <c r="C283" s="173">
        <f>'2026 Ιανουάριος'!L87</f>
        <v/>
      </c>
      <c r="D283" s="36">
        <f>C283</f>
        <v/>
      </c>
      <c r="E283" s="173">
        <f>'2026 Φεβρουάριος'!L87</f>
        <v/>
      </c>
      <c r="F283" s="36">
        <f>D283+E283</f>
        <v/>
      </c>
      <c r="G283" s="173">
        <f>'2026 Μάρτιος'!L87</f>
        <v/>
      </c>
      <c r="H283" s="36">
        <f>F283+G283</f>
        <v/>
      </c>
      <c r="I283" s="173">
        <f>'2026 Απρίλιος'!L87</f>
        <v/>
      </c>
      <c r="J283" s="36">
        <f>H283+I283</f>
        <v/>
      </c>
      <c r="K283" s="173">
        <f>'2026 Μάιος'!L87</f>
        <v/>
      </c>
      <c r="L283" s="36">
        <f>J283+K283</f>
        <v/>
      </c>
      <c r="M283" s="173">
        <f>'2026 Ιούνιος'!L87</f>
        <v/>
      </c>
      <c r="N283" s="36">
        <f>L283+M283</f>
        <v/>
      </c>
      <c r="O283" s="173">
        <f>'2026 Ιούλιος'!L87</f>
        <v/>
      </c>
      <c r="P283" s="36">
        <f>N283+O283</f>
        <v/>
      </c>
      <c r="Q283" s="173">
        <f>'2026 Aύγουστος'!L87</f>
        <v/>
      </c>
      <c r="R283" s="36">
        <f>P283+Q283</f>
        <v/>
      </c>
      <c r="S283" s="173">
        <f>'2026 Σεπτέμβριος'!L87</f>
        <v/>
      </c>
      <c r="T283" s="36">
        <f>R283+S283</f>
        <v/>
      </c>
      <c r="U283" s="173">
        <f>'2026 Οκτώβριος'!L87</f>
        <v/>
      </c>
      <c r="V283" s="36">
        <f>T283+U283</f>
        <v/>
      </c>
      <c r="W283" s="173">
        <f>'2026 Νοέμβριος'!L87</f>
        <v/>
      </c>
      <c r="X283" s="36">
        <f>V283+W283</f>
        <v/>
      </c>
      <c r="Y283" s="173">
        <f>'2026 Δεκέμβριος'!L87</f>
        <v/>
      </c>
      <c r="Z283" s="36">
        <f>X283+Y283</f>
        <v/>
      </c>
      <c r="AA283" s="36">
        <f>C283+E283+G283+I283+K283+M283+O283+Q283+S283+U283+W283+Y283</f>
        <v/>
      </c>
      <c r="AD283" s="37">
        <f>IF(C161&lt;&gt;0,C283,0) + IF(E161&lt;&gt;0,E283,0) + IF(G161&lt;&gt;0,G283,0) +
IF(I161&lt;&gt;0,I283,0) + IF(K161&lt;&gt;0,K283,0) + IF(M161&lt;&gt;0,M283,0) +
IF(O161&lt;&gt;0,O283,0) + IF(Q161&lt;&gt;0,Q283,0) + IF(S161&lt;&gt;0,S283,0) +
IF(U161&lt;&gt;0,U283,0) + IF(W161&lt;&gt;0,W283,0) + IF(Y161&lt;&gt;0,Y283,0)</f>
        <v/>
      </c>
    </row>
    <row r="284">
      <c r="A284" s="166">
        <f>'2026 Ιανουάριος'!C88</f>
        <v/>
      </c>
      <c r="B284" s="56" t="n">
        <v>2024</v>
      </c>
      <c r="C284" s="173">
        <f>'2026 Ιανουάριος'!L88</f>
        <v/>
      </c>
      <c r="D284" s="36">
        <f>C284</f>
        <v/>
      </c>
      <c r="E284" s="173">
        <f>'2026 Φεβρουάριος'!L88</f>
        <v/>
      </c>
      <c r="F284" s="36">
        <f>D284+E284</f>
        <v/>
      </c>
      <c r="G284" s="173">
        <f>'2026 Μάρτιος'!L88</f>
        <v/>
      </c>
      <c r="H284" s="36">
        <f>F284+G284</f>
        <v/>
      </c>
      <c r="I284" s="173">
        <f>'2026 Απρίλιος'!L88</f>
        <v/>
      </c>
      <c r="J284" s="36">
        <f>H284+I284</f>
        <v/>
      </c>
      <c r="K284" s="173">
        <f>'2026 Μάιος'!L88</f>
        <v/>
      </c>
      <c r="L284" s="36">
        <f>J284+K284</f>
        <v/>
      </c>
      <c r="M284" s="173">
        <f>'2026 Ιούνιος'!L88</f>
        <v/>
      </c>
      <c r="N284" s="36">
        <f>L284+M284</f>
        <v/>
      </c>
      <c r="O284" s="173">
        <f>'2026 Ιούλιος'!L88</f>
        <v/>
      </c>
      <c r="P284" s="36">
        <f>N284+O284</f>
        <v/>
      </c>
      <c r="Q284" s="173">
        <f>'2026 Aύγουστος'!L88</f>
        <v/>
      </c>
      <c r="R284" s="36">
        <f>P284+Q284</f>
        <v/>
      </c>
      <c r="S284" s="173">
        <f>'2026 Σεπτέμβριος'!L88</f>
        <v/>
      </c>
      <c r="T284" s="36">
        <f>R284+S284</f>
        <v/>
      </c>
      <c r="U284" s="173">
        <f>'2026 Οκτώβριος'!L88</f>
        <v/>
      </c>
      <c r="V284" s="36">
        <f>T284+U284</f>
        <v/>
      </c>
      <c r="W284" s="173">
        <f>'2026 Νοέμβριος'!L88</f>
        <v/>
      </c>
      <c r="X284" s="36">
        <f>V284+W284</f>
        <v/>
      </c>
      <c r="Y284" s="173">
        <f>'2026 Δεκέμβριος'!L88</f>
        <v/>
      </c>
      <c r="Z284" s="36">
        <f>X284+Y284</f>
        <v/>
      </c>
      <c r="AA284" s="36">
        <f>C284+E284+G284+I284+K284+M284+O284+Q284+S284+U284+W284+Y284</f>
        <v/>
      </c>
      <c r="AD284" s="37">
        <f>IF(C162&lt;&gt;0,C284,0) + IF(E162&lt;&gt;0,E284,0) + IF(G162&lt;&gt;0,G284,0) +
IF(I162&lt;&gt;0,I284,0) + IF(K162&lt;&gt;0,K284,0) + IF(M162&lt;&gt;0,M284,0) +
IF(O162&lt;&gt;0,O284,0) + IF(Q162&lt;&gt;0,Q284,0) + IF(S162&lt;&gt;0,S284,0) +
IF(U162&lt;&gt;0,U284,0) + IF(W162&lt;&gt;0,W284,0) + IF(Y162&lt;&gt;0,Y284,0)</f>
        <v/>
      </c>
    </row>
    <row r="285">
      <c r="A285" s="166">
        <f>'2026 Ιανουάριος'!C89</f>
        <v/>
      </c>
      <c r="B285" s="56" t="n">
        <v>2024</v>
      </c>
      <c r="C285" s="173">
        <f>'2026 Ιανουάριος'!L89</f>
        <v/>
      </c>
      <c r="D285" s="36">
        <f>C285</f>
        <v/>
      </c>
      <c r="E285" s="173">
        <f>'2026 Φεβρουάριος'!L89</f>
        <v/>
      </c>
      <c r="F285" s="36">
        <f>D285+E285</f>
        <v/>
      </c>
      <c r="G285" s="173">
        <f>'2026 Μάρτιος'!L89</f>
        <v/>
      </c>
      <c r="H285" s="36">
        <f>F285+G285</f>
        <v/>
      </c>
      <c r="I285" s="173">
        <f>'2026 Απρίλιος'!L89</f>
        <v/>
      </c>
      <c r="J285" s="36">
        <f>H285+I285</f>
        <v/>
      </c>
      <c r="K285" s="173">
        <f>'2026 Μάιος'!L89</f>
        <v/>
      </c>
      <c r="L285" s="36">
        <f>J285+K285</f>
        <v/>
      </c>
      <c r="M285" s="173">
        <f>'2026 Ιούνιος'!L89</f>
        <v/>
      </c>
      <c r="N285" s="36">
        <f>L285+M285</f>
        <v/>
      </c>
      <c r="O285" s="173">
        <f>'2026 Ιούλιος'!L89</f>
        <v/>
      </c>
      <c r="P285" s="36">
        <f>N285+O285</f>
        <v/>
      </c>
      <c r="Q285" s="173">
        <f>'2026 Aύγουστος'!L89</f>
        <v/>
      </c>
      <c r="R285" s="36">
        <f>P285+Q285</f>
        <v/>
      </c>
      <c r="S285" s="173">
        <f>'2026 Σεπτέμβριος'!L89</f>
        <v/>
      </c>
      <c r="T285" s="36">
        <f>R285+S285</f>
        <v/>
      </c>
      <c r="U285" s="173">
        <f>'2026 Οκτώβριος'!L89</f>
        <v/>
      </c>
      <c r="V285" s="36">
        <f>T285+U285</f>
        <v/>
      </c>
      <c r="W285" s="173">
        <f>'2026 Νοέμβριος'!L89</f>
        <v/>
      </c>
      <c r="X285" s="36">
        <f>V285+W285</f>
        <v/>
      </c>
      <c r="Y285" s="173">
        <f>'2026 Δεκέμβριος'!L89</f>
        <v/>
      </c>
      <c r="Z285" s="36">
        <f>X285+Y285</f>
        <v/>
      </c>
      <c r="AA285" s="36">
        <f>C285+E285+G285+I285+K285+M285+O285+Q285+S285+U285+W285+Y285</f>
        <v/>
      </c>
      <c r="AD285" s="37">
        <f>IF(C163&lt;&gt;0,C285,0) + IF(E163&lt;&gt;0,E285,0) + IF(G163&lt;&gt;0,G285,0) +
IF(I163&lt;&gt;0,I285,0) + IF(K163&lt;&gt;0,K285,0) + IF(M163&lt;&gt;0,M285,0) +
IF(O163&lt;&gt;0,O285,0) + IF(Q163&lt;&gt;0,Q285,0) + IF(S163&lt;&gt;0,S285,0) +
IF(U163&lt;&gt;0,U285,0) + IF(W163&lt;&gt;0,W285,0) + IF(Y163&lt;&gt;0,Y285,0)</f>
        <v/>
      </c>
    </row>
    <row r="286">
      <c r="A286" s="166">
        <f>'2026 Ιανουάριος'!C90</f>
        <v/>
      </c>
      <c r="B286" s="56" t="n">
        <v>2024</v>
      </c>
      <c r="C286" s="173">
        <f>'2026 Ιανουάριος'!L90</f>
        <v/>
      </c>
      <c r="D286" s="36">
        <f>C286</f>
        <v/>
      </c>
      <c r="E286" s="173">
        <f>'2026 Φεβρουάριος'!L90</f>
        <v/>
      </c>
      <c r="F286" s="36">
        <f>D286+E286</f>
        <v/>
      </c>
      <c r="G286" s="173">
        <f>'2026 Μάρτιος'!L90</f>
        <v/>
      </c>
      <c r="H286" s="36">
        <f>F286+G286</f>
        <v/>
      </c>
      <c r="I286" s="173">
        <f>'2026 Απρίλιος'!L90</f>
        <v/>
      </c>
      <c r="J286" s="36">
        <f>H286+I286</f>
        <v/>
      </c>
      <c r="K286" s="173">
        <f>'2026 Μάιος'!L90</f>
        <v/>
      </c>
      <c r="L286" s="36">
        <f>J286+K286</f>
        <v/>
      </c>
      <c r="M286" s="173">
        <f>'2026 Ιούνιος'!L90</f>
        <v/>
      </c>
      <c r="N286" s="36">
        <f>L286+M286</f>
        <v/>
      </c>
      <c r="O286" s="173">
        <f>'2026 Ιούλιος'!L90</f>
        <v/>
      </c>
      <c r="P286" s="36">
        <f>N286+O286</f>
        <v/>
      </c>
      <c r="Q286" s="173">
        <f>'2026 Aύγουστος'!L90</f>
        <v/>
      </c>
      <c r="R286" s="36">
        <f>P286+Q286</f>
        <v/>
      </c>
      <c r="S286" s="173">
        <f>'2026 Σεπτέμβριος'!L90</f>
        <v/>
      </c>
      <c r="T286" s="36">
        <f>R286+S286</f>
        <v/>
      </c>
      <c r="U286" s="173">
        <f>'2026 Οκτώβριος'!L90</f>
        <v/>
      </c>
      <c r="V286" s="36">
        <f>T286+U286</f>
        <v/>
      </c>
      <c r="W286" s="173">
        <f>'2026 Νοέμβριος'!L90</f>
        <v/>
      </c>
      <c r="X286" s="36">
        <f>V286+W286</f>
        <v/>
      </c>
      <c r="Y286" s="173">
        <f>'2026 Δεκέμβριος'!L90</f>
        <v/>
      </c>
      <c r="Z286" s="36">
        <f>X286+Y286</f>
        <v/>
      </c>
      <c r="AA286" s="36">
        <f>C286+E286+G286+I286+K286+M286+O286+Q286+S286+U286+W286+Y286</f>
        <v/>
      </c>
      <c r="AD286" s="37">
        <f>IF(C164&lt;&gt;0,C286,0) + IF(E164&lt;&gt;0,E286,0) + IF(G164&lt;&gt;0,G286,0) +
IF(I164&lt;&gt;0,I286,0) + IF(K164&lt;&gt;0,K286,0) + IF(M164&lt;&gt;0,M286,0) +
IF(O164&lt;&gt;0,O286,0) + IF(Q164&lt;&gt;0,Q286,0) + IF(S164&lt;&gt;0,S286,0) +
IF(U164&lt;&gt;0,U286,0) + IF(W164&lt;&gt;0,W286,0) + IF(Y164&lt;&gt;0,Y286,0)</f>
        <v/>
      </c>
    </row>
    <row r="287">
      <c r="A287" s="166">
        <f>'2026 Ιανουάριος'!C91</f>
        <v/>
      </c>
      <c r="B287" s="56" t="n">
        <v>2024</v>
      </c>
      <c r="C287" s="173">
        <f>'2026 Ιανουάριος'!L91</f>
        <v/>
      </c>
      <c r="D287" s="36">
        <f>C287</f>
        <v/>
      </c>
      <c r="E287" s="173">
        <f>'2026 Φεβρουάριος'!L91</f>
        <v/>
      </c>
      <c r="F287" s="36">
        <f>D287+E287</f>
        <v/>
      </c>
      <c r="G287" s="173">
        <f>'2026 Μάρτιος'!L91</f>
        <v/>
      </c>
      <c r="H287" s="36">
        <f>F287+G287</f>
        <v/>
      </c>
      <c r="I287" s="173">
        <f>'2026 Απρίλιος'!L91</f>
        <v/>
      </c>
      <c r="J287" s="36">
        <f>H287+I287</f>
        <v/>
      </c>
      <c r="K287" s="173">
        <f>'2026 Μάιος'!L91</f>
        <v/>
      </c>
      <c r="L287" s="36">
        <f>J287+K287</f>
        <v/>
      </c>
      <c r="M287" s="173">
        <f>'2026 Ιούνιος'!L91</f>
        <v/>
      </c>
      <c r="N287" s="36">
        <f>L287+M287</f>
        <v/>
      </c>
      <c r="O287" s="173">
        <f>'2026 Ιούλιος'!L91</f>
        <v/>
      </c>
      <c r="P287" s="36">
        <f>N287+O287</f>
        <v/>
      </c>
      <c r="Q287" s="173">
        <f>'2026 Aύγουστος'!L91</f>
        <v/>
      </c>
      <c r="R287" s="36">
        <f>P287+Q287</f>
        <v/>
      </c>
      <c r="S287" s="173">
        <f>'2026 Σεπτέμβριος'!L91</f>
        <v/>
      </c>
      <c r="T287" s="36">
        <f>R287+S287</f>
        <v/>
      </c>
      <c r="U287" s="173">
        <f>'2026 Οκτώβριος'!L91</f>
        <v/>
      </c>
      <c r="V287" s="36">
        <f>T287+U287</f>
        <v/>
      </c>
      <c r="W287" s="173">
        <f>'2026 Νοέμβριος'!L91</f>
        <v/>
      </c>
      <c r="X287" s="36">
        <f>V287+W287</f>
        <v/>
      </c>
      <c r="Y287" s="173">
        <f>'2026 Δεκέμβριος'!L91</f>
        <v/>
      </c>
      <c r="Z287" s="36">
        <f>X287+Y287</f>
        <v/>
      </c>
      <c r="AA287" s="36">
        <f>C287+E287+G287+I287+K287+M287+O287+Q287+S287+U287+W287+Y287</f>
        <v/>
      </c>
      <c r="AD287" s="37">
        <f>IF(C165&lt;&gt;0,C287,0) + IF(E165&lt;&gt;0,E287,0) + IF(G165&lt;&gt;0,G287,0) +
IF(I165&lt;&gt;0,I287,0) + IF(K165&lt;&gt;0,K287,0) + IF(M165&lt;&gt;0,M287,0) +
IF(O165&lt;&gt;0,O287,0) + IF(Q165&lt;&gt;0,Q287,0) + IF(S165&lt;&gt;0,S287,0) +
IF(U165&lt;&gt;0,U287,0) + IF(W165&lt;&gt;0,W287,0) + IF(Y165&lt;&gt;0,Y287,0)</f>
        <v/>
      </c>
    </row>
    <row r="288">
      <c r="A288" s="166">
        <f>'2026 Ιανουάριος'!C92</f>
        <v/>
      </c>
      <c r="B288" s="56" t="n">
        <v>2024</v>
      </c>
      <c r="C288" s="173">
        <f>'2026 Ιανουάριος'!L92</f>
        <v/>
      </c>
      <c r="D288" s="36">
        <f>C288</f>
        <v/>
      </c>
      <c r="E288" s="173">
        <f>'2026 Φεβρουάριος'!L92</f>
        <v/>
      </c>
      <c r="F288" s="36">
        <f>D288+E288</f>
        <v/>
      </c>
      <c r="G288" s="173">
        <f>'2026 Μάρτιος'!L92</f>
        <v/>
      </c>
      <c r="H288" s="36">
        <f>F288+G288</f>
        <v/>
      </c>
      <c r="I288" s="173">
        <f>'2026 Απρίλιος'!L92</f>
        <v/>
      </c>
      <c r="J288" s="36">
        <f>H288+I288</f>
        <v/>
      </c>
      <c r="K288" s="173">
        <f>'2026 Μάιος'!L92</f>
        <v/>
      </c>
      <c r="L288" s="36">
        <f>J288+K288</f>
        <v/>
      </c>
      <c r="M288" s="173">
        <f>'2026 Ιούνιος'!L92</f>
        <v/>
      </c>
      <c r="N288" s="36">
        <f>L288+M288</f>
        <v/>
      </c>
      <c r="O288" s="173">
        <f>'2026 Ιούλιος'!L92</f>
        <v/>
      </c>
      <c r="P288" s="36">
        <f>N288+O288</f>
        <v/>
      </c>
      <c r="Q288" s="173">
        <f>'2026 Aύγουστος'!L92</f>
        <v/>
      </c>
      <c r="R288" s="36">
        <f>P288+Q288</f>
        <v/>
      </c>
      <c r="S288" s="173">
        <f>'2026 Σεπτέμβριος'!L92</f>
        <v/>
      </c>
      <c r="T288" s="36">
        <f>R288+S288</f>
        <v/>
      </c>
      <c r="U288" s="173">
        <f>'2026 Οκτώβριος'!L92</f>
        <v/>
      </c>
      <c r="V288" s="36">
        <f>T288+U288</f>
        <v/>
      </c>
      <c r="W288" s="173">
        <f>'2026 Νοέμβριος'!L92</f>
        <v/>
      </c>
      <c r="X288" s="36">
        <f>V288+W288</f>
        <v/>
      </c>
      <c r="Y288" s="173">
        <f>'2026 Δεκέμβριος'!L92</f>
        <v/>
      </c>
      <c r="Z288" s="36">
        <f>X288+Y288</f>
        <v/>
      </c>
      <c r="AA288" s="36">
        <f>C288+E288+G288+I288+K288+M288+O288+Q288+S288+U288+W288+Y288</f>
        <v/>
      </c>
      <c r="AD288" s="37">
        <f>IF(C166&lt;&gt;0,C288,0) + IF(E166&lt;&gt;0,E288,0) + IF(G166&lt;&gt;0,G288,0) +
IF(I166&lt;&gt;0,I288,0) + IF(K166&lt;&gt;0,K288,0) + IF(M166&lt;&gt;0,M288,0) +
IF(O166&lt;&gt;0,O288,0) + IF(Q166&lt;&gt;0,Q288,0) + IF(S166&lt;&gt;0,S288,0) +
IF(U166&lt;&gt;0,U288,0) + IF(W166&lt;&gt;0,W288,0) + IF(Y166&lt;&gt;0,Y288,0)</f>
        <v/>
      </c>
    </row>
    <row r="289">
      <c r="A289" s="166">
        <f>'2026 Ιανουάριος'!C93</f>
        <v/>
      </c>
      <c r="B289" s="56" t="n">
        <v>2024</v>
      </c>
      <c r="C289" s="173">
        <f>'2026 Ιανουάριος'!L93</f>
        <v/>
      </c>
      <c r="D289" s="36">
        <f>C289</f>
        <v/>
      </c>
      <c r="E289" s="173">
        <f>'2026 Φεβρουάριος'!L93</f>
        <v/>
      </c>
      <c r="F289" s="36">
        <f>D289+E289</f>
        <v/>
      </c>
      <c r="G289" s="173">
        <f>'2026 Μάρτιος'!L93</f>
        <v/>
      </c>
      <c r="H289" s="36">
        <f>F289+G289</f>
        <v/>
      </c>
      <c r="I289" s="173">
        <f>'2026 Απρίλιος'!L93</f>
        <v/>
      </c>
      <c r="J289" s="36">
        <f>H289+I289</f>
        <v/>
      </c>
      <c r="K289" s="173">
        <f>'2026 Μάιος'!L93</f>
        <v/>
      </c>
      <c r="L289" s="36">
        <f>J289+K289</f>
        <v/>
      </c>
      <c r="M289" s="173">
        <f>'2026 Ιούνιος'!L93</f>
        <v/>
      </c>
      <c r="N289" s="36">
        <f>L289+M289</f>
        <v/>
      </c>
      <c r="O289" s="173">
        <f>'2026 Ιούλιος'!L93</f>
        <v/>
      </c>
      <c r="P289" s="36">
        <f>N289+O289</f>
        <v/>
      </c>
      <c r="Q289" s="173">
        <f>'2026 Aύγουστος'!L93</f>
        <v/>
      </c>
      <c r="R289" s="36">
        <f>P289+Q289</f>
        <v/>
      </c>
      <c r="S289" s="173">
        <f>'2026 Σεπτέμβριος'!L93</f>
        <v/>
      </c>
      <c r="T289" s="36">
        <f>R289+S289</f>
        <v/>
      </c>
      <c r="U289" s="173">
        <f>'2026 Οκτώβριος'!L93</f>
        <v/>
      </c>
      <c r="V289" s="36">
        <f>T289+U289</f>
        <v/>
      </c>
      <c r="W289" s="173">
        <f>'2026 Νοέμβριος'!L93</f>
        <v/>
      </c>
      <c r="X289" s="36">
        <f>V289+W289</f>
        <v/>
      </c>
      <c r="Y289" s="173">
        <f>'2026 Δεκέμβριος'!L93</f>
        <v/>
      </c>
      <c r="Z289" s="36">
        <f>X289+Y289</f>
        <v/>
      </c>
      <c r="AA289" s="36">
        <f>C289+E289+G289+I289+K289+M289+O289+Q289+S289+U289+W289+Y289</f>
        <v/>
      </c>
      <c r="AD289" s="37">
        <f>IF(C167&lt;&gt;0,C289,0) + IF(E167&lt;&gt;0,E289,0) + IF(G167&lt;&gt;0,G289,0) +
IF(I167&lt;&gt;0,I289,0) + IF(K167&lt;&gt;0,K289,0) + IF(M167&lt;&gt;0,M289,0) +
IF(O167&lt;&gt;0,O289,0) + IF(Q167&lt;&gt;0,Q289,0) + IF(S167&lt;&gt;0,S289,0) +
IF(U167&lt;&gt;0,U289,0) + IF(W167&lt;&gt;0,W289,0) + IF(Y167&lt;&gt;0,Y289,0)</f>
        <v/>
      </c>
    </row>
    <row r="290">
      <c r="A290" s="166">
        <f>'2026 Ιανουάριος'!C94</f>
        <v/>
      </c>
      <c r="B290" s="56" t="n">
        <v>2024</v>
      </c>
      <c r="C290" s="173">
        <f>'2026 Ιανουάριος'!L94</f>
        <v/>
      </c>
      <c r="D290" s="36">
        <f>C290</f>
        <v/>
      </c>
      <c r="E290" s="173">
        <f>'2026 Φεβρουάριος'!L94</f>
        <v/>
      </c>
      <c r="F290" s="36">
        <f>D290+E290</f>
        <v/>
      </c>
      <c r="G290" s="173">
        <f>'2026 Μάρτιος'!L94</f>
        <v/>
      </c>
      <c r="H290" s="36">
        <f>F290+G290</f>
        <v/>
      </c>
      <c r="I290" s="173">
        <f>'2026 Απρίλιος'!L94</f>
        <v/>
      </c>
      <c r="J290" s="36">
        <f>H290+I290</f>
        <v/>
      </c>
      <c r="K290" s="173">
        <f>'2026 Μάιος'!L94</f>
        <v/>
      </c>
      <c r="L290" s="36">
        <f>J290+K290</f>
        <v/>
      </c>
      <c r="M290" s="173">
        <f>'2026 Ιούνιος'!L94</f>
        <v/>
      </c>
      <c r="N290" s="36">
        <f>L290+M290</f>
        <v/>
      </c>
      <c r="O290" s="173">
        <f>'2026 Ιούλιος'!L94</f>
        <v/>
      </c>
      <c r="P290" s="36">
        <f>N290+O290</f>
        <v/>
      </c>
      <c r="Q290" s="173">
        <f>'2026 Aύγουστος'!L94</f>
        <v/>
      </c>
      <c r="R290" s="36">
        <f>P290+Q290</f>
        <v/>
      </c>
      <c r="S290" s="173">
        <f>'2026 Σεπτέμβριος'!L94</f>
        <v/>
      </c>
      <c r="T290" s="36">
        <f>R290+S290</f>
        <v/>
      </c>
      <c r="U290" s="173">
        <f>'2026 Οκτώβριος'!L94</f>
        <v/>
      </c>
      <c r="V290" s="36">
        <f>T290+U290</f>
        <v/>
      </c>
      <c r="W290" s="173">
        <f>'2026 Νοέμβριος'!L94</f>
        <v/>
      </c>
      <c r="X290" s="36">
        <f>V290+W290</f>
        <v/>
      </c>
      <c r="Y290" s="173">
        <f>'2026 Δεκέμβριος'!L94</f>
        <v/>
      </c>
      <c r="Z290" s="36">
        <f>X290+Y290</f>
        <v/>
      </c>
      <c r="AA290" s="36">
        <f>C290+E290+G290+I290+K290+M290+O290+Q290+S290+U290+W290+Y290</f>
        <v/>
      </c>
      <c r="AD290" s="37">
        <f>IF(C168&lt;&gt;0,C290,0) + IF(E168&lt;&gt;0,E290,0) + IF(G168&lt;&gt;0,G290,0) +
IF(I168&lt;&gt;0,I290,0) + IF(K168&lt;&gt;0,K290,0) + IF(M168&lt;&gt;0,M290,0) +
IF(O168&lt;&gt;0,O290,0) + IF(Q168&lt;&gt;0,Q290,0) + IF(S168&lt;&gt;0,S290,0) +
IF(U168&lt;&gt;0,U290,0) + IF(W168&lt;&gt;0,W290,0) + IF(Y168&lt;&gt;0,Y290,0)</f>
        <v/>
      </c>
    </row>
    <row r="291">
      <c r="A291" s="166">
        <f>'2026 Ιανουάριος'!C95</f>
        <v/>
      </c>
      <c r="B291" s="56" t="n">
        <v>2024</v>
      </c>
      <c r="C291" s="173">
        <f>'2026 Ιανουάριος'!L95</f>
        <v/>
      </c>
      <c r="D291" s="36">
        <f>C291</f>
        <v/>
      </c>
      <c r="E291" s="173">
        <f>'2026 Φεβρουάριος'!L95</f>
        <v/>
      </c>
      <c r="F291" s="36">
        <f>D291+E291</f>
        <v/>
      </c>
      <c r="G291" s="173">
        <f>'2026 Μάρτιος'!L95</f>
        <v/>
      </c>
      <c r="H291" s="36">
        <f>F291+G291</f>
        <v/>
      </c>
      <c r="I291" s="173">
        <f>'2026 Απρίλιος'!L95</f>
        <v/>
      </c>
      <c r="J291" s="36">
        <f>H291+I291</f>
        <v/>
      </c>
      <c r="K291" s="173">
        <f>'2026 Μάιος'!L95</f>
        <v/>
      </c>
      <c r="L291" s="36">
        <f>J291+K291</f>
        <v/>
      </c>
      <c r="M291" s="173">
        <f>'2026 Ιούνιος'!L95</f>
        <v/>
      </c>
      <c r="N291" s="36">
        <f>L291+M291</f>
        <v/>
      </c>
      <c r="O291" s="173">
        <f>'2026 Ιούλιος'!L95</f>
        <v/>
      </c>
      <c r="P291" s="36">
        <f>N291+O291</f>
        <v/>
      </c>
      <c r="Q291" s="173">
        <f>'2026 Aύγουστος'!L95</f>
        <v/>
      </c>
      <c r="R291" s="36">
        <f>P291+Q291</f>
        <v/>
      </c>
      <c r="S291" s="173">
        <f>'2026 Σεπτέμβριος'!L95</f>
        <v/>
      </c>
      <c r="T291" s="36">
        <f>R291+S291</f>
        <v/>
      </c>
      <c r="U291" s="173">
        <f>'2026 Οκτώβριος'!L95</f>
        <v/>
      </c>
      <c r="V291" s="36">
        <f>T291+U291</f>
        <v/>
      </c>
      <c r="W291" s="173">
        <f>'2026 Νοέμβριος'!L95</f>
        <v/>
      </c>
      <c r="X291" s="36">
        <f>V291+W291</f>
        <v/>
      </c>
      <c r="Y291" s="173">
        <f>'2026 Δεκέμβριος'!L95</f>
        <v/>
      </c>
      <c r="Z291" s="36">
        <f>X291+Y291</f>
        <v/>
      </c>
      <c r="AA291" s="36">
        <f>C291+E291+G291+I291+K291+M291+O291+Q291+S291+U291+W291+Y291</f>
        <v/>
      </c>
      <c r="AD291" s="37">
        <f>IF(C169&lt;&gt;0,C291,0) + IF(E169&lt;&gt;0,E291,0) + IF(G169&lt;&gt;0,G291,0) +
IF(I169&lt;&gt;0,I291,0) + IF(K169&lt;&gt;0,K291,0) + IF(M169&lt;&gt;0,M291,0) +
IF(O169&lt;&gt;0,O291,0) + IF(Q169&lt;&gt;0,Q291,0) + IF(S169&lt;&gt;0,S291,0) +
IF(U169&lt;&gt;0,U291,0) + IF(W169&lt;&gt;0,W291,0) + IF(Y169&lt;&gt;0,Y291,0)</f>
        <v/>
      </c>
    </row>
    <row r="292">
      <c r="A292" s="166">
        <f>'2026 Ιανουάριος'!C96</f>
        <v/>
      </c>
      <c r="B292" s="56" t="n">
        <v>2024</v>
      </c>
      <c r="C292" s="173">
        <f>'2026 Ιανουάριος'!L96</f>
        <v/>
      </c>
      <c r="D292" s="36">
        <f>C292</f>
        <v/>
      </c>
      <c r="E292" s="173">
        <f>'2026 Φεβρουάριος'!L96</f>
        <v/>
      </c>
      <c r="F292" s="36">
        <f>D292+E292</f>
        <v/>
      </c>
      <c r="G292" s="173">
        <f>'2026 Μάρτιος'!L96</f>
        <v/>
      </c>
      <c r="H292" s="36">
        <f>F292+G292</f>
        <v/>
      </c>
      <c r="I292" s="173">
        <f>'2026 Απρίλιος'!L96</f>
        <v/>
      </c>
      <c r="J292" s="36">
        <f>H292+I292</f>
        <v/>
      </c>
      <c r="K292" s="173">
        <f>'2026 Μάιος'!L96</f>
        <v/>
      </c>
      <c r="L292" s="36">
        <f>J292+K292</f>
        <v/>
      </c>
      <c r="M292" s="173">
        <f>'2026 Ιούνιος'!L96</f>
        <v/>
      </c>
      <c r="N292" s="36">
        <f>L292+M292</f>
        <v/>
      </c>
      <c r="O292" s="173">
        <f>'2026 Ιούλιος'!L96</f>
        <v/>
      </c>
      <c r="P292" s="36">
        <f>N292+O292</f>
        <v/>
      </c>
      <c r="Q292" s="173">
        <f>'2026 Aύγουστος'!L96</f>
        <v/>
      </c>
      <c r="R292" s="36">
        <f>P292+Q292</f>
        <v/>
      </c>
      <c r="S292" s="173">
        <f>'2026 Σεπτέμβριος'!L96</f>
        <v/>
      </c>
      <c r="T292" s="36">
        <f>R292+S292</f>
        <v/>
      </c>
      <c r="U292" s="173">
        <f>'2026 Οκτώβριος'!L96</f>
        <v/>
      </c>
      <c r="V292" s="36">
        <f>T292+U292</f>
        <v/>
      </c>
      <c r="W292" s="173">
        <f>'2026 Νοέμβριος'!L96</f>
        <v/>
      </c>
      <c r="X292" s="36">
        <f>V292+W292</f>
        <v/>
      </c>
      <c r="Y292" s="173">
        <f>'2026 Δεκέμβριος'!L96</f>
        <v/>
      </c>
      <c r="Z292" s="36">
        <f>X292+Y292</f>
        <v/>
      </c>
      <c r="AA292" s="36">
        <f>C292+E292+G292+I292+K292+M292+O292+Q292+S292+U292+W292+Y292</f>
        <v/>
      </c>
      <c r="AD292" s="37">
        <f>IF(C170&lt;&gt;0,C292,0) + IF(E170&lt;&gt;0,E292,0) + IF(G170&lt;&gt;0,G292,0) +
IF(I170&lt;&gt;0,I292,0) + IF(K170&lt;&gt;0,K292,0) + IF(M170&lt;&gt;0,M292,0) +
IF(O170&lt;&gt;0,O292,0) + IF(Q170&lt;&gt;0,Q292,0) + IF(S170&lt;&gt;0,S292,0) +
IF(U170&lt;&gt;0,U292,0) + IF(W170&lt;&gt;0,W292,0) + IF(Y170&lt;&gt;0,Y292,0)</f>
        <v/>
      </c>
    </row>
    <row r="293">
      <c r="A293" s="166">
        <f>'2026 Ιανουάριος'!C97</f>
        <v/>
      </c>
      <c r="B293" s="56" t="n">
        <v>2024</v>
      </c>
      <c r="C293" s="173">
        <f>'2026 Ιανουάριος'!L97</f>
        <v/>
      </c>
      <c r="D293" s="36">
        <f>C293</f>
        <v/>
      </c>
      <c r="E293" s="173">
        <f>'2026 Φεβρουάριος'!L97</f>
        <v/>
      </c>
      <c r="F293" s="36">
        <f>D293+E293</f>
        <v/>
      </c>
      <c r="G293" s="173">
        <f>'2026 Μάρτιος'!L97</f>
        <v/>
      </c>
      <c r="H293" s="36">
        <f>F293+G293</f>
        <v/>
      </c>
      <c r="I293" s="173">
        <f>'2026 Απρίλιος'!L97</f>
        <v/>
      </c>
      <c r="J293" s="36">
        <f>H293+I293</f>
        <v/>
      </c>
      <c r="K293" s="173">
        <f>'2026 Μάιος'!L97</f>
        <v/>
      </c>
      <c r="L293" s="36">
        <f>J293+K293</f>
        <v/>
      </c>
      <c r="M293" s="173">
        <f>'2026 Ιούνιος'!L97</f>
        <v/>
      </c>
      <c r="N293" s="36">
        <f>L293+M293</f>
        <v/>
      </c>
      <c r="O293" s="173">
        <f>'2026 Ιούλιος'!L97</f>
        <v/>
      </c>
      <c r="P293" s="36">
        <f>N293+O293</f>
        <v/>
      </c>
      <c r="Q293" s="173">
        <f>'2026 Aύγουστος'!L97</f>
        <v/>
      </c>
      <c r="R293" s="36">
        <f>P293+Q293</f>
        <v/>
      </c>
      <c r="S293" s="173">
        <f>'2026 Σεπτέμβριος'!L97</f>
        <v/>
      </c>
      <c r="T293" s="36">
        <f>R293+S293</f>
        <v/>
      </c>
      <c r="U293" s="173">
        <f>'2026 Οκτώβριος'!L97</f>
        <v/>
      </c>
      <c r="V293" s="36">
        <f>T293+U293</f>
        <v/>
      </c>
      <c r="W293" s="173">
        <f>'2026 Νοέμβριος'!L97</f>
        <v/>
      </c>
      <c r="X293" s="36">
        <f>V293+W293</f>
        <v/>
      </c>
      <c r="Y293" s="173">
        <f>'2026 Δεκέμβριος'!L97</f>
        <v/>
      </c>
      <c r="Z293" s="36">
        <f>X293+Y293</f>
        <v/>
      </c>
      <c r="AA293" s="36">
        <f>C293+E293+G293+I293+K293+M293+O293+Q293+S293+U293+W293+Y293</f>
        <v/>
      </c>
      <c r="AD293" s="37">
        <f>IF(C171&lt;&gt;0,C293,0) + IF(E171&lt;&gt;0,E293,0) + IF(G171&lt;&gt;0,G293,0) +
IF(I171&lt;&gt;0,I293,0) + IF(K171&lt;&gt;0,K293,0) + IF(M171&lt;&gt;0,M293,0) +
IF(O171&lt;&gt;0,O293,0) + IF(Q171&lt;&gt;0,Q293,0) + IF(S171&lt;&gt;0,S293,0) +
IF(U171&lt;&gt;0,U293,0) + IF(W171&lt;&gt;0,W293,0) + IF(Y171&lt;&gt;0,Y293,0)</f>
        <v/>
      </c>
    </row>
    <row r="294">
      <c r="A294" s="166">
        <f>'2026 Ιανουάριος'!C98</f>
        <v/>
      </c>
      <c r="B294" s="56" t="n">
        <v>2024</v>
      </c>
      <c r="C294" s="173">
        <f>'2026 Ιανουάριος'!L98</f>
        <v/>
      </c>
      <c r="D294" s="36">
        <f>C294</f>
        <v/>
      </c>
      <c r="E294" s="173">
        <f>'2026 Φεβρουάριος'!L98</f>
        <v/>
      </c>
      <c r="F294" s="36">
        <f>D294+E294</f>
        <v/>
      </c>
      <c r="G294" s="173">
        <f>'2026 Μάρτιος'!L98</f>
        <v/>
      </c>
      <c r="H294" s="36">
        <f>F294+G294</f>
        <v/>
      </c>
      <c r="I294" s="173">
        <f>'2026 Απρίλιος'!L98</f>
        <v/>
      </c>
      <c r="J294" s="36">
        <f>H294+I294</f>
        <v/>
      </c>
      <c r="K294" s="173">
        <f>'2026 Μάιος'!L98</f>
        <v/>
      </c>
      <c r="L294" s="36">
        <f>J294+K294</f>
        <v/>
      </c>
      <c r="M294" s="173">
        <f>'2026 Ιούνιος'!L98</f>
        <v/>
      </c>
      <c r="N294" s="36">
        <f>L294+M294</f>
        <v/>
      </c>
      <c r="O294" s="173">
        <f>'2026 Ιούλιος'!L98</f>
        <v/>
      </c>
      <c r="P294" s="36">
        <f>N294+O294</f>
        <v/>
      </c>
      <c r="Q294" s="173">
        <f>'2026 Aύγουστος'!L98</f>
        <v/>
      </c>
      <c r="R294" s="36">
        <f>P294+Q294</f>
        <v/>
      </c>
      <c r="S294" s="173">
        <f>'2026 Σεπτέμβριος'!L98</f>
        <v/>
      </c>
      <c r="T294" s="36">
        <f>R294+S294</f>
        <v/>
      </c>
      <c r="U294" s="173">
        <f>'2026 Οκτώβριος'!L98</f>
        <v/>
      </c>
      <c r="V294" s="36">
        <f>T294+U294</f>
        <v/>
      </c>
      <c r="W294" s="173">
        <f>'2026 Νοέμβριος'!L98</f>
        <v/>
      </c>
      <c r="X294" s="36">
        <f>V294+W294</f>
        <v/>
      </c>
      <c r="Y294" s="173">
        <f>'2026 Δεκέμβριος'!L98</f>
        <v/>
      </c>
      <c r="Z294" s="36">
        <f>X294+Y294</f>
        <v/>
      </c>
      <c r="AA294" s="36">
        <f>C294+E294+G294+I294+K294+M294+O294+Q294+S294+U294+W294+Y294</f>
        <v/>
      </c>
      <c r="AD294" s="37">
        <f>IF(C172&lt;&gt;0,C294,0) + IF(E172&lt;&gt;0,E294,0) + IF(G172&lt;&gt;0,G294,0) +
IF(I172&lt;&gt;0,I294,0) + IF(K172&lt;&gt;0,K294,0) + IF(M172&lt;&gt;0,M294,0) +
IF(O172&lt;&gt;0,O294,0) + IF(Q172&lt;&gt;0,Q294,0) + IF(S172&lt;&gt;0,S294,0) +
IF(U172&lt;&gt;0,U294,0) + IF(W172&lt;&gt;0,W294,0) + IF(Y172&lt;&gt;0,Y294,0)</f>
        <v/>
      </c>
    </row>
    <row r="295">
      <c r="A295" s="166">
        <f>'2026 Ιανουάριος'!C99</f>
        <v/>
      </c>
      <c r="B295" s="56" t="n">
        <v>2024</v>
      </c>
      <c r="C295" s="173">
        <f>'2026 Ιανουάριος'!L99</f>
        <v/>
      </c>
      <c r="D295" s="36">
        <f>C295</f>
        <v/>
      </c>
      <c r="E295" s="173">
        <f>'2026 Φεβρουάριος'!L99</f>
        <v/>
      </c>
      <c r="F295" s="36">
        <f>D295+E295</f>
        <v/>
      </c>
      <c r="G295" s="173">
        <f>'2026 Μάρτιος'!L99</f>
        <v/>
      </c>
      <c r="H295" s="36">
        <f>F295+G295</f>
        <v/>
      </c>
      <c r="I295" s="173">
        <f>'2026 Απρίλιος'!L99</f>
        <v/>
      </c>
      <c r="J295" s="36">
        <f>H295+I295</f>
        <v/>
      </c>
      <c r="K295" s="173">
        <f>'2026 Μάιος'!L99</f>
        <v/>
      </c>
      <c r="L295" s="36">
        <f>J295+K295</f>
        <v/>
      </c>
      <c r="M295" s="173">
        <f>'2026 Ιούνιος'!L99</f>
        <v/>
      </c>
      <c r="N295" s="36">
        <f>L295+M295</f>
        <v/>
      </c>
      <c r="O295" s="173">
        <f>'2026 Ιούλιος'!L99</f>
        <v/>
      </c>
      <c r="P295" s="36">
        <f>N295+O295</f>
        <v/>
      </c>
      <c r="Q295" s="173">
        <f>'2026 Aύγουστος'!L99</f>
        <v/>
      </c>
      <c r="R295" s="36">
        <f>P295+Q295</f>
        <v/>
      </c>
      <c r="S295" s="173">
        <f>'2026 Σεπτέμβριος'!L99</f>
        <v/>
      </c>
      <c r="T295" s="36">
        <f>R295+S295</f>
        <v/>
      </c>
      <c r="U295" s="173">
        <f>'2026 Οκτώβριος'!L99</f>
        <v/>
      </c>
      <c r="V295" s="36">
        <f>T295+U295</f>
        <v/>
      </c>
      <c r="W295" s="173">
        <f>'2026 Νοέμβριος'!L99</f>
        <v/>
      </c>
      <c r="X295" s="36">
        <f>V295+W295</f>
        <v/>
      </c>
      <c r="Y295" s="173">
        <f>'2026 Δεκέμβριος'!L99</f>
        <v/>
      </c>
      <c r="Z295" s="36">
        <f>X295+Y295</f>
        <v/>
      </c>
      <c r="AA295" s="36">
        <f>C295+E295+G295+I295+K295+M295+O295+Q295+S295+U295+W295+Y295</f>
        <v/>
      </c>
      <c r="AD295" s="37">
        <f>IF(C173&lt;&gt;0,C295,0) + IF(E173&lt;&gt;0,E295,0) + IF(G173&lt;&gt;0,G295,0) +
IF(I173&lt;&gt;0,I295,0) + IF(K173&lt;&gt;0,K295,0) + IF(M173&lt;&gt;0,M295,0) +
IF(O173&lt;&gt;0,O295,0) + IF(Q173&lt;&gt;0,Q295,0) + IF(S173&lt;&gt;0,S295,0) +
IF(U173&lt;&gt;0,U295,0) + IF(W173&lt;&gt;0,W295,0) + IF(Y173&lt;&gt;0,Y295,0)</f>
        <v/>
      </c>
    </row>
    <row r="296">
      <c r="A296" s="166">
        <f>'2026 Ιανουάριος'!C100</f>
        <v/>
      </c>
      <c r="B296" s="56" t="n">
        <v>2024</v>
      </c>
      <c r="C296" s="173">
        <f>'2026 Ιανουάριος'!L100</f>
        <v/>
      </c>
      <c r="D296" s="36">
        <f>C296</f>
        <v/>
      </c>
      <c r="E296" s="173">
        <f>'2026 Φεβρουάριος'!L100</f>
        <v/>
      </c>
      <c r="F296" s="36">
        <f>D296+E296</f>
        <v/>
      </c>
      <c r="G296" s="173">
        <f>'2026 Μάρτιος'!L100</f>
        <v/>
      </c>
      <c r="H296" s="36">
        <f>F296+G296</f>
        <v/>
      </c>
      <c r="I296" s="173">
        <f>'2026 Απρίλιος'!L100</f>
        <v/>
      </c>
      <c r="J296" s="36">
        <f>H296+I296</f>
        <v/>
      </c>
      <c r="K296" s="173">
        <f>'2026 Μάιος'!L100</f>
        <v/>
      </c>
      <c r="L296" s="36">
        <f>J296+K296</f>
        <v/>
      </c>
      <c r="M296" s="173">
        <f>'2026 Ιούνιος'!L100</f>
        <v/>
      </c>
      <c r="N296" s="36">
        <f>L296+M296</f>
        <v/>
      </c>
      <c r="O296" s="173">
        <f>'2026 Ιούλιος'!L100</f>
        <v/>
      </c>
      <c r="P296" s="36">
        <f>N296+O296</f>
        <v/>
      </c>
      <c r="Q296" s="173">
        <f>'2026 Aύγουστος'!L100</f>
        <v/>
      </c>
      <c r="R296" s="36">
        <f>P296+Q296</f>
        <v/>
      </c>
      <c r="S296" s="173">
        <f>'2026 Σεπτέμβριος'!L100</f>
        <v/>
      </c>
      <c r="T296" s="36">
        <f>R296+S296</f>
        <v/>
      </c>
      <c r="U296" s="173">
        <f>'2026 Οκτώβριος'!L100</f>
        <v/>
      </c>
      <c r="V296" s="36">
        <f>T296+U296</f>
        <v/>
      </c>
      <c r="W296" s="173">
        <f>'2026 Νοέμβριος'!L100</f>
        <v/>
      </c>
      <c r="X296" s="36">
        <f>V296+W296</f>
        <v/>
      </c>
      <c r="Y296" s="173">
        <f>'2026 Δεκέμβριος'!L100</f>
        <v/>
      </c>
      <c r="Z296" s="36">
        <f>X296+Y296</f>
        <v/>
      </c>
      <c r="AA296" s="36">
        <f>C296+E296+G296+I296+K296+M296+O296+Q296+S296+U296+W296+Y296</f>
        <v/>
      </c>
      <c r="AD296" s="37">
        <f>IF(C174&lt;&gt;0,C296,0) + IF(E174&lt;&gt;0,E296,0) + IF(G174&lt;&gt;0,G296,0) +
IF(I174&lt;&gt;0,I296,0) + IF(K174&lt;&gt;0,K296,0) + IF(M174&lt;&gt;0,M296,0) +
IF(O174&lt;&gt;0,O296,0) + IF(Q174&lt;&gt;0,Q296,0) + IF(S174&lt;&gt;0,S296,0) +
IF(U174&lt;&gt;0,U296,0) + IF(W174&lt;&gt;0,W296,0) + IF(Y174&lt;&gt;0,Y296,0)</f>
        <v/>
      </c>
    </row>
    <row r="297">
      <c r="A297" s="166">
        <f>'2026 Ιανουάριος'!C101</f>
        <v/>
      </c>
      <c r="B297" s="56" t="n">
        <v>2024</v>
      </c>
      <c r="C297" s="173">
        <f>'2026 Ιανουάριος'!L101</f>
        <v/>
      </c>
      <c r="D297" s="36">
        <f>C297</f>
        <v/>
      </c>
      <c r="E297" s="173">
        <f>'2026 Φεβρουάριος'!L101</f>
        <v/>
      </c>
      <c r="F297" s="36">
        <f>D297+E297</f>
        <v/>
      </c>
      <c r="G297" s="173">
        <f>'2026 Μάρτιος'!L101</f>
        <v/>
      </c>
      <c r="H297" s="36">
        <f>F297+G297</f>
        <v/>
      </c>
      <c r="I297" s="173">
        <f>'2026 Απρίλιος'!L101</f>
        <v/>
      </c>
      <c r="J297" s="36">
        <f>H297+I297</f>
        <v/>
      </c>
      <c r="K297" s="173">
        <f>'2026 Μάιος'!L101</f>
        <v/>
      </c>
      <c r="L297" s="36">
        <f>J297+K297</f>
        <v/>
      </c>
      <c r="M297" s="173">
        <f>'2026 Ιούνιος'!L101</f>
        <v/>
      </c>
      <c r="N297" s="36">
        <f>L297+M297</f>
        <v/>
      </c>
      <c r="O297" s="173">
        <f>'2026 Ιούλιος'!L101</f>
        <v/>
      </c>
      <c r="P297" s="36">
        <f>N297+O297</f>
        <v/>
      </c>
      <c r="Q297" s="173">
        <f>'2026 Aύγουστος'!L101</f>
        <v/>
      </c>
      <c r="R297" s="36">
        <f>P297+Q297</f>
        <v/>
      </c>
      <c r="S297" s="173">
        <f>'2026 Σεπτέμβριος'!L101</f>
        <v/>
      </c>
      <c r="T297" s="36">
        <f>R297+S297</f>
        <v/>
      </c>
      <c r="U297" s="173">
        <f>'2026 Οκτώβριος'!L101</f>
        <v/>
      </c>
      <c r="V297" s="36">
        <f>T297+U297</f>
        <v/>
      </c>
      <c r="W297" s="173">
        <f>'2026 Νοέμβριος'!L101</f>
        <v/>
      </c>
      <c r="X297" s="36">
        <f>V297+W297</f>
        <v/>
      </c>
      <c r="Y297" s="173">
        <f>'2026 Δεκέμβριος'!L101</f>
        <v/>
      </c>
      <c r="Z297" s="36">
        <f>X297+Y297</f>
        <v/>
      </c>
      <c r="AA297" s="36">
        <f>C297+E297+G297+I297+K297+M297+O297+Q297+S297+U297+W297+Y297</f>
        <v/>
      </c>
      <c r="AD297" s="37">
        <f>IF(C175&lt;&gt;0,C297,0) + IF(E175&lt;&gt;0,E297,0) + IF(G175&lt;&gt;0,G297,0) +
IF(I175&lt;&gt;0,I297,0) + IF(K175&lt;&gt;0,K297,0) + IF(M175&lt;&gt;0,M297,0) +
IF(O175&lt;&gt;0,O297,0) + IF(Q175&lt;&gt;0,Q297,0) + IF(S175&lt;&gt;0,S297,0) +
IF(U175&lt;&gt;0,U297,0) + IF(W175&lt;&gt;0,W297,0) + IF(Y175&lt;&gt;0,Y297,0)</f>
        <v/>
      </c>
    </row>
    <row r="298">
      <c r="A298" s="166">
        <f>'2026 Ιανουάριος'!C102</f>
        <v/>
      </c>
      <c r="B298" s="56" t="n">
        <v>2024</v>
      </c>
      <c r="C298" s="173">
        <f>'2026 Ιανουάριος'!L102</f>
        <v/>
      </c>
      <c r="D298" s="36">
        <f>C298</f>
        <v/>
      </c>
      <c r="E298" s="173">
        <f>'2026 Φεβρουάριος'!L102</f>
        <v/>
      </c>
      <c r="F298" s="36">
        <f>D298+E298</f>
        <v/>
      </c>
      <c r="G298" s="173">
        <f>'2026 Μάρτιος'!L102</f>
        <v/>
      </c>
      <c r="H298" s="36">
        <f>F298+G298</f>
        <v/>
      </c>
      <c r="I298" s="173">
        <f>'2026 Απρίλιος'!L102</f>
        <v/>
      </c>
      <c r="J298" s="36">
        <f>H298+I298</f>
        <v/>
      </c>
      <c r="K298" s="173">
        <f>'2026 Μάιος'!L102</f>
        <v/>
      </c>
      <c r="L298" s="36">
        <f>J298+K298</f>
        <v/>
      </c>
      <c r="M298" s="173">
        <f>'2026 Ιούνιος'!L102</f>
        <v/>
      </c>
      <c r="N298" s="36">
        <f>L298+M298</f>
        <v/>
      </c>
      <c r="O298" s="173">
        <f>'2026 Ιούλιος'!L102</f>
        <v/>
      </c>
      <c r="P298" s="36">
        <f>N298+O298</f>
        <v/>
      </c>
      <c r="Q298" s="173">
        <f>'2026 Aύγουστος'!L102</f>
        <v/>
      </c>
      <c r="R298" s="36">
        <f>P298+Q298</f>
        <v/>
      </c>
      <c r="S298" s="173">
        <f>'2026 Σεπτέμβριος'!L102</f>
        <v/>
      </c>
      <c r="T298" s="36">
        <f>R298+S298</f>
        <v/>
      </c>
      <c r="U298" s="173">
        <f>'2026 Οκτώβριος'!L102</f>
        <v/>
      </c>
      <c r="V298" s="36">
        <f>T298+U298</f>
        <v/>
      </c>
      <c r="W298" s="173">
        <f>'2026 Νοέμβριος'!L102</f>
        <v/>
      </c>
      <c r="X298" s="36">
        <f>V298+W298</f>
        <v/>
      </c>
      <c r="Y298" s="173">
        <f>'2026 Δεκέμβριος'!L102</f>
        <v/>
      </c>
      <c r="Z298" s="36">
        <f>X298+Y298</f>
        <v/>
      </c>
      <c r="AA298" s="36">
        <f>C298+E298+G298+I298+K298+M298+O298+Q298+S298+U298+W298+Y298</f>
        <v/>
      </c>
      <c r="AD298" s="37">
        <f>IF(C176&lt;&gt;0,C298,0) + IF(E176&lt;&gt;0,E298,0) + IF(G176&lt;&gt;0,G298,0) +
IF(I176&lt;&gt;0,I298,0) + IF(K176&lt;&gt;0,K298,0) + IF(M176&lt;&gt;0,M298,0) +
IF(O176&lt;&gt;0,O298,0) + IF(Q176&lt;&gt;0,Q298,0) + IF(S176&lt;&gt;0,S298,0) +
IF(U176&lt;&gt;0,U298,0) + IF(W176&lt;&gt;0,W298,0) + IF(Y176&lt;&gt;0,Y298,0)</f>
        <v/>
      </c>
    </row>
    <row r="299">
      <c r="A299" s="166">
        <f>'2026 Ιανουάριος'!C103</f>
        <v/>
      </c>
      <c r="B299" s="56" t="n">
        <v>2024</v>
      </c>
      <c r="C299" s="173">
        <f>'2026 Ιανουάριος'!L103</f>
        <v/>
      </c>
      <c r="D299" s="36">
        <f>C299</f>
        <v/>
      </c>
      <c r="E299" s="173">
        <f>'2026 Φεβρουάριος'!L103</f>
        <v/>
      </c>
      <c r="F299" s="36">
        <f>D299+E299</f>
        <v/>
      </c>
      <c r="G299" s="173">
        <f>'2026 Μάρτιος'!L103</f>
        <v/>
      </c>
      <c r="H299" s="36">
        <f>F299+G299</f>
        <v/>
      </c>
      <c r="I299" s="173">
        <f>'2026 Απρίλιος'!L103</f>
        <v/>
      </c>
      <c r="J299" s="36">
        <f>H299+I299</f>
        <v/>
      </c>
      <c r="K299" s="173">
        <f>'2026 Μάιος'!L103</f>
        <v/>
      </c>
      <c r="L299" s="36">
        <f>J299+K299</f>
        <v/>
      </c>
      <c r="M299" s="173">
        <f>'2026 Ιούνιος'!L103</f>
        <v/>
      </c>
      <c r="N299" s="36">
        <f>L299+M299</f>
        <v/>
      </c>
      <c r="O299" s="173">
        <f>'2026 Ιούλιος'!L103</f>
        <v/>
      </c>
      <c r="P299" s="36">
        <f>N299+O299</f>
        <v/>
      </c>
      <c r="Q299" s="173">
        <f>'2026 Aύγουστος'!L103</f>
        <v/>
      </c>
      <c r="R299" s="36">
        <f>P299+Q299</f>
        <v/>
      </c>
      <c r="S299" s="173">
        <f>'2026 Σεπτέμβριος'!L103</f>
        <v/>
      </c>
      <c r="T299" s="36">
        <f>R299+S299</f>
        <v/>
      </c>
      <c r="U299" s="173">
        <f>'2026 Οκτώβριος'!L103</f>
        <v/>
      </c>
      <c r="V299" s="36">
        <f>T299+U299</f>
        <v/>
      </c>
      <c r="W299" s="173">
        <f>'2026 Νοέμβριος'!L103</f>
        <v/>
      </c>
      <c r="X299" s="36">
        <f>V299+W299</f>
        <v/>
      </c>
      <c r="Y299" s="173">
        <f>'2026 Δεκέμβριος'!L103</f>
        <v/>
      </c>
      <c r="Z299" s="36">
        <f>X299+Y299</f>
        <v/>
      </c>
      <c r="AA299" s="36">
        <f>C299+E299+G299+I299+K299+M299+O299+Q299+S299+U299+W299+Y299</f>
        <v/>
      </c>
      <c r="AD299" s="37">
        <f>IF(C177&lt;&gt;0,C299,0) + IF(E177&lt;&gt;0,E299,0) + IF(G177&lt;&gt;0,G299,0) +
IF(I177&lt;&gt;0,I299,0) + IF(K177&lt;&gt;0,K299,0) + IF(M177&lt;&gt;0,M299,0) +
IF(O177&lt;&gt;0,O299,0) + IF(Q177&lt;&gt;0,Q299,0) + IF(S177&lt;&gt;0,S299,0) +
IF(U177&lt;&gt;0,U299,0) + IF(W177&lt;&gt;0,W299,0) + IF(Y177&lt;&gt;0,Y299,0)</f>
        <v/>
      </c>
    </row>
    <row r="300">
      <c r="A300" s="166">
        <f>'2026 Ιανουάριος'!C104</f>
        <v/>
      </c>
      <c r="B300" s="56" t="n">
        <v>2024</v>
      </c>
      <c r="C300" s="173">
        <f>'2026 Ιανουάριος'!L104</f>
        <v/>
      </c>
      <c r="D300" s="36">
        <f>C300</f>
        <v/>
      </c>
      <c r="E300" s="173">
        <f>'2026 Φεβρουάριος'!L104</f>
        <v/>
      </c>
      <c r="F300" s="36">
        <f>D300+E300</f>
        <v/>
      </c>
      <c r="G300" s="173">
        <f>'2026 Μάρτιος'!L104</f>
        <v/>
      </c>
      <c r="H300" s="36">
        <f>F300+G300</f>
        <v/>
      </c>
      <c r="I300" s="173">
        <f>'2026 Απρίλιος'!L104</f>
        <v/>
      </c>
      <c r="J300" s="36">
        <f>H300+I300</f>
        <v/>
      </c>
      <c r="K300" s="173">
        <f>'2026 Μάιος'!L104</f>
        <v/>
      </c>
      <c r="L300" s="36">
        <f>J300+K300</f>
        <v/>
      </c>
      <c r="M300" s="173">
        <f>'2026 Ιούνιος'!L104</f>
        <v/>
      </c>
      <c r="N300" s="36">
        <f>L300+M300</f>
        <v/>
      </c>
      <c r="O300" s="173">
        <f>'2026 Ιούλιος'!L104</f>
        <v/>
      </c>
      <c r="P300" s="36">
        <f>N300+O300</f>
        <v/>
      </c>
      <c r="Q300" s="173">
        <f>'2026 Aύγουστος'!L104</f>
        <v/>
      </c>
      <c r="R300" s="36">
        <f>P300+Q300</f>
        <v/>
      </c>
      <c r="S300" s="173">
        <f>'2026 Σεπτέμβριος'!L104</f>
        <v/>
      </c>
      <c r="T300" s="36">
        <f>R300+S300</f>
        <v/>
      </c>
      <c r="U300" s="173">
        <f>'2026 Οκτώβριος'!L104</f>
        <v/>
      </c>
      <c r="V300" s="36">
        <f>T300+U300</f>
        <v/>
      </c>
      <c r="W300" s="173">
        <f>'2026 Νοέμβριος'!L104</f>
        <v/>
      </c>
      <c r="X300" s="36">
        <f>V300+W300</f>
        <v/>
      </c>
      <c r="Y300" s="173">
        <f>'2026 Δεκέμβριος'!L104</f>
        <v/>
      </c>
      <c r="Z300" s="36">
        <f>X300+Y300</f>
        <v/>
      </c>
      <c r="AA300" s="36">
        <f>C300+E300+G300+I300+K300+M300+O300+Q300+S300+U300+W300+Y300</f>
        <v/>
      </c>
      <c r="AD300" s="37">
        <f>IF(C178&lt;&gt;0,C300,0) + IF(E178&lt;&gt;0,E300,0) + IF(G178&lt;&gt;0,G300,0) +
IF(I178&lt;&gt;0,I300,0) + IF(K178&lt;&gt;0,K300,0) + IF(M178&lt;&gt;0,M300,0) +
IF(O178&lt;&gt;0,O300,0) + IF(Q178&lt;&gt;0,Q300,0) + IF(S178&lt;&gt;0,S300,0) +
IF(U178&lt;&gt;0,U300,0) + IF(W178&lt;&gt;0,W300,0) + IF(Y178&lt;&gt;0,Y300,0)</f>
        <v/>
      </c>
    </row>
    <row r="301">
      <c r="A301" s="166">
        <f>'2026 Ιανουάριος'!C105</f>
        <v/>
      </c>
      <c r="B301" s="56" t="n">
        <v>2024</v>
      </c>
      <c r="C301" s="173">
        <f>'2026 Ιανουάριος'!L105</f>
        <v/>
      </c>
      <c r="D301" s="36">
        <f>C301</f>
        <v/>
      </c>
      <c r="E301" s="173">
        <f>'2026 Φεβρουάριος'!L105</f>
        <v/>
      </c>
      <c r="F301" s="36">
        <f>D301+E301</f>
        <v/>
      </c>
      <c r="G301" s="173">
        <f>'2026 Μάρτιος'!L105</f>
        <v/>
      </c>
      <c r="H301" s="36">
        <f>F301+G301</f>
        <v/>
      </c>
      <c r="I301" s="173">
        <f>'2026 Απρίλιος'!L105</f>
        <v/>
      </c>
      <c r="J301" s="36">
        <f>H301+I301</f>
        <v/>
      </c>
      <c r="K301" s="173">
        <f>'2026 Μάιος'!L105</f>
        <v/>
      </c>
      <c r="L301" s="36">
        <f>J301+K301</f>
        <v/>
      </c>
      <c r="M301" s="173">
        <f>'2026 Ιούνιος'!L105</f>
        <v/>
      </c>
      <c r="N301" s="36">
        <f>L301+M301</f>
        <v/>
      </c>
      <c r="O301" s="173">
        <f>'2026 Ιούλιος'!L105</f>
        <v/>
      </c>
      <c r="P301" s="36">
        <f>N301+O301</f>
        <v/>
      </c>
      <c r="Q301" s="173">
        <f>'2026 Aύγουστος'!L105</f>
        <v/>
      </c>
      <c r="R301" s="36">
        <f>P301+Q301</f>
        <v/>
      </c>
      <c r="S301" s="173">
        <f>'2026 Σεπτέμβριος'!L105</f>
        <v/>
      </c>
      <c r="T301" s="36">
        <f>R301+S301</f>
        <v/>
      </c>
      <c r="U301" s="173">
        <f>'2026 Οκτώβριος'!L105</f>
        <v/>
      </c>
      <c r="V301" s="36">
        <f>T301+U301</f>
        <v/>
      </c>
      <c r="W301" s="173">
        <f>'2026 Νοέμβριος'!L105</f>
        <v/>
      </c>
      <c r="X301" s="36">
        <f>V301+W301</f>
        <v/>
      </c>
      <c r="Y301" s="173">
        <f>'2026 Δεκέμβριος'!L105</f>
        <v/>
      </c>
      <c r="Z301" s="36">
        <f>X301+Y301</f>
        <v/>
      </c>
      <c r="AA301" s="36">
        <f>C301+E301+G301+I301+K301+M301+O301+Q301+S301+U301+W301+Y301</f>
        <v/>
      </c>
      <c r="AD301" s="37">
        <f>IF(C179&lt;&gt;0,C301,0) + IF(E179&lt;&gt;0,E301,0) + IF(G179&lt;&gt;0,G301,0) +
IF(I179&lt;&gt;0,I301,0) + IF(K179&lt;&gt;0,K301,0) + IF(M179&lt;&gt;0,M301,0) +
IF(O179&lt;&gt;0,O301,0) + IF(Q179&lt;&gt;0,Q301,0) + IF(S179&lt;&gt;0,S301,0) +
IF(U179&lt;&gt;0,U301,0) + IF(W179&lt;&gt;0,W301,0) + IF(Y179&lt;&gt;0,Y301,0)</f>
        <v/>
      </c>
    </row>
    <row r="302">
      <c r="A302" s="166">
        <f>'2026 Ιανουάριος'!C106</f>
        <v/>
      </c>
      <c r="B302" s="56" t="n">
        <v>2024</v>
      </c>
      <c r="C302" s="173">
        <f>'2026 Ιανουάριος'!L106</f>
        <v/>
      </c>
      <c r="D302" s="36">
        <f>C302</f>
        <v/>
      </c>
      <c r="E302" s="173">
        <f>'2026 Φεβρουάριος'!L106</f>
        <v/>
      </c>
      <c r="F302" s="36">
        <f>D302+E302</f>
        <v/>
      </c>
      <c r="G302" s="173">
        <f>'2026 Μάρτιος'!L106</f>
        <v/>
      </c>
      <c r="H302" s="36">
        <f>F302+G302</f>
        <v/>
      </c>
      <c r="I302" s="173">
        <f>'2026 Απρίλιος'!L106</f>
        <v/>
      </c>
      <c r="J302" s="36">
        <f>H302+I302</f>
        <v/>
      </c>
      <c r="K302" s="173">
        <f>'2026 Μάιος'!L106</f>
        <v/>
      </c>
      <c r="L302" s="36">
        <f>J302+K302</f>
        <v/>
      </c>
      <c r="M302" s="173">
        <f>'2026 Ιούνιος'!L106</f>
        <v/>
      </c>
      <c r="N302" s="36">
        <f>L302+M302</f>
        <v/>
      </c>
      <c r="O302" s="173">
        <f>'2026 Ιούλιος'!L106</f>
        <v/>
      </c>
      <c r="P302" s="36">
        <f>N302+O302</f>
        <v/>
      </c>
      <c r="Q302" s="173">
        <f>'2026 Aύγουστος'!L106</f>
        <v/>
      </c>
      <c r="R302" s="36">
        <f>P302+Q302</f>
        <v/>
      </c>
      <c r="S302" s="173">
        <f>'2026 Σεπτέμβριος'!L106</f>
        <v/>
      </c>
      <c r="T302" s="36">
        <f>R302+S302</f>
        <v/>
      </c>
      <c r="U302" s="173">
        <f>'2026 Οκτώβριος'!L106</f>
        <v/>
      </c>
      <c r="V302" s="36">
        <f>T302+U302</f>
        <v/>
      </c>
      <c r="W302" s="173">
        <f>'2026 Νοέμβριος'!L106</f>
        <v/>
      </c>
      <c r="X302" s="36">
        <f>V302+W302</f>
        <v/>
      </c>
      <c r="Y302" s="173">
        <f>'2026 Δεκέμβριος'!L106</f>
        <v/>
      </c>
      <c r="Z302" s="36">
        <f>X302+Y302</f>
        <v/>
      </c>
      <c r="AA302" s="36">
        <f>C302+E302+G302+I302+K302+M302+O302+Q302+S302+U302+W302+Y302</f>
        <v/>
      </c>
      <c r="AD302" s="37">
        <f>IF(C180&lt;&gt;0,C302,0) + IF(E180&lt;&gt;0,E302,0) + IF(G180&lt;&gt;0,G302,0) +
IF(I180&lt;&gt;0,I302,0) + IF(K180&lt;&gt;0,K302,0) + IF(M180&lt;&gt;0,M302,0) +
IF(O180&lt;&gt;0,O302,0) + IF(Q180&lt;&gt;0,Q302,0) + IF(S180&lt;&gt;0,S302,0) +
IF(U180&lt;&gt;0,U302,0) + IF(W180&lt;&gt;0,W302,0) + IF(Y180&lt;&gt;0,Y302,0)</f>
        <v/>
      </c>
    </row>
    <row r="303">
      <c r="A303" s="166">
        <f>'2026 Ιανουάριος'!C107</f>
        <v/>
      </c>
      <c r="B303" s="56" t="n">
        <v>2024</v>
      </c>
      <c r="C303" s="173">
        <f>'2026 Ιανουάριος'!L107</f>
        <v/>
      </c>
      <c r="D303" s="36">
        <f>C303</f>
        <v/>
      </c>
      <c r="E303" s="173">
        <f>'2026 Φεβρουάριος'!L107</f>
        <v/>
      </c>
      <c r="F303" s="36">
        <f>D303+E303</f>
        <v/>
      </c>
      <c r="G303" s="173">
        <f>'2026 Μάρτιος'!L107</f>
        <v/>
      </c>
      <c r="H303" s="36">
        <f>F303+G303</f>
        <v/>
      </c>
      <c r="I303" s="173">
        <f>'2026 Απρίλιος'!L107</f>
        <v/>
      </c>
      <c r="J303" s="36">
        <f>H303+I303</f>
        <v/>
      </c>
      <c r="K303" s="173">
        <f>'2026 Μάιος'!L107</f>
        <v/>
      </c>
      <c r="L303" s="36">
        <f>J303+K303</f>
        <v/>
      </c>
      <c r="M303" s="173">
        <f>'2026 Ιούνιος'!L107</f>
        <v/>
      </c>
      <c r="N303" s="36">
        <f>L303+M303</f>
        <v/>
      </c>
      <c r="O303" s="173">
        <f>'2026 Ιούλιος'!L107</f>
        <v/>
      </c>
      <c r="P303" s="36">
        <f>N303+O303</f>
        <v/>
      </c>
      <c r="Q303" s="173">
        <f>'2026 Aύγουστος'!L107</f>
        <v/>
      </c>
      <c r="R303" s="36">
        <f>P303+Q303</f>
        <v/>
      </c>
      <c r="S303" s="173">
        <f>'2026 Σεπτέμβριος'!L107</f>
        <v/>
      </c>
      <c r="T303" s="36">
        <f>R303+S303</f>
        <v/>
      </c>
      <c r="U303" s="173">
        <f>'2026 Οκτώβριος'!L107</f>
        <v/>
      </c>
      <c r="V303" s="36">
        <f>T303+U303</f>
        <v/>
      </c>
      <c r="W303" s="173">
        <f>'2026 Νοέμβριος'!L107</f>
        <v/>
      </c>
      <c r="X303" s="36">
        <f>V303+W303</f>
        <v/>
      </c>
      <c r="Y303" s="173">
        <f>'2026 Δεκέμβριος'!L107</f>
        <v/>
      </c>
      <c r="Z303" s="36">
        <f>X303+Y303</f>
        <v/>
      </c>
      <c r="AA303" s="36">
        <f>C303+E303+G303+I303+K303+M303+O303+Q303+S303+U303+W303+Y303</f>
        <v/>
      </c>
      <c r="AD303" s="37">
        <f>IF(C181&lt;&gt;0,C303,0) + IF(E181&lt;&gt;0,E303,0) + IF(G181&lt;&gt;0,G303,0) +
IF(I181&lt;&gt;0,I303,0) + IF(K181&lt;&gt;0,K303,0) + IF(M181&lt;&gt;0,M303,0) +
IF(O181&lt;&gt;0,O303,0) + IF(Q181&lt;&gt;0,Q303,0) + IF(S181&lt;&gt;0,S303,0) +
IF(U181&lt;&gt;0,U303,0) + IF(W181&lt;&gt;0,W303,0) + IF(Y181&lt;&gt;0,Y303,0)</f>
        <v/>
      </c>
    </row>
    <row r="304">
      <c r="A304" s="166">
        <f>'2026 Ιανουάριος'!C108</f>
        <v/>
      </c>
      <c r="B304" s="56" t="n">
        <v>2024</v>
      </c>
      <c r="C304" s="173">
        <f>'2026 Ιανουάριος'!L108</f>
        <v/>
      </c>
      <c r="D304" s="36">
        <f>C304</f>
        <v/>
      </c>
      <c r="E304" s="173">
        <f>'2026 Φεβρουάριος'!L108</f>
        <v/>
      </c>
      <c r="F304" s="36">
        <f>D304+E304</f>
        <v/>
      </c>
      <c r="G304" s="173">
        <f>'2026 Μάρτιος'!L108</f>
        <v/>
      </c>
      <c r="H304" s="36">
        <f>F304+G304</f>
        <v/>
      </c>
      <c r="I304" s="173">
        <f>'2026 Απρίλιος'!L108</f>
        <v/>
      </c>
      <c r="J304" s="36">
        <f>H304+I304</f>
        <v/>
      </c>
      <c r="K304" s="173">
        <f>'2026 Μάιος'!L108</f>
        <v/>
      </c>
      <c r="L304" s="36">
        <f>J304+K304</f>
        <v/>
      </c>
      <c r="M304" s="173">
        <f>'2026 Ιούνιος'!L108</f>
        <v/>
      </c>
      <c r="N304" s="36">
        <f>L304+M304</f>
        <v/>
      </c>
      <c r="O304" s="173">
        <f>'2026 Ιούλιος'!L108</f>
        <v/>
      </c>
      <c r="P304" s="36">
        <f>N304+O304</f>
        <v/>
      </c>
      <c r="Q304" s="173">
        <f>'2026 Aύγουστος'!L108</f>
        <v/>
      </c>
      <c r="R304" s="36">
        <f>P304+Q304</f>
        <v/>
      </c>
      <c r="S304" s="173">
        <f>'2026 Σεπτέμβριος'!L108</f>
        <v/>
      </c>
      <c r="T304" s="36">
        <f>R304+S304</f>
        <v/>
      </c>
      <c r="U304" s="173">
        <f>'2026 Οκτώβριος'!L108</f>
        <v/>
      </c>
      <c r="V304" s="36">
        <f>T304+U304</f>
        <v/>
      </c>
      <c r="W304" s="173">
        <f>'2026 Νοέμβριος'!L108</f>
        <v/>
      </c>
      <c r="X304" s="36">
        <f>V304+W304</f>
        <v/>
      </c>
      <c r="Y304" s="173">
        <f>'2026 Δεκέμβριος'!L108</f>
        <v/>
      </c>
      <c r="Z304" s="36">
        <f>X304+Y304</f>
        <v/>
      </c>
      <c r="AA304" s="36">
        <f>C304+E304+G304+I304+K304+M304+O304+Q304+S304+U304+W304+Y304</f>
        <v/>
      </c>
      <c r="AD304" s="37">
        <f>IF(C182&lt;&gt;0,C304,0) + IF(E182&lt;&gt;0,E304,0) + IF(G182&lt;&gt;0,G304,0) +
IF(I182&lt;&gt;0,I304,0) + IF(K182&lt;&gt;0,K304,0) + IF(M182&lt;&gt;0,M304,0) +
IF(O182&lt;&gt;0,O304,0) + IF(Q182&lt;&gt;0,Q304,0) + IF(S182&lt;&gt;0,S304,0) +
IF(U182&lt;&gt;0,U304,0) + IF(W182&lt;&gt;0,W304,0) + IF(Y182&lt;&gt;0,Y304,0)</f>
        <v/>
      </c>
    </row>
    <row r="305">
      <c r="A305" s="166">
        <f>'2026 Ιανουάριος'!C109</f>
        <v/>
      </c>
      <c r="B305" s="56" t="n">
        <v>2024</v>
      </c>
      <c r="C305" s="173">
        <f>'2026 Ιανουάριος'!L109</f>
        <v/>
      </c>
      <c r="D305" s="36">
        <f>C305</f>
        <v/>
      </c>
      <c r="E305" s="173">
        <f>'2026 Φεβρουάριος'!L109</f>
        <v/>
      </c>
      <c r="F305" s="36">
        <f>D305+E305</f>
        <v/>
      </c>
      <c r="G305" s="173">
        <f>'2026 Μάρτιος'!L109</f>
        <v/>
      </c>
      <c r="H305" s="36">
        <f>F305+G305</f>
        <v/>
      </c>
      <c r="I305" s="173">
        <f>'2026 Απρίλιος'!L109</f>
        <v/>
      </c>
      <c r="J305" s="36">
        <f>H305+I305</f>
        <v/>
      </c>
      <c r="K305" s="173">
        <f>'2026 Μάιος'!L109</f>
        <v/>
      </c>
      <c r="L305" s="36">
        <f>J305+K305</f>
        <v/>
      </c>
      <c r="M305" s="173">
        <f>'2026 Ιούνιος'!L109</f>
        <v/>
      </c>
      <c r="N305" s="36">
        <f>L305+M305</f>
        <v/>
      </c>
      <c r="O305" s="173">
        <f>'2026 Ιούλιος'!L109</f>
        <v/>
      </c>
      <c r="P305" s="36">
        <f>N305+O305</f>
        <v/>
      </c>
      <c r="Q305" s="173">
        <f>'2026 Aύγουστος'!L109</f>
        <v/>
      </c>
      <c r="R305" s="36">
        <f>P305+Q305</f>
        <v/>
      </c>
      <c r="S305" s="173">
        <f>'2026 Σεπτέμβριος'!L109</f>
        <v/>
      </c>
      <c r="T305" s="36">
        <f>R305+S305</f>
        <v/>
      </c>
      <c r="U305" s="173">
        <f>'2026 Οκτώβριος'!L109</f>
        <v/>
      </c>
      <c r="V305" s="36">
        <f>T305+U305</f>
        <v/>
      </c>
      <c r="W305" s="173">
        <f>'2026 Νοέμβριος'!L109</f>
        <v/>
      </c>
      <c r="X305" s="36">
        <f>V305+W305</f>
        <v/>
      </c>
      <c r="Y305" s="173">
        <f>'2026 Δεκέμβριος'!L109</f>
        <v/>
      </c>
      <c r="Z305" s="36">
        <f>X305+Y305</f>
        <v/>
      </c>
      <c r="AA305" s="36">
        <f>C305+E305+G305+I305+K305+M305+O305+Q305+S305+U305+W305+Y305</f>
        <v/>
      </c>
      <c r="AD305" s="37">
        <f>IF(C183&lt;&gt;0,C305,0) + IF(E183&lt;&gt;0,E305,0) + IF(G183&lt;&gt;0,G305,0) +
IF(I183&lt;&gt;0,I305,0) + IF(K183&lt;&gt;0,K305,0) + IF(M183&lt;&gt;0,M305,0) +
IF(O183&lt;&gt;0,O305,0) + IF(Q183&lt;&gt;0,Q305,0) + IF(S183&lt;&gt;0,S305,0) +
IF(U183&lt;&gt;0,U305,0) + IF(W183&lt;&gt;0,W305,0) + IF(Y183&lt;&gt;0,Y305,0)</f>
        <v/>
      </c>
    </row>
    <row r="306">
      <c r="A306" s="166">
        <f>'2026 Ιανουάριος'!C110</f>
        <v/>
      </c>
      <c r="B306" s="56" t="n">
        <v>2024</v>
      </c>
      <c r="C306" s="173">
        <f>'2026 Ιανουάριος'!L110</f>
        <v/>
      </c>
      <c r="D306" s="36">
        <f>C306</f>
        <v/>
      </c>
      <c r="E306" s="173">
        <f>'2026 Φεβρουάριος'!L110</f>
        <v/>
      </c>
      <c r="F306" s="36">
        <f>D306+E306</f>
        <v/>
      </c>
      <c r="G306" s="173">
        <f>'2026 Μάρτιος'!L110</f>
        <v/>
      </c>
      <c r="H306" s="36">
        <f>F306+G306</f>
        <v/>
      </c>
      <c r="I306" s="173">
        <f>'2026 Απρίλιος'!L110</f>
        <v/>
      </c>
      <c r="J306" s="36">
        <f>H306+I306</f>
        <v/>
      </c>
      <c r="K306" s="173">
        <f>'2026 Μάιος'!L110</f>
        <v/>
      </c>
      <c r="L306" s="36">
        <f>J306+K306</f>
        <v/>
      </c>
      <c r="M306" s="173">
        <f>'2026 Ιούνιος'!L110</f>
        <v/>
      </c>
      <c r="N306" s="36">
        <f>L306+M306</f>
        <v/>
      </c>
      <c r="O306" s="173">
        <f>'2026 Ιούλιος'!L110</f>
        <v/>
      </c>
      <c r="P306" s="36">
        <f>N306+O306</f>
        <v/>
      </c>
      <c r="Q306" s="173">
        <f>SUM(Q277:Q305)</f>
        <v/>
      </c>
      <c r="R306" s="36">
        <f>P306+Q306</f>
        <v/>
      </c>
      <c r="S306" s="173">
        <f>'2026 Σεπτέμβριος'!L110</f>
        <v/>
      </c>
      <c r="T306" s="36">
        <f>R306+S306</f>
        <v/>
      </c>
      <c r="U306" s="173">
        <f>'2026 Οκτώβριος'!L110</f>
        <v/>
      </c>
      <c r="V306" s="36">
        <f>T306+U306</f>
        <v/>
      </c>
      <c r="W306" s="173">
        <f>'2026 Νοέμβριος'!L110</f>
        <v/>
      </c>
      <c r="X306" s="36">
        <f>V306+W306</f>
        <v/>
      </c>
      <c r="Y306" s="173">
        <f>'2026 Δεκέμβριος'!L110</f>
        <v/>
      </c>
      <c r="Z306" s="36">
        <f>X306+Y306</f>
        <v/>
      </c>
      <c r="AA306" s="36">
        <f>C306+E306+G306+I306+K306+M306+O306+Q306+S306+U306+W306+Y306</f>
        <v/>
      </c>
      <c r="AD306" s="37">
        <f>IF(C184&lt;&gt;0,C306,0) + IF(E184&lt;&gt;0,E306,0) + IF(G184&lt;&gt;0,G306,0) +
IF(I184&lt;&gt;0,I306,0) + IF(K184&lt;&gt;0,K306,0) + IF(M184&lt;&gt;0,M306,0) +
IF(O184&lt;&gt;0,O306,0) + IF(Q184&lt;&gt;0,Q306,0) + IF(S184&lt;&gt;0,S306,0) +
IF(U184&lt;&gt;0,U306,0) + IF(W184&lt;&gt;0,W306,0) + IF(Y184&lt;&gt;0,Y306,0)</f>
        <v/>
      </c>
    </row>
    <row r="307">
      <c r="A307" s="166" t="inlineStr">
        <is>
          <t>Σύνολα</t>
        </is>
      </c>
      <c r="C307" s="174">
        <f>SUM(C277:C306)</f>
        <v/>
      </c>
      <c r="D307" s="36">
        <f>C307</f>
        <v/>
      </c>
      <c r="E307" s="173">
        <f>SUM(E277:E306)</f>
        <v/>
      </c>
      <c r="F307" s="36">
        <f>D307+E307</f>
        <v/>
      </c>
      <c r="G307" s="174">
        <f>SUM(G277:G306)</f>
        <v/>
      </c>
      <c r="H307" s="36">
        <f>F307+G307</f>
        <v/>
      </c>
      <c r="I307" s="173">
        <f>'2026 Απρίλιος'!L111</f>
        <v/>
      </c>
      <c r="J307" s="36">
        <f>H307+I307</f>
        <v/>
      </c>
      <c r="K307" s="174">
        <f>SUM(K277:K306)</f>
        <v/>
      </c>
      <c r="L307" s="36">
        <f>J307+K307</f>
        <v/>
      </c>
      <c r="M307" s="174">
        <f>SUM(M277:M306)</f>
        <v/>
      </c>
      <c r="N307" s="36">
        <f>L307+M307</f>
        <v/>
      </c>
      <c r="O307" s="174">
        <f>SUM(O277:O306)</f>
        <v/>
      </c>
      <c r="P307" s="36">
        <f>N307+O307</f>
        <v/>
      </c>
      <c r="Q307" s="174">
        <f>SUM(Q277:Q306)</f>
        <v/>
      </c>
      <c r="R307" s="36">
        <f>P307+Q307</f>
        <v/>
      </c>
      <c r="S307" s="174">
        <f>SUM(S277:S306)</f>
        <v/>
      </c>
      <c r="T307" s="36">
        <f>R307+S307</f>
        <v/>
      </c>
      <c r="U307" s="173">
        <f>'2026 Οκτώβριος'!L111</f>
        <v/>
      </c>
      <c r="V307" s="36">
        <f>T307+U307</f>
        <v/>
      </c>
      <c r="W307" s="174">
        <f>SUM(W277:W306)</f>
        <v/>
      </c>
      <c r="X307" s="36">
        <f>V307+W307</f>
        <v/>
      </c>
      <c r="Y307" s="174">
        <f>SUM(Y277:Y306)</f>
        <v/>
      </c>
      <c r="Z307" s="36">
        <f>X307+Y307</f>
        <v/>
      </c>
      <c r="AA307" s="36">
        <f>C307+E307+G307+I307+K307+M307+O307+Q307+S307+U307+W307+Y307</f>
        <v/>
      </c>
    </row>
    <row r="308">
      <c r="A308" s="55" t="n"/>
    </row>
    <row r="309"/>
    <row r="310"/>
    <row r="311"/>
    <row r="312">
      <c r="A312" s="48" t="inlineStr">
        <is>
          <t xml:space="preserve">Κατηγορία εξόδου / ΚΟΣΤΟΣ ΔΙΟΙΙΚΗΣΗΣ ΜΗΝΟΣ </t>
        </is>
      </c>
      <c r="B312" s="35" t="inlineStr">
        <is>
          <t xml:space="preserve">¨Ετος </t>
        </is>
      </c>
      <c r="C312" s="172" t="inlineStr">
        <is>
          <t>Ιανουάριος 2024</t>
        </is>
      </c>
      <c r="D312" s="35" t="inlineStr">
        <is>
          <t>Προοδευτικά Ιαν 2024</t>
        </is>
      </c>
      <c r="E312" s="172" t="inlineStr">
        <is>
          <t>Φεβρουάριος 2024</t>
        </is>
      </c>
      <c r="F312" s="35" t="inlineStr">
        <is>
          <t>Προοδευτικά  Φεβρ. 2024</t>
        </is>
      </c>
      <c r="G312" s="172" t="inlineStr">
        <is>
          <t>Μάρτιος 2024</t>
        </is>
      </c>
      <c r="H312" s="35" t="inlineStr">
        <is>
          <t>Προοδευτικά Μάρτιος 2024</t>
        </is>
      </c>
      <c r="I312" s="172" t="inlineStr">
        <is>
          <t>Απρίλιος 2024</t>
        </is>
      </c>
      <c r="J312" s="35" t="inlineStr">
        <is>
          <t>Προοδευτικά Απρίλιος 2024</t>
        </is>
      </c>
      <c r="K312" s="172" t="inlineStr">
        <is>
          <t>Μάιος 2024</t>
        </is>
      </c>
      <c r="L312" s="35" t="inlineStr">
        <is>
          <t>Προοδευτικά Μάιος 2024</t>
        </is>
      </c>
      <c r="M312" s="172" t="inlineStr">
        <is>
          <t>Ιούνιος 2024</t>
        </is>
      </c>
      <c r="N312" s="35" t="inlineStr">
        <is>
          <t>Προοδευτικά Ιούνιος 2024</t>
        </is>
      </c>
      <c r="O312" s="172" t="inlineStr">
        <is>
          <t xml:space="preserve">Ιούλιος 2024 </t>
        </is>
      </c>
      <c r="P312" s="35" t="inlineStr">
        <is>
          <t>Προοδευτικά Ιούλιος 2024</t>
        </is>
      </c>
      <c r="Q312" s="172" t="inlineStr">
        <is>
          <t>Αύγουστος 2024</t>
        </is>
      </c>
      <c r="R312" s="35" t="inlineStr">
        <is>
          <t>Προοδευτικά Αύγουστος 2024</t>
        </is>
      </c>
      <c r="S312" s="172" t="inlineStr">
        <is>
          <t>Σεπτέμβριος 2024</t>
        </is>
      </c>
      <c r="T312" s="35" t="inlineStr">
        <is>
          <t>Προοδευτικά  Σεπτέμβριος 2024</t>
        </is>
      </c>
      <c r="U312" s="172" t="inlineStr">
        <is>
          <t>Οκτώβριος 2024</t>
        </is>
      </c>
      <c r="V312" s="35" t="inlineStr">
        <is>
          <t>Προοδευτικά Οκτώβριος 2024</t>
        </is>
      </c>
      <c r="W312" s="172" t="inlineStr">
        <is>
          <t>Νοέμβριος 2024</t>
        </is>
      </c>
      <c r="X312" s="35" t="inlineStr">
        <is>
          <t>Προοδευτικά Νοέμβριος 2024</t>
        </is>
      </c>
      <c r="Y312" s="172" t="inlineStr">
        <is>
          <t>Δεκέμβριος 2024</t>
        </is>
      </c>
      <c r="Z312" s="35" t="inlineStr">
        <is>
          <t>Προοδευτικό Σύνολο Δεκεμβρίου 2024</t>
        </is>
      </c>
      <c r="AA312" s="35" t="inlineStr">
        <is>
          <t>Γενικό Σύνολο Μηνών ανά κατηγορία Εξόδου 2024</t>
        </is>
      </c>
    </row>
    <row r="313">
      <c r="A313" s="44">
        <f>'2026 Ιανουάριος'!C117</f>
        <v/>
      </c>
      <c r="B313" s="35" t="n">
        <v>2024</v>
      </c>
      <c r="C313" s="173">
        <f>'2026 Ιανουάριος'!L117</f>
        <v/>
      </c>
      <c r="D313" s="36">
        <f>C313</f>
        <v/>
      </c>
      <c r="E313" s="173">
        <f>'2026 Φεβρουάριος'!L117</f>
        <v/>
      </c>
      <c r="F313" s="36">
        <f>D313+E313</f>
        <v/>
      </c>
      <c r="G313" s="173">
        <f>'2026 Μάρτιος'!L117</f>
        <v/>
      </c>
      <c r="H313" s="36">
        <f>F313+G313</f>
        <v/>
      </c>
      <c r="I313" s="173">
        <f>'2026 Απρίλιος'!L117</f>
        <v/>
      </c>
      <c r="J313" s="36">
        <f>H313+I313</f>
        <v/>
      </c>
      <c r="K313" s="173">
        <f>'2026 Μάιος'!L117</f>
        <v/>
      </c>
      <c r="L313" s="36">
        <f>J313+K313</f>
        <v/>
      </c>
      <c r="M313" s="173">
        <f>'2026 Ιούνιος'!L117</f>
        <v/>
      </c>
      <c r="N313" s="36">
        <f>L313+M313</f>
        <v/>
      </c>
      <c r="O313" s="173">
        <f>'2026 Ιούλιος'!L117</f>
        <v/>
      </c>
      <c r="P313" s="36">
        <f>N313+O313</f>
        <v/>
      </c>
      <c r="Q313" s="173">
        <f>'2026 Aύγουστος'!L117</f>
        <v/>
      </c>
      <c r="R313" s="36">
        <f>P313+Q313</f>
        <v/>
      </c>
      <c r="S313" s="173">
        <f>'2026 Σεπτέμβριος'!L117</f>
        <v/>
      </c>
      <c r="T313" s="36">
        <f>R313+S313</f>
        <v/>
      </c>
      <c r="U313" s="173">
        <f>'2026 Οκτώβριος'!L117</f>
        <v/>
      </c>
      <c r="V313" s="36">
        <f>T313+U313</f>
        <v/>
      </c>
      <c r="W313" s="173">
        <f>'2026 Νοέμβριος'!L117</f>
        <v/>
      </c>
      <c r="X313" s="36">
        <f>V313+W313</f>
        <v/>
      </c>
      <c r="Y313" s="173">
        <f>'2026 Δεκέμβριος'!L117</f>
        <v/>
      </c>
      <c r="Z313" s="36">
        <f>X313+Y313</f>
        <v/>
      </c>
      <c r="AA313" s="36">
        <f>C313+E313+G313+I313+K313+M313+O313+Q313+S313+U313+W313+Y313</f>
        <v/>
      </c>
      <c r="AD313" s="37">
        <f>IF(C191&lt;&gt;0,C313,0) + IF(E191&lt;&gt;0,E313,0) + IF(G191&lt;&gt;0,G313,0) +
IF(I191&lt;&gt;0,I313,0) + IF(K191&lt;&gt;0,K313,0) + IF(M191&lt;&gt;0,M313,0) +
IF(O191&lt;&gt;0,O313,0) + IF(Q191&lt;&gt;0,Q313,0) + IF(S191&lt;&gt;0,S313,0) +
IF(U191&lt;&gt;0,U313,0) + IF(W191&lt;&gt;0,W313,0) + IF(Y191&lt;&gt;0,Y313,0)</f>
        <v/>
      </c>
    </row>
    <row r="314">
      <c r="A314" s="44">
        <f>'2026 Ιανουάριος'!C118</f>
        <v/>
      </c>
      <c r="B314" s="35" t="n">
        <v>2024</v>
      </c>
      <c r="C314" s="173">
        <f>'2026 Ιανουάριος'!L118</f>
        <v/>
      </c>
      <c r="D314" s="36">
        <f>C314</f>
        <v/>
      </c>
      <c r="E314" s="173">
        <f>'2026 Φεβρουάριος'!L118</f>
        <v/>
      </c>
      <c r="F314" s="36">
        <f>D314+E314</f>
        <v/>
      </c>
      <c r="G314" s="173">
        <f>'2026 Μάρτιος'!L118</f>
        <v/>
      </c>
      <c r="H314" s="36">
        <f>F314+G314</f>
        <v/>
      </c>
      <c r="I314" s="173">
        <f>'2026 Απρίλιος'!L118</f>
        <v/>
      </c>
      <c r="J314" s="36">
        <f>H314+I314</f>
        <v/>
      </c>
      <c r="K314" s="173">
        <f>'2026 Μάιος'!L118</f>
        <v/>
      </c>
      <c r="L314" s="36">
        <f>J314+K314</f>
        <v/>
      </c>
      <c r="M314" s="173">
        <f>'2026 Ιούνιος'!L118</f>
        <v/>
      </c>
      <c r="N314" s="36">
        <f>L314+M314</f>
        <v/>
      </c>
      <c r="O314" s="173">
        <f>'2026 Ιούλιος'!L118</f>
        <v/>
      </c>
      <c r="P314" s="36">
        <f>N314+O314</f>
        <v/>
      </c>
      <c r="Q314" s="173">
        <f>'2026 Aύγουστος'!L118</f>
        <v/>
      </c>
      <c r="R314" s="36">
        <f>P314+Q314</f>
        <v/>
      </c>
      <c r="S314" s="173">
        <f>'2026 Σεπτέμβριος'!L118</f>
        <v/>
      </c>
      <c r="T314" s="36">
        <f>R314+S314</f>
        <v/>
      </c>
      <c r="U314" s="173">
        <f>'2026 Οκτώβριος'!L118</f>
        <v/>
      </c>
      <c r="V314" s="36">
        <f>T314+U314</f>
        <v/>
      </c>
      <c r="W314" s="173">
        <f>'2026 Νοέμβριος'!L118</f>
        <v/>
      </c>
      <c r="X314" s="36">
        <f>V314+W314</f>
        <v/>
      </c>
      <c r="Y314" s="173">
        <f>'2026 Δεκέμβριος'!L118</f>
        <v/>
      </c>
      <c r="Z314" s="36">
        <f>X314+Y314</f>
        <v/>
      </c>
      <c r="AA314" s="36">
        <f>C314+E314+G314+I314+K314+M314+O314+Q314+S314+U314+W314+Y314</f>
        <v/>
      </c>
      <c r="AD314" s="37">
        <f>IF(C192&lt;&gt;0,C314,0) + IF(E192&lt;&gt;0,E314,0) + IF(G192&lt;&gt;0,G314,0) +
IF(I192&lt;&gt;0,I314,0) + IF(K192&lt;&gt;0,K314,0) + IF(M192&lt;&gt;0,M314,0) +
IF(O192&lt;&gt;0,O314,0) + IF(Q192&lt;&gt;0,Q314,0) + IF(S192&lt;&gt;0,S314,0) +
IF(U192&lt;&gt;0,U314,0) + IF(W192&lt;&gt;0,W314,0) + IF(Y192&lt;&gt;0,Y314,0)</f>
        <v/>
      </c>
    </row>
    <row r="315">
      <c r="A315" s="44">
        <f>'2026 Ιανουάριος'!C119</f>
        <v/>
      </c>
      <c r="B315" s="35" t="n">
        <v>2024</v>
      </c>
      <c r="C315" s="173">
        <f>'2026 Ιανουάριος'!L119</f>
        <v/>
      </c>
      <c r="D315" s="36">
        <f>C315</f>
        <v/>
      </c>
      <c r="E315" s="173">
        <f>'2026 Φεβρουάριος'!L119</f>
        <v/>
      </c>
      <c r="F315" s="36">
        <f>D315+E315</f>
        <v/>
      </c>
      <c r="G315" s="173">
        <f>'2026 Μάρτιος'!L119</f>
        <v/>
      </c>
      <c r="H315" s="36">
        <f>F315+G315</f>
        <v/>
      </c>
      <c r="I315" s="173">
        <f>'2026 Απρίλιος'!L119</f>
        <v/>
      </c>
      <c r="J315" s="36">
        <f>H315+I315</f>
        <v/>
      </c>
      <c r="K315" s="173">
        <f>'2026 Μάιος'!L119</f>
        <v/>
      </c>
      <c r="L315" s="36">
        <f>J315+K315</f>
        <v/>
      </c>
      <c r="M315" s="173">
        <f>'2026 Ιούνιος'!L119</f>
        <v/>
      </c>
      <c r="N315" s="36">
        <f>L315+M315</f>
        <v/>
      </c>
      <c r="O315" s="173">
        <f>'2026 Ιούλιος'!L119</f>
        <v/>
      </c>
      <c r="P315" s="36">
        <f>N315+O315</f>
        <v/>
      </c>
      <c r="Q315" s="173">
        <f>'2026 Aύγουστος'!L119</f>
        <v/>
      </c>
      <c r="R315" s="36">
        <f>P315+Q315</f>
        <v/>
      </c>
      <c r="S315" s="173">
        <f>'2026 Σεπτέμβριος'!L119</f>
        <v/>
      </c>
      <c r="T315" s="36">
        <f>R315+S315</f>
        <v/>
      </c>
      <c r="U315" s="173">
        <f>'2026 Οκτώβριος'!L119</f>
        <v/>
      </c>
      <c r="V315" s="36">
        <f>T315+U315</f>
        <v/>
      </c>
      <c r="W315" s="173">
        <f>'2026 Νοέμβριος'!L119</f>
        <v/>
      </c>
      <c r="X315" s="36">
        <f>V315+W315</f>
        <v/>
      </c>
      <c r="Y315" s="173">
        <f>'2026 Δεκέμβριος'!L119</f>
        <v/>
      </c>
      <c r="Z315" s="36">
        <f>X315+Y315</f>
        <v/>
      </c>
      <c r="AA315" s="36">
        <f>C315+E315+G315+I315+K315+M315+O315+Q315+S315+U315+W315+Y315</f>
        <v/>
      </c>
      <c r="AD315" s="37">
        <f>IF(C193&lt;&gt;0,C315,0) + IF(E193&lt;&gt;0,E315,0) + IF(G193&lt;&gt;0,G315,0) +
IF(I193&lt;&gt;0,I315,0) + IF(K193&lt;&gt;0,K315,0) + IF(M193&lt;&gt;0,M315,0) +
IF(O193&lt;&gt;0,O315,0) + IF(Q193&lt;&gt;0,Q315,0) + IF(S193&lt;&gt;0,S315,0) +
IF(U193&lt;&gt;0,U315,0) + IF(W193&lt;&gt;0,W315,0) + IF(Y193&lt;&gt;0,Y315,0)</f>
        <v/>
      </c>
    </row>
    <row r="316">
      <c r="A316" s="44">
        <f>'2026 Ιανουάριος'!C120</f>
        <v/>
      </c>
      <c r="B316" s="35" t="n">
        <v>2024</v>
      </c>
      <c r="C316" s="173">
        <f>'2026 Ιανουάριος'!L120</f>
        <v/>
      </c>
      <c r="D316" s="36">
        <f>C316</f>
        <v/>
      </c>
      <c r="E316" s="173">
        <f>'2026 Φεβρουάριος'!L120</f>
        <v/>
      </c>
      <c r="F316" s="36">
        <f>D316+E316</f>
        <v/>
      </c>
      <c r="G316" s="173">
        <f>'2026 Μάρτιος'!L120</f>
        <v/>
      </c>
      <c r="H316" s="36">
        <f>F316+G316</f>
        <v/>
      </c>
      <c r="I316" s="173">
        <f>'2026 Απρίλιος'!L120</f>
        <v/>
      </c>
      <c r="J316" s="36">
        <f>H316+I316</f>
        <v/>
      </c>
      <c r="K316" s="173">
        <f>'2026 Μάιος'!L120</f>
        <v/>
      </c>
      <c r="L316" s="36">
        <f>J316+K316</f>
        <v/>
      </c>
      <c r="M316" s="173">
        <f>'2026 Ιούνιος'!L120</f>
        <v/>
      </c>
      <c r="N316" s="36">
        <f>L316+M316</f>
        <v/>
      </c>
      <c r="O316" s="173">
        <f>'2026 Ιούλιος'!L120</f>
        <v/>
      </c>
      <c r="P316" s="36">
        <f>N316+O316</f>
        <v/>
      </c>
      <c r="Q316" s="173">
        <f>'2026 Aύγουστος'!L120</f>
        <v/>
      </c>
      <c r="R316" s="36">
        <f>P316+Q316</f>
        <v/>
      </c>
      <c r="S316" s="173">
        <f>'2026 Σεπτέμβριος'!L120</f>
        <v/>
      </c>
      <c r="T316" s="36">
        <f>R316+S316</f>
        <v/>
      </c>
      <c r="U316" s="173">
        <f>'2026 Οκτώβριος'!L120</f>
        <v/>
      </c>
      <c r="V316" s="36">
        <f>T316+U316</f>
        <v/>
      </c>
      <c r="W316" s="173">
        <f>'2026 Νοέμβριος'!L120</f>
        <v/>
      </c>
      <c r="X316" s="36">
        <f>V316+W316</f>
        <v/>
      </c>
      <c r="Y316" s="173">
        <f>'2026 Δεκέμβριος'!L120</f>
        <v/>
      </c>
      <c r="Z316" s="36">
        <f>X316+Y316</f>
        <v/>
      </c>
      <c r="AA316" s="36">
        <f>C316+E316+G316+I316+K316+M316+O316+Q316+S316+U316+W316+Y316</f>
        <v/>
      </c>
      <c r="AD316" s="37">
        <f>IF(C194&lt;&gt;0,C316,0) + IF(E194&lt;&gt;0,E316,0) + IF(G194&lt;&gt;0,G316,0) +
IF(I194&lt;&gt;0,I316,0) + IF(K194&lt;&gt;0,K316,0) + IF(M194&lt;&gt;0,M316,0) +
IF(O194&lt;&gt;0,O316,0) + IF(Q194&lt;&gt;0,Q316,0) + IF(S194&lt;&gt;0,S316,0) +
IF(U194&lt;&gt;0,U316,0) + IF(W194&lt;&gt;0,W316,0) + IF(Y194&lt;&gt;0,Y316,0)</f>
        <v/>
      </c>
    </row>
    <row r="317">
      <c r="A317" s="44">
        <f>'2026 Ιανουάριος'!C121</f>
        <v/>
      </c>
      <c r="B317" s="35" t="n">
        <v>2024</v>
      </c>
      <c r="C317" s="173">
        <f>'2026 Ιανουάριος'!L121</f>
        <v/>
      </c>
      <c r="D317" s="36">
        <f>C317</f>
        <v/>
      </c>
      <c r="E317" s="173">
        <f>'2026 Φεβρουάριος'!L121</f>
        <v/>
      </c>
      <c r="F317" s="36">
        <f>D317+E317</f>
        <v/>
      </c>
      <c r="G317" s="173">
        <f>'2026 Μάρτιος'!L121</f>
        <v/>
      </c>
      <c r="H317" s="36">
        <f>F317+G317</f>
        <v/>
      </c>
      <c r="I317" s="173">
        <f>'2026 Απρίλιος'!L121</f>
        <v/>
      </c>
      <c r="J317" s="36">
        <f>H317+I317</f>
        <v/>
      </c>
      <c r="K317" s="173">
        <f>'2026 Μάιος'!L121</f>
        <v/>
      </c>
      <c r="L317" s="36">
        <f>J317+K317</f>
        <v/>
      </c>
      <c r="M317" s="173">
        <f>'2026 Ιούνιος'!L121</f>
        <v/>
      </c>
      <c r="N317" s="36">
        <f>L317+M317</f>
        <v/>
      </c>
      <c r="O317" s="173">
        <f>'2026 Ιούλιος'!L121</f>
        <v/>
      </c>
      <c r="P317" s="36">
        <f>N317+O317</f>
        <v/>
      </c>
      <c r="Q317" s="173">
        <f>'2026 Aύγουστος'!L121</f>
        <v/>
      </c>
      <c r="R317" s="36">
        <f>P317+Q317</f>
        <v/>
      </c>
      <c r="S317" s="173">
        <f>'2026 Σεπτέμβριος'!L121</f>
        <v/>
      </c>
      <c r="T317" s="36">
        <f>R317+S317</f>
        <v/>
      </c>
      <c r="U317" s="173">
        <f>'2026 Οκτώβριος'!L121</f>
        <v/>
      </c>
      <c r="V317" s="36">
        <f>T317+U317</f>
        <v/>
      </c>
      <c r="W317" s="173">
        <f>'2026 Νοέμβριος'!L121</f>
        <v/>
      </c>
      <c r="X317" s="36">
        <f>V317+W317</f>
        <v/>
      </c>
      <c r="Y317" s="173">
        <f>'2026 Δεκέμβριος'!L121</f>
        <v/>
      </c>
      <c r="Z317" s="36">
        <f>X317+Y317</f>
        <v/>
      </c>
      <c r="AA317" s="36">
        <f>C317+E317+G317+I317+K317+M317+O317+Q317+S317+U317+W317+Y317</f>
        <v/>
      </c>
      <c r="AD317" s="37">
        <f>IF(C195&lt;&gt;0,C317,0) + IF(E195&lt;&gt;0,E317,0) + IF(G195&lt;&gt;0,G317,0) +
IF(I195&lt;&gt;0,I317,0) + IF(K195&lt;&gt;0,K317,0) + IF(M195&lt;&gt;0,M317,0) +
IF(O195&lt;&gt;0,O317,0) + IF(Q195&lt;&gt;0,Q317,0) + IF(S195&lt;&gt;0,S317,0) +
IF(U195&lt;&gt;0,U317,0) + IF(W195&lt;&gt;0,W317,0) + IF(Y195&lt;&gt;0,Y317,0)</f>
        <v/>
      </c>
    </row>
    <row r="318">
      <c r="A318" s="44">
        <f>'2026 Ιανουάριος'!C122</f>
        <v/>
      </c>
      <c r="B318" s="35" t="n">
        <v>2024</v>
      </c>
      <c r="C318" s="173">
        <f>'2026 Ιανουάριος'!L122</f>
        <v/>
      </c>
      <c r="D318" s="36">
        <f>C318</f>
        <v/>
      </c>
      <c r="E318" s="173">
        <f>'2026 Φεβρουάριος'!L122</f>
        <v/>
      </c>
      <c r="F318" s="36">
        <f>D318+E318</f>
        <v/>
      </c>
      <c r="G318" s="173">
        <f>'2026 Μάρτιος'!L122</f>
        <v/>
      </c>
      <c r="H318" s="36">
        <f>F318+G318</f>
        <v/>
      </c>
      <c r="I318" s="173">
        <f>'2026 Απρίλιος'!L122</f>
        <v/>
      </c>
      <c r="J318" s="36">
        <f>H318+I318</f>
        <v/>
      </c>
      <c r="K318" s="173">
        <f>'2026 Μάιος'!L122</f>
        <v/>
      </c>
      <c r="L318" s="36">
        <f>J318+K318</f>
        <v/>
      </c>
      <c r="M318" s="173">
        <f>'2026 Ιούνιος'!L122</f>
        <v/>
      </c>
      <c r="N318" s="36">
        <f>L318+M318</f>
        <v/>
      </c>
      <c r="O318" s="173">
        <f>'2026 Ιούλιος'!L122</f>
        <v/>
      </c>
      <c r="P318" s="36">
        <f>N318+O318</f>
        <v/>
      </c>
      <c r="Q318" s="173">
        <f>'2026 Aύγουστος'!L122</f>
        <v/>
      </c>
      <c r="R318" s="36">
        <f>P318+Q318</f>
        <v/>
      </c>
      <c r="S318" s="173">
        <f>'2026 Σεπτέμβριος'!L122</f>
        <v/>
      </c>
      <c r="T318" s="36">
        <f>R318+S318</f>
        <v/>
      </c>
      <c r="U318" s="173">
        <f>'2026 Οκτώβριος'!L122</f>
        <v/>
      </c>
      <c r="V318" s="36">
        <f>T318+U318</f>
        <v/>
      </c>
      <c r="W318" s="173">
        <f>'2026 Νοέμβριος'!L122</f>
        <v/>
      </c>
      <c r="X318" s="36">
        <f>V318+W318</f>
        <v/>
      </c>
      <c r="Y318" s="173">
        <f>'2026 Δεκέμβριος'!L122</f>
        <v/>
      </c>
      <c r="Z318" s="36">
        <f>X318+Y318</f>
        <v/>
      </c>
      <c r="AA318" s="36">
        <f>C318+E318+G318+I318+K318+M318+O318+Q318+S318+U318+W318+Y318</f>
        <v/>
      </c>
      <c r="AD318" s="37">
        <f>IF(C196&lt;&gt;0,C318,0) + IF(E196&lt;&gt;0,E318,0) + IF(G196&lt;&gt;0,G318,0) +
IF(I196&lt;&gt;0,I318,0) + IF(K196&lt;&gt;0,K318,0) + IF(M196&lt;&gt;0,M318,0) +
IF(O196&lt;&gt;0,O318,0) + IF(Q196&lt;&gt;0,Q318,0) + IF(S196&lt;&gt;0,S318,0) +
IF(U196&lt;&gt;0,U318,0) + IF(W196&lt;&gt;0,W318,0) + IF(Y196&lt;&gt;0,Y318,0)</f>
        <v/>
      </c>
    </row>
    <row r="319">
      <c r="A319" s="44">
        <f>'2026 Ιανουάριος'!C123</f>
        <v/>
      </c>
      <c r="B319" s="35" t="n">
        <v>2024</v>
      </c>
      <c r="C319" s="173">
        <f>'2026 Ιανουάριος'!L123</f>
        <v/>
      </c>
      <c r="D319" s="36">
        <f>C319</f>
        <v/>
      </c>
      <c r="E319" s="173">
        <f>'2026 Φεβρουάριος'!L123</f>
        <v/>
      </c>
      <c r="F319" s="36">
        <f>D319+E319</f>
        <v/>
      </c>
      <c r="G319" s="173">
        <f>'2026 Μάρτιος'!L123</f>
        <v/>
      </c>
      <c r="H319" s="36">
        <f>F319+G319</f>
        <v/>
      </c>
      <c r="I319" s="173">
        <f>'2026 Απρίλιος'!L123</f>
        <v/>
      </c>
      <c r="J319" s="36">
        <f>H319+I319</f>
        <v/>
      </c>
      <c r="K319" s="173">
        <f>'2026 Μάιος'!L123</f>
        <v/>
      </c>
      <c r="L319" s="36">
        <f>J319+K319</f>
        <v/>
      </c>
      <c r="M319" s="173">
        <f>'2026 Ιούνιος'!L123</f>
        <v/>
      </c>
      <c r="N319" s="36">
        <f>L319+M319</f>
        <v/>
      </c>
      <c r="O319" s="173">
        <f>'2026 Ιούλιος'!L123</f>
        <v/>
      </c>
      <c r="P319" s="36">
        <f>N319+O319</f>
        <v/>
      </c>
      <c r="Q319" s="173">
        <f>'2026 Aύγουστος'!L123</f>
        <v/>
      </c>
      <c r="R319" s="36">
        <f>P319+Q319</f>
        <v/>
      </c>
      <c r="S319" s="173">
        <f>'2026 Σεπτέμβριος'!L123</f>
        <v/>
      </c>
      <c r="T319" s="36">
        <f>R319+S319</f>
        <v/>
      </c>
      <c r="U319" s="173">
        <f>'2026 Οκτώβριος'!L123</f>
        <v/>
      </c>
      <c r="V319" s="36">
        <f>T319+U319</f>
        <v/>
      </c>
      <c r="W319" s="173">
        <f>'2026 Νοέμβριος'!L123</f>
        <v/>
      </c>
      <c r="X319" s="36">
        <f>V319+W319</f>
        <v/>
      </c>
      <c r="Y319" s="173">
        <f>'2026 Δεκέμβριος'!L123</f>
        <v/>
      </c>
      <c r="Z319" s="36">
        <f>X319+Y319</f>
        <v/>
      </c>
      <c r="AA319" s="36">
        <f>C319+E319+G319+I319+K319+M319+O319+Q319+S319+U319+W319+Y319</f>
        <v/>
      </c>
      <c r="AD319" s="37">
        <f>IF(C197&lt;&gt;0,C319,0) + IF(E197&lt;&gt;0,E319,0) + IF(G197&lt;&gt;0,G319,0) +
IF(I197&lt;&gt;0,I319,0) + IF(K197&lt;&gt;0,K319,0) + IF(M197&lt;&gt;0,M319,0) +
IF(O197&lt;&gt;0,O319,0) + IF(Q197&lt;&gt;0,Q319,0) + IF(S197&lt;&gt;0,S319,0) +
IF(U197&lt;&gt;0,U319,0) + IF(W197&lt;&gt;0,W319,0) + IF(Y197&lt;&gt;0,Y319,0)</f>
        <v/>
      </c>
    </row>
    <row r="320">
      <c r="A320" s="44">
        <f>'2026 Ιανουάριος'!C124</f>
        <v/>
      </c>
      <c r="B320" s="35" t="n">
        <v>2024</v>
      </c>
      <c r="C320" s="173">
        <f>'2026 Ιανουάριος'!L124</f>
        <v/>
      </c>
      <c r="D320" s="36">
        <f>C320</f>
        <v/>
      </c>
      <c r="E320" s="173">
        <f>'2026 Φεβρουάριος'!L124</f>
        <v/>
      </c>
      <c r="F320" s="36">
        <f>D320+E320</f>
        <v/>
      </c>
      <c r="G320" s="173">
        <f>'2026 Μάρτιος'!L124</f>
        <v/>
      </c>
      <c r="H320" s="36">
        <f>F320+G320</f>
        <v/>
      </c>
      <c r="I320" s="173">
        <f>'2026 Απρίλιος'!L124</f>
        <v/>
      </c>
      <c r="J320" s="36">
        <f>H320+I320</f>
        <v/>
      </c>
      <c r="K320" s="173">
        <f>'2026 Μάιος'!L124</f>
        <v/>
      </c>
      <c r="L320" s="36">
        <f>J320+K320</f>
        <v/>
      </c>
      <c r="M320" s="173">
        <f>'2026 Ιούνιος'!L124</f>
        <v/>
      </c>
      <c r="N320" s="36">
        <f>L320+M320</f>
        <v/>
      </c>
      <c r="O320" s="173">
        <f>'2026 Ιούλιος'!L124</f>
        <v/>
      </c>
      <c r="P320" s="36">
        <f>N320+O320</f>
        <v/>
      </c>
      <c r="Q320" s="173">
        <f>'2026 Aύγουστος'!L124</f>
        <v/>
      </c>
      <c r="R320" s="36">
        <f>P320+Q320</f>
        <v/>
      </c>
      <c r="S320" s="173">
        <f>'2026 Σεπτέμβριος'!L124</f>
        <v/>
      </c>
      <c r="T320" s="36">
        <f>R320+S320</f>
        <v/>
      </c>
      <c r="U320" s="173">
        <f>'2026 Οκτώβριος'!L124</f>
        <v/>
      </c>
      <c r="V320" s="36">
        <f>T320+U320</f>
        <v/>
      </c>
      <c r="W320" s="173">
        <f>'2026 Νοέμβριος'!L124</f>
        <v/>
      </c>
      <c r="X320" s="36">
        <f>V320+W320</f>
        <v/>
      </c>
      <c r="Y320" s="173">
        <f>'2026 Δεκέμβριος'!L124</f>
        <v/>
      </c>
      <c r="Z320" s="36">
        <f>X320+Y320</f>
        <v/>
      </c>
      <c r="AA320" s="36">
        <f>C320+E320+G320+I320+K320+M320+O320+Q320+S320+U320+W320+Y320</f>
        <v/>
      </c>
      <c r="AD320" s="37">
        <f>IF(C198&lt;&gt;0,C320,0) + IF(E198&lt;&gt;0,E320,0) + IF(G198&lt;&gt;0,G320,0) +
IF(I198&lt;&gt;0,I320,0) + IF(K198&lt;&gt;0,K320,0) + IF(M198&lt;&gt;0,M320,0) +
IF(O198&lt;&gt;0,O320,0) + IF(Q198&lt;&gt;0,Q320,0) + IF(S198&lt;&gt;0,S320,0) +
IF(U198&lt;&gt;0,U320,0) + IF(W198&lt;&gt;0,W320,0) + IF(Y198&lt;&gt;0,Y320,0)</f>
        <v/>
      </c>
    </row>
    <row r="321">
      <c r="A321" s="44">
        <f>'2026 Ιανουάριος'!C125</f>
        <v/>
      </c>
      <c r="B321" s="35" t="n">
        <v>2024</v>
      </c>
      <c r="C321" s="173">
        <f>'2026 Ιανουάριος'!L125</f>
        <v/>
      </c>
      <c r="D321" s="36">
        <f>C321</f>
        <v/>
      </c>
      <c r="E321" s="173">
        <f>'2026 Φεβρουάριος'!L125</f>
        <v/>
      </c>
      <c r="F321" s="36">
        <f>D321+E321</f>
        <v/>
      </c>
      <c r="G321" s="173">
        <f>'2026 Μάρτιος'!L125</f>
        <v/>
      </c>
      <c r="H321" s="36">
        <f>F321+G321</f>
        <v/>
      </c>
      <c r="I321" s="173">
        <f>'2026 Απρίλιος'!L125</f>
        <v/>
      </c>
      <c r="J321" s="36">
        <f>H321+I321</f>
        <v/>
      </c>
      <c r="K321" s="173">
        <f>'2026 Μάιος'!L125</f>
        <v/>
      </c>
      <c r="L321" s="36">
        <f>J321+K321</f>
        <v/>
      </c>
      <c r="M321" s="173">
        <f>'2026 Ιούνιος'!L125</f>
        <v/>
      </c>
      <c r="N321" s="36">
        <f>L321+M321</f>
        <v/>
      </c>
      <c r="O321" s="173">
        <f>'2026 Ιούλιος'!L125</f>
        <v/>
      </c>
      <c r="P321" s="36">
        <f>N321+O321</f>
        <v/>
      </c>
      <c r="Q321" s="173">
        <f>'2026 Aύγουστος'!L125</f>
        <v/>
      </c>
      <c r="R321" s="36">
        <f>P321+Q321</f>
        <v/>
      </c>
      <c r="S321" s="173">
        <f>'2026 Σεπτέμβριος'!L125</f>
        <v/>
      </c>
      <c r="T321" s="36">
        <f>R321+S321</f>
        <v/>
      </c>
      <c r="U321" s="173">
        <f>'2026 Οκτώβριος'!L125</f>
        <v/>
      </c>
      <c r="V321" s="36">
        <f>T321+U321</f>
        <v/>
      </c>
      <c r="W321" s="173">
        <f>'2026 Νοέμβριος'!L125</f>
        <v/>
      </c>
      <c r="X321" s="36">
        <f>V321+W321</f>
        <v/>
      </c>
      <c r="Y321" s="173">
        <f>'2026 Δεκέμβριος'!L125</f>
        <v/>
      </c>
      <c r="Z321" s="36">
        <f>X321+Y321</f>
        <v/>
      </c>
      <c r="AA321" s="36">
        <f>C321+E321+G321+I321+K321+M321+O321+Q321+S321+U321+W321+Y321</f>
        <v/>
      </c>
      <c r="AD321" s="37">
        <f>IF(C199&lt;&gt;0,C321,0) + IF(E199&lt;&gt;0,E321,0) + IF(G199&lt;&gt;0,G321,0) +
IF(I199&lt;&gt;0,I321,0) + IF(K199&lt;&gt;0,K321,0) + IF(M199&lt;&gt;0,M321,0) +
IF(O199&lt;&gt;0,O321,0) + IF(Q199&lt;&gt;0,Q321,0) + IF(S199&lt;&gt;0,S321,0) +
IF(U199&lt;&gt;0,U321,0) + IF(W199&lt;&gt;0,W321,0) + IF(Y199&lt;&gt;0,Y321,0)</f>
        <v/>
      </c>
    </row>
    <row r="322">
      <c r="A322" s="44">
        <f>'2026 Ιανουάριος'!C126</f>
        <v/>
      </c>
      <c r="B322" s="35" t="n">
        <v>2024</v>
      </c>
      <c r="C322" s="173">
        <f>'2026 Ιανουάριος'!L126</f>
        <v/>
      </c>
      <c r="D322" s="36">
        <f>C322</f>
        <v/>
      </c>
      <c r="E322" s="173">
        <f>'2026 Φεβρουάριος'!L126</f>
        <v/>
      </c>
      <c r="F322" s="36">
        <f>D322+E322</f>
        <v/>
      </c>
      <c r="G322" s="173">
        <f>'2026 Μάρτιος'!L126</f>
        <v/>
      </c>
      <c r="H322" s="36">
        <f>F322+G322</f>
        <v/>
      </c>
      <c r="I322" s="173">
        <f>'2026 Απρίλιος'!L126</f>
        <v/>
      </c>
      <c r="J322" s="36">
        <f>H322+I322</f>
        <v/>
      </c>
      <c r="K322" s="173">
        <f>'2026 Μάιος'!L126</f>
        <v/>
      </c>
      <c r="L322" s="36">
        <f>J322+K322</f>
        <v/>
      </c>
      <c r="M322" s="173">
        <f>'2026 Ιούνιος'!L126</f>
        <v/>
      </c>
      <c r="N322" s="36">
        <f>L322+M322</f>
        <v/>
      </c>
      <c r="O322" s="173">
        <f>'2026 Ιούλιος'!L126</f>
        <v/>
      </c>
      <c r="P322" s="36">
        <f>N322+O322</f>
        <v/>
      </c>
      <c r="Q322" s="173">
        <f>'2026 Aύγουστος'!L126</f>
        <v/>
      </c>
      <c r="R322" s="36">
        <f>P322+Q322</f>
        <v/>
      </c>
      <c r="S322" s="173">
        <f>'2026 Σεπτέμβριος'!L126</f>
        <v/>
      </c>
      <c r="T322" s="36">
        <f>R322+S322</f>
        <v/>
      </c>
      <c r="U322" s="173">
        <f>'2026 Οκτώβριος'!L126</f>
        <v/>
      </c>
      <c r="V322" s="36">
        <f>T322+U322</f>
        <v/>
      </c>
      <c r="W322" s="173">
        <f>'2026 Νοέμβριος'!L126</f>
        <v/>
      </c>
      <c r="X322" s="36">
        <f>V322+W322</f>
        <v/>
      </c>
      <c r="Y322" s="173">
        <f>'2026 Δεκέμβριος'!L126</f>
        <v/>
      </c>
      <c r="Z322" s="36">
        <f>X322+Y322</f>
        <v/>
      </c>
      <c r="AA322" s="36">
        <f>C322+E322+G322+I322+K322+M322+O322+Q322+S322+U322+W322+Y322</f>
        <v/>
      </c>
      <c r="AD322" s="37">
        <f>IF(C200&lt;&gt;0,C322,0) + IF(E200&lt;&gt;0,E322,0) + IF(G200&lt;&gt;0,G322,0) +
IF(I200&lt;&gt;0,I322,0) + IF(K200&lt;&gt;0,K322,0) + IF(M200&lt;&gt;0,M322,0) +
IF(O200&lt;&gt;0,O322,0) + IF(Q200&lt;&gt;0,Q322,0) + IF(S200&lt;&gt;0,S322,0) +
IF(U200&lt;&gt;0,U322,0) + IF(W200&lt;&gt;0,W322,0) + IF(Y200&lt;&gt;0,Y322,0)</f>
        <v/>
      </c>
    </row>
    <row r="323">
      <c r="A323" s="44">
        <f>'2026 Ιανουάριος'!C127</f>
        <v/>
      </c>
      <c r="B323" s="35" t="n">
        <v>2024</v>
      </c>
      <c r="C323" s="173">
        <f>'2026 Ιανουάριος'!L127</f>
        <v/>
      </c>
      <c r="D323" s="36">
        <f>C323</f>
        <v/>
      </c>
      <c r="E323" s="173">
        <f>'2026 Φεβρουάριος'!L127</f>
        <v/>
      </c>
      <c r="F323" s="36">
        <f>D323+E323</f>
        <v/>
      </c>
      <c r="G323" s="173">
        <f>'2026 Μάρτιος'!L127</f>
        <v/>
      </c>
      <c r="H323" s="36">
        <f>F323+G323</f>
        <v/>
      </c>
      <c r="I323" s="173">
        <f>'2026 Απρίλιος'!L127</f>
        <v/>
      </c>
      <c r="J323" s="36">
        <f>H323+I323</f>
        <v/>
      </c>
      <c r="K323" s="173">
        <f>'2026 Μάιος'!L127</f>
        <v/>
      </c>
      <c r="L323" s="36">
        <f>J323+K323</f>
        <v/>
      </c>
      <c r="M323" s="173">
        <f>'2026 Ιούνιος'!L127</f>
        <v/>
      </c>
      <c r="N323" s="36">
        <f>L323+M323</f>
        <v/>
      </c>
      <c r="O323" s="173">
        <f>'2026 Ιούλιος'!L127</f>
        <v/>
      </c>
      <c r="P323" s="36">
        <f>N323+O323</f>
        <v/>
      </c>
      <c r="Q323" s="173">
        <f>'2026 Aύγουστος'!L127</f>
        <v/>
      </c>
      <c r="R323" s="36">
        <f>P323+Q323</f>
        <v/>
      </c>
      <c r="S323" s="173">
        <f>'2026 Σεπτέμβριος'!L127</f>
        <v/>
      </c>
      <c r="T323" s="36">
        <f>R323+S323</f>
        <v/>
      </c>
      <c r="U323" s="173">
        <f>'2026 Οκτώβριος'!L127</f>
        <v/>
      </c>
      <c r="V323" s="36">
        <f>T323+U323</f>
        <v/>
      </c>
      <c r="W323" s="173">
        <f>'2026 Νοέμβριος'!L127</f>
        <v/>
      </c>
      <c r="X323" s="36">
        <f>V323+W323</f>
        <v/>
      </c>
      <c r="Y323" s="173">
        <f>'2026 Δεκέμβριος'!L127</f>
        <v/>
      </c>
      <c r="Z323" s="36">
        <f>X323+Y323</f>
        <v/>
      </c>
      <c r="AA323" s="36">
        <f>C323+E323+G323+I323+K323+M323+O323+Q323+S323+U323+W323+Y323</f>
        <v/>
      </c>
      <c r="AD323" s="37">
        <f>IF(C201&lt;&gt;0,C323,0) + IF(E201&lt;&gt;0,E323,0) + IF(G201&lt;&gt;0,G323,0) +
IF(I201&lt;&gt;0,I323,0) + IF(K201&lt;&gt;0,K323,0) + IF(M201&lt;&gt;0,M323,0) +
IF(O201&lt;&gt;0,O323,0) + IF(Q201&lt;&gt;0,Q323,0) + IF(S201&lt;&gt;0,S323,0) +
IF(U201&lt;&gt;0,U323,0) + IF(W201&lt;&gt;0,W323,0) + IF(Y201&lt;&gt;0,Y323,0)</f>
        <v/>
      </c>
    </row>
    <row r="324">
      <c r="A324" s="44">
        <f>'2026 Ιανουάριος'!C128</f>
        <v/>
      </c>
      <c r="B324" s="35" t="n">
        <v>2024</v>
      </c>
      <c r="C324" s="173">
        <f>'2026 Ιανουάριος'!L128</f>
        <v/>
      </c>
      <c r="D324" s="36">
        <f>C324</f>
        <v/>
      </c>
      <c r="E324" s="173">
        <f>'2026 Φεβρουάριος'!L128</f>
        <v/>
      </c>
      <c r="F324" s="36">
        <f>D324+E324</f>
        <v/>
      </c>
      <c r="G324" s="173">
        <f>'2026 Μάρτιος'!L128</f>
        <v/>
      </c>
      <c r="H324" s="36">
        <f>F324+G324</f>
        <v/>
      </c>
      <c r="I324" s="173">
        <f>'2026 Απρίλιος'!L128</f>
        <v/>
      </c>
      <c r="J324" s="36">
        <f>H324+I324</f>
        <v/>
      </c>
      <c r="K324" s="173">
        <f>'2026 Μάιος'!L128</f>
        <v/>
      </c>
      <c r="L324" s="36">
        <f>J324+K324</f>
        <v/>
      </c>
      <c r="M324" s="173">
        <f>'2026 Ιούνιος'!L128</f>
        <v/>
      </c>
      <c r="N324" s="36">
        <f>L324+M324</f>
        <v/>
      </c>
      <c r="O324" s="173">
        <f>'2026 Ιούλιος'!L128</f>
        <v/>
      </c>
      <c r="P324" s="36">
        <f>N324+O324</f>
        <v/>
      </c>
      <c r="Q324" s="173">
        <f>'2026 Aύγουστος'!L128</f>
        <v/>
      </c>
      <c r="R324" s="36">
        <f>P324+Q324</f>
        <v/>
      </c>
      <c r="S324" s="173">
        <f>'2026 Σεπτέμβριος'!L128</f>
        <v/>
      </c>
      <c r="T324" s="36">
        <f>R324+S324</f>
        <v/>
      </c>
      <c r="U324" s="173">
        <f>'2026 Οκτώβριος'!L128</f>
        <v/>
      </c>
      <c r="V324" s="36">
        <f>T324+U324</f>
        <v/>
      </c>
      <c r="W324" s="173">
        <f>'2026 Νοέμβριος'!L128</f>
        <v/>
      </c>
      <c r="X324" s="36">
        <f>V324+W324</f>
        <v/>
      </c>
      <c r="Y324" s="173">
        <f>'2026 Δεκέμβριος'!L128</f>
        <v/>
      </c>
      <c r="Z324" s="36">
        <f>X324+Y324</f>
        <v/>
      </c>
      <c r="AA324" s="36">
        <f>C324+E324+G324+I324+K324+M324+O324+Q324+S324+U324+W324+Y324</f>
        <v/>
      </c>
      <c r="AD324" s="37">
        <f>IF(C202&lt;&gt;0,C324,0) + IF(E202&lt;&gt;0,E324,0) + IF(G202&lt;&gt;0,G324,0) +
IF(I202&lt;&gt;0,I324,0) + IF(K202&lt;&gt;0,K324,0) + IF(M202&lt;&gt;0,M324,0) +
IF(O202&lt;&gt;0,O324,0) + IF(Q202&lt;&gt;0,Q324,0) + IF(S202&lt;&gt;0,S324,0) +
IF(U202&lt;&gt;0,U324,0) + IF(W202&lt;&gt;0,W324,0) + IF(Y202&lt;&gt;0,Y324,0)</f>
        <v/>
      </c>
    </row>
    <row r="325">
      <c r="A325" s="44">
        <f>'2026 Ιανουάριος'!C129</f>
        <v/>
      </c>
      <c r="B325" s="35" t="n">
        <v>2024</v>
      </c>
      <c r="C325" s="173">
        <f>'2026 Ιανουάριος'!L129</f>
        <v/>
      </c>
      <c r="D325" s="36">
        <f>C325</f>
        <v/>
      </c>
      <c r="E325" s="173">
        <f>'2026 Φεβρουάριος'!L129</f>
        <v/>
      </c>
      <c r="F325" s="36">
        <f>D325+E325</f>
        <v/>
      </c>
      <c r="G325" s="173">
        <f>'2026 Μάρτιος'!L129</f>
        <v/>
      </c>
      <c r="H325" s="36">
        <f>F325+G325</f>
        <v/>
      </c>
      <c r="I325" s="173">
        <f>'2026 Απρίλιος'!L129</f>
        <v/>
      </c>
      <c r="J325" s="36">
        <f>H325+I325</f>
        <v/>
      </c>
      <c r="K325" s="173">
        <f>'2026 Μάιος'!L129</f>
        <v/>
      </c>
      <c r="L325" s="36">
        <f>J325+K325</f>
        <v/>
      </c>
      <c r="M325" s="173">
        <f>'2026 Ιούνιος'!L129</f>
        <v/>
      </c>
      <c r="N325" s="36">
        <f>L325+M325</f>
        <v/>
      </c>
      <c r="O325" s="173">
        <f>'2026 Ιούλιος'!L129</f>
        <v/>
      </c>
      <c r="P325" s="36">
        <f>N325+O325</f>
        <v/>
      </c>
      <c r="Q325" s="173">
        <f>'2026 Aύγουστος'!L129</f>
        <v/>
      </c>
      <c r="R325" s="36">
        <f>P325+Q325</f>
        <v/>
      </c>
      <c r="S325" s="173">
        <f>'2026 Σεπτέμβριος'!L129</f>
        <v/>
      </c>
      <c r="T325" s="36">
        <f>R325+S325</f>
        <v/>
      </c>
      <c r="U325" s="173">
        <f>'2026 Οκτώβριος'!L129</f>
        <v/>
      </c>
      <c r="V325" s="36">
        <f>T325+U325</f>
        <v/>
      </c>
      <c r="W325" s="173">
        <f>'2026 Νοέμβριος'!L129</f>
        <v/>
      </c>
      <c r="X325" s="36">
        <f>V325+W325</f>
        <v/>
      </c>
      <c r="Y325" s="173">
        <f>'2026 Δεκέμβριος'!L129</f>
        <v/>
      </c>
      <c r="Z325" s="36">
        <f>X325+Y325</f>
        <v/>
      </c>
      <c r="AA325" s="36">
        <f>C325+E325+G325+I325+K325+M325+O325+Q325+S325+U325+W325+Y325</f>
        <v/>
      </c>
      <c r="AD325" s="37">
        <f>IF(C203&lt;&gt;0,C325,0) + IF(E203&lt;&gt;0,E325,0) + IF(G203&lt;&gt;0,G325,0) +
IF(I203&lt;&gt;0,I325,0) + IF(K203&lt;&gt;0,K325,0) + IF(M203&lt;&gt;0,M325,0) +
IF(O203&lt;&gt;0,O325,0) + IF(Q203&lt;&gt;0,Q325,0) + IF(S203&lt;&gt;0,S325,0) +
IF(U203&lt;&gt;0,U325,0) + IF(W203&lt;&gt;0,W325,0) + IF(Y203&lt;&gt;0,Y325,0)</f>
        <v/>
      </c>
    </row>
    <row r="326">
      <c r="A326" s="44">
        <f>'2026 Ιανουάριος'!C130</f>
        <v/>
      </c>
      <c r="B326" s="35" t="n">
        <v>2024</v>
      </c>
      <c r="C326" s="173">
        <f>'2026 Ιανουάριος'!L130</f>
        <v/>
      </c>
      <c r="D326" s="36">
        <f>C326</f>
        <v/>
      </c>
      <c r="E326" s="173">
        <f>'2026 Φεβρουάριος'!L130</f>
        <v/>
      </c>
      <c r="F326" s="36">
        <f>D326+E326</f>
        <v/>
      </c>
      <c r="G326" s="173">
        <f>'2026 Μάρτιος'!L130</f>
        <v/>
      </c>
      <c r="H326" s="36">
        <f>F326+G326</f>
        <v/>
      </c>
      <c r="I326" s="173">
        <f>'2026 Απρίλιος'!L130</f>
        <v/>
      </c>
      <c r="J326" s="36">
        <f>H326+I326</f>
        <v/>
      </c>
      <c r="K326" s="173">
        <f>'2026 Μάιος'!L130</f>
        <v/>
      </c>
      <c r="L326" s="36">
        <f>J326+K326</f>
        <v/>
      </c>
      <c r="M326" s="173">
        <f>'2026 Ιούνιος'!L130</f>
        <v/>
      </c>
      <c r="N326" s="36">
        <f>L326+M326</f>
        <v/>
      </c>
      <c r="O326" s="173">
        <f>'2026 Ιούλιος'!L130</f>
        <v/>
      </c>
      <c r="P326" s="36">
        <f>N326+O326</f>
        <v/>
      </c>
      <c r="Q326" s="173">
        <f>'2026 Aύγουστος'!L130</f>
        <v/>
      </c>
      <c r="R326" s="36">
        <f>P326+Q326</f>
        <v/>
      </c>
      <c r="S326" s="173">
        <f>'2026 Σεπτέμβριος'!L130</f>
        <v/>
      </c>
      <c r="T326" s="36">
        <f>R326+S326</f>
        <v/>
      </c>
      <c r="U326" s="173">
        <f>'2026 Οκτώβριος'!L130</f>
        <v/>
      </c>
      <c r="V326" s="36">
        <f>T326+U326</f>
        <v/>
      </c>
      <c r="W326" s="173">
        <f>'2026 Νοέμβριος'!L130</f>
        <v/>
      </c>
      <c r="X326" s="36">
        <f>V326+W326</f>
        <v/>
      </c>
      <c r="Y326" s="173">
        <f>'2026 Δεκέμβριος'!L130</f>
        <v/>
      </c>
      <c r="Z326" s="36">
        <f>X326+Y326</f>
        <v/>
      </c>
      <c r="AA326" s="36">
        <f>C326+E326+G326+I326+K326+M326+O326+Q326+S326+U326+W326+Y326</f>
        <v/>
      </c>
      <c r="AD326" s="37">
        <f>IF(C204&lt;&gt;0,C326,0) + IF(E204&lt;&gt;0,E326,0) + IF(G204&lt;&gt;0,G326,0) +
IF(I204&lt;&gt;0,I326,0) + IF(K204&lt;&gt;0,K326,0) + IF(M204&lt;&gt;0,M326,0) +
IF(O204&lt;&gt;0,O326,0) + IF(Q204&lt;&gt;0,Q326,0) + IF(S204&lt;&gt;0,S326,0) +
IF(U204&lt;&gt;0,U326,0) + IF(W204&lt;&gt;0,W326,0) + IF(Y204&lt;&gt;0,Y326,0)</f>
        <v/>
      </c>
    </row>
    <row r="327">
      <c r="A327" s="44">
        <f>'2026 Ιανουάριος'!C131</f>
        <v/>
      </c>
      <c r="B327" s="35" t="n">
        <v>2024</v>
      </c>
      <c r="C327" s="173">
        <f>'2026 Ιανουάριος'!L131</f>
        <v/>
      </c>
      <c r="D327" s="36">
        <f>C327</f>
        <v/>
      </c>
      <c r="E327" s="173">
        <f>'2026 Φεβρουάριος'!L131</f>
        <v/>
      </c>
      <c r="F327" s="36">
        <f>D327+E327</f>
        <v/>
      </c>
      <c r="G327" s="173">
        <f>'2026 Μάρτιος'!L131</f>
        <v/>
      </c>
      <c r="H327" s="36">
        <f>F327+G327</f>
        <v/>
      </c>
      <c r="I327" s="173">
        <f>'2026 Απρίλιος'!L131</f>
        <v/>
      </c>
      <c r="J327" s="36">
        <f>H327+I327</f>
        <v/>
      </c>
      <c r="K327" s="173">
        <f>'2026 Μάιος'!L131</f>
        <v/>
      </c>
      <c r="L327" s="36">
        <f>J327+K327</f>
        <v/>
      </c>
      <c r="M327" s="173">
        <f>'2026 Ιούνιος'!L131</f>
        <v/>
      </c>
      <c r="N327" s="36">
        <f>L327+M327</f>
        <v/>
      </c>
      <c r="O327" s="173">
        <f>'2026 Ιούλιος'!L131</f>
        <v/>
      </c>
      <c r="P327" s="36">
        <f>N327+O327</f>
        <v/>
      </c>
      <c r="Q327" s="173">
        <f>'2026 Aύγουστος'!L131</f>
        <v/>
      </c>
      <c r="R327" s="36">
        <f>P327+Q327</f>
        <v/>
      </c>
      <c r="S327" s="173">
        <f>'2026 Σεπτέμβριος'!L131</f>
        <v/>
      </c>
      <c r="T327" s="36">
        <f>R327+S327</f>
        <v/>
      </c>
      <c r="U327" s="173">
        <f>'2026 Οκτώβριος'!L131</f>
        <v/>
      </c>
      <c r="V327" s="36">
        <f>T327+U327</f>
        <v/>
      </c>
      <c r="W327" s="173">
        <f>'2026 Νοέμβριος'!L131</f>
        <v/>
      </c>
      <c r="X327" s="36">
        <f>V327+W327</f>
        <v/>
      </c>
      <c r="Y327" s="173">
        <f>'2026 Δεκέμβριος'!L131</f>
        <v/>
      </c>
      <c r="Z327" s="36">
        <f>X327+Y327</f>
        <v/>
      </c>
      <c r="AA327" s="36">
        <f>C327+E327+G327+I327+K327+M327+O327+Q327+S327+U327+W327+Y327</f>
        <v/>
      </c>
      <c r="AD327" s="37">
        <f>IF(C205&lt;&gt;0,C327,0) + IF(E205&lt;&gt;0,E327,0) + IF(G205&lt;&gt;0,G327,0) +
IF(I205&lt;&gt;0,I327,0) + IF(K205&lt;&gt;0,K327,0) + IF(M205&lt;&gt;0,M327,0) +
IF(O205&lt;&gt;0,O327,0) + IF(Q205&lt;&gt;0,Q327,0) + IF(S205&lt;&gt;0,S327,0) +
IF(U205&lt;&gt;0,U327,0) + IF(W205&lt;&gt;0,W327,0) + IF(Y205&lt;&gt;0,Y327,0)</f>
        <v/>
      </c>
    </row>
    <row r="328">
      <c r="A328" s="44">
        <f>'2026 Ιανουάριος'!C132</f>
        <v/>
      </c>
      <c r="B328" s="35" t="n">
        <v>2024</v>
      </c>
      <c r="C328" s="173">
        <f>'2026 Ιανουάριος'!L132</f>
        <v/>
      </c>
      <c r="D328" s="36">
        <f>C328</f>
        <v/>
      </c>
      <c r="E328" s="173">
        <f>'2026 Φεβρουάριος'!L132</f>
        <v/>
      </c>
      <c r="F328" s="36">
        <f>D328+E328</f>
        <v/>
      </c>
      <c r="G328" s="173">
        <f>'2026 Μάρτιος'!L132</f>
        <v/>
      </c>
      <c r="H328" s="36">
        <f>F328+G328</f>
        <v/>
      </c>
      <c r="I328" s="173">
        <f>'2026 Απρίλιος'!L132</f>
        <v/>
      </c>
      <c r="J328" s="36">
        <f>H328+I328</f>
        <v/>
      </c>
      <c r="K328" s="173">
        <f>'2026 Μάιος'!L132</f>
        <v/>
      </c>
      <c r="L328" s="36">
        <f>J328+K328</f>
        <v/>
      </c>
      <c r="M328" s="173">
        <f>'2026 Ιούνιος'!L132</f>
        <v/>
      </c>
      <c r="N328" s="36">
        <f>L328+M328</f>
        <v/>
      </c>
      <c r="O328" s="173">
        <f>'2026 Ιούλιος'!L132</f>
        <v/>
      </c>
      <c r="P328" s="36">
        <f>N328+O328</f>
        <v/>
      </c>
      <c r="Q328" s="173">
        <f>'2026 Aύγουστος'!L132</f>
        <v/>
      </c>
      <c r="R328" s="36">
        <f>P328+Q328</f>
        <v/>
      </c>
      <c r="S328" s="173">
        <f>'2026 Σεπτέμβριος'!L132</f>
        <v/>
      </c>
      <c r="T328" s="36">
        <f>R328+S328</f>
        <v/>
      </c>
      <c r="U328" s="173">
        <f>'2026 Οκτώβριος'!L132</f>
        <v/>
      </c>
      <c r="V328" s="36">
        <f>T328+U328</f>
        <v/>
      </c>
      <c r="W328" s="173">
        <f>'2026 Νοέμβριος'!L132</f>
        <v/>
      </c>
      <c r="X328" s="36">
        <f>V328+W328</f>
        <v/>
      </c>
      <c r="Y328" s="173">
        <f>'2026 Δεκέμβριος'!L132</f>
        <v/>
      </c>
      <c r="Z328" s="36">
        <f>X328+Y328</f>
        <v/>
      </c>
      <c r="AA328" s="36">
        <f>C328+E328+G328+I328+K328+M328+O328+Q328+S328+U328+W328+Y328</f>
        <v/>
      </c>
      <c r="AD328" s="37">
        <f>IF(C206&lt;&gt;0,C328,0) + IF(E206&lt;&gt;0,E328,0) + IF(G206&lt;&gt;0,G328,0) +
IF(I206&lt;&gt;0,I328,0) + IF(K206&lt;&gt;0,K328,0) + IF(M206&lt;&gt;0,M328,0) +
IF(O206&lt;&gt;0,O328,0) + IF(Q206&lt;&gt;0,Q328,0) + IF(S206&lt;&gt;0,S328,0) +
IF(U206&lt;&gt;0,U328,0) + IF(W206&lt;&gt;0,W328,0) + IF(Y206&lt;&gt;0,Y328,0)</f>
        <v/>
      </c>
    </row>
    <row r="329">
      <c r="A329" s="44">
        <f>'2026 Ιανουάριος'!C133</f>
        <v/>
      </c>
      <c r="B329" s="35" t="n">
        <v>2024</v>
      </c>
      <c r="C329" s="173">
        <f>'2026 Ιανουάριος'!L133</f>
        <v/>
      </c>
      <c r="D329" s="36">
        <f>C329</f>
        <v/>
      </c>
      <c r="E329" s="173">
        <f>'2026 Φεβρουάριος'!L133</f>
        <v/>
      </c>
      <c r="F329" s="36">
        <f>D329+E329</f>
        <v/>
      </c>
      <c r="G329" s="173">
        <f>'2026 Μάρτιος'!L133</f>
        <v/>
      </c>
      <c r="H329" s="36">
        <f>F329+G329</f>
        <v/>
      </c>
      <c r="I329" s="173">
        <f>'2026 Απρίλιος'!L133</f>
        <v/>
      </c>
      <c r="J329" s="36">
        <f>H329+I329</f>
        <v/>
      </c>
      <c r="K329" s="173">
        <f>'2026 Μάιος'!L133</f>
        <v/>
      </c>
      <c r="L329" s="36">
        <f>J329+K329</f>
        <v/>
      </c>
      <c r="M329" s="173">
        <f>'2026 Ιούνιος'!L133</f>
        <v/>
      </c>
      <c r="N329" s="36">
        <f>L329+M329</f>
        <v/>
      </c>
      <c r="O329" s="173">
        <f>'2026 Ιούλιος'!L133</f>
        <v/>
      </c>
      <c r="P329" s="36">
        <f>N329+O329</f>
        <v/>
      </c>
      <c r="Q329" s="173">
        <f>'2026 Aύγουστος'!L133</f>
        <v/>
      </c>
      <c r="R329" s="36">
        <f>P329+Q329</f>
        <v/>
      </c>
      <c r="S329" s="173">
        <f>'2026 Σεπτέμβριος'!L133</f>
        <v/>
      </c>
      <c r="T329" s="36">
        <f>R329+S329</f>
        <v/>
      </c>
      <c r="U329" s="173">
        <f>'2026 Οκτώβριος'!L133</f>
        <v/>
      </c>
      <c r="V329" s="36">
        <f>T329+U329</f>
        <v/>
      </c>
      <c r="W329" s="173">
        <f>'2026 Νοέμβριος'!L133</f>
        <v/>
      </c>
      <c r="X329" s="36">
        <f>V329+W329</f>
        <v/>
      </c>
      <c r="Y329" s="173">
        <f>'2026 Δεκέμβριος'!L133</f>
        <v/>
      </c>
      <c r="Z329" s="36">
        <f>X329+Y329</f>
        <v/>
      </c>
      <c r="AA329" s="36">
        <f>C329+E329+G329+I329+K329+M329+O329+Q329+S329+U329+W329+Y329</f>
        <v/>
      </c>
      <c r="AD329" s="37">
        <f>IF(C207&lt;&gt;0,C329,0) + IF(E207&lt;&gt;0,E329,0) + IF(G207&lt;&gt;0,G329,0) +
IF(I207&lt;&gt;0,I329,0) + IF(K207&lt;&gt;0,K329,0) + IF(M207&lt;&gt;0,M329,0) +
IF(O207&lt;&gt;0,O329,0) + IF(Q207&lt;&gt;0,Q329,0) + IF(S207&lt;&gt;0,S329,0) +
IF(U207&lt;&gt;0,U329,0) + IF(W207&lt;&gt;0,W329,0) + IF(Y207&lt;&gt;0,Y329,0)</f>
        <v/>
      </c>
    </row>
    <row r="330">
      <c r="A330" s="44">
        <f>'2026 Ιανουάριος'!C134</f>
        <v/>
      </c>
      <c r="B330" s="35" t="n">
        <v>2024</v>
      </c>
      <c r="C330" s="173">
        <f>'2026 Ιανουάριος'!L134</f>
        <v/>
      </c>
      <c r="D330" s="36">
        <f>C330</f>
        <v/>
      </c>
      <c r="E330" s="173">
        <f>'2026 Φεβρουάριος'!L134</f>
        <v/>
      </c>
      <c r="F330" s="36">
        <f>D330+E330</f>
        <v/>
      </c>
      <c r="G330" s="173">
        <f>'2026 Μάρτιος'!L134</f>
        <v/>
      </c>
      <c r="H330" s="36">
        <f>F330+G330</f>
        <v/>
      </c>
      <c r="I330" s="173">
        <f>'2026 Απρίλιος'!L134</f>
        <v/>
      </c>
      <c r="J330" s="36">
        <f>H330+I330</f>
        <v/>
      </c>
      <c r="K330" s="173">
        <f>'2026 Μάιος'!L134</f>
        <v/>
      </c>
      <c r="L330" s="36">
        <f>J330+K330</f>
        <v/>
      </c>
      <c r="M330" s="173">
        <f>'2026 Ιούνιος'!L134</f>
        <v/>
      </c>
      <c r="N330" s="36">
        <f>L330+M330</f>
        <v/>
      </c>
      <c r="O330" s="173">
        <f>'2026 Ιούλιος'!L134</f>
        <v/>
      </c>
      <c r="P330" s="36">
        <f>N330+O330</f>
        <v/>
      </c>
      <c r="Q330" s="173">
        <f>'2026 Aύγουστος'!L134</f>
        <v/>
      </c>
      <c r="R330" s="36">
        <f>P330+Q330</f>
        <v/>
      </c>
      <c r="S330" s="173">
        <f>'2026 Σεπτέμβριος'!L134</f>
        <v/>
      </c>
      <c r="T330" s="36">
        <f>R330+S330</f>
        <v/>
      </c>
      <c r="U330" s="173">
        <f>'2026 Οκτώβριος'!L134</f>
        <v/>
      </c>
      <c r="V330" s="36">
        <f>T330+U330</f>
        <v/>
      </c>
      <c r="W330" s="173">
        <f>'2026 Νοέμβριος'!L134</f>
        <v/>
      </c>
      <c r="X330" s="36">
        <f>V330+W330</f>
        <v/>
      </c>
      <c r="Y330" s="173">
        <f>'2026 Δεκέμβριος'!L134</f>
        <v/>
      </c>
      <c r="Z330" s="36">
        <f>X330+Y330</f>
        <v/>
      </c>
      <c r="AA330" s="36">
        <f>C330+E330+G330+I330+K330+M330+O330+Q330+S330+U330+W330+Y330</f>
        <v/>
      </c>
      <c r="AD330" s="37">
        <f>IF(C208&lt;&gt;0,C330,0) + IF(E208&lt;&gt;0,E330,0) + IF(G208&lt;&gt;0,G330,0) +
IF(I208&lt;&gt;0,I330,0) + IF(K208&lt;&gt;0,K330,0) + IF(M208&lt;&gt;0,M330,0) +
IF(O208&lt;&gt;0,O330,0) + IF(Q208&lt;&gt;0,Q330,0) + IF(S208&lt;&gt;0,S330,0) +
IF(U208&lt;&gt;0,U330,0) + IF(W208&lt;&gt;0,W330,0) + IF(Y208&lt;&gt;0,Y330,0)</f>
        <v/>
      </c>
    </row>
    <row r="331">
      <c r="A331" s="44">
        <f>'2026 Ιανουάριος'!C135</f>
        <v/>
      </c>
      <c r="B331" s="35" t="n">
        <v>2024</v>
      </c>
      <c r="C331" s="173">
        <f>'2026 Ιανουάριος'!L135</f>
        <v/>
      </c>
      <c r="D331" s="36">
        <f>C331</f>
        <v/>
      </c>
      <c r="E331" s="173">
        <f>'2026 Φεβρουάριος'!L135</f>
        <v/>
      </c>
      <c r="F331" s="36">
        <f>D331+E331</f>
        <v/>
      </c>
      <c r="G331" s="173">
        <f>'2026 Μάρτιος'!L135</f>
        <v/>
      </c>
      <c r="H331" s="36">
        <f>F331+G331</f>
        <v/>
      </c>
      <c r="I331" s="173">
        <f>'2026 Απρίλιος'!L135</f>
        <v/>
      </c>
      <c r="J331" s="36">
        <f>H331+I331</f>
        <v/>
      </c>
      <c r="K331" s="173">
        <f>'2026 Μάιος'!L135</f>
        <v/>
      </c>
      <c r="L331" s="36">
        <f>J331+K331</f>
        <v/>
      </c>
      <c r="M331" s="173">
        <f>'2026 Ιούνιος'!L135</f>
        <v/>
      </c>
      <c r="N331" s="36">
        <f>L331+M331</f>
        <v/>
      </c>
      <c r="O331" s="173">
        <f>'2026 Ιούλιος'!L135</f>
        <v/>
      </c>
      <c r="P331" s="36">
        <f>N331+O331</f>
        <v/>
      </c>
      <c r="Q331" s="173">
        <f>'2026 Aύγουστος'!L135</f>
        <v/>
      </c>
      <c r="R331" s="36">
        <f>P331+Q331</f>
        <v/>
      </c>
      <c r="S331" s="173">
        <f>'2026 Σεπτέμβριος'!L135</f>
        <v/>
      </c>
      <c r="T331" s="36">
        <f>R331+S331</f>
        <v/>
      </c>
      <c r="U331" s="173">
        <f>'2026 Οκτώβριος'!L135</f>
        <v/>
      </c>
      <c r="V331" s="36">
        <f>T331+U331</f>
        <v/>
      </c>
      <c r="W331" s="173">
        <f>'2026 Νοέμβριος'!L135</f>
        <v/>
      </c>
      <c r="X331" s="36">
        <f>V331+W331</f>
        <v/>
      </c>
      <c r="Y331" s="173">
        <f>'2026 Δεκέμβριος'!L135</f>
        <v/>
      </c>
      <c r="Z331" s="36">
        <f>X331+Y331</f>
        <v/>
      </c>
      <c r="AA331" s="36">
        <f>C331+E331+G331+I331+K331+M331+O331+Q331+S331+U331+W331+Y331</f>
        <v/>
      </c>
      <c r="AD331" s="37">
        <f>IF(C209&lt;&gt;0,C331,0) + IF(E209&lt;&gt;0,E331,0) + IF(G209&lt;&gt;0,G331,0) +
IF(I209&lt;&gt;0,I331,0) + IF(K209&lt;&gt;0,K331,0) + IF(M209&lt;&gt;0,M331,0) +
IF(O209&lt;&gt;0,O331,0) + IF(Q209&lt;&gt;0,Q331,0) + IF(S209&lt;&gt;0,S331,0) +
IF(U209&lt;&gt;0,U331,0) + IF(W209&lt;&gt;0,W331,0) + IF(Y209&lt;&gt;0,Y331,0)</f>
        <v/>
      </c>
    </row>
    <row r="332">
      <c r="A332" s="44">
        <f>'2026 Ιανουάριος'!C136</f>
        <v/>
      </c>
      <c r="B332" s="35" t="n">
        <v>2024</v>
      </c>
      <c r="C332" s="173">
        <f>'2026 Ιανουάριος'!L136</f>
        <v/>
      </c>
      <c r="D332" s="36">
        <f>C332</f>
        <v/>
      </c>
      <c r="E332" s="173">
        <f>'2026 Φεβρουάριος'!L136</f>
        <v/>
      </c>
      <c r="F332" s="36">
        <f>D332+E332</f>
        <v/>
      </c>
      <c r="G332" s="173">
        <f>'2026 Μάρτιος'!L136</f>
        <v/>
      </c>
      <c r="H332" s="36">
        <f>F332+G332</f>
        <v/>
      </c>
      <c r="I332" s="173">
        <f>'2026 Απρίλιος'!L136</f>
        <v/>
      </c>
      <c r="J332" s="36">
        <f>H332+I332</f>
        <v/>
      </c>
      <c r="K332" s="173">
        <f>'2026 Μάιος'!L136</f>
        <v/>
      </c>
      <c r="L332" s="36">
        <f>J332+K332</f>
        <v/>
      </c>
      <c r="M332" s="173">
        <f>'2026 Ιούνιος'!L136</f>
        <v/>
      </c>
      <c r="N332" s="36">
        <f>L332+M332</f>
        <v/>
      </c>
      <c r="O332" s="173">
        <f>'2026 Ιούλιος'!L136</f>
        <v/>
      </c>
      <c r="P332" s="36">
        <f>N332+O332</f>
        <v/>
      </c>
      <c r="Q332" s="173">
        <f>'2026 Aύγουστος'!L136</f>
        <v/>
      </c>
      <c r="R332" s="36">
        <f>P332+Q332</f>
        <v/>
      </c>
      <c r="S332" s="173">
        <f>'2026 Σεπτέμβριος'!L136</f>
        <v/>
      </c>
      <c r="T332" s="36">
        <f>R332+S332</f>
        <v/>
      </c>
      <c r="U332" s="173">
        <f>'2026 Οκτώβριος'!L136</f>
        <v/>
      </c>
      <c r="V332" s="36">
        <f>T332+U332</f>
        <v/>
      </c>
      <c r="W332" s="173">
        <f>'2026 Νοέμβριος'!L136</f>
        <v/>
      </c>
      <c r="X332" s="36">
        <f>V332+W332</f>
        <v/>
      </c>
      <c r="Y332" s="173">
        <f>'2026 Δεκέμβριος'!L136</f>
        <v/>
      </c>
      <c r="Z332" s="36">
        <f>X332+Y332</f>
        <v/>
      </c>
      <c r="AA332" s="36">
        <f>C332+E332+G332+I332+K332+M332+O332+Q332+S332+U332+W332+Y332</f>
        <v/>
      </c>
      <c r="AD332" s="37">
        <f>IF(C210&lt;&gt;0,C332,0) + IF(E210&lt;&gt;0,E332,0) + IF(G210&lt;&gt;0,G332,0) +
IF(I210&lt;&gt;0,I332,0) + IF(K210&lt;&gt;0,K332,0) + IF(M210&lt;&gt;0,M332,0) +
IF(O210&lt;&gt;0,O332,0) + IF(Q210&lt;&gt;0,Q332,0) + IF(S210&lt;&gt;0,S332,0) +
IF(U210&lt;&gt;0,U332,0) + IF(W210&lt;&gt;0,W332,0) + IF(Y210&lt;&gt;0,Y332,0)</f>
        <v/>
      </c>
    </row>
    <row r="333">
      <c r="A333" s="44">
        <f>'2026 Ιανουάριος'!C137</f>
        <v/>
      </c>
      <c r="B333" s="35" t="n">
        <v>2024</v>
      </c>
      <c r="C333" s="173">
        <f>'2026 Ιανουάριος'!L137</f>
        <v/>
      </c>
      <c r="D333" s="36">
        <f>C333</f>
        <v/>
      </c>
      <c r="E333" s="173">
        <f>'2026 Φεβρουάριος'!L137</f>
        <v/>
      </c>
      <c r="F333" s="36">
        <f>D333+E333</f>
        <v/>
      </c>
      <c r="G333" s="173">
        <f>'2026 Μάρτιος'!L137</f>
        <v/>
      </c>
      <c r="H333" s="36">
        <f>F333+G333</f>
        <v/>
      </c>
      <c r="I333" s="173">
        <f>'2026 Απρίλιος'!L137</f>
        <v/>
      </c>
      <c r="J333" s="36">
        <f>H333+I333</f>
        <v/>
      </c>
      <c r="K333" s="173">
        <f>'2026 Μάιος'!L137</f>
        <v/>
      </c>
      <c r="L333" s="36">
        <f>J333+K333</f>
        <v/>
      </c>
      <c r="M333" s="173">
        <f>'2026 Ιούνιος'!L137</f>
        <v/>
      </c>
      <c r="N333" s="36">
        <f>L333+M333</f>
        <v/>
      </c>
      <c r="O333" s="173">
        <f>'2026 Ιούλιος'!L137</f>
        <v/>
      </c>
      <c r="P333" s="36">
        <f>N333+O333</f>
        <v/>
      </c>
      <c r="Q333" s="173">
        <f>'2026 Aύγουστος'!L137</f>
        <v/>
      </c>
      <c r="R333" s="36">
        <f>P333+Q333</f>
        <v/>
      </c>
      <c r="S333" s="173">
        <f>'2026 Σεπτέμβριος'!L137</f>
        <v/>
      </c>
      <c r="T333" s="36">
        <f>R333+S333</f>
        <v/>
      </c>
      <c r="U333" s="173">
        <f>'2026 Οκτώβριος'!L137</f>
        <v/>
      </c>
      <c r="V333" s="36">
        <f>T333+U333</f>
        <v/>
      </c>
      <c r="W333" s="173">
        <f>'2026 Νοέμβριος'!L137</f>
        <v/>
      </c>
      <c r="X333" s="36">
        <f>V333+W333</f>
        <v/>
      </c>
      <c r="Y333" s="173">
        <f>'2026 Δεκέμβριος'!L137</f>
        <v/>
      </c>
      <c r="Z333" s="36">
        <f>X333+Y333</f>
        <v/>
      </c>
      <c r="AA333" s="36">
        <f>C333+E333+G333+I333+K333+M333+O333+Q333+S333+U333+W333+Y333</f>
        <v/>
      </c>
      <c r="AD333" s="37">
        <f>IF(C211&lt;&gt;0,C333,0) + IF(E211&lt;&gt;0,E333,0) + IF(G211&lt;&gt;0,G333,0) +
IF(I211&lt;&gt;0,I333,0) + IF(K211&lt;&gt;0,K333,0) + IF(M211&lt;&gt;0,M333,0) +
IF(O211&lt;&gt;0,O333,0) + IF(Q211&lt;&gt;0,Q333,0) + IF(S211&lt;&gt;0,S333,0) +
IF(U211&lt;&gt;0,U333,0) + IF(W211&lt;&gt;0,W333,0) + IF(Y211&lt;&gt;0,Y333,0)</f>
        <v/>
      </c>
    </row>
    <row r="334">
      <c r="A334" s="44">
        <f>'2026 Ιανουάριος'!C138</f>
        <v/>
      </c>
      <c r="B334" s="35" t="n">
        <v>2024</v>
      </c>
      <c r="C334" s="173">
        <f>'2026 Ιανουάριος'!L138</f>
        <v/>
      </c>
      <c r="D334" s="36">
        <f>C334</f>
        <v/>
      </c>
      <c r="E334" s="173">
        <f>'2026 Φεβρουάριος'!L138</f>
        <v/>
      </c>
      <c r="F334" s="36">
        <f>D334+E334</f>
        <v/>
      </c>
      <c r="G334" s="173">
        <f>'2026 Μάρτιος'!L138</f>
        <v/>
      </c>
      <c r="H334" s="36">
        <f>F334+G334</f>
        <v/>
      </c>
      <c r="I334" s="173">
        <f>'2026 Απρίλιος'!L138</f>
        <v/>
      </c>
      <c r="J334" s="36">
        <f>H334+I334</f>
        <v/>
      </c>
      <c r="K334" s="173">
        <f>'2026 Μάιος'!L138</f>
        <v/>
      </c>
      <c r="L334" s="36">
        <f>J334+K334</f>
        <v/>
      </c>
      <c r="M334" s="173">
        <f>'2026 Ιούνιος'!L138</f>
        <v/>
      </c>
      <c r="N334" s="36">
        <f>L334+M334</f>
        <v/>
      </c>
      <c r="O334" s="173">
        <f>'2026 Ιούλιος'!L138</f>
        <v/>
      </c>
      <c r="P334" s="36">
        <f>N334+O334</f>
        <v/>
      </c>
      <c r="Q334" s="173">
        <f>'2026 Aύγουστος'!L138</f>
        <v/>
      </c>
      <c r="R334" s="36">
        <f>P334+Q334</f>
        <v/>
      </c>
      <c r="S334" s="173">
        <f>'2026 Σεπτέμβριος'!L138</f>
        <v/>
      </c>
      <c r="T334" s="36">
        <f>R334+S334</f>
        <v/>
      </c>
      <c r="U334" s="173">
        <f>'2026 Οκτώβριος'!L138</f>
        <v/>
      </c>
      <c r="V334" s="36">
        <f>T334+U334</f>
        <v/>
      </c>
      <c r="W334" s="173">
        <f>'2026 Νοέμβριος'!L138</f>
        <v/>
      </c>
      <c r="X334" s="36">
        <f>V334+W334</f>
        <v/>
      </c>
      <c r="Y334" s="173">
        <f>'2026 Δεκέμβριος'!L138</f>
        <v/>
      </c>
      <c r="Z334" s="36">
        <f>X334+Y334</f>
        <v/>
      </c>
      <c r="AA334" s="36">
        <f>C334+E334+G334+I334+K334+M334+O334+Q334+S334+U334+W334+Y334</f>
        <v/>
      </c>
      <c r="AD334" s="37">
        <f>IF(C212&lt;&gt;0,C334,0) + IF(E212&lt;&gt;0,E334,0) + IF(G212&lt;&gt;0,G334,0) +
IF(I212&lt;&gt;0,I334,0) + IF(K212&lt;&gt;0,K334,0) + IF(M212&lt;&gt;0,M334,0) +
IF(O212&lt;&gt;0,O334,0) + IF(Q212&lt;&gt;0,Q334,0) + IF(S212&lt;&gt;0,S334,0) +
IF(U212&lt;&gt;0,U334,0) + IF(W212&lt;&gt;0,W334,0) + IF(Y212&lt;&gt;0,Y334,0)</f>
        <v/>
      </c>
    </row>
    <row r="335">
      <c r="A335" s="44">
        <f>'2026 Ιανουάριος'!C139</f>
        <v/>
      </c>
      <c r="B335" s="35" t="n">
        <v>2024</v>
      </c>
      <c r="C335" s="173">
        <f>'2026 Ιανουάριος'!L139</f>
        <v/>
      </c>
      <c r="D335" s="36">
        <f>C335</f>
        <v/>
      </c>
      <c r="E335" s="173">
        <f>'2026 Φεβρουάριος'!L139</f>
        <v/>
      </c>
      <c r="F335" s="36">
        <f>D335+E335</f>
        <v/>
      </c>
      <c r="G335" s="173">
        <f>'2026 Μάρτιος'!L139</f>
        <v/>
      </c>
      <c r="H335" s="36">
        <f>F335+G335</f>
        <v/>
      </c>
      <c r="I335" s="173">
        <f>'2026 Απρίλιος'!L139</f>
        <v/>
      </c>
      <c r="J335" s="36">
        <f>H335+I335</f>
        <v/>
      </c>
      <c r="K335" s="173">
        <f>'2026 Μάιος'!L139</f>
        <v/>
      </c>
      <c r="L335" s="36">
        <f>J335+K335</f>
        <v/>
      </c>
      <c r="M335" s="173">
        <f>'2026 Ιούνιος'!L139</f>
        <v/>
      </c>
      <c r="N335" s="36">
        <f>L335+M335</f>
        <v/>
      </c>
      <c r="O335" s="173">
        <f>'2026 Ιούλιος'!L139</f>
        <v/>
      </c>
      <c r="P335" s="36">
        <f>N335+O335</f>
        <v/>
      </c>
      <c r="Q335" s="173">
        <f>'2026 Aύγουστος'!L139</f>
        <v/>
      </c>
      <c r="R335" s="36">
        <f>P335+Q335</f>
        <v/>
      </c>
      <c r="S335" s="173">
        <f>'2026 Σεπτέμβριος'!L139</f>
        <v/>
      </c>
      <c r="T335" s="36">
        <f>R335+S335</f>
        <v/>
      </c>
      <c r="U335" s="173">
        <f>'2026 Οκτώβριος'!L139</f>
        <v/>
      </c>
      <c r="V335" s="36">
        <f>T335+U335</f>
        <v/>
      </c>
      <c r="W335" s="173">
        <f>'2026 Νοέμβριος'!L139</f>
        <v/>
      </c>
      <c r="X335" s="36">
        <f>V335+W335</f>
        <v/>
      </c>
      <c r="Y335" s="173">
        <f>'2026 Δεκέμβριος'!L139</f>
        <v/>
      </c>
      <c r="Z335" s="36">
        <f>X335+Y335</f>
        <v/>
      </c>
      <c r="AA335" s="36">
        <f>C335+E335+G335+I335+K335+M335+O335+Q335+S335+U335+W335+Y335</f>
        <v/>
      </c>
      <c r="AD335" s="37">
        <f>IF(C213&lt;&gt;0,C335,0) + IF(E213&lt;&gt;0,E335,0) + IF(G213&lt;&gt;0,G335,0) +
IF(I213&lt;&gt;0,I335,0) + IF(K213&lt;&gt;0,K335,0) + IF(M213&lt;&gt;0,M335,0) +
IF(O213&lt;&gt;0,O335,0) + IF(Q213&lt;&gt;0,Q335,0) + IF(S213&lt;&gt;0,S335,0) +
IF(U213&lt;&gt;0,U335,0) + IF(W213&lt;&gt;0,W335,0) + IF(Y213&lt;&gt;0,Y335,0)</f>
        <v/>
      </c>
    </row>
    <row r="336">
      <c r="A336" s="44">
        <f>'2026 Ιανουάριος'!C140</f>
        <v/>
      </c>
      <c r="B336" s="35" t="n">
        <v>2024</v>
      </c>
      <c r="C336" s="173">
        <f>'2026 Ιανουάριος'!L140</f>
        <v/>
      </c>
      <c r="D336" s="36">
        <f>C336</f>
        <v/>
      </c>
      <c r="E336" s="173">
        <f>'2026 Φεβρουάριος'!L140</f>
        <v/>
      </c>
      <c r="F336" s="36">
        <f>D336+E336</f>
        <v/>
      </c>
      <c r="G336" s="173">
        <f>'2026 Μάρτιος'!L140</f>
        <v/>
      </c>
      <c r="H336" s="36">
        <f>F336+G336</f>
        <v/>
      </c>
      <c r="I336" s="173">
        <f>'2026 Απρίλιος'!L140</f>
        <v/>
      </c>
      <c r="J336" s="36">
        <f>H336+I336</f>
        <v/>
      </c>
      <c r="K336" s="173">
        <f>'2026 Μάιος'!L140</f>
        <v/>
      </c>
      <c r="L336" s="36">
        <f>J336+K336</f>
        <v/>
      </c>
      <c r="M336" s="173">
        <f>'2026 Ιούνιος'!L140</f>
        <v/>
      </c>
      <c r="N336" s="36">
        <f>L336+M336</f>
        <v/>
      </c>
      <c r="O336" s="173">
        <f>'2026 Ιούλιος'!L140</f>
        <v/>
      </c>
      <c r="P336" s="36">
        <f>N336+O336</f>
        <v/>
      </c>
      <c r="Q336" s="173">
        <f>'2026 Aύγουστος'!L140</f>
        <v/>
      </c>
      <c r="R336" s="36">
        <f>P336+Q336</f>
        <v/>
      </c>
      <c r="S336" s="173">
        <f>'2026 Σεπτέμβριος'!L140</f>
        <v/>
      </c>
      <c r="T336" s="36">
        <f>R336+S336</f>
        <v/>
      </c>
      <c r="U336" s="173">
        <f>'2026 Οκτώβριος'!L140</f>
        <v/>
      </c>
      <c r="V336" s="36">
        <f>T336+U336</f>
        <v/>
      </c>
      <c r="W336" s="173">
        <f>'2026 Νοέμβριος'!L140</f>
        <v/>
      </c>
      <c r="X336" s="36">
        <f>V336+W336</f>
        <v/>
      </c>
      <c r="Y336" s="173">
        <f>'2026 Δεκέμβριος'!L140</f>
        <v/>
      </c>
      <c r="Z336" s="36">
        <f>X336+Y336</f>
        <v/>
      </c>
      <c r="AA336" s="36">
        <f>C336+E336+G336+I336+K336+M336+O336+Q336+S336+U336+W336+Y336</f>
        <v/>
      </c>
      <c r="AD336" s="37">
        <f>IF(C214&lt;&gt;0,C336,0) + IF(E214&lt;&gt;0,E336,0) + IF(G214&lt;&gt;0,G336,0) +
IF(I214&lt;&gt;0,I336,0) + IF(K214&lt;&gt;0,K336,0) + IF(M214&lt;&gt;0,M336,0) +
IF(O214&lt;&gt;0,O336,0) + IF(Q214&lt;&gt;0,Q336,0) + IF(S214&lt;&gt;0,S336,0) +
IF(U214&lt;&gt;0,U336,0) + IF(W214&lt;&gt;0,W336,0) + IF(Y214&lt;&gt;0,Y336,0)</f>
        <v/>
      </c>
    </row>
    <row r="337">
      <c r="A337" s="44">
        <f>'2026 Ιανουάριος'!C141</f>
        <v/>
      </c>
      <c r="B337" s="35" t="n">
        <v>2024</v>
      </c>
      <c r="C337" s="173">
        <f>'2026 Ιανουάριος'!L141</f>
        <v/>
      </c>
      <c r="D337" s="36">
        <f>C337</f>
        <v/>
      </c>
      <c r="E337" s="173">
        <f>'2026 Φεβρουάριος'!L141</f>
        <v/>
      </c>
      <c r="F337" s="36">
        <f>D337+E337</f>
        <v/>
      </c>
      <c r="G337" s="173">
        <f>'2026 Μάρτιος'!L141</f>
        <v/>
      </c>
      <c r="H337" s="36">
        <f>F337+G337</f>
        <v/>
      </c>
      <c r="I337" s="173">
        <f>'2026 Απρίλιος'!L141</f>
        <v/>
      </c>
      <c r="J337" s="36">
        <f>H337+I337</f>
        <v/>
      </c>
      <c r="K337" s="173">
        <f>'2026 Μάιος'!L141</f>
        <v/>
      </c>
      <c r="L337" s="36">
        <f>J337+K337</f>
        <v/>
      </c>
      <c r="M337" s="173">
        <f>'2026 Ιούνιος'!L141</f>
        <v/>
      </c>
      <c r="N337" s="36">
        <f>L337+M337</f>
        <v/>
      </c>
      <c r="O337" s="173">
        <f>'2026 Ιούλιος'!L141</f>
        <v/>
      </c>
      <c r="P337" s="36">
        <f>N337+O337</f>
        <v/>
      </c>
      <c r="Q337" s="173">
        <f>'2026 Aύγουστος'!L141</f>
        <v/>
      </c>
      <c r="R337" s="36">
        <f>P337+Q337</f>
        <v/>
      </c>
      <c r="S337" s="173">
        <f>'2026 Σεπτέμβριος'!L141</f>
        <v/>
      </c>
      <c r="T337" s="36">
        <f>R337+S337</f>
        <v/>
      </c>
      <c r="U337" s="173">
        <f>'2026 Οκτώβριος'!L141</f>
        <v/>
      </c>
      <c r="V337" s="36">
        <f>T337+U337</f>
        <v/>
      </c>
      <c r="W337" s="173">
        <f>'2026 Νοέμβριος'!L141</f>
        <v/>
      </c>
      <c r="X337" s="36">
        <f>V337+W337</f>
        <v/>
      </c>
      <c r="Y337" s="173">
        <f>'2026 Δεκέμβριος'!L141</f>
        <v/>
      </c>
      <c r="Z337" s="36">
        <f>X337+Y337</f>
        <v/>
      </c>
      <c r="AA337" s="36">
        <f>C337+E337+G337+I337+K337+M337+O337+Q337+S337+U337+W337+Y337</f>
        <v/>
      </c>
      <c r="AD337" s="37">
        <f>IF(C215&lt;&gt;0,C337,0) + IF(E215&lt;&gt;0,E337,0) + IF(G215&lt;&gt;0,G337,0) +
IF(I215&lt;&gt;0,I337,0) + IF(K215&lt;&gt;0,K337,0) + IF(M215&lt;&gt;0,M337,0) +
IF(O215&lt;&gt;0,O337,0) + IF(Q215&lt;&gt;0,Q337,0) + IF(S215&lt;&gt;0,S337,0) +
IF(U215&lt;&gt;0,U337,0) + IF(W215&lt;&gt;0,W337,0) + IF(Y215&lt;&gt;0,Y337,0)</f>
        <v/>
      </c>
    </row>
    <row r="338">
      <c r="A338" s="44">
        <f>'2026 Ιανουάριος'!C142</f>
        <v/>
      </c>
      <c r="B338" s="35" t="n">
        <v>2024</v>
      </c>
      <c r="C338" s="173">
        <f>'2026 Ιανουάριος'!L142</f>
        <v/>
      </c>
      <c r="D338" s="36">
        <f>C338</f>
        <v/>
      </c>
      <c r="E338" s="173">
        <f>'2026 Φεβρουάριος'!L142</f>
        <v/>
      </c>
      <c r="F338" s="36">
        <f>D338+E338</f>
        <v/>
      </c>
      <c r="G338" s="173">
        <f>'2026 Μάρτιος'!L142</f>
        <v/>
      </c>
      <c r="H338" s="36">
        <f>F338+G338</f>
        <v/>
      </c>
      <c r="I338" s="173">
        <f>'2026 Απρίλιος'!L142</f>
        <v/>
      </c>
      <c r="J338" s="36">
        <f>H338+I338</f>
        <v/>
      </c>
      <c r="K338" s="173">
        <f>'2026 Μάιος'!L142</f>
        <v/>
      </c>
      <c r="L338" s="36">
        <f>J338+K338</f>
        <v/>
      </c>
      <c r="M338" s="173">
        <f>'2026 Ιούνιος'!L142</f>
        <v/>
      </c>
      <c r="N338" s="36">
        <f>L338+M338</f>
        <v/>
      </c>
      <c r="O338" s="173">
        <f>'2026 Ιούλιος'!L142</f>
        <v/>
      </c>
      <c r="P338" s="36">
        <f>N338+O338</f>
        <v/>
      </c>
      <c r="Q338" s="173">
        <f>'2026 Aύγουστος'!L142</f>
        <v/>
      </c>
      <c r="R338" s="36">
        <f>P338+Q338</f>
        <v/>
      </c>
      <c r="S338" s="173">
        <f>'2026 Σεπτέμβριος'!L142</f>
        <v/>
      </c>
      <c r="T338" s="36">
        <f>R338+S338</f>
        <v/>
      </c>
      <c r="U338" s="173">
        <f>'2026 Οκτώβριος'!L142</f>
        <v/>
      </c>
      <c r="V338" s="36">
        <f>T338+U338</f>
        <v/>
      </c>
      <c r="W338" s="173">
        <f>'2026 Νοέμβριος'!L142</f>
        <v/>
      </c>
      <c r="X338" s="36">
        <f>V338+W338</f>
        <v/>
      </c>
      <c r="Y338" s="173">
        <f>'2026 Δεκέμβριος'!L142</f>
        <v/>
      </c>
      <c r="Z338" s="36">
        <f>X338+Y338</f>
        <v/>
      </c>
      <c r="AA338" s="36">
        <f>C338+E338+G338+I338+K338+M338+O338+Q338+S338+U338+W338+Y338</f>
        <v/>
      </c>
      <c r="AD338" s="37">
        <f>IF(C216&lt;&gt;0,C338,0) + IF(E216&lt;&gt;0,E338,0) + IF(G216&lt;&gt;0,G338,0) +
IF(I216&lt;&gt;0,I338,0) + IF(K216&lt;&gt;0,K338,0) + IF(M216&lt;&gt;0,M338,0) +
IF(O216&lt;&gt;0,O338,0) + IF(Q216&lt;&gt;0,Q338,0) + IF(S216&lt;&gt;0,S338,0) +
IF(U216&lt;&gt;0,U338,0) + IF(W216&lt;&gt;0,W338,0) + IF(Y216&lt;&gt;0,Y338,0)</f>
        <v/>
      </c>
    </row>
    <row r="339" ht="28.5" customHeight="1">
      <c r="A339" s="44">
        <f>'2026 Ιανουάριος'!C143</f>
        <v/>
      </c>
      <c r="B339" s="35" t="n">
        <v>2024</v>
      </c>
      <c r="C339" s="173">
        <f>'2026 Ιανουάριος'!L143</f>
        <v/>
      </c>
      <c r="D339" s="36">
        <f>C339</f>
        <v/>
      </c>
      <c r="E339" s="173">
        <f>'2026 Φεβρουάριος'!L143</f>
        <v/>
      </c>
      <c r="F339" s="36">
        <f>D339+E339</f>
        <v/>
      </c>
      <c r="G339" s="173">
        <f>'2026 Μάρτιος'!L143</f>
        <v/>
      </c>
      <c r="H339" s="36">
        <f>F339+G339</f>
        <v/>
      </c>
      <c r="I339" s="173">
        <f>'2026 Απρίλιος'!L143</f>
        <v/>
      </c>
      <c r="J339" s="36">
        <f>H339+I339</f>
        <v/>
      </c>
      <c r="K339" s="173">
        <f>'2026 Μάιος'!L143</f>
        <v/>
      </c>
      <c r="L339" s="36">
        <f>J339+K339</f>
        <v/>
      </c>
      <c r="M339" s="173">
        <f>'2026 Ιούνιος'!L143</f>
        <v/>
      </c>
      <c r="N339" s="36">
        <f>L339+M339</f>
        <v/>
      </c>
      <c r="O339" s="173">
        <f>'2026 Ιούλιος'!L143</f>
        <v/>
      </c>
      <c r="P339" s="36">
        <f>N339+O339</f>
        <v/>
      </c>
      <c r="Q339" s="173">
        <f>'2026 Aύγουστος'!L143</f>
        <v/>
      </c>
      <c r="R339" s="36">
        <f>P339+Q339</f>
        <v/>
      </c>
      <c r="S339" s="173">
        <f>'2026 Σεπτέμβριος'!L143</f>
        <v/>
      </c>
      <c r="T339" s="36">
        <f>R339+S339</f>
        <v/>
      </c>
      <c r="U339" s="173">
        <f>'2026 Οκτώβριος'!L143</f>
        <v/>
      </c>
      <c r="V339" s="36">
        <f>T339+U339</f>
        <v/>
      </c>
      <c r="W339" s="173">
        <f>'2026 Νοέμβριος'!L143</f>
        <v/>
      </c>
      <c r="X339" s="36">
        <f>V339+W339</f>
        <v/>
      </c>
      <c r="Y339" s="173">
        <f>'2026 Δεκέμβριος'!L143</f>
        <v/>
      </c>
      <c r="Z339" s="36">
        <f>X339+Y339</f>
        <v/>
      </c>
      <c r="AA339" s="36">
        <f>C339+E339+G339+I339+K339+M339+O339+Q339+S339+U339+W339+Y339</f>
        <v/>
      </c>
      <c r="AD339" s="37">
        <f>IF(C217&lt;&gt;0,C339,0) + IF(E217&lt;&gt;0,E339,0) + IF(G217&lt;&gt;0,G339,0) +
IF(I217&lt;&gt;0,I339,0) + IF(K217&lt;&gt;0,K339,0) + IF(M217&lt;&gt;0,M339,0) +
IF(O217&lt;&gt;0,O339,0) + IF(Q217&lt;&gt;0,Q339,0) + IF(S217&lt;&gt;0,S339,0) +
IF(U217&lt;&gt;0,U339,0) + IF(W217&lt;&gt;0,W339,0) + IF(Y217&lt;&gt;0,Y339,0)</f>
        <v/>
      </c>
    </row>
    <row r="340" ht="28.5" customHeight="1">
      <c r="A340" s="44">
        <f>'2026 Ιανουάριος'!C144</f>
        <v/>
      </c>
      <c r="B340" s="35" t="n">
        <v>2024</v>
      </c>
      <c r="C340" s="173">
        <f>'2026 Ιανουάριος'!L144</f>
        <v/>
      </c>
      <c r="D340" s="36">
        <f>C340</f>
        <v/>
      </c>
      <c r="E340" s="173">
        <f>'2026 Φεβρουάριος'!L144</f>
        <v/>
      </c>
      <c r="F340" s="36">
        <f>D340+E340</f>
        <v/>
      </c>
      <c r="G340" s="173">
        <f>'2026 Μάρτιος'!L144</f>
        <v/>
      </c>
      <c r="H340" s="36">
        <f>F340+G340</f>
        <v/>
      </c>
      <c r="I340" s="173">
        <f>'2026 Απρίλιος'!L144</f>
        <v/>
      </c>
      <c r="J340" s="36">
        <f>H340+I340</f>
        <v/>
      </c>
      <c r="K340" s="173">
        <f>'2026 Μάιος'!L144</f>
        <v/>
      </c>
      <c r="L340" s="36">
        <f>J340+K340</f>
        <v/>
      </c>
      <c r="M340" s="173">
        <f>'2026 Ιούνιος'!L144</f>
        <v/>
      </c>
      <c r="N340" s="36">
        <f>L340+M340</f>
        <v/>
      </c>
      <c r="O340" s="173">
        <f>'2026 Ιούλιος'!L144</f>
        <v/>
      </c>
      <c r="P340" s="36">
        <f>N340+O340</f>
        <v/>
      </c>
      <c r="Q340" s="173">
        <f>'2026 Aύγουστος'!L144</f>
        <v/>
      </c>
      <c r="R340" s="36">
        <f>P340+Q340</f>
        <v/>
      </c>
      <c r="S340" s="173">
        <f>'2026 Σεπτέμβριος'!L144</f>
        <v/>
      </c>
      <c r="T340" s="36">
        <f>R340+S340</f>
        <v/>
      </c>
      <c r="U340" s="173">
        <f>'2026 Οκτώβριος'!L144</f>
        <v/>
      </c>
      <c r="V340" s="36">
        <f>T340+U340</f>
        <v/>
      </c>
      <c r="W340" s="173">
        <f>'2026 Νοέμβριος'!L144</f>
        <v/>
      </c>
      <c r="X340" s="36">
        <f>V340+W340</f>
        <v/>
      </c>
      <c r="Y340" s="173">
        <f>'2026 Δεκέμβριος'!L144</f>
        <v/>
      </c>
      <c r="Z340" s="36">
        <f>X340+Y340</f>
        <v/>
      </c>
      <c r="AA340" s="36">
        <f>C340+E340+G340+I340+K340+M340+O340+Q340+S340+U340+W340+Y340</f>
        <v/>
      </c>
      <c r="AD340" s="37">
        <f>IF(C218&lt;&gt;0,C340,0) + IF(E218&lt;&gt;0,E340,0) + IF(G218&lt;&gt;0,G340,0) +
IF(I218&lt;&gt;0,I340,0) + IF(K218&lt;&gt;0,K340,0) + IF(M218&lt;&gt;0,M340,0) +
IF(O218&lt;&gt;0,O340,0) + IF(Q218&lt;&gt;0,Q340,0) + IF(S218&lt;&gt;0,S340,0) +
IF(U218&lt;&gt;0,U340,0) + IF(W218&lt;&gt;0,W340,0) + IF(Y218&lt;&gt;0,Y340,0)</f>
        <v/>
      </c>
    </row>
    <row r="341">
      <c r="A341" s="44">
        <f>'2026 Ιανουάριος'!C145</f>
        <v/>
      </c>
      <c r="B341" s="35" t="n">
        <v>2024</v>
      </c>
      <c r="C341" s="173">
        <f>'2026 Ιανουάριος'!L145</f>
        <v/>
      </c>
      <c r="D341" s="36">
        <f>C341</f>
        <v/>
      </c>
      <c r="E341" s="173">
        <f>'2026 Φεβρουάριος'!L145</f>
        <v/>
      </c>
      <c r="F341" s="36">
        <f>D341+E341</f>
        <v/>
      </c>
      <c r="G341" s="173">
        <f>'2026 Μάρτιος'!L145</f>
        <v/>
      </c>
      <c r="H341" s="36">
        <f>F341+G341</f>
        <v/>
      </c>
      <c r="I341" s="173">
        <f>'2026 Απρίλιος'!L145</f>
        <v/>
      </c>
      <c r="J341" s="36">
        <f>H341+I341</f>
        <v/>
      </c>
      <c r="K341" s="173">
        <f>'2026 Μάιος'!L145</f>
        <v/>
      </c>
      <c r="L341" s="36">
        <f>J341+K341</f>
        <v/>
      </c>
      <c r="M341" s="173">
        <f>'2026 Ιούνιος'!L145</f>
        <v/>
      </c>
      <c r="N341" s="36">
        <f>L341+M341</f>
        <v/>
      </c>
      <c r="O341" s="173">
        <f>'2026 Ιούλιος'!L145</f>
        <v/>
      </c>
      <c r="P341" s="36">
        <f>N341+O341</f>
        <v/>
      </c>
      <c r="Q341" s="173">
        <f>'2026 Aύγουστος'!L145</f>
        <v/>
      </c>
      <c r="R341" s="36">
        <f>P341+Q341</f>
        <v/>
      </c>
      <c r="S341" s="173">
        <f>'2026 Σεπτέμβριος'!L145</f>
        <v/>
      </c>
      <c r="T341" s="36">
        <f>R341+S341</f>
        <v/>
      </c>
      <c r="U341" s="173">
        <f>'2026 Οκτώβριος'!L145</f>
        <v/>
      </c>
      <c r="V341" s="36">
        <f>T341+U341</f>
        <v/>
      </c>
      <c r="W341" s="173">
        <f>'2026 Νοέμβριος'!L145</f>
        <v/>
      </c>
      <c r="X341" s="36">
        <f>V341+W341</f>
        <v/>
      </c>
      <c r="Y341" s="173">
        <f>'2026 Δεκέμβριος'!L145</f>
        <v/>
      </c>
      <c r="Z341" s="36">
        <f>X341+Y341</f>
        <v/>
      </c>
      <c r="AA341" s="36">
        <f>C341+E341+G341+I341+K341+M341+O341+Q341+S341+U341+W341+Y341</f>
        <v/>
      </c>
      <c r="AD341" s="37">
        <f>IF(C219&lt;&gt;0,C341,0) + IF(E219&lt;&gt;0,E341,0) + IF(G219&lt;&gt;0,G341,0) +
IF(I219&lt;&gt;0,I341,0) + IF(K219&lt;&gt;0,K341,0) + IF(M219&lt;&gt;0,M341,0) +
IF(O219&lt;&gt;0,O341,0) + IF(Q219&lt;&gt;0,Q341,0) + IF(S219&lt;&gt;0,S341,0) +
IF(U219&lt;&gt;0,U341,0) + IF(W219&lt;&gt;0,W341,0) + IF(Y219&lt;&gt;0,Y341,0)</f>
        <v/>
      </c>
    </row>
    <row r="342">
      <c r="A342" s="44">
        <f>'2026 Ιανουάριος'!C146</f>
        <v/>
      </c>
      <c r="B342" s="35" t="n">
        <v>2024</v>
      </c>
      <c r="C342" s="173">
        <f>'2026 Ιανουάριος'!L146</f>
        <v/>
      </c>
      <c r="D342" s="36">
        <f>C342</f>
        <v/>
      </c>
      <c r="E342" s="173">
        <f>'2026 Φεβρουάριος'!L146</f>
        <v/>
      </c>
      <c r="F342" s="36">
        <f>D342+E342</f>
        <v/>
      </c>
      <c r="G342" s="173">
        <f>'2026 Μάρτιος'!L146</f>
        <v/>
      </c>
      <c r="H342" s="36">
        <f>F342+G342</f>
        <v/>
      </c>
      <c r="I342" s="173">
        <f>'2026 Απρίλιος'!L146</f>
        <v/>
      </c>
      <c r="J342" s="36">
        <f>H342+I342</f>
        <v/>
      </c>
      <c r="K342" s="173">
        <f>'2026 Μάιος'!L146</f>
        <v/>
      </c>
      <c r="L342" s="36">
        <f>J342+K342</f>
        <v/>
      </c>
      <c r="M342" s="173">
        <f>'2026 Ιούνιος'!L146</f>
        <v/>
      </c>
      <c r="N342" s="36">
        <f>L342+M342</f>
        <v/>
      </c>
      <c r="O342" s="173">
        <f>'2026 Ιούλιος'!L146</f>
        <v/>
      </c>
      <c r="P342" s="36">
        <f>N342+O342</f>
        <v/>
      </c>
      <c r="Q342" s="173">
        <f>'2026 Aύγουστος'!L146</f>
        <v/>
      </c>
      <c r="R342" s="36">
        <f>P342+Q342</f>
        <v/>
      </c>
      <c r="S342" s="173">
        <f>'2026 Σεπτέμβριος'!L146</f>
        <v/>
      </c>
      <c r="T342" s="36">
        <f>R342+S342</f>
        <v/>
      </c>
      <c r="U342" s="173">
        <f>'2026 Οκτώβριος'!L146</f>
        <v/>
      </c>
      <c r="V342" s="36">
        <f>T342+U342</f>
        <v/>
      </c>
      <c r="W342" s="173">
        <f>'2026 Νοέμβριος'!L146</f>
        <v/>
      </c>
      <c r="X342" s="36">
        <f>V342+W342</f>
        <v/>
      </c>
      <c r="Y342" s="173">
        <f>'2026 Δεκέμβριος'!L146</f>
        <v/>
      </c>
      <c r="Z342" s="36">
        <f>X342+Y342</f>
        <v/>
      </c>
      <c r="AA342" s="36">
        <f>C342+E342+G342+I342+K342+M342+O342+Q342+S342+U342+W342+Y342</f>
        <v/>
      </c>
      <c r="AD342" s="37">
        <f>IF(C220&lt;&gt;0,C342,0) + IF(E220&lt;&gt;0,E342,0) + IF(G220&lt;&gt;0,G342,0) +
IF(I220&lt;&gt;0,I342,0) + IF(K220&lt;&gt;0,K342,0) + IF(M220&lt;&gt;0,M342,0) +
IF(O220&lt;&gt;0,O342,0) + IF(Q220&lt;&gt;0,Q342,0) + IF(S220&lt;&gt;0,S342,0) +
IF(U220&lt;&gt;0,U342,0) + IF(W220&lt;&gt;0,W342,0) + IF(Y220&lt;&gt;0,Y342,0)</f>
        <v/>
      </c>
    </row>
    <row r="343">
      <c r="A343" s="44">
        <f>'2026 Ιανουάριος'!C147</f>
        <v/>
      </c>
      <c r="B343" s="35" t="n">
        <v>2024</v>
      </c>
      <c r="C343" s="173">
        <f>'2026 Ιανουάριος'!L147</f>
        <v/>
      </c>
      <c r="D343" s="36">
        <f>C343</f>
        <v/>
      </c>
      <c r="E343" s="173">
        <f>'2026 Φεβρουάριος'!L147</f>
        <v/>
      </c>
      <c r="F343" s="36">
        <f>D343+E343</f>
        <v/>
      </c>
      <c r="G343" s="173">
        <f>'2026 Μάρτιος'!L147</f>
        <v/>
      </c>
      <c r="H343" s="36">
        <f>F343+G343</f>
        <v/>
      </c>
      <c r="I343" s="173">
        <f>'2026 Απρίλιος'!L147</f>
        <v/>
      </c>
      <c r="J343" s="36">
        <f>H343+I343</f>
        <v/>
      </c>
      <c r="K343" s="173">
        <f>'2026 Μάιος'!L147</f>
        <v/>
      </c>
      <c r="L343" s="36">
        <f>J343+K343</f>
        <v/>
      </c>
      <c r="M343" s="173">
        <f>'2026 Ιούνιος'!L147</f>
        <v/>
      </c>
      <c r="N343" s="36">
        <f>L343+M343</f>
        <v/>
      </c>
      <c r="O343" s="173">
        <f>'2026 Ιούλιος'!L147</f>
        <v/>
      </c>
      <c r="P343" s="36">
        <f>N343+O343</f>
        <v/>
      </c>
      <c r="Q343" s="173">
        <f>'2026 Aύγουστος'!L147</f>
        <v/>
      </c>
      <c r="R343" s="36">
        <f>P343+Q343</f>
        <v/>
      </c>
      <c r="S343" s="173">
        <f>'2026 Σεπτέμβριος'!L147</f>
        <v/>
      </c>
      <c r="T343" s="36">
        <f>R343+S343</f>
        <v/>
      </c>
      <c r="U343" s="173">
        <f>'2026 Οκτώβριος'!L147</f>
        <v/>
      </c>
      <c r="V343" s="36">
        <f>T343+U343</f>
        <v/>
      </c>
      <c r="W343" s="173">
        <f>'2026 Νοέμβριος'!L147</f>
        <v/>
      </c>
      <c r="X343" s="36">
        <f>V343+W343</f>
        <v/>
      </c>
      <c r="Y343" s="173">
        <f>'2026 Δεκέμβριος'!L147</f>
        <v/>
      </c>
      <c r="Z343" s="36">
        <f>X343+Y343</f>
        <v/>
      </c>
      <c r="AA343" s="36">
        <f>C343+E343+G343+I343+K343+M343+O343+Q343+S343+U343+W343+Y343</f>
        <v/>
      </c>
      <c r="AD343" s="37">
        <f>IF(C221&lt;&gt;0,C343,0) + IF(E221&lt;&gt;0,E343,0) + IF(G221&lt;&gt;0,G343,0) +
IF(I221&lt;&gt;0,I343,0) + IF(K221&lt;&gt;0,K343,0) + IF(M221&lt;&gt;0,M343,0) +
IF(O221&lt;&gt;0,O343,0) + IF(Q221&lt;&gt;0,Q343,0) + IF(S221&lt;&gt;0,S343,0) +
IF(U221&lt;&gt;0,U343,0) + IF(W221&lt;&gt;0,W343,0) + IF(Y221&lt;&gt;0,Y343,0)</f>
        <v/>
      </c>
    </row>
    <row r="344">
      <c r="A344" s="44">
        <f>'2026 Ιανουάριος'!C148</f>
        <v/>
      </c>
      <c r="B344" s="35" t="n">
        <v>2024</v>
      </c>
      <c r="C344" s="173">
        <f>'2026 Ιανουάριος'!L148</f>
        <v/>
      </c>
      <c r="D344" s="36">
        <f>C344</f>
        <v/>
      </c>
      <c r="E344" s="173">
        <f>'2026 Φεβρουάριος'!L148</f>
        <v/>
      </c>
      <c r="F344" s="36">
        <f>D344+E344</f>
        <v/>
      </c>
      <c r="G344" s="173">
        <f>'2026 Μάρτιος'!L148</f>
        <v/>
      </c>
      <c r="H344" s="36">
        <f>F344+G344</f>
        <v/>
      </c>
      <c r="I344" s="173">
        <f>'2026 Απρίλιος'!L148</f>
        <v/>
      </c>
      <c r="J344" s="36">
        <f>H344+I344</f>
        <v/>
      </c>
      <c r="K344" s="173">
        <f>'2026 Μάιος'!L148</f>
        <v/>
      </c>
      <c r="L344" s="36">
        <f>J344+K344</f>
        <v/>
      </c>
      <c r="M344" s="173">
        <f>'2026 Ιούνιος'!L148</f>
        <v/>
      </c>
      <c r="N344" s="36">
        <f>L344+M344</f>
        <v/>
      </c>
      <c r="O344" s="173">
        <f>'2026 Ιούλιος'!L148</f>
        <v/>
      </c>
      <c r="P344" s="36">
        <f>N344+O344</f>
        <v/>
      </c>
      <c r="Q344" s="173">
        <f>'2026 Aύγουστος'!L148</f>
        <v/>
      </c>
      <c r="R344" s="36">
        <f>P344+Q344</f>
        <v/>
      </c>
      <c r="S344" s="173">
        <f>'2026 Σεπτέμβριος'!L148</f>
        <v/>
      </c>
      <c r="T344" s="36">
        <f>R344+S344</f>
        <v/>
      </c>
      <c r="U344" s="173">
        <f>'2026 Οκτώβριος'!L148</f>
        <v/>
      </c>
      <c r="V344" s="36">
        <f>T344+U344</f>
        <v/>
      </c>
      <c r="W344" s="173">
        <f>'2026 Νοέμβριος'!L148</f>
        <v/>
      </c>
      <c r="X344" s="36">
        <f>V344+W344</f>
        <v/>
      </c>
      <c r="Y344" s="173">
        <f>'2026 Δεκέμβριος'!L148</f>
        <v/>
      </c>
      <c r="Z344" s="36">
        <f>X344+Y344</f>
        <v/>
      </c>
      <c r="AA344" s="36">
        <f>C344+E344+G344+I344+K344+M344+O344+Q344+S344+U344+W344+Y344</f>
        <v/>
      </c>
      <c r="AD344" s="37">
        <f>IF(C222&lt;&gt;0,C344,0) + IF(E222&lt;&gt;0,E344,0) + IF(G222&lt;&gt;0,G344,0) +
IF(I222&lt;&gt;0,I344,0) + IF(K222&lt;&gt;0,K344,0) + IF(M222&lt;&gt;0,M344,0) +
IF(O222&lt;&gt;0,O344,0) + IF(Q222&lt;&gt;0,Q344,0) + IF(S222&lt;&gt;0,S344,0) +
IF(U222&lt;&gt;0,U344,0) + IF(W222&lt;&gt;0,W344,0) + IF(Y222&lt;&gt;0,Y344,0)</f>
        <v/>
      </c>
    </row>
    <row r="345">
      <c r="A345" s="44">
        <f>'2026 Ιανουάριος'!C149</f>
        <v/>
      </c>
      <c r="B345" s="35" t="n">
        <v>2024</v>
      </c>
      <c r="C345" s="173">
        <f>'2026 Ιανουάριος'!L149</f>
        <v/>
      </c>
      <c r="D345" s="36">
        <f>C345</f>
        <v/>
      </c>
      <c r="E345" s="173">
        <f>'2026 Φεβρουάριος'!L149</f>
        <v/>
      </c>
      <c r="F345" s="36">
        <f>D345+E345</f>
        <v/>
      </c>
      <c r="G345" s="173">
        <f>'2026 Μάρτιος'!L149</f>
        <v/>
      </c>
      <c r="H345" s="36">
        <f>F345+G345</f>
        <v/>
      </c>
      <c r="I345" s="173">
        <f>'2026 Απρίλιος'!L149</f>
        <v/>
      </c>
      <c r="J345" s="36">
        <f>H345+I345</f>
        <v/>
      </c>
      <c r="K345" s="173">
        <f>'2026 Μάιος'!L149</f>
        <v/>
      </c>
      <c r="L345" s="36">
        <f>J345+K345</f>
        <v/>
      </c>
      <c r="M345" s="173">
        <f>'2026 Ιούνιος'!L149</f>
        <v/>
      </c>
      <c r="N345" s="36">
        <f>L345+M345</f>
        <v/>
      </c>
      <c r="O345" s="173">
        <f>'2026 Ιούλιος'!L149</f>
        <v/>
      </c>
      <c r="P345" s="36">
        <f>N345+O345</f>
        <v/>
      </c>
      <c r="Q345" s="173">
        <f>'2026 Aύγουστος'!L149</f>
        <v/>
      </c>
      <c r="R345" s="36">
        <f>P345+Q345</f>
        <v/>
      </c>
      <c r="S345" s="173">
        <f>'2026 Σεπτέμβριος'!L149</f>
        <v/>
      </c>
      <c r="T345" s="36">
        <f>R345+S345</f>
        <v/>
      </c>
      <c r="U345" s="173">
        <f>'2026 Οκτώβριος'!L149</f>
        <v/>
      </c>
      <c r="V345" s="36">
        <f>T345+U345</f>
        <v/>
      </c>
      <c r="W345" s="173">
        <f>'2026 Νοέμβριος'!L149</f>
        <v/>
      </c>
      <c r="X345" s="36">
        <f>V345+W345</f>
        <v/>
      </c>
      <c r="Y345" s="173">
        <f>'2026 Δεκέμβριος'!L149</f>
        <v/>
      </c>
      <c r="Z345" s="36">
        <f>X345+Y345</f>
        <v/>
      </c>
      <c r="AA345" s="36">
        <f>C345+E345+G345+I345+K345+M345+O345+Q345+S345+U345+W345+Y345</f>
        <v/>
      </c>
      <c r="AD345" s="37">
        <f>IF(C223&lt;&gt;0,C345,0) + IF(E223&lt;&gt;0,E345,0) + IF(G223&lt;&gt;0,G345,0) +
IF(I223&lt;&gt;0,I345,0) + IF(K223&lt;&gt;0,K345,0) + IF(M223&lt;&gt;0,M345,0) +
IF(O223&lt;&gt;0,O345,0) + IF(Q223&lt;&gt;0,Q345,0) + IF(S223&lt;&gt;0,S345,0) +
IF(U223&lt;&gt;0,U345,0) + IF(W223&lt;&gt;0,W345,0) + IF(Y223&lt;&gt;0,Y345,0)</f>
        <v/>
      </c>
    </row>
    <row r="346">
      <c r="A346" s="44">
        <f>'2026 Ιανουάριος'!C150</f>
        <v/>
      </c>
      <c r="B346" s="35" t="n">
        <v>2024</v>
      </c>
      <c r="C346" s="173">
        <f>'2026 Ιανουάριος'!L150</f>
        <v/>
      </c>
      <c r="D346" s="36">
        <f>C346</f>
        <v/>
      </c>
      <c r="E346" s="173">
        <f>'2026 Φεβρουάριος'!L150</f>
        <v/>
      </c>
      <c r="F346" s="36">
        <f>D346+E346</f>
        <v/>
      </c>
      <c r="G346" s="173">
        <f>'2026 Μάρτιος'!L150</f>
        <v/>
      </c>
      <c r="H346" s="36">
        <f>F346+G346</f>
        <v/>
      </c>
      <c r="I346" s="173">
        <f>'2026 Απρίλιος'!L150</f>
        <v/>
      </c>
      <c r="J346" s="36">
        <f>H346+I346</f>
        <v/>
      </c>
      <c r="K346" s="173">
        <f>'2026 Μάιος'!L150</f>
        <v/>
      </c>
      <c r="L346" s="36">
        <f>J346+K346</f>
        <v/>
      </c>
      <c r="M346" s="173">
        <f>'2026 Ιούνιος'!L150</f>
        <v/>
      </c>
      <c r="N346" s="36">
        <f>L346+M346</f>
        <v/>
      </c>
      <c r="O346" s="173">
        <f>'2026 Ιούλιος'!L150</f>
        <v/>
      </c>
      <c r="P346" s="36">
        <f>N346+O346</f>
        <v/>
      </c>
      <c r="Q346" s="173">
        <f>'2026 Aύγουστος'!L150</f>
        <v/>
      </c>
      <c r="R346" s="36">
        <f>P346+Q346</f>
        <v/>
      </c>
      <c r="S346" s="173">
        <f>'2026 Σεπτέμβριος'!L150</f>
        <v/>
      </c>
      <c r="T346" s="36">
        <f>R346+S346</f>
        <v/>
      </c>
      <c r="U346" s="173">
        <f>'2026 Οκτώβριος'!L150</f>
        <v/>
      </c>
      <c r="V346" s="36">
        <f>T346+U346</f>
        <v/>
      </c>
      <c r="W346" s="173">
        <f>'2026 Νοέμβριος'!L150</f>
        <v/>
      </c>
      <c r="X346" s="36">
        <f>V346+W346</f>
        <v/>
      </c>
      <c r="Y346" s="173">
        <f>'2026 Δεκέμβριος'!L150</f>
        <v/>
      </c>
      <c r="Z346" s="36">
        <f>X346+Y346</f>
        <v/>
      </c>
      <c r="AA346" s="36">
        <f>C346+E346+G346+I346+K346+M346+O346+Q346+S346+U346+W346+Y346</f>
        <v/>
      </c>
      <c r="AD346" s="37">
        <f>IF(C224&lt;&gt;0,C346,0) + IF(E224&lt;&gt;0,E346,0) + IF(G224&lt;&gt;0,G346,0) +
IF(I224&lt;&gt;0,I346,0) + IF(K224&lt;&gt;0,K346,0) + IF(M224&lt;&gt;0,M346,0) +
IF(O224&lt;&gt;0,O346,0) + IF(Q224&lt;&gt;0,Q346,0) + IF(S224&lt;&gt;0,S346,0) +
IF(U224&lt;&gt;0,U346,0) + IF(W224&lt;&gt;0,W346,0) + IF(Y224&lt;&gt;0,Y346,0)</f>
        <v/>
      </c>
    </row>
    <row r="347">
      <c r="A347" s="44">
        <f>'2026 Ιανουάριος'!C151</f>
        <v/>
      </c>
      <c r="B347" s="35" t="n">
        <v>2024</v>
      </c>
      <c r="C347" s="173">
        <f>'2026 Ιανουάριος'!L151</f>
        <v/>
      </c>
      <c r="D347" s="36">
        <f>C347</f>
        <v/>
      </c>
      <c r="E347" s="173">
        <f>'2026 Φεβρουάριος'!L151</f>
        <v/>
      </c>
      <c r="F347" s="36">
        <f>D347+E347</f>
        <v/>
      </c>
      <c r="G347" s="173">
        <f>'2026 Μάρτιος'!L151</f>
        <v/>
      </c>
      <c r="H347" s="36">
        <f>F347+G347</f>
        <v/>
      </c>
      <c r="I347" s="173">
        <f>'2026 Απρίλιος'!L151</f>
        <v/>
      </c>
      <c r="J347" s="36">
        <f>H347+I347</f>
        <v/>
      </c>
      <c r="K347" s="173">
        <f>'2026 Μάιος'!L151</f>
        <v/>
      </c>
      <c r="L347" s="36">
        <f>J347+K347</f>
        <v/>
      </c>
      <c r="M347" s="173">
        <f>'2026 Ιούνιος'!L151</f>
        <v/>
      </c>
      <c r="N347" s="36">
        <f>L347+M347</f>
        <v/>
      </c>
      <c r="O347" s="173">
        <f>'2026 Ιούλιος'!L151</f>
        <v/>
      </c>
      <c r="P347" s="36">
        <f>N347+O347</f>
        <v/>
      </c>
      <c r="Q347" s="173">
        <f>'2026 Aύγουστος'!L151</f>
        <v/>
      </c>
      <c r="R347" s="36">
        <f>P347+Q347</f>
        <v/>
      </c>
      <c r="S347" s="173">
        <f>'2026 Σεπτέμβριος'!L151</f>
        <v/>
      </c>
      <c r="T347" s="36">
        <f>R347+S347</f>
        <v/>
      </c>
      <c r="U347" s="173">
        <f>'2026 Οκτώβριος'!L151</f>
        <v/>
      </c>
      <c r="V347" s="36">
        <f>T347+U347</f>
        <v/>
      </c>
      <c r="W347" s="173">
        <f>'2026 Νοέμβριος'!L151</f>
        <v/>
      </c>
      <c r="X347" s="36">
        <f>V347+W347</f>
        <v/>
      </c>
      <c r="Y347" s="173">
        <f>'2026 Δεκέμβριος'!L151</f>
        <v/>
      </c>
      <c r="Z347" s="36">
        <f>X347+Y347</f>
        <v/>
      </c>
      <c r="AA347" s="36">
        <f>C347+E347+G347+I347+K347+M347+O347+Q347+S347+U347+W347+Y347</f>
        <v/>
      </c>
      <c r="AD347" s="37">
        <f>IF(C225&lt;&gt;0,C347,0) + IF(E225&lt;&gt;0,E347,0) + IF(G225&lt;&gt;0,G347,0) +
IF(I225&lt;&gt;0,I347,0) + IF(K225&lt;&gt;0,K347,0) + IF(M225&lt;&gt;0,M347,0) +
IF(O225&lt;&gt;0,O347,0) + IF(Q225&lt;&gt;0,Q347,0) + IF(S225&lt;&gt;0,S347,0) +
IF(U225&lt;&gt;0,U347,0) + IF(W225&lt;&gt;0,W347,0) + IF(Y225&lt;&gt;0,Y347,0)</f>
        <v/>
      </c>
    </row>
    <row r="348">
      <c r="A348" s="44">
        <f>'2026 Ιανουάριος'!C152</f>
        <v/>
      </c>
      <c r="B348" s="35" t="n">
        <v>2024</v>
      </c>
      <c r="C348" s="173">
        <f>'2026 Ιανουάριος'!L152</f>
        <v/>
      </c>
      <c r="D348" s="36">
        <f>C348</f>
        <v/>
      </c>
      <c r="E348" s="173">
        <f>'2026 Φεβρουάριος'!L152</f>
        <v/>
      </c>
      <c r="F348" s="36">
        <f>D348+E348</f>
        <v/>
      </c>
      <c r="G348" s="173">
        <f>'2026 Μάρτιος'!L152</f>
        <v/>
      </c>
      <c r="H348" s="36">
        <f>F348+G348</f>
        <v/>
      </c>
      <c r="I348" s="173">
        <f>'2026 Απρίλιος'!L152</f>
        <v/>
      </c>
      <c r="J348" s="36">
        <f>H348+I348</f>
        <v/>
      </c>
      <c r="K348" s="173">
        <f>'2026 Μάιος'!L152</f>
        <v/>
      </c>
      <c r="L348" s="36">
        <f>J348+K348</f>
        <v/>
      </c>
      <c r="M348" s="173">
        <f>'2026 Ιούνιος'!L152</f>
        <v/>
      </c>
      <c r="N348" s="36">
        <f>L348+M348</f>
        <v/>
      </c>
      <c r="O348" s="173">
        <f>'2026 Ιούλιος'!L152</f>
        <v/>
      </c>
      <c r="P348" s="36">
        <f>N348+O348</f>
        <v/>
      </c>
      <c r="Q348" s="173">
        <f>'2026 Aύγουστος'!L152</f>
        <v/>
      </c>
      <c r="R348" s="36">
        <f>P348+Q348</f>
        <v/>
      </c>
      <c r="S348" s="173">
        <f>'2026 Σεπτέμβριος'!L152</f>
        <v/>
      </c>
      <c r="T348" s="36">
        <f>R348+S348</f>
        <v/>
      </c>
      <c r="U348" s="173">
        <f>'2026 Οκτώβριος'!L152</f>
        <v/>
      </c>
      <c r="V348" s="36">
        <f>T348+U348</f>
        <v/>
      </c>
      <c r="W348" s="173">
        <f>'2026 Νοέμβριος'!L152</f>
        <v/>
      </c>
      <c r="X348" s="36">
        <f>V348+W348</f>
        <v/>
      </c>
      <c r="Y348" s="173">
        <f>'2026 Δεκέμβριος'!L152</f>
        <v/>
      </c>
      <c r="Z348" s="36">
        <f>X348+Y348</f>
        <v/>
      </c>
      <c r="AA348" s="36">
        <f>C348+E348+G348+I348+K348+M348+O348+Q348+S348+U348+W348+Y348</f>
        <v/>
      </c>
      <c r="AD348" s="37">
        <f>IF(C226&lt;&gt;0,C348,0) + IF(E226&lt;&gt;0,E348,0) + IF(G226&lt;&gt;0,G348,0) +
IF(I226&lt;&gt;0,I348,0) + IF(K226&lt;&gt;0,K348,0) + IF(M226&lt;&gt;0,M348,0) +
IF(O226&lt;&gt;0,O348,0) + IF(Q226&lt;&gt;0,Q348,0) + IF(S226&lt;&gt;0,S348,0) +
IF(U226&lt;&gt;0,U348,0) + IF(W226&lt;&gt;0,W348,0) + IF(Y226&lt;&gt;0,Y348,0)</f>
        <v/>
      </c>
    </row>
    <row r="349" ht="28.5" customHeight="1">
      <c r="A349" s="44">
        <f>'2026 Ιανουάριος'!C153</f>
        <v/>
      </c>
      <c r="B349" s="35" t="n">
        <v>2024</v>
      </c>
      <c r="C349" s="173">
        <f>'2026 Ιανουάριος'!L153</f>
        <v/>
      </c>
      <c r="D349" s="36">
        <f>C349</f>
        <v/>
      </c>
      <c r="E349" s="173">
        <f>'2026 Φεβρουάριος'!L153</f>
        <v/>
      </c>
      <c r="F349" s="36">
        <f>D349+E349</f>
        <v/>
      </c>
      <c r="G349" s="173">
        <f>'2026 Μάρτιος'!L153</f>
        <v/>
      </c>
      <c r="H349" s="36">
        <f>F349+G349</f>
        <v/>
      </c>
      <c r="I349" s="173">
        <f>'2026 Απρίλιος'!L153</f>
        <v/>
      </c>
      <c r="J349" s="36">
        <f>H349+I349</f>
        <v/>
      </c>
      <c r="K349" s="173">
        <f>'2026 Μάιος'!L153</f>
        <v/>
      </c>
      <c r="L349" s="36">
        <f>J349+K349</f>
        <v/>
      </c>
      <c r="M349" s="173">
        <f>'2026 Ιούνιος'!L153</f>
        <v/>
      </c>
      <c r="N349" s="36">
        <f>L349+M349</f>
        <v/>
      </c>
      <c r="O349" s="173">
        <f>'2026 Ιούλιος'!L153</f>
        <v/>
      </c>
      <c r="P349" s="36">
        <f>N349+O349</f>
        <v/>
      </c>
      <c r="Q349" s="173">
        <f>'2026 Aύγουστος'!L153</f>
        <v/>
      </c>
      <c r="R349" s="36">
        <f>P349+Q349</f>
        <v/>
      </c>
      <c r="S349" s="173">
        <f>'2026 Σεπτέμβριος'!L153</f>
        <v/>
      </c>
      <c r="T349" s="36">
        <f>R349+S349</f>
        <v/>
      </c>
      <c r="U349" s="173">
        <f>'2026 Οκτώβριος'!L153</f>
        <v/>
      </c>
      <c r="V349" s="36">
        <f>T349+U349</f>
        <v/>
      </c>
      <c r="W349" s="173">
        <f>'2026 Νοέμβριος'!L153</f>
        <v/>
      </c>
      <c r="X349" s="36">
        <f>V349+W349</f>
        <v/>
      </c>
      <c r="Y349" s="173">
        <f>'2026 Δεκέμβριος'!L153</f>
        <v/>
      </c>
      <c r="Z349" s="36">
        <f>X349+Y349</f>
        <v/>
      </c>
      <c r="AA349" s="36">
        <f>C349+E349+G349+I349+K349+M349+O349+Q349+S349+U349+W349+Y349</f>
        <v/>
      </c>
      <c r="AD349" s="37">
        <f>IF(C227&lt;&gt;0,C349,0) + IF(E227&lt;&gt;0,E349,0) + IF(G227&lt;&gt;0,G349,0) +
IF(I227&lt;&gt;0,I349,0) + IF(K227&lt;&gt;0,K349,0) + IF(M227&lt;&gt;0,M349,0) +
IF(O227&lt;&gt;0,O349,0) + IF(Q227&lt;&gt;0,Q349,0) + IF(S227&lt;&gt;0,S349,0) +
IF(U227&lt;&gt;0,U349,0) + IF(W227&lt;&gt;0,W349,0) + IF(Y227&lt;&gt;0,Y349,0)</f>
        <v/>
      </c>
    </row>
    <row r="350">
      <c r="A350" s="44">
        <f>'2026 Ιανουάριος'!C154</f>
        <v/>
      </c>
      <c r="B350" s="35" t="n">
        <v>2024</v>
      </c>
      <c r="C350" s="173">
        <f>'2026 Ιανουάριος'!L154</f>
        <v/>
      </c>
      <c r="D350" s="36">
        <f>C350</f>
        <v/>
      </c>
      <c r="E350" s="173">
        <f>'2026 Φεβρουάριος'!L154</f>
        <v/>
      </c>
      <c r="F350" s="36">
        <f>D350+E350</f>
        <v/>
      </c>
      <c r="G350" s="173">
        <f>'2026 Μάρτιος'!L154</f>
        <v/>
      </c>
      <c r="H350" s="36">
        <f>F350+G350</f>
        <v/>
      </c>
      <c r="I350" s="173">
        <f>'2026 Απρίλιος'!L154</f>
        <v/>
      </c>
      <c r="J350" s="36">
        <f>H350+I350</f>
        <v/>
      </c>
      <c r="K350" s="173">
        <f>'2026 Μάιος'!L154</f>
        <v/>
      </c>
      <c r="L350" s="36">
        <f>J350+K350</f>
        <v/>
      </c>
      <c r="M350" s="173">
        <f>'2026 Ιούνιος'!L154</f>
        <v/>
      </c>
      <c r="N350" s="36">
        <f>L350+M350</f>
        <v/>
      </c>
      <c r="O350" s="173">
        <f>'2026 Ιούλιος'!L154</f>
        <v/>
      </c>
      <c r="P350" s="36">
        <f>N350+O350</f>
        <v/>
      </c>
      <c r="Q350" s="173">
        <f>'2026 Aύγουστος'!L154</f>
        <v/>
      </c>
      <c r="R350" s="36">
        <f>P350+Q350</f>
        <v/>
      </c>
      <c r="S350" s="173">
        <f>'2026 Σεπτέμβριος'!L154</f>
        <v/>
      </c>
      <c r="T350" s="36">
        <f>R350+S350</f>
        <v/>
      </c>
      <c r="U350" s="173">
        <f>'2026 Οκτώβριος'!L154</f>
        <v/>
      </c>
      <c r="V350" s="36">
        <f>T350+U350</f>
        <v/>
      </c>
      <c r="W350" s="173">
        <f>'2026 Νοέμβριος'!L154</f>
        <v/>
      </c>
      <c r="X350" s="36">
        <f>V350+W350</f>
        <v/>
      </c>
      <c r="Y350" s="173">
        <f>'2026 Δεκέμβριος'!L154</f>
        <v/>
      </c>
      <c r="Z350" s="36">
        <f>X350+Y350</f>
        <v/>
      </c>
      <c r="AA350" s="36">
        <f>C350+E350+G350+I350+K350+M350+O350+Q350+S350+U350+W350+Y350</f>
        <v/>
      </c>
      <c r="AD350" s="37">
        <f>IF(C228&lt;&gt;0,C350,0) + IF(E228&lt;&gt;0,E350,0) + IF(G228&lt;&gt;0,G350,0) +
IF(I228&lt;&gt;0,I350,0) + IF(K228&lt;&gt;0,K350,0) + IF(M228&lt;&gt;0,M350,0) +
IF(O228&lt;&gt;0,O350,0) + IF(Q228&lt;&gt;0,Q350,0) + IF(S228&lt;&gt;0,S350,0) +
IF(U228&lt;&gt;0,U350,0) + IF(W228&lt;&gt;0,W350,0) + IF(Y228&lt;&gt;0,Y350,0)</f>
        <v/>
      </c>
    </row>
    <row r="351">
      <c r="A351" s="44">
        <f>'2026 Ιανουάριος'!C155</f>
        <v/>
      </c>
      <c r="B351" s="35" t="n">
        <v>2024</v>
      </c>
      <c r="C351" s="173">
        <f>'2026 Ιανουάριος'!L155</f>
        <v/>
      </c>
      <c r="D351" s="36">
        <f>C351</f>
        <v/>
      </c>
      <c r="E351" s="173">
        <f>'2026 Φεβρουάριος'!L155</f>
        <v/>
      </c>
      <c r="F351" s="36">
        <f>D351+E351</f>
        <v/>
      </c>
      <c r="G351" s="173">
        <f>'2026 Μάρτιος'!L155</f>
        <v/>
      </c>
      <c r="H351" s="36">
        <f>F351+G351</f>
        <v/>
      </c>
      <c r="I351" s="173">
        <f>'2026 Απρίλιος'!L155</f>
        <v/>
      </c>
      <c r="J351" s="36">
        <f>H351+I351</f>
        <v/>
      </c>
      <c r="K351" s="173">
        <f>'2026 Μάιος'!L155</f>
        <v/>
      </c>
      <c r="L351" s="36">
        <f>J351+K351</f>
        <v/>
      </c>
      <c r="M351" s="173">
        <f>'2026 Ιούνιος'!L155</f>
        <v/>
      </c>
      <c r="N351" s="36">
        <f>L351+M351</f>
        <v/>
      </c>
      <c r="O351" s="173">
        <f>'2026 Ιούλιος'!L155</f>
        <v/>
      </c>
      <c r="P351" s="36">
        <f>N351+O351</f>
        <v/>
      </c>
      <c r="Q351" s="173">
        <f>'2026 Aύγουστος'!L155</f>
        <v/>
      </c>
      <c r="R351" s="36">
        <f>P351+Q351</f>
        <v/>
      </c>
      <c r="S351" s="173">
        <f>'2026 Σεπτέμβριος'!L155</f>
        <v/>
      </c>
      <c r="T351" s="36">
        <f>R351+S351</f>
        <v/>
      </c>
      <c r="U351" s="173">
        <f>'2026 Οκτώβριος'!L155</f>
        <v/>
      </c>
      <c r="V351" s="36">
        <f>T351+U351</f>
        <v/>
      </c>
      <c r="W351" s="173">
        <f>'2026 Νοέμβριος'!L155</f>
        <v/>
      </c>
      <c r="X351" s="36">
        <f>V351+W351</f>
        <v/>
      </c>
      <c r="Y351" s="173">
        <f>'2026 Δεκέμβριος'!L155</f>
        <v/>
      </c>
      <c r="Z351" s="36">
        <f>X351+Y351</f>
        <v/>
      </c>
      <c r="AA351" s="36">
        <f>C351+E351+G351+I351+K351+M351+O351+Q351+S351+U351+W351+Y351</f>
        <v/>
      </c>
      <c r="AD351" s="37">
        <f>IF(C229&lt;&gt;0,C351,0) + IF(E229&lt;&gt;0,E351,0) + IF(G229&lt;&gt;0,G351,0) +
IF(I229&lt;&gt;0,I351,0) + IF(K229&lt;&gt;0,K351,0) + IF(M229&lt;&gt;0,M351,0) +
IF(O229&lt;&gt;0,O351,0) + IF(Q229&lt;&gt;0,Q351,0) + IF(S229&lt;&gt;0,S351,0) +
IF(U229&lt;&gt;0,U351,0) + IF(W229&lt;&gt;0,W351,0) + IF(Y229&lt;&gt;0,Y351,0)</f>
        <v/>
      </c>
    </row>
    <row r="352">
      <c r="A352" s="44">
        <f>'2026 Ιανουάριος'!C156</f>
        <v/>
      </c>
      <c r="B352" s="35" t="n">
        <v>2024</v>
      </c>
      <c r="C352" s="173">
        <f>'2026 Ιανουάριος'!L156</f>
        <v/>
      </c>
      <c r="D352" s="36">
        <f>C352</f>
        <v/>
      </c>
      <c r="E352" s="173">
        <f>'2026 Φεβρουάριος'!L156</f>
        <v/>
      </c>
      <c r="F352" s="36">
        <f>D352+E352</f>
        <v/>
      </c>
      <c r="G352" s="173">
        <f>'2026 Μάρτιος'!L156</f>
        <v/>
      </c>
      <c r="H352" s="36">
        <f>F352+G352</f>
        <v/>
      </c>
      <c r="I352" s="173">
        <f>'2026 Απρίλιος'!L156</f>
        <v/>
      </c>
      <c r="J352" s="36">
        <f>H352+I352</f>
        <v/>
      </c>
      <c r="K352" s="173">
        <f>'2026 Μάιος'!L156</f>
        <v/>
      </c>
      <c r="L352" s="36">
        <f>J352+K352</f>
        <v/>
      </c>
      <c r="M352" s="173">
        <f>'2026 Ιούνιος'!L156</f>
        <v/>
      </c>
      <c r="N352" s="36">
        <f>L352+M352</f>
        <v/>
      </c>
      <c r="O352" s="173">
        <f>'2026 Ιούλιος'!L156</f>
        <v/>
      </c>
      <c r="P352" s="36">
        <f>N352+O352</f>
        <v/>
      </c>
      <c r="Q352" s="173">
        <f>'2026 Aύγουστος'!L156</f>
        <v/>
      </c>
      <c r="R352" s="36">
        <f>P352+Q352</f>
        <v/>
      </c>
      <c r="S352" s="173">
        <f>'2026 Σεπτέμβριος'!L156</f>
        <v/>
      </c>
      <c r="T352" s="36">
        <f>R352+S352</f>
        <v/>
      </c>
      <c r="U352" s="173">
        <f>'2026 Οκτώβριος'!L156</f>
        <v/>
      </c>
      <c r="V352" s="36">
        <f>T352+U352</f>
        <v/>
      </c>
      <c r="W352" s="173">
        <f>'2026 Νοέμβριος'!L156</f>
        <v/>
      </c>
      <c r="X352" s="36">
        <f>V352+W352</f>
        <v/>
      </c>
      <c r="Y352" s="173">
        <f>'2026 Δεκέμβριος'!L156</f>
        <v/>
      </c>
      <c r="Z352" s="36">
        <f>X352+Y352</f>
        <v/>
      </c>
      <c r="AA352" s="36">
        <f>C352+E352+G352+I352+K352+M352+O352+Q352+S352+U352+W352+Y352</f>
        <v/>
      </c>
      <c r="AD352" s="37">
        <f>IF(C230&lt;&gt;0,C352,0) + IF(E230&lt;&gt;0,E352,0) + IF(G230&lt;&gt;0,G352,0) +
IF(I230&lt;&gt;0,I352,0) + IF(K230&lt;&gt;0,K352,0) + IF(M230&lt;&gt;0,M352,0) +
IF(O230&lt;&gt;0,O352,0) + IF(Q230&lt;&gt;0,Q352,0) + IF(S230&lt;&gt;0,S352,0) +
IF(U230&lt;&gt;0,U352,0) + IF(W230&lt;&gt;0,W352,0) + IF(Y230&lt;&gt;0,Y352,0)</f>
        <v/>
      </c>
    </row>
    <row r="353">
      <c r="A353" s="44" t="inlineStr">
        <is>
          <t>Σύνολα</t>
        </is>
      </c>
      <c r="B353" s="35" t="n"/>
      <c r="C353" s="173">
        <f>SUM(C313:C352)</f>
        <v/>
      </c>
      <c r="D353" s="36">
        <f>C353</f>
        <v/>
      </c>
      <c r="E353" s="173">
        <f>SUM(E313:E352)</f>
        <v/>
      </c>
      <c r="F353" s="36">
        <f>D353+E353</f>
        <v/>
      </c>
      <c r="G353" s="174">
        <f>SUM(G313:G352)</f>
        <v/>
      </c>
      <c r="H353" s="36">
        <f>F353+G353</f>
        <v/>
      </c>
      <c r="I353" s="173">
        <f>SUM(I313:I352)</f>
        <v/>
      </c>
      <c r="J353" s="36">
        <f>H353+I353</f>
        <v/>
      </c>
      <c r="K353" s="173">
        <f>'2026 Μάιος'!L157</f>
        <v/>
      </c>
      <c r="L353" s="36">
        <f>J353+K353</f>
        <v/>
      </c>
      <c r="M353" s="173">
        <f>'2026 Ιούνιος'!L157</f>
        <v/>
      </c>
      <c r="N353" s="36">
        <f>L353+M353</f>
        <v/>
      </c>
      <c r="O353" s="173">
        <f>SUM(O313:O352)</f>
        <v/>
      </c>
      <c r="P353" s="36">
        <f>N353+O353</f>
        <v/>
      </c>
      <c r="Q353" s="173">
        <f>'2026 Aύγουστος'!L157</f>
        <v/>
      </c>
      <c r="R353" s="36">
        <f>P353+Q353</f>
        <v/>
      </c>
      <c r="S353" s="173">
        <f>'2026 Σεπτέμβριος'!L157</f>
        <v/>
      </c>
      <c r="T353" s="36">
        <f>R353+S353</f>
        <v/>
      </c>
      <c r="U353" s="173">
        <f>'2026 Οκτώβριος'!L157</f>
        <v/>
      </c>
      <c r="V353" s="36">
        <f>T353+U353</f>
        <v/>
      </c>
      <c r="W353" s="173">
        <f>SUM(W313:W352)</f>
        <v/>
      </c>
      <c r="X353" s="36">
        <f>V353+W353</f>
        <v/>
      </c>
      <c r="Y353" s="174">
        <f>SUM(Y313:Y352)</f>
        <v/>
      </c>
      <c r="Z353" s="36">
        <f>X353+Y353</f>
        <v/>
      </c>
      <c r="AA353" s="36">
        <f>C353+E353+G353+I353+K353+M353+O353+Q353+S353+U353+W353+Y353</f>
        <v/>
      </c>
    </row>
    <row r="354" ht="45" customHeight="1">
      <c r="A354" s="179" t="n"/>
      <c r="B354" s="179" t="n"/>
      <c r="C354" s="179" t="n"/>
      <c r="D354" s="179" t="n"/>
      <c r="E354" s="179" t="n"/>
      <c r="F354" s="179" t="n"/>
      <c r="G354" s="179" t="n"/>
      <c r="H354" s="179" t="n"/>
      <c r="I354" s="179" t="n"/>
      <c r="J354" s="179" t="n"/>
      <c r="K354" s="179" t="n"/>
      <c r="L354" s="179" t="n"/>
      <c r="M354" s="179" t="n"/>
      <c r="N354" s="179" t="n"/>
      <c r="O354" s="179" t="n"/>
      <c r="P354" s="179" t="n"/>
      <c r="Q354" s="179" t="n"/>
      <c r="R354" s="179" t="n"/>
      <c r="S354" s="179" t="n"/>
      <c r="T354" s="179" t="n"/>
      <c r="U354" s="179" t="n"/>
      <c r="V354" s="179" t="n"/>
      <c r="W354" s="179" t="n"/>
      <c r="X354" s="179" t="n"/>
      <c r="Y354" s="179" t="n"/>
      <c r="Z354" s="179" t="n"/>
      <c r="AA354" s="179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selection activeCell="G30" sqref="G30"/>
    </sheetView>
  </sheetViews>
  <sheetFormatPr baseColWidth="8" defaultRowHeight="15"/>
  <cols>
    <col width="64.42578125" bestFit="1" customWidth="1" min="2" max="2"/>
    <col width="16.42578125" customWidth="1" min="3" max="3"/>
    <col width="14.28515625" customWidth="1" min="4" max="4"/>
    <col width="14" customWidth="1" min="5" max="5"/>
    <col width="14.42578125" customWidth="1" min="6" max="6"/>
    <col width="13.140625" bestFit="1" customWidth="1" min="8" max="8"/>
  </cols>
  <sheetData>
    <row r="1">
      <c r="B1" s="47" t="inlineStr">
        <is>
          <t>Σύγκριση εσόδων να κατηγορία για 2024 - 2026</t>
        </is>
      </c>
    </row>
    <row r="2">
      <c r="B2" s="50" t="inlineStr">
        <is>
          <t xml:space="preserve">Κατηγορία Εσόδου </t>
        </is>
      </c>
      <c r="C2" s="50" t="inlineStr">
        <is>
          <t>Εσοδα 2024</t>
        </is>
      </c>
      <c r="D2" s="50" t="inlineStr">
        <is>
          <t>Εσοδα 2026</t>
        </is>
      </c>
      <c r="E2" s="50" t="inlineStr">
        <is>
          <t>Διαφορα</t>
        </is>
      </c>
      <c r="F2" s="50" t="inlineStr">
        <is>
          <t>Διαφορα %</t>
        </is>
      </c>
    </row>
    <row r="3">
      <c r="B3" s="9">
        <f>'Γενικό Αποτέλεσμα'!A41</f>
        <v/>
      </c>
      <c r="C3" s="18">
        <f>'Γενικό Αποτέλεσμα'!AD77</f>
        <v/>
      </c>
      <c r="D3" s="18">
        <f>'Γενικό Αποτέλεσμα'!AA41</f>
        <v/>
      </c>
      <c r="E3" s="18">
        <f>D3-C3</f>
        <v/>
      </c>
      <c r="F3" s="9">
        <f>IF(C3=0, "0%", IF((D3 - C3) / C3 &gt;= 0, "+" &amp; TEXT((D3 - C3) / C3, "#.##%"), TEXT((D3 - C3) / C3, "#.##%")))</f>
        <v/>
      </c>
      <c r="H3" s="41" t="n"/>
    </row>
    <row r="4">
      <c r="B4" s="9">
        <f>'Γενικό Αποτέλεσμα'!A42</f>
        <v/>
      </c>
      <c r="C4" s="18">
        <f>'Γενικό Αποτέλεσμα'!AD78</f>
        <v/>
      </c>
      <c r="D4" s="18">
        <f>'Γενικό Αποτέλεσμα'!AA42</f>
        <v/>
      </c>
      <c r="E4" s="18">
        <f>D4-C4</f>
        <v/>
      </c>
      <c r="F4" s="9">
        <f>IF(C4=0, "0%", IF((D4 - C4) / C4 &gt;= 0, "+" &amp; TEXT((D4 - C4) / C4, "#.##%"), TEXT((D4 - C4) / C4, "#.##%")))</f>
        <v/>
      </c>
      <c r="H4" s="41" t="n"/>
    </row>
    <row r="5">
      <c r="B5" s="9">
        <f>'Γενικό Αποτέλεσμα'!A43</f>
        <v/>
      </c>
      <c r="C5" s="18">
        <f>'Γενικό Αποτέλεσμα'!AD79</f>
        <v/>
      </c>
      <c r="D5" s="18">
        <f>'Γενικό Αποτέλεσμα'!AA43</f>
        <v/>
      </c>
      <c r="E5" s="18">
        <f>D5-C5</f>
        <v/>
      </c>
      <c r="F5" s="9">
        <f>IF(C5=0, "0%", IF((D5 - C5) / C5 &gt;= 0, "+" &amp; TEXT((D5 - C5) / C5, "#.##%"), TEXT((D5 - C5) / C5, "#.##%")))</f>
        <v/>
      </c>
      <c r="H5" s="41" t="n"/>
    </row>
    <row r="6">
      <c r="B6" s="9">
        <f>'Γενικό Αποτέλεσμα'!A44</f>
        <v/>
      </c>
      <c r="C6" s="18">
        <f>'Γενικό Αποτέλεσμα'!AD80</f>
        <v/>
      </c>
      <c r="D6" s="18">
        <f>'Γενικό Αποτέλεσμα'!AA44</f>
        <v/>
      </c>
      <c r="E6" s="18">
        <f>D6-C6</f>
        <v/>
      </c>
      <c r="F6" s="9">
        <f>IF(C6=0, "0%", IF((D6 - C6) / C6 &gt;= 0, "+" &amp; TEXT((D6 - C6) / C6, "#.##%"), TEXT((D6 - C6) / C6, "#.##%")))</f>
        <v/>
      </c>
      <c r="H6" s="41" t="n"/>
    </row>
    <row r="7">
      <c r="B7" s="9">
        <f>'Γενικό Αποτέλεσμα'!A45</f>
        <v/>
      </c>
      <c r="C7" s="18">
        <f>'Γενικό Αποτέλεσμα'!AD81</f>
        <v/>
      </c>
      <c r="D7" s="18">
        <f>'Γενικό Αποτέλεσμα'!AA45</f>
        <v/>
      </c>
      <c r="E7" s="18">
        <f>D7-C7</f>
        <v/>
      </c>
      <c r="F7" s="9">
        <f>IF(C7=0, "0%", IF((D7 - C7) / C7 &gt;= 0, "+" &amp; TEXT((D7 - C7) / C7, "#.##%"), TEXT((D7 - C7) / C7, "#.##%")))</f>
        <v/>
      </c>
      <c r="H7" s="41" t="n"/>
    </row>
    <row r="8">
      <c r="B8" s="9">
        <f>'Γενικό Αποτέλεσμα'!A46</f>
        <v/>
      </c>
      <c r="C8" s="18">
        <f>'Γενικό Αποτέλεσμα'!AD82</f>
        <v/>
      </c>
      <c r="D8" s="18">
        <f>'Γενικό Αποτέλεσμα'!AA46</f>
        <v/>
      </c>
      <c r="E8" s="18">
        <f>D8-C8</f>
        <v/>
      </c>
      <c r="F8" s="9">
        <f>IF(C8=0, "0%", IF((D8 - C8) / C8 &gt;= 0, "+" &amp; TEXT((D8 - C8) / C8, "#.##%"), TEXT((D8 - C8) / C8, "#.##%")))</f>
        <v/>
      </c>
      <c r="H8" s="41" t="n"/>
    </row>
    <row r="9">
      <c r="B9" s="9">
        <f>'Γενικό Αποτέλεσμα'!A47</f>
        <v/>
      </c>
      <c r="C9" s="18">
        <f>'Γενικό Αποτέλεσμα'!AD83</f>
        <v/>
      </c>
      <c r="D9" s="18">
        <f>'Γενικό Αποτέλεσμα'!AA47</f>
        <v/>
      </c>
      <c r="E9" s="18">
        <f>D9-C9</f>
        <v/>
      </c>
      <c r="F9" s="9">
        <f>IF(C9=0, "0%", IF((D9 - C9) / C9 &gt;= 0, "+" &amp; TEXT((D9 - C9) / C9, "#.##%"), TEXT((D9 - C9) / C9, "#.##%")))</f>
        <v/>
      </c>
      <c r="H9" s="41" t="n"/>
    </row>
    <row r="10">
      <c r="B10" s="9">
        <f>'Γενικό Αποτέλεσμα'!A48</f>
        <v/>
      </c>
      <c r="C10" s="18">
        <f>'Γενικό Αποτέλεσμα'!AD84</f>
        <v/>
      </c>
      <c r="D10" s="18">
        <f>'Γενικό Αποτέλεσμα'!AA48</f>
        <v/>
      </c>
      <c r="E10" s="18">
        <f>D10-C10</f>
        <v/>
      </c>
      <c r="F10" s="9">
        <f>IF(C10=0, "0%", IF((D10 - C10) / C10 &gt;= 0, "+" &amp; TEXT((D10 - C10) / C10, "#.##%"), TEXT((D10 - C10) / C10, "#.##%")))</f>
        <v/>
      </c>
      <c r="H10" s="41" t="n"/>
    </row>
    <row r="11">
      <c r="B11" s="9">
        <f>'Γενικό Αποτέλεσμα'!A49</f>
        <v/>
      </c>
      <c r="C11" s="18">
        <f>'Γενικό Αποτέλεσμα'!AD85</f>
        <v/>
      </c>
      <c r="D11" s="18">
        <f>'Γενικό Αποτέλεσμα'!AA49</f>
        <v/>
      </c>
      <c r="E11" s="18">
        <f>D11-C11</f>
        <v/>
      </c>
      <c r="F11" s="9">
        <f>IF(C11=0, "0%", IF((D11 - C11) / C11 &gt;= 0, "+" &amp; TEXT((D11 - C11) / C11, "#.##%"), TEXT((D11 - C11) / C11, "#.##%")))</f>
        <v/>
      </c>
      <c r="H11" s="41" t="n"/>
    </row>
    <row r="12">
      <c r="B12" s="9">
        <f>'Γενικό Αποτέλεσμα'!A50</f>
        <v/>
      </c>
      <c r="C12" s="18">
        <f>'Γενικό Αποτέλεσμα'!AD86</f>
        <v/>
      </c>
      <c r="D12" s="18">
        <f>'Γενικό Αποτέλεσμα'!AA50</f>
        <v/>
      </c>
      <c r="E12" s="18">
        <f>D12-C12</f>
        <v/>
      </c>
      <c r="F12" s="9">
        <f>IF(C12=0, "0%", IF((D12 - C12) / C12 &gt;= 0, "+" &amp; TEXT((D12 - C12) / C12, "#.##%"), TEXT((D12 - C12) / C12, "#.##%")))</f>
        <v/>
      </c>
      <c r="H12" s="41" t="n"/>
    </row>
    <row r="13">
      <c r="B13" s="9">
        <f>'Γενικό Αποτέλεσμα'!A51</f>
        <v/>
      </c>
      <c r="C13" s="18">
        <f>'Γενικό Αποτέλεσμα'!AD87</f>
        <v/>
      </c>
      <c r="D13" s="18">
        <f>'Γενικό Αποτέλεσμα'!AA51</f>
        <v/>
      </c>
      <c r="E13" s="18">
        <f>D13-C13</f>
        <v/>
      </c>
      <c r="F13" s="9">
        <f>IF(C13=0, "0%", IF((D13 - C13) / C13 &gt;= 0, "+" &amp; TEXT((D13 - C13) / C13, "#.##%"), TEXT((D13 - C13) / C13, "#.##%")))</f>
        <v/>
      </c>
      <c r="H13" s="41" t="n"/>
    </row>
    <row r="14">
      <c r="B14" s="9">
        <f>'Γενικό Αποτέλεσμα'!A52</f>
        <v/>
      </c>
      <c r="C14" s="18">
        <f>'Γενικό Αποτέλεσμα'!AD88</f>
        <v/>
      </c>
      <c r="D14" s="18">
        <f>'Γενικό Αποτέλεσμα'!AA52</f>
        <v/>
      </c>
      <c r="E14" s="18">
        <f>D14-C14</f>
        <v/>
      </c>
      <c r="F14" s="9">
        <f>IF(C14=0, "0%", IF((D14 - C14) / C14 &gt;= 0, "+" &amp; TEXT((D14 - C14) / C14, "#.##%"), TEXT((D14 - C14) / C14, "#.##%")))</f>
        <v/>
      </c>
      <c r="H14" s="41" t="n"/>
    </row>
    <row r="15">
      <c r="B15" s="9">
        <f>'Γενικό Αποτέλεσμα'!A53</f>
        <v/>
      </c>
      <c r="C15" s="18">
        <f>'Γενικό Αποτέλεσμα'!AD89</f>
        <v/>
      </c>
      <c r="D15" s="18">
        <f>'Γενικό Αποτέλεσμα'!AA53</f>
        <v/>
      </c>
      <c r="E15" s="18">
        <f>D15-C15</f>
        <v/>
      </c>
      <c r="F15" s="9">
        <f>IF(C15=0, "0%", IF((D15 - C15) / C15 &gt;= 0, "+" &amp; TEXT((D15 - C15) / C15, "#.##%"), TEXT((D15 - C15) / C15, "#.##%")))</f>
        <v/>
      </c>
      <c r="H15" s="41" t="n"/>
    </row>
    <row r="16">
      <c r="B16" s="9">
        <f>'Γενικό Αποτέλεσμα'!A54</f>
        <v/>
      </c>
      <c r="C16" s="18">
        <f>'Γενικό Αποτέλεσμα'!AD90</f>
        <v/>
      </c>
      <c r="D16" s="18">
        <f>'Γενικό Αποτέλεσμα'!AA54</f>
        <v/>
      </c>
      <c r="E16" s="18">
        <f>D16-C16</f>
        <v/>
      </c>
      <c r="F16" s="9">
        <f>IF(C16=0, "0%", IF((D16 - C16) / C16 &gt;= 0, "+" &amp; TEXT((D16 - C16) / C16, "#.##%"), TEXT((D16 - C16) / C16, "#.##%")))</f>
        <v/>
      </c>
      <c r="H16" s="41" t="n"/>
    </row>
    <row r="17">
      <c r="B17" s="9">
        <f>'Γενικό Αποτέλεσμα'!A55</f>
        <v/>
      </c>
      <c r="C17" s="18">
        <f>'Γενικό Αποτέλεσμα'!AD91</f>
        <v/>
      </c>
      <c r="D17" s="18">
        <f>'Γενικό Αποτέλεσμα'!AA55</f>
        <v/>
      </c>
      <c r="E17" s="18">
        <f>D17-C17</f>
        <v/>
      </c>
      <c r="F17" s="9">
        <f>IF(C17=0, "0%", IF((D17 - C17) / C17 &gt;= 0, "+" &amp; TEXT((D17 - C17) / C17, "#.##%"), TEXT((D17 - C17) / C17, "#.##%")))</f>
        <v/>
      </c>
      <c r="H17" s="41" t="n"/>
    </row>
    <row r="18">
      <c r="B18" s="9">
        <f>'Γενικό Αποτέλεσμα'!A56</f>
        <v/>
      </c>
      <c r="C18" s="18">
        <f>'Γενικό Αποτέλεσμα'!AD92</f>
        <v/>
      </c>
      <c r="D18" s="18">
        <f>'Γενικό Αποτέλεσμα'!AA56</f>
        <v/>
      </c>
      <c r="E18" s="18">
        <f>D18-C18</f>
        <v/>
      </c>
      <c r="F18" s="9">
        <f>IF(C18=0, "0%", IF((D18 - C18) / C18 &gt;= 0, "+" &amp; TEXT((D18 - C18) / C18, "#.##%"), TEXT((D18 - C18) / C18, "#.##%")))</f>
        <v/>
      </c>
      <c r="H18" s="41" t="n"/>
    </row>
    <row r="19">
      <c r="B19" s="9">
        <f>'Γενικό Αποτέλεσμα'!A57</f>
        <v/>
      </c>
      <c r="C19" s="18">
        <f>'Γενικό Αποτέλεσμα'!AD93</f>
        <v/>
      </c>
      <c r="D19" s="18">
        <f>'Γενικό Αποτέλεσμα'!AA57</f>
        <v/>
      </c>
      <c r="E19" s="18">
        <f>D19-C19</f>
        <v/>
      </c>
      <c r="F19" s="9">
        <f>IF(C19=0, "0%", IF((D19 - C19) / C19 &gt;= 0, "+" &amp; TEXT((D19 - C19) / C19, "#.##%"), TEXT((D19 - C19) / C19, "#.##%")))</f>
        <v/>
      </c>
      <c r="H19" s="41" t="n"/>
    </row>
    <row r="20">
      <c r="B20" s="9">
        <f>'Γενικό Αποτέλεσμα'!A58</f>
        <v/>
      </c>
      <c r="C20" s="18">
        <f>'Γενικό Αποτέλεσμα'!AD94</f>
        <v/>
      </c>
      <c r="D20" s="18">
        <f>'Γενικό Αποτέλεσμα'!AA58</f>
        <v/>
      </c>
      <c r="E20" s="18">
        <f>D20-C20</f>
        <v/>
      </c>
      <c r="F20" s="9">
        <f>IF(C20=0, "0%", IF((D20 - C20) / C20 &gt;= 0, "+" &amp; TEXT((D20 - C20) / C20, "#.##%"), TEXT((D20 - C20) / C20, "#.##%")))</f>
        <v/>
      </c>
      <c r="H20" s="41" t="n"/>
    </row>
    <row r="21">
      <c r="B21" s="9">
        <f>'Γενικό Αποτέλεσμα'!A59</f>
        <v/>
      </c>
      <c r="C21" s="18">
        <f>'Γενικό Αποτέλεσμα'!AD95</f>
        <v/>
      </c>
      <c r="D21" s="18">
        <f>'Γενικό Αποτέλεσμα'!AA59</f>
        <v/>
      </c>
      <c r="E21" s="18">
        <f>D21-C21</f>
        <v/>
      </c>
      <c r="F21" s="9">
        <f>IF(C21=0, "0%", IF((D21 - C21) / C21 &gt;= 0, "+" &amp; TEXT((D21 - C21) / C21, "#.##%"), TEXT((D21 - C21) / C21, "#.##%")))</f>
        <v/>
      </c>
      <c r="H21" s="41" t="n"/>
    </row>
    <row r="22">
      <c r="B22" s="9">
        <f>'Γενικό Αποτέλεσμα'!A60</f>
        <v/>
      </c>
      <c r="C22" s="18">
        <f>'Γενικό Αποτέλεσμα'!AD96</f>
        <v/>
      </c>
      <c r="D22" s="18">
        <f>'Γενικό Αποτέλεσμα'!AA60</f>
        <v/>
      </c>
      <c r="E22" s="18">
        <f>D22-C22</f>
        <v/>
      </c>
      <c r="F22" s="9">
        <f>IF(C22=0, "0%", IF((D22 - C22) / C22 &gt;= 0, "+" &amp; TEXT((D22 - C22) / C22, "#.##%"), TEXT((D22 - C22) / C22, "#.##%")))</f>
        <v/>
      </c>
      <c r="H22" s="41" t="n"/>
    </row>
    <row r="23">
      <c r="B23" s="9">
        <f>'Γενικό Αποτέλεσμα'!A61</f>
        <v/>
      </c>
      <c r="C23" s="18">
        <f>'Γενικό Αποτέλεσμα'!AD97</f>
        <v/>
      </c>
      <c r="D23" s="18">
        <f>'Γενικό Αποτέλεσμα'!AA61</f>
        <v/>
      </c>
      <c r="E23" s="18">
        <f>D23-C23</f>
        <v/>
      </c>
      <c r="F23" s="9">
        <f>IF(C23=0, "0%", IF((D23 - C23) / C23 &gt;= 0, "+" &amp; TEXT((D23 - C23) / C23, "#.##%"), TEXT((D23 - C23) / C23, "#.##%")))</f>
        <v/>
      </c>
      <c r="H23" s="41" t="n"/>
    </row>
    <row r="24">
      <c r="B24" s="9">
        <f>'Γενικό Αποτέλεσμα'!A62</f>
        <v/>
      </c>
      <c r="C24" s="18">
        <f>'Γενικό Αποτέλεσμα'!AD98</f>
        <v/>
      </c>
      <c r="D24" s="18">
        <f>'Γενικό Αποτέλεσμα'!AA62</f>
        <v/>
      </c>
      <c r="E24" s="18">
        <f>D24-C24</f>
        <v/>
      </c>
      <c r="F24" s="9">
        <f>IF(C24=0, "0%", IF((D24 - C24) / C24 &gt;= 0, "+" &amp; TEXT((D24 - C24) / C24, "#.##%"), TEXT((D24 - C24) / C24, "#.##%")))</f>
        <v/>
      </c>
      <c r="H24" s="41" t="n"/>
    </row>
    <row r="25">
      <c r="B25" s="9">
        <f>'Γενικό Αποτέλεσμα'!A63</f>
        <v/>
      </c>
      <c r="C25" s="18">
        <f>'Γενικό Αποτέλεσμα'!AD99</f>
        <v/>
      </c>
      <c r="D25" s="42">
        <f>'Γενικό Αποτέλεσμα'!AA63</f>
        <v/>
      </c>
      <c r="E25" s="42">
        <f>D25-C25</f>
        <v/>
      </c>
      <c r="F25" s="40">
        <f>IF(C25=0, "0%", IF((D25 - C25) / C25 &gt;= 0, "+" &amp; TEXT((D25 - C25) / C25, "#.##%"), TEXT((D25 - C25) / C25, "#.##%")))</f>
        <v/>
      </c>
      <c r="H25" s="41" t="n"/>
    </row>
    <row r="26">
      <c r="B26" s="9">
        <f>'Γενικό Αποτέλεσμα'!A64</f>
        <v/>
      </c>
      <c r="C26" s="18">
        <f>'Γενικό Αποτέλεσμα'!AD100</f>
        <v/>
      </c>
      <c r="D26" s="42">
        <f>'Γενικό Αποτέλεσμα'!AA64</f>
        <v/>
      </c>
      <c r="E26" s="42">
        <f>D26-C26</f>
        <v/>
      </c>
      <c r="F26" s="40">
        <f>IF(C26=0, "0%", IF((D26 - C26) / C26 &gt;= 0, "+" &amp; TEXT((D26 - C26) / C26, "#.##%"), TEXT((D26 - C26) / C26, "#.##%")))</f>
        <v/>
      </c>
      <c r="H26" s="41" t="n"/>
    </row>
    <row r="27">
      <c r="B27" s="9">
        <f>'Γενικό Αποτέλεσμα'!A65</f>
        <v/>
      </c>
      <c r="C27" s="18">
        <f>'Γενικό Αποτέλεσμα'!AD101</f>
        <v/>
      </c>
      <c r="D27" s="42">
        <f>'Γενικό Αποτέλεσμα'!AA65</f>
        <v/>
      </c>
      <c r="E27" s="42">
        <f>D27-C27</f>
        <v/>
      </c>
      <c r="F27" s="40">
        <f>IF(C27=0, "0%", IF((D27 - C27) / C27 &gt;= 0, "+" &amp; TEXT((D27 - C27) / C27, "#.##%"), TEXT((D27 - C27) / C27, "#.##%")))</f>
        <v/>
      </c>
    </row>
    <row r="28">
      <c r="B28" s="9">
        <f>'Γενικό Αποτέλεσμα'!A66</f>
        <v/>
      </c>
      <c r="C28" s="18">
        <f>'Γενικό Αποτέλεσμα'!AD102</f>
        <v/>
      </c>
      <c r="D28" s="42">
        <f>'Γενικό Αποτέλεσμα'!AA66</f>
        <v/>
      </c>
      <c r="E28" s="42">
        <f>D28-C28</f>
        <v/>
      </c>
      <c r="F28" s="40">
        <f>IF(C28=0, "0%", IF((D28 - C28) / C28 &gt;= 0, "+" &amp; TEXT((D28 - C28) / C28, "#.##%"), TEXT((D28 - C28) / C28, "#.##%")))</f>
        <v/>
      </c>
    </row>
    <row r="29">
      <c r="B29" s="9">
        <f>'Γενικό Αποτέλεσμα'!A67</f>
        <v/>
      </c>
      <c r="C29" s="18">
        <f>'Γενικό Αποτέλεσμα'!AD103</f>
        <v/>
      </c>
      <c r="D29" s="42">
        <f>'Γενικό Αποτέλεσμα'!AA67</f>
        <v/>
      </c>
      <c r="E29" s="42">
        <f>D29-C29</f>
        <v/>
      </c>
      <c r="F29" s="40">
        <f>IF(C29=0, "0%", IF((D29 - C29) / C29 &gt;= 0, "+" &amp; TEXT((D29 - C29) / C29, "#.##%"), TEXT((D29 - C29) / C29, "#.##%")))</f>
        <v/>
      </c>
    </row>
    <row r="30">
      <c r="B30" s="9">
        <f>'Γενικό Αποτέλεσμα'!A68</f>
        <v/>
      </c>
      <c r="C30" s="18">
        <f>'Γενικό Αποτέλεσμα'!AD104</f>
        <v/>
      </c>
      <c r="D30" s="42">
        <f>'Γενικό Αποτέλεσμα'!AA68</f>
        <v/>
      </c>
      <c r="E30" s="42">
        <f>D30-C30</f>
        <v/>
      </c>
      <c r="F30" s="40">
        <f>IF(C30=0, "0%", IF((D30 - C30) / C30 &gt;= 0, "+" &amp; TEXT((D30 - C30) / C30, "#.##%"), TEXT((D30 - C30) / C30, "#.##%")))</f>
        <v/>
      </c>
    </row>
    <row r="31">
      <c r="B31" s="9">
        <f>'Γενικό Αποτέλεσμα'!A69</f>
        <v/>
      </c>
      <c r="C31" s="18">
        <f>'Γενικό Αποτέλεσμα'!AD105</f>
        <v/>
      </c>
      <c r="D31" s="42">
        <f>'Γενικό Αποτέλεσμα'!AA69</f>
        <v/>
      </c>
      <c r="E31" s="42">
        <f>D31-C31</f>
        <v/>
      </c>
      <c r="F31" s="40">
        <f>IF(C31=0, "0%", IF((D31 - C31) / C31 &gt;= 0, "+" &amp; TEXT((D31 - C31) / C31, "#.##%"), TEXT((D31 - C31) / C31, "#.##%")))</f>
        <v/>
      </c>
    </row>
    <row r="32">
      <c r="B32" s="39" t="inlineStr">
        <is>
          <t xml:space="preserve">Σύνολα </t>
        </is>
      </c>
      <c r="C32" s="38">
        <f>SUM(C3:C31)</f>
        <v/>
      </c>
      <c r="D32" s="38">
        <f>SUM(D3:D31)</f>
        <v/>
      </c>
      <c r="E32" s="38">
        <f>SUM(E3:E31)</f>
        <v/>
      </c>
      <c r="F32" s="40">
        <f>IF(C32=0, "0%", IF((D32 - C32) / C32 &gt;= 0, "+" &amp; TEXT((D32 - C32) / C32, "#.##%"), TEXT((D32 - C32) / C32, "#.##%")))</f>
        <v/>
      </c>
      <c r="G32" t="inlineStr">
        <is>
          <t>&lt;- Διαφορά %</t>
        </is>
      </c>
    </row>
    <row r="33">
      <c r="B33" s="47" t="inlineStr">
        <is>
          <t>Σύγκριση εξόδων να κατηγορία για 2024 - 2026</t>
        </is>
      </c>
    </row>
    <row r="34">
      <c r="B34" s="50" t="inlineStr">
        <is>
          <t xml:space="preserve">Κατηγορία Εξόδου / Αμεσο Κόστος Υπηρεσιών </t>
        </is>
      </c>
      <c r="C34" s="50" t="inlineStr">
        <is>
          <t>Εξοδα 2024</t>
        </is>
      </c>
      <c r="D34" s="50" t="inlineStr">
        <is>
          <t>Εξοδα 2026</t>
        </is>
      </c>
      <c r="E34" s="50" t="inlineStr">
        <is>
          <t>Διαφορα</t>
        </is>
      </c>
      <c r="F34" s="50" t="inlineStr">
        <is>
          <t>Διαφορα %</t>
        </is>
      </c>
    </row>
    <row r="35">
      <c r="B35" s="9">
        <f>'Γενικό Αποτέλεσμα'!A118</f>
        <v/>
      </c>
      <c r="C35" s="18">
        <f>'Γενικό Αποτέλεσμα'!AD241</f>
        <v/>
      </c>
      <c r="D35" s="18">
        <f>'Γενικό Αποτέλεσμα'!AA118</f>
        <v/>
      </c>
      <c r="E35" s="18">
        <f>D35-C35</f>
        <v/>
      </c>
      <c r="F35" s="9">
        <f>IF(C35=0, "0%", IF((D35 - C35) / C35 &gt;= 0, "+" &amp; TEXT((D35 - C35) / C35, "#.##%"), TEXT((D35 - C35) / C35, "#.##%")))</f>
        <v/>
      </c>
    </row>
    <row r="36">
      <c r="B36" s="9">
        <f>'Γενικό Αποτέλεσμα'!A119</f>
        <v/>
      </c>
      <c r="C36" s="18">
        <f>'Γενικό Αποτέλεσμα'!AD242</f>
        <v/>
      </c>
      <c r="D36" s="18">
        <f>'Γενικό Αποτέλεσμα'!AA119</f>
        <v/>
      </c>
      <c r="E36" s="18">
        <f>D36-C36</f>
        <v/>
      </c>
      <c r="F36" s="9">
        <f>IF(C36=0, "0%", IF((D36 - C36) / C36 &gt;= 0, "+" &amp; TEXT((D36 - C36) / C36, "#.##%"), TEXT((D36 - C36) / C36, "#.##%")))</f>
        <v/>
      </c>
    </row>
    <row r="37">
      <c r="B37" s="9">
        <f>'Γενικό Αποτέλεσμα'!A120</f>
        <v/>
      </c>
      <c r="C37" s="18">
        <f>'Γενικό Αποτέλεσμα'!AD243</f>
        <v/>
      </c>
      <c r="D37" s="18">
        <f>'Γενικό Αποτέλεσμα'!AA120</f>
        <v/>
      </c>
      <c r="E37" s="18">
        <f>D37-C37</f>
        <v/>
      </c>
      <c r="F37" s="9">
        <f>IF(C37=0, "0%", IF((D37 - C37) / C37 &gt;= 0, "+" &amp; TEXT((D37 - C37) / C37, "#.##%"), TEXT((D37 - C37) / C37, "#.##%")))</f>
        <v/>
      </c>
    </row>
    <row r="38">
      <c r="B38" s="9">
        <f>'Γενικό Αποτέλεσμα'!A123</f>
        <v/>
      </c>
      <c r="C38" s="18">
        <f>'Γενικό Αποτέλεσμα'!AD244</f>
        <v/>
      </c>
      <c r="D38" s="18">
        <f>'Γενικό Αποτέλεσμα'!AA123</f>
        <v/>
      </c>
      <c r="E38" s="18">
        <f>D38-C38</f>
        <v/>
      </c>
      <c r="F38" s="9">
        <f>IF(C38=0, "0%", IF((D38 - C38) / C38 &gt;= 0, "+" &amp; TEXT((D38 - C38) / C38, "#.##%"), TEXT((D38 - C38) / C38, "#.##%")))</f>
        <v/>
      </c>
    </row>
    <row r="39">
      <c r="B39" s="9">
        <f>'Γενικό Αποτέλεσμα'!A124</f>
        <v/>
      </c>
      <c r="C39" s="18">
        <f>'Γενικό Αποτέλεσμα'!AD245</f>
        <v/>
      </c>
      <c r="D39" s="18">
        <f>'Γενικό Αποτέλεσμα'!AA124</f>
        <v/>
      </c>
      <c r="E39" s="18">
        <f>D39-C39</f>
        <v/>
      </c>
      <c r="F39" s="9">
        <f>IF(C39=0, "0%", IF((D39 - C39) / C39 &gt;= 0, "+" &amp; TEXT((D39 - C39) / C39, "#.##%"), TEXT((D39 - C39) / C39, "#.##%")))</f>
        <v/>
      </c>
    </row>
    <row r="40">
      <c r="B40" s="9">
        <f>'Γενικό Αποτέλεσμα'!A125</f>
        <v/>
      </c>
      <c r="C40" s="18">
        <f>'Γενικό Αποτέλεσμα'!AD246</f>
        <v/>
      </c>
      <c r="D40" s="18">
        <f>'Γενικό Αποτέλεσμα'!AA125</f>
        <v/>
      </c>
      <c r="E40" s="18">
        <f>D40-C40</f>
        <v/>
      </c>
      <c r="F40" s="9">
        <f>IF(C40=0, "0%", IF((D40 - C40) / C40 &gt;= 0, "+" &amp; TEXT((D40 - C40) / C40, "#.##%"), TEXT((D40 - C40) / C40, "#.##%")))</f>
        <v/>
      </c>
    </row>
    <row r="41">
      <c r="B41" s="9">
        <f>'Γενικό Αποτέλεσμα'!A128</f>
        <v/>
      </c>
      <c r="C41" s="18">
        <f>'Γενικό Αποτέλεσμα'!AD247</f>
        <v/>
      </c>
      <c r="D41" s="18">
        <f>'Γενικό Αποτέλεσμα'!AA128</f>
        <v/>
      </c>
      <c r="E41" s="18">
        <f>D41-C41</f>
        <v/>
      </c>
      <c r="F41" s="9">
        <f>IF(C41=0, "0%", IF((D41 - C41) / C41 &gt;= 0, "+" &amp; TEXT((D41 - C41) / C41, "#.##%"), TEXT((D41 - C41) / C41, "#.##%")))</f>
        <v/>
      </c>
    </row>
    <row r="42">
      <c r="B42" s="9">
        <f>'Γενικό Αποτέλεσμα'!A129</f>
        <v/>
      </c>
      <c r="C42" s="18">
        <f>'Γενικό Αποτέλεσμα'!AD248</f>
        <v/>
      </c>
      <c r="D42" s="18">
        <f>'Γενικό Αποτέλεσμα'!AA129</f>
        <v/>
      </c>
      <c r="E42" s="18">
        <f>D42-C42</f>
        <v/>
      </c>
      <c r="F42" s="9">
        <f>IF(C42=0, "0%", IF((D42 - C42) / C42 &gt;= 0, "+" &amp; TEXT((D42 - C42) / C42, "#.##%"), TEXT((D42 - C42) / C42, "#.##%")))</f>
        <v/>
      </c>
    </row>
    <row r="43">
      <c r="B43" s="9">
        <f>'Γενικό Αποτέλεσμα'!A130</f>
        <v/>
      </c>
      <c r="C43" s="18">
        <f>'Γενικό Αποτέλεσμα'!AD249</f>
        <v/>
      </c>
      <c r="D43" s="18">
        <f>'Γενικό Αποτέλεσμα'!AA130</f>
        <v/>
      </c>
      <c r="E43" s="18">
        <f>D43-C43</f>
        <v/>
      </c>
      <c r="F43" s="9">
        <f>IF(C43=0, "0%", IF((D43 - C43) / C43 &gt;= 0, "+" &amp; TEXT((D43 - C43) / C43, "#.##%"), TEXT((D43 - C43) / C43, "#.##%")))</f>
        <v/>
      </c>
    </row>
    <row r="44">
      <c r="B44" s="9">
        <f>'Γενικό Αποτέλεσμα'!A131</f>
        <v/>
      </c>
      <c r="C44" s="18">
        <f>'Γενικό Αποτέλεσμα'!AD250</f>
        <v/>
      </c>
      <c r="D44" s="18">
        <f>'Γενικό Αποτέλεσμα'!AA131</f>
        <v/>
      </c>
      <c r="E44" s="18">
        <f>D44-C44</f>
        <v/>
      </c>
      <c r="F44" s="9">
        <f>IF(C44=0, "0%", IF((D44 - C44) / C44 &gt;= 0, "+" &amp; TEXT((D44 - C44) / C44, "#.##%"), TEXT((D44 - C44) / C44, "#.##%")))</f>
        <v/>
      </c>
    </row>
    <row r="45">
      <c r="B45" s="9">
        <f>'Γενικό Αποτέλεσμα'!A132</f>
        <v/>
      </c>
      <c r="C45" s="18">
        <f>'Γενικό Αποτέλεσμα'!AD251</f>
        <v/>
      </c>
      <c r="D45" s="18">
        <f>'Γενικό Αποτέλεσμα'!AA132</f>
        <v/>
      </c>
      <c r="E45" s="18">
        <f>D45-C45</f>
        <v/>
      </c>
      <c r="F45" s="9">
        <f>IF(C45=0, "0%", IF((D45 - C45) / C45 &gt;= 0, "+" &amp; TEXT((D45 - C45) / C45, "#.##%"), TEXT((D45 - C45) / C45, "#.##%")))</f>
        <v/>
      </c>
    </row>
    <row r="46">
      <c r="B46" s="9">
        <f>'Γενικό Αποτέλεσμα'!A133</f>
        <v/>
      </c>
      <c r="C46" s="18">
        <f>'Γενικό Αποτέλεσμα'!AD252</f>
        <v/>
      </c>
      <c r="D46" s="18">
        <f>'Γενικό Αποτέλεσμα'!AA133</f>
        <v/>
      </c>
      <c r="E46" s="18">
        <f>D46-C46</f>
        <v/>
      </c>
      <c r="F46" s="9">
        <f>IF(C46=0, "0%", IF((D46 - C46) / C46 &gt;= 0, "+" &amp; TEXT((D46 - C46) / C46, "#.##%"), TEXT((D46 - C46) / C46, "#.##%")))</f>
        <v/>
      </c>
    </row>
    <row r="47">
      <c r="B47" s="9">
        <f>'Γενικό Αποτέλεσμα'!A134</f>
        <v/>
      </c>
      <c r="C47" s="18">
        <f>'Γενικό Αποτέλεσμα'!AD253</f>
        <v/>
      </c>
      <c r="D47" s="18">
        <f>'Γενικό Αποτέλεσμα'!AA134</f>
        <v/>
      </c>
      <c r="E47" s="18">
        <f>D47-C47</f>
        <v/>
      </c>
      <c r="F47" s="9">
        <f>IF(C47=0, "0%", IF((D47 - C47) / C47 &gt;= 0, "+" &amp; TEXT((D47 - C47) / C47, "#.##%"), TEXT((D47 - C47) / C47, "#.##%")))</f>
        <v/>
      </c>
    </row>
    <row r="48">
      <c r="B48" s="9">
        <f>'Γενικό Αποτέλεσμα'!A135</f>
        <v/>
      </c>
      <c r="C48" s="18">
        <f>'Γενικό Αποτέλεσμα'!AD254</f>
        <v/>
      </c>
      <c r="D48" s="18">
        <f>'Γενικό Αποτέλεσμα'!AA135</f>
        <v/>
      </c>
      <c r="E48" s="18">
        <f>D48-C48</f>
        <v/>
      </c>
      <c r="F48" s="9">
        <f>IF(C48=0, "0%", IF((D48 - C48) / C48 &gt;= 0, "+" &amp; TEXT((D48 - C48) / C48, "#.##%"), TEXT((D48 - C48) / C48, "#.##%")))</f>
        <v/>
      </c>
    </row>
    <row r="49">
      <c r="B49" s="9">
        <f>'Γενικό Αποτέλεσμα'!A136</f>
        <v/>
      </c>
      <c r="C49" s="18">
        <f>'Γενικό Αποτέλεσμα'!AD255</f>
        <v/>
      </c>
      <c r="D49" s="18">
        <f>'Γενικό Αποτέλεσμα'!AA136</f>
        <v/>
      </c>
      <c r="E49" s="18">
        <f>D49-C49</f>
        <v/>
      </c>
      <c r="F49" s="9">
        <f>IF(C49=0, "0%", IF((D49 - C49) / C49 &gt;= 0, "+" &amp; TEXT((D49 - C49) / C49, "#.##%"), TEXT((D49 - C49) / C49, "#.##%")))</f>
        <v/>
      </c>
    </row>
    <row r="50">
      <c r="B50" s="9">
        <f>'Γενικό Αποτέλεσμα'!A137</f>
        <v/>
      </c>
      <c r="C50" s="18">
        <f>'Γενικό Αποτέλεσμα'!AD256</f>
        <v/>
      </c>
      <c r="D50" s="18">
        <f>'Γενικό Αποτέλεσμα'!AA137</f>
        <v/>
      </c>
      <c r="E50" s="18">
        <f>D50-C50</f>
        <v/>
      </c>
      <c r="F50" s="9">
        <f>IF(C50=0, "0%", IF((D50 - C50) / C50 &gt;= 0, "+" &amp; TEXT((D50 - C50) / C50, "#.##%"), TEXT((D50 - C50) / C50, "#.##%")))</f>
        <v/>
      </c>
    </row>
    <row r="51">
      <c r="B51" s="9">
        <f>'Γενικό Αποτέλεσμα'!A138</f>
        <v/>
      </c>
      <c r="C51" s="18">
        <f>'Γενικό Αποτέλεσμα'!AD257</f>
        <v/>
      </c>
      <c r="D51" s="18">
        <f>'Γενικό Αποτέλεσμα'!AA138</f>
        <v/>
      </c>
      <c r="E51" s="18">
        <f>D51-C51</f>
        <v/>
      </c>
      <c r="F51" s="9">
        <f>IF(C51=0, "0%", IF((D51 - C51) / C51 &gt;= 0, "+" &amp; TEXT((D51 - C51) / C51, "#.##%"), TEXT((D51 - C51) / C51, "#.##%")))</f>
        <v/>
      </c>
    </row>
    <row r="52">
      <c r="B52" s="9">
        <f>'Γενικό Αποτέλεσμα'!A139</f>
        <v/>
      </c>
      <c r="C52" s="18">
        <f>'Γενικό Αποτέλεσμα'!AD258</f>
        <v/>
      </c>
      <c r="D52" s="18">
        <f>'Γενικό Αποτέλεσμα'!AA139</f>
        <v/>
      </c>
      <c r="E52" s="18">
        <f>D52-C52</f>
        <v/>
      </c>
      <c r="F52" s="9">
        <f>IF(C52=0, "0%", IF((D52 - C52) / C52 &gt;= 0, "+" &amp; TEXT((D52 - C52) / C52, "#.##%"), TEXT((D52 - C52) / C52, "#.##%")))</f>
        <v/>
      </c>
    </row>
    <row r="53">
      <c r="B53" s="9">
        <f>'Γενικό Αποτέλεσμα'!A140</f>
        <v/>
      </c>
      <c r="C53" s="18">
        <f>'Γενικό Αποτέλεσμα'!AD259</f>
        <v/>
      </c>
      <c r="D53" s="18">
        <f>'Γενικό Αποτέλεσμα'!AA140</f>
        <v/>
      </c>
      <c r="E53" s="18">
        <f>D53-C53</f>
        <v/>
      </c>
      <c r="F53" s="9">
        <f>IF(C53=0, "0%", IF((D53 - C53) / C53 &gt;= 0, "+" &amp; TEXT((D53 - C53) / C53, "#.##%"), TEXT((D53 - C53) / C53, "#.##%")))</f>
        <v/>
      </c>
    </row>
    <row r="54">
      <c r="B54" s="9">
        <f>'Γενικό Αποτέλεσμα'!A141</f>
        <v/>
      </c>
      <c r="C54" s="18">
        <f>'Γενικό Αποτέλεσμα'!AD260</f>
        <v/>
      </c>
      <c r="D54" s="18">
        <f>'Γενικό Αποτέλεσμα'!AA141</f>
        <v/>
      </c>
      <c r="E54" s="18">
        <f>D54-C54</f>
        <v/>
      </c>
      <c r="F54" s="9">
        <f>IF(C54=0, "0%", IF((D54 - C54) / C54 &gt;= 0, "+" &amp; TEXT((D54 - C54) / C54, "#.##%"), TEXT((D54 - C54) / C54, "#.##%")))</f>
        <v/>
      </c>
    </row>
    <row r="55">
      <c r="B55" s="9">
        <f>'Γενικό Αποτέλεσμα'!A142</f>
        <v/>
      </c>
      <c r="C55">
        <f>'Γενικό Αποτέλεσμα'!AD261</f>
        <v/>
      </c>
      <c r="D55">
        <f>'Γενικό Αποτέλεσμα'!AA142</f>
        <v/>
      </c>
      <c r="E55">
        <f>D55-C55</f>
        <v/>
      </c>
      <c r="F55">
        <f>IF(C55=0, "0%", IF((D55 - C55) / C55 &gt;= 0, "+" &amp; TEXT((D55 - C55) / C55, "#.##%"), TEXT((D55 - C55) / C55, "#.##%")))</f>
        <v/>
      </c>
    </row>
    <row r="56" ht="28.5" customHeight="1">
      <c r="B56" s="9">
        <f>'Γενικό Αποτέλεσμα'!A143</f>
        <v/>
      </c>
      <c r="C56">
        <f>'Γενικό Αποτέλεσμα'!AD262</f>
        <v/>
      </c>
      <c r="D56">
        <f>'Γενικό Αποτέλεσμα'!AA143</f>
        <v/>
      </c>
      <c r="E56">
        <f>D56-C56</f>
        <v/>
      </c>
      <c r="F56">
        <f>IF(C56=0, "0%", IF((D56 - C56) / C56 &gt;= 0, "+" &amp; TEXT((D56 - C56) / C56, "#.##%"), TEXT((D56 - C56) / C56, "#.##%")))</f>
        <v/>
      </c>
    </row>
    <row r="57" ht="28.5" customHeight="1">
      <c r="B57" s="9">
        <f>'Γενικό Αποτέλεσμα'!A144</f>
        <v/>
      </c>
      <c r="C57" s="18">
        <f>'Γενικό Αποτέλεσμα'!AD263</f>
        <v/>
      </c>
      <c r="D57" s="18">
        <f>'Γενικό Αποτέλεσμα'!AA144</f>
        <v/>
      </c>
      <c r="E57" s="18">
        <f>D57-C57</f>
        <v/>
      </c>
      <c r="F57" s="9">
        <f>IF(C57=0, "0%", IF((D57 - C57) / C57 &gt;= 0, "+" &amp; TEXT((D57 - C57) / C57, "#.##%"), TEXT((D57 - C57) / C57, "#.##%")))</f>
        <v/>
      </c>
    </row>
    <row r="58">
      <c r="B58" s="9">
        <f>'Γενικό Αποτέλεσμα'!A145</f>
        <v/>
      </c>
      <c r="C58" s="18">
        <f>'Γενικό Αποτέλεσμα'!AD264</f>
        <v/>
      </c>
      <c r="D58" s="18">
        <f>'Γενικό Αποτέλεσμα'!AA145</f>
        <v/>
      </c>
      <c r="E58" s="18">
        <f>D58-C58</f>
        <v/>
      </c>
      <c r="F58" s="9">
        <f>IF(C58=0, "0%", IF((D58 - C58) / C58 &gt;= 0, "+" &amp; TEXT((D58 - C58) / C58, "#.##%"), TEXT((D58 - C58) / C58, "#.##%")))</f>
        <v/>
      </c>
    </row>
    <row r="59" ht="28.5" customHeight="1">
      <c r="B59" s="9">
        <f>'Γενικό Αποτέλεσμα'!A146</f>
        <v/>
      </c>
      <c r="C59" s="18">
        <f>'Γενικό Αποτέλεσμα'!AD265</f>
        <v/>
      </c>
      <c r="D59" s="18">
        <f>'Γενικό Αποτέλεσμα'!AA146</f>
        <v/>
      </c>
      <c r="E59" s="18">
        <f>D59-C59</f>
        <v/>
      </c>
      <c r="F59" s="9">
        <f>IF(C59=0, "0%", IF((D59 - C59) / C59 &gt;= 0, "+" &amp; TEXT((D59 - C59) / C59, "#.##%"), TEXT((D59 - C59) / C59, "#.##%")))</f>
        <v/>
      </c>
    </row>
    <row r="60">
      <c r="B60" s="9">
        <f>'Γενικό Αποτέλεσμα'!A147</f>
        <v/>
      </c>
      <c r="C60" s="18">
        <f>'Γενικό Αποτέλεσμα'!AD266</f>
        <v/>
      </c>
      <c r="D60" s="18">
        <f>'Γενικό Αποτέλεσμα'!AA147</f>
        <v/>
      </c>
      <c r="E60" s="18">
        <f>D60-C60</f>
        <v/>
      </c>
      <c r="F60" s="9">
        <f>IF(C60=0, "0%", IF((D60 - C60) / C60 &gt;= 0, "+" &amp; TEXT((D60 - C60) / C60, "#.##%"), TEXT((D60 - C60) / C60, "#.##%")))</f>
        <v/>
      </c>
    </row>
    <row r="61">
      <c r="B61" s="9">
        <f>'Γενικό Αποτέλεσμα'!A148</f>
        <v/>
      </c>
      <c r="C61" s="18">
        <f>'Γενικό Αποτέλεσμα'!AD267</f>
        <v/>
      </c>
      <c r="D61" s="18">
        <f>'Γενικό Αποτέλεσμα'!AA148</f>
        <v/>
      </c>
      <c r="E61" s="18">
        <f>D61-C61</f>
        <v/>
      </c>
      <c r="F61" s="9">
        <f>IF(C61=0, "0%", IF((D61 - C61) / C61 &gt;= 0, "+" &amp; TEXT((D61 - C61) / C61, "#.##%"), TEXT((D61 - C61) / C61, "#.##%")))</f>
        <v/>
      </c>
    </row>
    <row r="62">
      <c r="B62" s="9">
        <f>'Γενικό Αποτέλεσμα'!A149</f>
        <v/>
      </c>
      <c r="C62" s="18">
        <f>'Γενικό Αποτέλεσμα'!AD268</f>
        <v/>
      </c>
      <c r="D62" s="18">
        <f>'Γενικό Αποτέλεσμα'!AA149</f>
        <v/>
      </c>
      <c r="E62" s="18">
        <f>D62-C62</f>
        <v/>
      </c>
      <c r="F62" s="9">
        <f>IF(C62=0, "0%", IF((D62 - C62) / C62 &gt;= 0, "+" &amp; TEXT((D62 - C62) / C62, "#.##%"), TEXT((D62 - C62) / C62, "#.##%")))</f>
        <v/>
      </c>
    </row>
    <row r="63">
      <c r="B63" s="9">
        <f>'Γενικό Αποτέλεσμα'!A150</f>
        <v/>
      </c>
      <c r="C63" s="18">
        <f>'Γενικό Αποτέλεσμα'!AD269</f>
        <v/>
      </c>
      <c r="D63" s="18">
        <f>'Γενικό Αποτέλεσμα'!AA150</f>
        <v/>
      </c>
      <c r="E63" s="18">
        <f>D63-C63</f>
        <v/>
      </c>
      <c r="F63" s="9">
        <f>IF(C63=0, "0%", IF((D63 - C63) / C63 &gt;= 0, "+" &amp; TEXT((D63 - C63) / C63, "#.##%"), TEXT((D63 - C63) / C63, "#.##%")))</f>
        <v/>
      </c>
    </row>
    <row r="64">
      <c r="B64" s="9">
        <f>'Γενικό Αποτέλεσμα'!A151</f>
        <v/>
      </c>
      <c r="C64" s="18">
        <f>'Γενικό Αποτέλεσμα'!AD270</f>
        <v/>
      </c>
      <c r="D64" s="18">
        <f>'Γενικό Αποτέλεσμα'!AA151</f>
        <v/>
      </c>
      <c r="E64" s="18">
        <f>D64-C64</f>
        <v/>
      </c>
      <c r="F64" s="9">
        <f>IF(C64=0, "0%", IF((D64 - C64) / C64 &gt;= 0, "+" &amp; TEXT((D64 - C64) / C64, "#.##%"), TEXT((D64 - C64) / C64, "#.##%")))</f>
        <v/>
      </c>
    </row>
    <row r="65">
      <c r="B65" s="9" t="inlineStr">
        <is>
          <t>Σύνολα</t>
        </is>
      </c>
      <c r="C65" s="18">
        <f>SUM(C35:C62)</f>
        <v/>
      </c>
      <c r="D65" s="18">
        <f>SUM(D35:D62)</f>
        <v/>
      </c>
      <c r="E65" s="18">
        <f>SUM(E35:E62)</f>
        <v/>
      </c>
      <c r="F65" s="9">
        <f>IF(C65=0, "0%", IF((D65 - C65) / C65 &gt;= 0, "+" &amp; TEXT((D65 - C65) / C65, "#.##%"), TEXT((D65 - C65) / C65, "#.##%")))</f>
        <v/>
      </c>
      <c r="G65" t="inlineStr">
        <is>
          <t>&lt;- Διαφορά %</t>
        </is>
      </c>
    </row>
    <row r="66">
      <c r="B66" s="9" t="n"/>
    </row>
    <row r="67"/>
    <row r="68"/>
    <row r="69"/>
    <row r="70">
      <c r="B70" s="48" t="inlineStr">
        <is>
          <t>Κατηγορία εξόδου / Κόστος sales / mareketing</t>
        </is>
      </c>
      <c r="C70" s="49" t="inlineStr">
        <is>
          <t>Εξοδα 2024</t>
        </is>
      </c>
      <c r="D70" s="48" t="inlineStr">
        <is>
          <t>Εξοδα 2026</t>
        </is>
      </c>
      <c r="E70" s="48" t="inlineStr">
        <is>
          <t>Διαφορα</t>
        </is>
      </c>
      <c r="F70" s="51" t="inlineStr">
        <is>
          <t>Διαφορα %</t>
        </is>
      </c>
    </row>
    <row r="71">
      <c r="B71" s="45">
        <f>'Γενικό Αποτέλεσμα'!A121</f>
        <v/>
      </c>
      <c r="C71" s="36">
        <f>'Γενικό Αποτέλεσμα'!AD277</f>
        <v/>
      </c>
      <c r="D71" s="36">
        <f>'Γενικό Αποτέλεσμα'!AA121</f>
        <v/>
      </c>
      <c r="E71" s="36">
        <f>D71-C71</f>
        <v/>
      </c>
      <c r="F71" s="44">
        <f>IF(C71=0, "0%", IF((D71 - C71) / C71 &gt;= 0, "+" &amp; TEXT((D71 - C71) / C71, "#.##%"), TEXT((D71 - C71) / C71, "#.##%")))</f>
        <v/>
      </c>
    </row>
    <row r="72">
      <c r="B72" s="45">
        <f>'Γενικό Αποτέλεσμα'!A122</f>
        <v/>
      </c>
      <c r="C72" s="36">
        <f>'Γενικό Αποτέλεσμα'!AD278</f>
        <v/>
      </c>
      <c r="D72" s="36">
        <f>'Γενικό Αποτέλεσμα'!AA122</f>
        <v/>
      </c>
      <c r="E72" s="36">
        <f>D72-C72</f>
        <v/>
      </c>
      <c r="F72" s="44">
        <f>IF(C72=0, "0%", IF((D72 - C72) / C72 &gt;= 0, "+" &amp; TEXT((D72 - C72) / C72, "#.##%"), TEXT((D72 - C72) / C72, "#.##%")))</f>
        <v/>
      </c>
    </row>
    <row r="73">
      <c r="B73" s="45">
        <f>'Γενικό Αποτέλεσμα'!A159</f>
        <v/>
      </c>
      <c r="C73" s="36">
        <f>'Γενικό Αποτέλεσμα'!AD279</f>
        <v/>
      </c>
      <c r="D73" s="36">
        <f>'Γενικό Αποτέλεσμα'!AA159</f>
        <v/>
      </c>
      <c r="E73" s="36">
        <f>D73-C73</f>
        <v/>
      </c>
      <c r="F73" s="44">
        <f>IF(C73=0, "0%", IF((D73 - C73) / C73 &gt;= 0, "+" &amp; TEXT((D73 - C73) / C73, "#.##%"), TEXT((D73 - C73) / C73, "#.##%")))</f>
        <v/>
      </c>
    </row>
    <row r="74">
      <c r="B74" s="45">
        <f>'Γενικό Αποτέλεσμα'!A160</f>
        <v/>
      </c>
      <c r="C74" s="36">
        <f>'Γενικό Αποτέλεσμα'!AD280</f>
        <v/>
      </c>
      <c r="D74" s="36">
        <f>'Γενικό Αποτέλεσμα'!AA160</f>
        <v/>
      </c>
      <c r="E74" s="36">
        <f>D74-C74</f>
        <v/>
      </c>
      <c r="F74" s="44">
        <f>IF(C74=0, "0%", IF((D74 - C74) / C74 &gt;= 0, "+" &amp; TEXT((D74 - C74) / C74, "#.##%"), TEXT((D74 - C74) / C74, "#.##%")))</f>
        <v/>
      </c>
    </row>
    <row r="75">
      <c r="B75" s="45">
        <f>'Γενικό Αποτέλεσμα'!A126</f>
        <v/>
      </c>
      <c r="C75" s="36">
        <f>'Γενικό Αποτέλεσμα'!AD281</f>
        <v/>
      </c>
      <c r="D75" s="36">
        <f>'Γενικό Αποτέλεσμα'!AA126</f>
        <v/>
      </c>
      <c r="E75" s="36">
        <f>D75-C75</f>
        <v/>
      </c>
      <c r="F75" s="44">
        <f>IF(C75=0, "0%", IF((D75 - C75) / C75 &gt;= 0, "+" &amp; TEXT((D75 - C75) / C75, "#.##%"), TEXT((D75 - C75) / C75, "#.##%")))</f>
        <v/>
      </c>
    </row>
    <row r="76">
      <c r="B76" s="45">
        <f>'Γενικό Αποτέλεσμα'!A127</f>
        <v/>
      </c>
      <c r="C76" s="36">
        <f>'Γενικό Αποτέλεσμα'!AD282</f>
        <v/>
      </c>
      <c r="D76" s="36">
        <f>'Γενικό Αποτέλεσμα'!AA127</f>
        <v/>
      </c>
      <c r="E76" s="36">
        <f>D76-C76</f>
        <v/>
      </c>
      <c r="F76" s="44">
        <f>IF(C76=0, "0%", IF((D76 - C76) / C76 &gt;= 0, "+" &amp; TEXT((D76 - C76) / C76, "#.##%"), TEXT((D76 - C76) / C76, "#.##%")))</f>
        <v/>
      </c>
    </row>
    <row r="77">
      <c r="B77" s="45">
        <f>'Γενικό Αποτέλεσμα'!A161</f>
        <v/>
      </c>
      <c r="C77" s="36">
        <f>'Γενικό Αποτέλεσμα'!AD283</f>
        <v/>
      </c>
      <c r="D77" s="36">
        <f>'Γενικό Αποτέλεσμα'!AA161</f>
        <v/>
      </c>
      <c r="E77" s="36">
        <f>D77-C77</f>
        <v/>
      </c>
      <c r="F77" s="44">
        <f>IF(C77=0, "0%", IF((D77 - C77) / C77 &gt;= 0, "+" &amp; TEXT((D77 - C77) / C77, "#.##%"), TEXT((D77 - C77) / C77, "#.##%")))</f>
        <v/>
      </c>
    </row>
    <row r="78">
      <c r="B78" s="45">
        <f>'Γενικό Αποτέλεσμα'!A162</f>
        <v/>
      </c>
      <c r="C78" s="36">
        <f>'Γενικό Αποτέλεσμα'!AD284</f>
        <v/>
      </c>
      <c r="D78" s="36">
        <f>'Γενικό Αποτέλεσμα'!AA162</f>
        <v/>
      </c>
      <c r="E78" s="36">
        <f>D78-C78</f>
        <v/>
      </c>
      <c r="F78" s="44">
        <f>IF(C78=0, "0%", IF((D78 - C78) / C78 &gt;= 0, "+" &amp; TEXT((D78 - C78) / C78, "#.##%"), TEXT((D78 - C78) / C78, "#.##%")))</f>
        <v/>
      </c>
    </row>
    <row r="79">
      <c r="B79" s="45">
        <f>'Γενικό Αποτέλεσμα'!A163</f>
        <v/>
      </c>
      <c r="C79" s="36">
        <f>'Γενικό Αποτέλεσμα'!AD285</f>
        <v/>
      </c>
      <c r="D79" s="36">
        <f>'Γενικό Αποτέλεσμα'!AA163</f>
        <v/>
      </c>
      <c r="E79" s="36">
        <f>D79-C79</f>
        <v/>
      </c>
      <c r="F79" s="44">
        <f>IF(C79=0, "0%", IF((D79 - C79) / C79 &gt;= 0, "+" &amp; TEXT((D79 - C79) / C79, "#.##%"), TEXT((D79 - C79) / C79, "#.##%")))</f>
        <v/>
      </c>
    </row>
    <row r="80">
      <c r="B80" s="45">
        <f>'Γενικό Αποτέλεσμα'!A164</f>
        <v/>
      </c>
      <c r="C80" s="36">
        <f>'Γενικό Αποτέλεσμα'!AD286</f>
        <v/>
      </c>
      <c r="D80" s="36">
        <f>'Γενικό Αποτέλεσμα'!AA164</f>
        <v/>
      </c>
      <c r="E80" s="36">
        <f>D80-C80</f>
        <v/>
      </c>
      <c r="F80" s="44">
        <f>IF(C80=0, "0%", IF((D80 - C80) / C80 &gt;= 0, "+" &amp; TEXT((D80 - C80) / C80, "#.##%"), TEXT((D80 - C80) / C80, "#.##%")))</f>
        <v/>
      </c>
    </row>
    <row r="81">
      <c r="B81" s="45">
        <f>'Γενικό Αποτέλεσμα'!A165</f>
        <v/>
      </c>
      <c r="C81" s="36">
        <f>'Γενικό Αποτέλεσμα'!AD287</f>
        <v/>
      </c>
      <c r="D81" s="36">
        <f>'Γενικό Αποτέλεσμα'!AA165</f>
        <v/>
      </c>
      <c r="E81" s="36">
        <f>D81-C81</f>
        <v/>
      </c>
      <c r="F81" s="44">
        <f>IF(C81=0, "0%", IF((D81 - C81) / C81 &gt;= 0, "+" &amp; TEXT((D81 - C81) / C81, "#.##%"), TEXT((D81 - C81) / C81, "#.##%")))</f>
        <v/>
      </c>
    </row>
    <row r="82">
      <c r="B82" s="45">
        <f>'Γενικό Αποτέλεσμα'!A166</f>
        <v/>
      </c>
      <c r="C82" s="36">
        <f>'Γενικό Αποτέλεσμα'!AD288</f>
        <v/>
      </c>
      <c r="D82" s="36">
        <f>'Γενικό Αποτέλεσμα'!AA166</f>
        <v/>
      </c>
      <c r="E82" s="36">
        <f>D82-C82</f>
        <v/>
      </c>
      <c r="F82" s="44">
        <f>IF(C82=0, "0%", IF((D82 - C82) / C82 &gt;= 0, "+" &amp; TEXT((D82 - C82) / C82, "#.##%"), TEXT((D82 - C82) / C82, "#.##%")))</f>
        <v/>
      </c>
    </row>
    <row r="83">
      <c r="B83" s="45">
        <f>'Γενικό Αποτέλεσμα'!A167</f>
        <v/>
      </c>
      <c r="C83" s="36">
        <f>'Γενικό Αποτέλεσμα'!AD289</f>
        <v/>
      </c>
      <c r="D83" s="36">
        <f>'Γενικό Αποτέλεσμα'!AA167</f>
        <v/>
      </c>
      <c r="E83" s="36">
        <f>D83-C83</f>
        <v/>
      </c>
      <c r="F83" s="44">
        <f>IF(C83=0, "0%", IF((D83 - C83) / C83 &gt;= 0, "+" &amp; TEXT((D83 - C83) / C83, "#.##%"), TEXT((D83 - C83) / C83, "#.##%")))</f>
        <v/>
      </c>
    </row>
    <row r="84">
      <c r="B84" s="45">
        <f>'Γενικό Αποτέλεσμα'!A168</f>
        <v/>
      </c>
      <c r="C84" s="36">
        <f>'Γενικό Αποτέλεσμα'!AD290</f>
        <v/>
      </c>
      <c r="D84" s="36">
        <f>'Γενικό Αποτέλεσμα'!AA168</f>
        <v/>
      </c>
      <c r="E84" s="36">
        <f>D84-C84</f>
        <v/>
      </c>
      <c r="F84" s="44">
        <f>IF(C84=0, "0%", IF((D84 - C84) / C84 &gt;= 0, "+" &amp; TEXT((D84 - C84) / C84, "#.##%"), TEXT((D84 - C84) / C84, "#.##%")))</f>
        <v/>
      </c>
    </row>
    <row r="85">
      <c r="B85" s="45">
        <f>'Γενικό Αποτέλεσμα'!A169</f>
        <v/>
      </c>
      <c r="C85" s="36">
        <f>'Γενικό Αποτέλεσμα'!AD291</f>
        <v/>
      </c>
      <c r="D85" s="36">
        <f>'Γενικό Αποτέλεσμα'!AA169</f>
        <v/>
      </c>
      <c r="E85" s="36">
        <f>D85-C85</f>
        <v/>
      </c>
      <c r="F85" s="44">
        <f>IF(C85=0, "0%", IF((D85 - C85) / C85 &gt;= 0, "+" &amp; TEXT((D85 - C85) / C85, "#.##%"), TEXT((D85 - C85) / C85, "#.##%")))</f>
        <v/>
      </c>
    </row>
    <row r="86">
      <c r="B86" s="45">
        <f>'Γενικό Αποτέλεσμα'!A170</f>
        <v/>
      </c>
      <c r="C86" s="36">
        <f>'Γενικό Αποτέλεσμα'!AD292</f>
        <v/>
      </c>
      <c r="D86" s="36">
        <f>'Γενικό Αποτέλεσμα'!AA170</f>
        <v/>
      </c>
      <c r="E86" s="36">
        <f>D86-C86</f>
        <v/>
      </c>
      <c r="F86" s="44">
        <f>IF(C86=0, "0%", IF((D86 - C86) / C86 &gt;= 0, "+" &amp; TEXT((D86 - C86) / C86, "#.##%"), TEXT((D86 - C86) / C86, "#.##%")))</f>
        <v/>
      </c>
    </row>
    <row r="87">
      <c r="B87" s="45">
        <f>'Γενικό Αποτέλεσμα'!A171</f>
        <v/>
      </c>
      <c r="C87" s="36">
        <f>'Γενικό Αποτέλεσμα'!AD293</f>
        <v/>
      </c>
      <c r="D87" s="36">
        <f>'Γενικό Αποτέλεσμα'!AA171</f>
        <v/>
      </c>
      <c r="E87" s="36">
        <f>D87-C87</f>
        <v/>
      </c>
      <c r="F87" s="44">
        <f>IF(C87=0, "0%", IF((D87 - C87) / C87 &gt;= 0, "+" &amp; TEXT((D87 - C87) / C87, "#.##%"), TEXT((D87 - C87) / C87, "#.##%")))</f>
        <v/>
      </c>
    </row>
    <row r="88">
      <c r="B88" s="45">
        <f>'Γενικό Αποτέλεσμα'!A172</f>
        <v/>
      </c>
      <c r="C88" s="36">
        <f>'Γενικό Αποτέλεσμα'!AD294</f>
        <v/>
      </c>
      <c r="D88" s="36">
        <f>'Γενικό Αποτέλεσμα'!AA172</f>
        <v/>
      </c>
      <c r="E88" s="36">
        <f>D88-C88</f>
        <v/>
      </c>
      <c r="F88" s="44">
        <f>IF(C88=0, "0%", IF((D88 - C88) / C88 &gt;= 0, "+" &amp; TEXT((D88 - C88) / C88, "#.##%"), TEXT((D88 - C88) / C88, "#.##%")))</f>
        <v/>
      </c>
    </row>
    <row r="89">
      <c r="B89" s="45">
        <f>'Γενικό Αποτέλεσμα'!A173</f>
        <v/>
      </c>
      <c r="C89" s="36">
        <f>'Γενικό Αποτέλεσμα'!AD295</f>
        <v/>
      </c>
      <c r="D89" s="36">
        <f>'Γενικό Αποτέλεσμα'!AA173</f>
        <v/>
      </c>
      <c r="E89" s="36">
        <f>D89-C89</f>
        <v/>
      </c>
      <c r="F89" s="44">
        <f>IF(C89=0, "0%", IF((D89 - C89) / C89 &gt;= 0, "+" &amp; TEXT((D89 - C89) / C89, "#.##%"), TEXT((D89 - C89) / C89, "#.##%")))</f>
        <v/>
      </c>
    </row>
    <row r="90">
      <c r="B90" s="45">
        <f>'Γενικό Αποτέλεσμα'!A174</f>
        <v/>
      </c>
      <c r="C90" s="36">
        <f>'Γενικό Αποτέλεσμα'!AD296</f>
        <v/>
      </c>
      <c r="D90" s="36">
        <f>'Γενικό Αποτέλεσμα'!AA174</f>
        <v/>
      </c>
      <c r="E90" s="36">
        <f>D90-C90</f>
        <v/>
      </c>
      <c r="F90" s="44">
        <f>IF(C90=0, "0%", IF((D90 - C90) / C90 &gt;= 0, "+" &amp; TEXT((D90 - C90) / C90, "#.##%"), TEXT((D90 - C90) / C90, "#.##%")))</f>
        <v/>
      </c>
    </row>
    <row r="91" ht="28.5" customHeight="1">
      <c r="B91" s="45">
        <f>'Γενικό Αποτέλεσμα'!A175</f>
        <v/>
      </c>
      <c r="C91" s="36">
        <f>'Γενικό Αποτέλεσμα'!AD297</f>
        <v/>
      </c>
      <c r="D91" s="36">
        <f>'Γενικό Αποτέλεσμα'!AA175</f>
        <v/>
      </c>
      <c r="E91" s="36">
        <f>D91-C91</f>
        <v/>
      </c>
      <c r="F91" s="44">
        <f>IF(C91=0, "0%", IF((D91 - C91) / C91 &gt;= 0, "+" &amp; TEXT((D91 - C91) / C91, "#.##%"), TEXT((D91 - C91) / C91, "#.##%")))</f>
        <v/>
      </c>
    </row>
    <row r="92">
      <c r="B92" s="45">
        <f>'Γενικό Αποτέλεσμα'!A176</f>
        <v/>
      </c>
      <c r="C92" s="36">
        <f>'Γενικό Αποτέλεσμα'!AD298</f>
        <v/>
      </c>
      <c r="D92" s="36">
        <f>'Γενικό Αποτέλεσμα'!AA176</f>
        <v/>
      </c>
      <c r="E92" s="36">
        <f>D92-C92</f>
        <v/>
      </c>
      <c r="F92" s="44">
        <f>IF(C92=0, "0%", IF((D92 - C92) / C92 &gt;= 0, "+" &amp; TEXT((D92 - C92) / C92, "#.##%"), TEXT((D92 - C92) / C92, "#.##%")))</f>
        <v/>
      </c>
    </row>
    <row r="93">
      <c r="B93" s="45">
        <f>'Γενικό Αποτέλεσμα'!A177</f>
        <v/>
      </c>
      <c r="C93" s="36">
        <f>'Γενικό Αποτέλεσμα'!AD299</f>
        <v/>
      </c>
      <c r="D93" s="36">
        <f>'Γενικό Αποτέλεσμα'!AA177</f>
        <v/>
      </c>
      <c r="E93" s="36">
        <f>D93-C93</f>
        <v/>
      </c>
      <c r="F93" s="44">
        <f>IF(C93=0, "0%", IF((D93 - C93) / C93 &gt;= 0, "+" &amp; TEXT((D93 - C93) / C93, "#.##%"), TEXT((D93 - C93) / C93, "#.##%")))</f>
        <v/>
      </c>
    </row>
    <row r="94">
      <c r="B94" s="45">
        <f>'Γενικό Αποτέλεσμα'!A178</f>
        <v/>
      </c>
      <c r="C94" s="36">
        <f>'Γενικό Αποτέλεσμα'!AD300</f>
        <v/>
      </c>
      <c r="D94" s="36">
        <f>'Γενικό Αποτέλεσμα'!AA178</f>
        <v/>
      </c>
      <c r="E94" s="36">
        <f>D94-C94</f>
        <v/>
      </c>
      <c r="F94" s="44">
        <f>IF(C94=0, "0%", IF((D94 - C94) / C94 &gt;= 0, "+" &amp; TEXT((D94 - C94) / C94, "#.##%"), TEXT((D94 - C94) / C94, "#.##%")))</f>
        <v/>
      </c>
    </row>
    <row r="95">
      <c r="B95" s="45">
        <f>'Γενικό Αποτέλεσμα'!A179</f>
        <v/>
      </c>
      <c r="C95" s="36">
        <f>'Γενικό Αποτέλεσμα'!AD301</f>
        <v/>
      </c>
      <c r="D95" s="36">
        <f>'Γενικό Αποτέλεσμα'!AA179</f>
        <v/>
      </c>
      <c r="E95" s="36">
        <f>D95-C95</f>
        <v/>
      </c>
      <c r="F95" s="44">
        <f>IF(C95=0, "0%", IF((D95 - C95) / C95 &gt;= 0, "+" &amp; TEXT((D95 - C95) / C95, "#.##%"), TEXT((D95 - C95) / C95, "#.##%")))</f>
        <v/>
      </c>
    </row>
    <row r="96">
      <c r="B96" s="45">
        <f>'Γενικό Αποτέλεσμα'!A180</f>
        <v/>
      </c>
      <c r="C96" s="36">
        <f>'Γενικό Αποτέλεσμα'!AD302</f>
        <v/>
      </c>
      <c r="D96" s="36">
        <f>'Γενικό Αποτέλεσμα'!AA180</f>
        <v/>
      </c>
      <c r="E96" s="36">
        <f>D96-C96</f>
        <v/>
      </c>
      <c r="F96" s="44">
        <f>IF(C96=0, "0%", IF((D96 - C96) / C96 &gt;= 0, "+" &amp; TEXT((D96 - C96) / C96, "#.##%"), TEXT((D96 - C96) / C96, "#.##%")))</f>
        <v/>
      </c>
    </row>
    <row r="97">
      <c r="B97" s="45">
        <f>'Γενικό Αποτέλεσμα'!A181</f>
        <v/>
      </c>
      <c r="C97" s="36">
        <f>'Γενικό Αποτέλεσμα'!AD303</f>
        <v/>
      </c>
      <c r="D97" s="36">
        <f>'Γενικό Αποτέλεσμα'!AA181</f>
        <v/>
      </c>
      <c r="E97" s="36">
        <f>D97-C97</f>
        <v/>
      </c>
      <c r="F97" s="44">
        <f>IF(C97=0, "0%", IF((D97 - C97) / C97 &gt;= 0, "+" &amp; TEXT((D97 - C97) / C97, "#.##%"), TEXT((D97 - C97) / C97, "#.##%")))</f>
        <v/>
      </c>
    </row>
    <row r="98">
      <c r="B98" s="45">
        <f>'Γενικό Αποτέλεσμα'!A182</f>
        <v/>
      </c>
      <c r="C98" s="36">
        <f>'Γενικό Αποτέλεσμα'!AD304</f>
        <v/>
      </c>
      <c r="D98" s="36">
        <f>'Γενικό Αποτέλεσμα'!AA182</f>
        <v/>
      </c>
      <c r="E98" s="36">
        <f>D98-C98</f>
        <v/>
      </c>
      <c r="F98" s="44">
        <f>IF(C98=0, "0%", IF((D98 - C98) / C98 &gt;= 0, "+" &amp; TEXT((D98 - C98) / C98, "#.##%"), TEXT((D98 - C98) / C98, "#.##%")))</f>
        <v/>
      </c>
    </row>
    <row r="99">
      <c r="B99" s="45">
        <f>'Γενικό Αποτέλεσμα'!A183</f>
        <v/>
      </c>
      <c r="C99" s="36">
        <f>'Γενικό Αποτέλεσμα'!AD305</f>
        <v/>
      </c>
      <c r="D99" s="36">
        <f>'Γενικό Αποτέλεσμα'!AA183</f>
        <v/>
      </c>
      <c r="E99" s="36">
        <f>D99-C99</f>
        <v/>
      </c>
      <c r="F99" s="44">
        <f>IF(C99=0, "0%", IF((D99 - C99) / C99 &gt;= 0, "+" &amp; TEXT((D99 - C99) / C99, "#.##%"), TEXT((D99 - C99) / C99, "#.##%")))</f>
        <v/>
      </c>
    </row>
    <row r="100">
      <c r="B100" s="45">
        <f>'Γενικό Αποτέλεσμα'!A184</f>
        <v/>
      </c>
      <c r="C100" s="36">
        <f>'Γενικό Αποτέλεσμα'!AD306</f>
        <v/>
      </c>
      <c r="D100" s="36">
        <f>'Γενικό Αποτέλεσμα'!AA184</f>
        <v/>
      </c>
      <c r="E100" s="36">
        <f>D100-C100</f>
        <v/>
      </c>
      <c r="F100" s="44">
        <f>IF(C100=0, "0%", IF((D100 - C100) / C100 &gt;= 0, "+" &amp; TEXT((D100 - C100) / C100, "#.##%"), TEXT((D100 - C100) / C100, "#.##%")))</f>
        <v/>
      </c>
    </row>
    <row r="101">
      <c r="B101" s="35" t="inlineStr">
        <is>
          <t>Σύνολα</t>
        </is>
      </c>
      <c r="C101" s="36">
        <f>SUM(C71:C99)</f>
        <v/>
      </c>
      <c r="D101" s="36">
        <f>SUM(D71:D99)</f>
        <v/>
      </c>
      <c r="E101" s="36">
        <f>SUM(E71:E99)</f>
        <v/>
      </c>
      <c r="F101" s="44">
        <f>IF(C101=0, "0%", IF((D101 - C101) / C101 &gt;= 0, "+" &amp; TEXT((D101 - C101) / C101, "#.##%"), TEXT((D101 - C101) / C101, "#.##%")))</f>
        <v/>
      </c>
      <c r="G101" t="inlineStr">
        <is>
          <t>&lt;- Διαφορά %</t>
        </is>
      </c>
    </row>
    <row r="102">
      <c r="F102" s="41" t="n"/>
    </row>
    <row r="103">
      <c r="B103" s="48" t="inlineStr">
        <is>
          <t xml:space="preserve">Κατηγορία εξόδου / ΚΟΣΤΟΣ ΔΙΟΙΙΚΗΣΗΣ ΜΗΝΟΣ </t>
        </is>
      </c>
      <c r="C103" s="49" t="inlineStr">
        <is>
          <t>Εξοδα 2024</t>
        </is>
      </c>
      <c r="D103" s="48" t="inlineStr">
        <is>
          <t>Εξοδα 2026</t>
        </is>
      </c>
      <c r="E103" s="48" t="inlineStr">
        <is>
          <t>Διαφορα</t>
        </is>
      </c>
      <c r="F103" s="51" t="inlineStr">
        <is>
          <t>Διαφορα %</t>
        </is>
      </c>
    </row>
    <row r="104">
      <c r="B104" s="44">
        <f>'Γενικό Αποτέλεσμα'!A191</f>
        <v/>
      </c>
      <c r="C104" s="36">
        <f>'Γενικό Αποτέλεσμα'!AD313</f>
        <v/>
      </c>
      <c r="D104" s="36">
        <f>'Γενικό Αποτέλεσμα'!AA191</f>
        <v/>
      </c>
      <c r="E104" s="36">
        <f>D104-C104</f>
        <v/>
      </c>
      <c r="F104" s="44">
        <f>IF(C104=0, "0%", IF((D104 - C104) / C104 &gt;= 0, "+" &amp; TEXT((D104 - C104) / C104, "#.##%"), TEXT((D104 - C104) / C104, "#.##%")))</f>
        <v/>
      </c>
    </row>
    <row r="105">
      <c r="B105" s="44">
        <f>'Γενικό Αποτέλεσμα'!A192</f>
        <v/>
      </c>
      <c r="C105" s="36">
        <f>'Γενικό Αποτέλεσμα'!AD314</f>
        <v/>
      </c>
      <c r="D105" s="36">
        <f>'Γενικό Αποτέλεσμα'!AA192</f>
        <v/>
      </c>
      <c r="E105" s="36">
        <f>D105-C105</f>
        <v/>
      </c>
      <c r="F105" s="44">
        <f>IF(C105=0, "0%", IF((D105 - C105) / C105 &gt;= 0, "+" &amp; TEXT((D105 - C105) / C105, "#.##%"), TEXT((D105 - C105) / C105, "#.##%")))</f>
        <v/>
      </c>
    </row>
    <row r="106">
      <c r="B106" s="44">
        <f>'Γενικό Αποτέλεσμα'!A193</f>
        <v/>
      </c>
      <c r="C106" s="36">
        <f>'Γενικό Αποτέλεσμα'!AD315</f>
        <v/>
      </c>
      <c r="D106" s="36">
        <f>'Γενικό Αποτέλεσμα'!AA193</f>
        <v/>
      </c>
      <c r="E106" s="36">
        <f>D106-C106</f>
        <v/>
      </c>
      <c r="F106" s="44">
        <f>IF(C106=0, "0%", IF((D106 - C106) / C106 &gt;= 0, "+" &amp; TEXT((D106 - C106) / C106, "#.##%"), TEXT((D106 - C106) / C106, "#.##%")))</f>
        <v/>
      </c>
    </row>
    <row r="107">
      <c r="B107" s="44">
        <f>'Γενικό Αποτέλεσμα'!A194</f>
        <v/>
      </c>
      <c r="C107" s="36">
        <f>'Γενικό Αποτέλεσμα'!AD316</f>
        <v/>
      </c>
      <c r="D107" s="36">
        <f>'Γενικό Αποτέλεσμα'!AA194</f>
        <v/>
      </c>
      <c r="E107" s="36">
        <f>D107-C107</f>
        <v/>
      </c>
      <c r="F107" s="44">
        <f>IF(C107=0, "0%", IF((D107 - C107) / C107 &gt;= 0, "+" &amp; TEXT((D107 - C107) / C107, "#.##%"), TEXT((D107 - C107) / C107, "#.##%")))</f>
        <v/>
      </c>
    </row>
    <row r="108">
      <c r="B108" s="44">
        <f>'Γενικό Αποτέλεσμα'!A195</f>
        <v/>
      </c>
      <c r="C108" s="36">
        <f>'Γενικό Αποτέλεσμα'!AD317</f>
        <v/>
      </c>
      <c r="D108" s="36">
        <f>'Γενικό Αποτέλεσμα'!AA195</f>
        <v/>
      </c>
      <c r="E108" s="36">
        <f>D108-C108</f>
        <v/>
      </c>
      <c r="F108" s="44">
        <f>IF(C108=0, "0%", IF((D108 - C108) / C108 &gt;= 0, "+" &amp; TEXT((D108 - C108) / C108, "#.##%"), TEXT((D108 - C108) / C108, "#.##%")))</f>
        <v/>
      </c>
    </row>
    <row r="109">
      <c r="B109" s="44">
        <f>'Γενικό Αποτέλεσμα'!A196</f>
        <v/>
      </c>
      <c r="C109" s="36">
        <f>'Γενικό Αποτέλεσμα'!AD318</f>
        <v/>
      </c>
      <c r="D109" s="36">
        <f>'Γενικό Αποτέλεσμα'!AA196</f>
        <v/>
      </c>
      <c r="E109" s="36">
        <f>D109-C109</f>
        <v/>
      </c>
      <c r="F109" s="44">
        <f>IF(C109=0, "0%", IF((D109 - C109) / C109 &gt;= 0, "+" &amp; TEXT((D109 - C109) / C109, "#.##%"), TEXT((D109 - C109) / C109, "#.##%")))</f>
        <v/>
      </c>
    </row>
    <row r="110">
      <c r="B110" s="44">
        <f>'Γενικό Αποτέλεσμα'!A197</f>
        <v/>
      </c>
      <c r="C110" s="36">
        <f>'Γενικό Αποτέλεσμα'!AD319</f>
        <v/>
      </c>
      <c r="D110" s="36">
        <f>'Γενικό Αποτέλεσμα'!AA197</f>
        <v/>
      </c>
      <c r="E110" s="36">
        <f>D110-C110</f>
        <v/>
      </c>
      <c r="F110" s="44">
        <f>IF(C110=0, "0%", IF((D110 - C110) / C110 &gt;= 0, "+" &amp; TEXT((D110 - C110) / C110, "#.##%"), TEXT((D110 - C110) / C110, "#.##%")))</f>
        <v/>
      </c>
    </row>
    <row r="111">
      <c r="B111" s="44">
        <f>'Γενικό Αποτέλεσμα'!A198</f>
        <v/>
      </c>
      <c r="C111" s="36">
        <f>'Γενικό Αποτέλεσμα'!AD320</f>
        <v/>
      </c>
      <c r="D111" s="36">
        <f>'Γενικό Αποτέλεσμα'!AA198</f>
        <v/>
      </c>
      <c r="E111" s="36">
        <f>D111-C111</f>
        <v/>
      </c>
      <c r="F111" s="44">
        <f>IF(C111=0, "0%", IF((D111 - C111) / C111 &gt;= 0, "+" &amp; TEXT((D111 - C111) / C111, "#.##%"), TEXT((D111 - C111) / C111, "#.##%")))</f>
        <v/>
      </c>
    </row>
    <row r="112">
      <c r="B112" s="44">
        <f>'Γενικό Αποτέλεσμα'!A199</f>
        <v/>
      </c>
      <c r="C112" s="36">
        <f>'Γενικό Αποτέλεσμα'!AD321</f>
        <v/>
      </c>
      <c r="D112" s="36">
        <f>'Γενικό Αποτέλεσμα'!AA199</f>
        <v/>
      </c>
      <c r="E112" s="36">
        <f>D112-C112</f>
        <v/>
      </c>
      <c r="F112" s="44">
        <f>IF(C112=0, "0%", IF((D112 - C112) / C112 &gt;= 0, "+" &amp; TEXT((D112 - C112) / C112, "#.##%"), TEXT((D112 - C112) / C112, "#.##%")))</f>
        <v/>
      </c>
    </row>
    <row r="113">
      <c r="B113" s="44">
        <f>'Γενικό Αποτέλεσμα'!A200</f>
        <v/>
      </c>
      <c r="C113" s="36">
        <f>'Γενικό Αποτέλεσμα'!AD322</f>
        <v/>
      </c>
      <c r="D113" s="36">
        <f>'Γενικό Αποτέλεσμα'!AA200</f>
        <v/>
      </c>
      <c r="E113" s="36">
        <f>D113-C113</f>
        <v/>
      </c>
      <c r="F113" s="44">
        <f>IF(C113=0, "0%", IF((D113 - C113) / C113 &gt;= 0, "+" &amp; TEXT((D113 - C113) / C113, "#.##%"), TEXT((D113 - C113) / C113, "#.##%")))</f>
        <v/>
      </c>
    </row>
    <row r="114">
      <c r="B114" s="44">
        <f>'Γενικό Αποτέλεσμα'!A201</f>
        <v/>
      </c>
      <c r="C114" s="36">
        <f>'Γενικό Αποτέλεσμα'!AD323</f>
        <v/>
      </c>
      <c r="D114" s="36">
        <f>'Γενικό Αποτέλεσμα'!AA201</f>
        <v/>
      </c>
      <c r="E114" s="36">
        <f>D114-C114</f>
        <v/>
      </c>
      <c r="F114" s="44">
        <f>IF(C114=0, "0%", IF((D114 - C114) / C114 &gt;= 0, "+" &amp; TEXT((D114 - C114) / C114, "#.##%"), TEXT((D114 - C114) / C114, "#.##%")))</f>
        <v/>
      </c>
    </row>
    <row r="115">
      <c r="B115" s="44">
        <f>'Γενικό Αποτέλεσμα'!A202</f>
        <v/>
      </c>
      <c r="C115" s="36">
        <f>'Γενικό Αποτέλεσμα'!AD324</f>
        <v/>
      </c>
      <c r="D115" s="36">
        <f>'Γενικό Αποτέλεσμα'!AA202</f>
        <v/>
      </c>
      <c r="E115" s="36">
        <f>D115-C115</f>
        <v/>
      </c>
      <c r="F115" s="44">
        <f>IF(C115=0, "0%", IF((D115 - C115) / C115 &gt;= 0, "+" &amp; TEXT((D115 - C115) / C115, "#.##%"), TEXT((D115 - C115) / C115, "#.##%")))</f>
        <v/>
      </c>
    </row>
    <row r="116">
      <c r="B116" s="44">
        <f>'Γενικό Αποτέλεσμα'!A203</f>
        <v/>
      </c>
      <c r="C116" s="36">
        <f>'Γενικό Αποτέλεσμα'!AD325</f>
        <v/>
      </c>
      <c r="D116" s="36">
        <f>'Γενικό Αποτέλεσμα'!AA203</f>
        <v/>
      </c>
      <c r="E116" s="36">
        <f>D116-C116</f>
        <v/>
      </c>
      <c r="F116" s="44">
        <f>IF(C116=0, "0%", IF((D116 - C116) / C116 &gt;= 0, "+" &amp; TEXT((D116 - C116) / C116, "#.##%"), TEXT((D116 - C116) / C116, "#.##%")))</f>
        <v/>
      </c>
    </row>
    <row r="117">
      <c r="B117" s="44">
        <f>'Γενικό Αποτέλεσμα'!A204</f>
        <v/>
      </c>
      <c r="C117" s="36">
        <f>'Γενικό Αποτέλεσμα'!AD326</f>
        <v/>
      </c>
      <c r="D117" s="36">
        <f>'Γενικό Αποτέλεσμα'!AA204</f>
        <v/>
      </c>
      <c r="E117" s="36">
        <f>D117-C117</f>
        <v/>
      </c>
      <c r="F117" s="44">
        <f>IF(C117=0, "0%", IF((D117 - C117) / C117 &gt;= 0, "+" &amp; TEXT((D117 - C117) / C117, "#.##%"), TEXT((D117 - C117) / C117, "#.##%")))</f>
        <v/>
      </c>
    </row>
    <row r="118">
      <c r="B118" s="44">
        <f>'Γενικό Αποτέλεσμα'!A205</f>
        <v/>
      </c>
      <c r="C118" s="36">
        <f>'Γενικό Αποτέλεσμα'!AD327</f>
        <v/>
      </c>
      <c r="D118" s="36">
        <f>'Γενικό Αποτέλεσμα'!AA205</f>
        <v/>
      </c>
      <c r="E118" s="36">
        <f>D118-C118</f>
        <v/>
      </c>
      <c r="F118" s="44">
        <f>IF(C118=0, "0%", IF((D118 - C118) / C118 &gt;= 0, "+" &amp; TEXT((D118 - C118) / C118, "#.##%"), TEXT((D118 - C118) / C118, "#.##%")))</f>
        <v/>
      </c>
    </row>
    <row r="119">
      <c r="B119" s="44">
        <f>'Γενικό Αποτέλεσμα'!A206</f>
        <v/>
      </c>
      <c r="C119" s="36">
        <f>'Γενικό Αποτέλεσμα'!AD328</f>
        <v/>
      </c>
      <c r="D119" s="36">
        <f>'Γενικό Αποτέλεσμα'!AA206</f>
        <v/>
      </c>
      <c r="E119" s="36">
        <f>D119-C119</f>
        <v/>
      </c>
      <c r="F119" s="44">
        <f>IF(C119=0, "0%", IF((D119 - C119) / C119 &gt;= 0, "+" &amp; TEXT((D119 - C119) / C119, "#.##%"), TEXT((D119 - C119) / C119, "#.##%")))</f>
        <v/>
      </c>
    </row>
    <row r="120">
      <c r="B120" s="44">
        <f>'Γενικό Αποτέλεσμα'!A207</f>
        <v/>
      </c>
      <c r="C120" s="36">
        <f>'Γενικό Αποτέλεσμα'!AD329</f>
        <v/>
      </c>
      <c r="D120" s="36">
        <f>'Γενικό Αποτέλεσμα'!AA207</f>
        <v/>
      </c>
      <c r="E120" s="36">
        <f>D120-C120</f>
        <v/>
      </c>
      <c r="F120" s="44">
        <f>IF(C120=0, "0%", IF((D120 - C120) / C120 &gt;= 0, "+" &amp; TEXT((D120 - C120) / C120, "#.##%"), TEXT((D120 - C120) / C120, "#.##%")))</f>
        <v/>
      </c>
    </row>
    <row r="121">
      <c r="B121" s="44">
        <f>'Γενικό Αποτέλεσμα'!A208</f>
        <v/>
      </c>
      <c r="C121" s="36">
        <f>'Γενικό Αποτέλεσμα'!AD330</f>
        <v/>
      </c>
      <c r="D121" s="36">
        <f>'Γενικό Αποτέλεσμα'!AA208</f>
        <v/>
      </c>
      <c r="E121" s="36">
        <f>D121-C121</f>
        <v/>
      </c>
      <c r="F121" s="44">
        <f>IF(C121=0, "0%", IF((D121 - C121) / C121 &gt;= 0, "+" &amp; TEXT((D121 - C121) / C121, "#.##%"), TEXT((D121 - C121) / C121, "#.##%")))</f>
        <v/>
      </c>
    </row>
    <row r="122">
      <c r="B122" s="44">
        <f>'Γενικό Αποτέλεσμα'!A209</f>
        <v/>
      </c>
      <c r="C122" s="36">
        <f>'Γενικό Αποτέλεσμα'!AD331</f>
        <v/>
      </c>
      <c r="D122" s="36">
        <f>'Γενικό Αποτέλεσμα'!AA209</f>
        <v/>
      </c>
      <c r="E122" s="36">
        <f>D122-C122</f>
        <v/>
      </c>
      <c r="F122" s="44">
        <f>IF(C122=0, "0%", IF((D122 - C122) / C122 &gt;= 0, "+" &amp; TEXT((D122 - C122) / C122, "#.##%"), TEXT((D122 - C122) / C122, "#.##%")))</f>
        <v/>
      </c>
    </row>
    <row r="123">
      <c r="B123" s="44">
        <f>'Γενικό Αποτέλεσμα'!A210</f>
        <v/>
      </c>
      <c r="C123" s="36">
        <f>'Γενικό Αποτέλεσμα'!AD332</f>
        <v/>
      </c>
      <c r="D123" s="36">
        <f>'Γενικό Αποτέλεσμα'!AA210</f>
        <v/>
      </c>
      <c r="E123" s="36">
        <f>D123-C123</f>
        <v/>
      </c>
      <c r="F123" s="44">
        <f>IF(C123=0, "0%", IF((D123 - C123) / C123 &gt;= 0, "+" &amp; TEXT((D123 - C123) / C123, "#.##%"), TEXT((D123 - C123) / C123, "#.##%")))</f>
        <v/>
      </c>
    </row>
    <row r="124">
      <c r="B124" s="44">
        <f>'Γενικό Αποτέλεσμα'!A211</f>
        <v/>
      </c>
      <c r="C124" s="36">
        <f>'Γενικό Αποτέλεσμα'!AD333</f>
        <v/>
      </c>
      <c r="D124" s="36">
        <f>'Γενικό Αποτέλεσμα'!AA211</f>
        <v/>
      </c>
      <c r="E124" s="36">
        <f>D124-C124</f>
        <v/>
      </c>
      <c r="F124" s="44">
        <f>IF(C124=0, "0%", IF((D124 - C124) / C124 &gt;= 0, "+" &amp; TEXT((D124 - C124) / C124, "#.##%"), TEXT((D124 - C124) / C124, "#.##%")))</f>
        <v/>
      </c>
    </row>
    <row r="125">
      <c r="B125" s="44">
        <f>'Γενικό Αποτέλεσμα'!A212</f>
        <v/>
      </c>
      <c r="C125" s="36">
        <f>'Γενικό Αποτέλεσμα'!AD334</f>
        <v/>
      </c>
      <c r="D125" s="36">
        <f>'Γενικό Αποτέλεσμα'!AA212</f>
        <v/>
      </c>
      <c r="E125" s="36">
        <f>D125-C125</f>
        <v/>
      </c>
      <c r="F125" s="44">
        <f>IF(C125=0, "0%", IF((D125 - C125) / C125 &gt;= 0, "+" &amp; TEXT((D125 - C125) / C125, "#.##%"), TEXT((D125 - C125) / C125, "#.##%")))</f>
        <v/>
      </c>
    </row>
    <row r="126">
      <c r="B126" s="44">
        <f>'Γενικό Αποτέλεσμα'!A213</f>
        <v/>
      </c>
      <c r="C126" s="36">
        <f>'Γενικό Αποτέλεσμα'!AD335</f>
        <v/>
      </c>
      <c r="D126" s="36">
        <f>'Γενικό Αποτέλεσμα'!AA213</f>
        <v/>
      </c>
      <c r="E126" s="36">
        <f>D126-C126</f>
        <v/>
      </c>
      <c r="F126" s="44">
        <f>IF(C126=0, "0%", IF((D126 - C126) / C126 &gt;= 0, "+" &amp; TEXT((D126 - C126) / C126, "#.##%"), TEXT((D126 - C126) / C126, "#.##%")))</f>
        <v/>
      </c>
    </row>
    <row r="127">
      <c r="B127" s="44">
        <f>'Γενικό Αποτέλεσμα'!A214</f>
        <v/>
      </c>
      <c r="C127" s="36">
        <f>'Γενικό Αποτέλεσμα'!AD336</f>
        <v/>
      </c>
      <c r="D127" s="36">
        <f>'Γενικό Αποτέλεσμα'!AA214</f>
        <v/>
      </c>
      <c r="E127" s="36">
        <f>D127-C127</f>
        <v/>
      </c>
      <c r="F127" s="44">
        <f>IF(C127=0, "0%", IF((D127 - C127) / C127 &gt;= 0, "+" &amp; TEXT((D127 - C127) / C127, "#.##%"), TEXT((D127 - C127) / C127, "#.##%")))</f>
        <v/>
      </c>
    </row>
    <row r="128">
      <c r="B128" s="44">
        <f>'Γενικό Αποτέλεσμα'!A215</f>
        <v/>
      </c>
      <c r="C128" s="36">
        <f>'Γενικό Αποτέλεσμα'!AD337</f>
        <v/>
      </c>
      <c r="D128" s="36">
        <f>'Γενικό Αποτέλεσμα'!AA215</f>
        <v/>
      </c>
      <c r="E128" s="36">
        <f>D128-C128</f>
        <v/>
      </c>
      <c r="F128" s="44">
        <f>IF(C128=0, "0%", IF((D128 - C128) / C128 &gt;= 0, "+" &amp; TEXT((D128 - C128) / C128, "#.##%"), TEXT((D128 - C128) / C128, "#.##%")))</f>
        <v/>
      </c>
    </row>
    <row r="129">
      <c r="B129" s="44">
        <f>'Γενικό Αποτέλεσμα'!A216</f>
        <v/>
      </c>
      <c r="C129" s="36">
        <f>'Γενικό Αποτέλεσμα'!AD338</f>
        <v/>
      </c>
      <c r="D129" s="36">
        <f>'Γενικό Αποτέλεσμα'!AA216</f>
        <v/>
      </c>
      <c r="E129" s="36">
        <f>D129-C129</f>
        <v/>
      </c>
      <c r="F129" s="44">
        <f>IF(C129=0, "0%", IF((D129 - C129) / C129 &gt;= 0, "+" &amp; TEXT((D129 - C129) / C129, "#.##%"), TEXT((D129 - C129) / C129, "#.##%")))</f>
        <v/>
      </c>
    </row>
    <row r="130" ht="28.5" customHeight="1">
      <c r="B130" s="44">
        <f>'Γενικό Αποτέλεσμα'!A217</f>
        <v/>
      </c>
      <c r="C130" s="36">
        <f>'Γενικό Αποτέλεσμα'!AD339</f>
        <v/>
      </c>
      <c r="D130" s="36">
        <f>'Γενικό Αποτέλεσμα'!AA217</f>
        <v/>
      </c>
      <c r="E130" s="36">
        <f>D130-C130</f>
        <v/>
      </c>
      <c r="F130" s="44">
        <f>IF(C130=0, "0%", IF((D130 - C130) / C130 &gt;= 0, "+" &amp; TEXT((D130 - C130) / C130, "#.##%"), TEXT((D130 - C130) / C130, "#.##%")))</f>
        <v/>
      </c>
    </row>
    <row r="131" ht="28.5" customHeight="1">
      <c r="B131" s="44">
        <f>'Γενικό Αποτέλεσμα'!A218</f>
        <v/>
      </c>
      <c r="C131" s="36">
        <f>'Γενικό Αποτέλεσμα'!AD340</f>
        <v/>
      </c>
      <c r="D131" s="36">
        <f>'Γενικό Αποτέλεσμα'!AA218</f>
        <v/>
      </c>
      <c r="E131" s="36">
        <f>D131-C131</f>
        <v/>
      </c>
      <c r="F131" s="44">
        <f>IF(C131=0, "0%", IF((D131 - C131) / C131 &gt;= 0, "+" &amp; TEXT((D131 - C131) / C131, "#.##%"), TEXT((D131 - C131) / C131, "#.##%")))</f>
        <v/>
      </c>
    </row>
    <row r="132">
      <c r="B132" s="44">
        <f>'Γενικό Αποτέλεσμα'!A219</f>
        <v/>
      </c>
      <c r="C132" s="36">
        <f>'Γενικό Αποτέλεσμα'!AD341</f>
        <v/>
      </c>
      <c r="D132" s="36">
        <f>'Γενικό Αποτέλεσμα'!AA219</f>
        <v/>
      </c>
      <c r="E132" s="36">
        <f>D132-C132</f>
        <v/>
      </c>
      <c r="F132" s="44">
        <f>IF(C132=0, "0%", IF((D132 - C132) / C132 &gt;= 0, "+" &amp; TEXT((D132 - C132) / C132, "#.##%"), TEXT((D132 - C132) / C132, "#.##%")))</f>
        <v/>
      </c>
    </row>
    <row r="133">
      <c r="B133" s="44">
        <f>'Γενικό Αποτέλεσμα'!A220</f>
        <v/>
      </c>
      <c r="C133" s="36">
        <f>'Γενικό Αποτέλεσμα'!AD342</f>
        <v/>
      </c>
      <c r="D133" s="36">
        <f>'Γενικό Αποτέλεσμα'!AA220</f>
        <v/>
      </c>
      <c r="E133" s="36">
        <f>D133-C133</f>
        <v/>
      </c>
      <c r="F133" s="44">
        <f>IF(C133=0, "0%", IF((D133 - C133) / C133 &gt;= 0, "+" &amp; TEXT((D133 - C133) / C133, "#.##%"), TEXT((D133 - C133) / C133, "#.##%")))</f>
        <v/>
      </c>
    </row>
    <row r="134">
      <c r="B134" s="44">
        <f>'Γενικό Αποτέλεσμα'!A221</f>
        <v/>
      </c>
      <c r="C134" s="36">
        <f>'Γενικό Αποτέλεσμα'!AD343</f>
        <v/>
      </c>
      <c r="D134" s="36">
        <f>'Γενικό Αποτέλεσμα'!AA221</f>
        <v/>
      </c>
      <c r="E134" s="36">
        <f>D134-C134</f>
        <v/>
      </c>
      <c r="F134" s="44">
        <f>IF(C134=0, "0%", IF((D134 - C134) / C134 &gt;= 0, "+" &amp; TEXT((D134 - C134) / C134, "#.##%"), TEXT((D134 - C134) / C134, "#.##%")))</f>
        <v/>
      </c>
    </row>
    <row r="135">
      <c r="B135" s="44">
        <f>'Γενικό Αποτέλεσμα'!A222</f>
        <v/>
      </c>
      <c r="C135" s="36">
        <f>'Γενικό Αποτέλεσμα'!AD344</f>
        <v/>
      </c>
      <c r="D135" s="36">
        <f>'Γενικό Αποτέλεσμα'!AA222</f>
        <v/>
      </c>
      <c r="E135" s="36">
        <f>D135-C135</f>
        <v/>
      </c>
      <c r="F135" s="44">
        <f>IF(C135=0, "0%", IF((D135 - C135) / C135 &gt;= 0, "+" &amp; TEXT((D135 - C135) / C135, "#.##%"), TEXT((D135 - C135) / C135, "#.##%")))</f>
        <v/>
      </c>
    </row>
    <row r="136">
      <c r="B136" s="44">
        <f>'Γενικό Αποτέλεσμα'!A223</f>
        <v/>
      </c>
      <c r="C136" s="36">
        <f>'Γενικό Αποτέλεσμα'!AD345</f>
        <v/>
      </c>
      <c r="D136" s="36">
        <f>'Γενικό Αποτέλεσμα'!AA223</f>
        <v/>
      </c>
      <c r="E136" s="36">
        <f>D136-C136</f>
        <v/>
      </c>
      <c r="F136" s="44">
        <f>IF(C136=0, "0%", IF((D136 - C136) / C136 &gt;= 0, "+" &amp; TEXT((D136 - C136) / C136, "#.##%"), TEXT((D136 - C136) / C136, "#.##%")))</f>
        <v/>
      </c>
    </row>
    <row r="137">
      <c r="B137" s="44">
        <f>'Γενικό Αποτέλεσμα'!A224</f>
        <v/>
      </c>
      <c r="C137" s="36">
        <f>'Γενικό Αποτέλεσμα'!AD346</f>
        <v/>
      </c>
      <c r="D137" s="36">
        <f>'Γενικό Αποτέλεσμα'!AA224</f>
        <v/>
      </c>
      <c r="E137" s="36">
        <f>D137-C137</f>
        <v/>
      </c>
      <c r="F137" s="44">
        <f>IF(C137=0, "0%", IF((D137 - C137) / C137 &gt;= 0, "+" &amp; TEXT((D137 - C137) / C137, "#.##%"), TEXT((D137 - C137) / C137, "#.##%")))</f>
        <v/>
      </c>
    </row>
    <row r="138">
      <c r="B138" s="44">
        <f>'Γενικό Αποτέλεσμα'!A225</f>
        <v/>
      </c>
      <c r="C138" s="36">
        <f>'Γενικό Αποτέλεσμα'!AD347</f>
        <v/>
      </c>
      <c r="D138" s="36">
        <f>'Γενικό Αποτέλεσμα'!AA225</f>
        <v/>
      </c>
      <c r="E138" s="36">
        <f>D138-C138</f>
        <v/>
      </c>
      <c r="F138" s="44">
        <f>IF(C138=0, "0%", IF((D138 - C138) / C138 &gt;= 0, "+" &amp; TEXT((D138 - C138) / C138, "#.##%"), TEXT((D138 - C138) / C138, "#.##%")))</f>
        <v/>
      </c>
    </row>
    <row r="139">
      <c r="B139" s="44">
        <f>'Γενικό Αποτέλεσμα'!A226</f>
        <v/>
      </c>
      <c r="C139" s="36">
        <f>'Γενικό Αποτέλεσμα'!AD348</f>
        <v/>
      </c>
      <c r="D139" s="36">
        <f>'Γενικό Αποτέλεσμα'!AA226</f>
        <v/>
      </c>
      <c r="E139" s="36">
        <f>D139-C139</f>
        <v/>
      </c>
      <c r="F139" s="44">
        <f>IF(C139=0, "0%", IF((D139 - C139) / C139 &gt;= 0, "+" &amp; TEXT((D139 - C139) / C139, "#.##%"), TEXT((D139 - C139) / C139, "#.##%")))</f>
        <v/>
      </c>
    </row>
    <row r="140" ht="28.5" customHeight="1">
      <c r="B140" s="44">
        <f>'Γενικό Αποτέλεσμα'!A227</f>
        <v/>
      </c>
      <c r="C140" s="36">
        <f>'Γενικό Αποτέλεσμα'!AD349</f>
        <v/>
      </c>
      <c r="D140" s="36">
        <f>'Γενικό Αποτέλεσμα'!AA227</f>
        <v/>
      </c>
      <c r="E140" s="36">
        <f>D140-C140</f>
        <v/>
      </c>
      <c r="F140" s="44">
        <f>IF(C140=0, "0%", IF((D140 - C140) / C140 &gt;= 0, "+" &amp; TEXT((D140 - C140) / C140, "#.##%"), TEXT((D140 - C140) / C140, "#.##%")))</f>
        <v/>
      </c>
    </row>
    <row r="141">
      <c r="B141" s="44">
        <f>'Γενικό Αποτέλεσμα'!A228</f>
        <v/>
      </c>
      <c r="C141" s="36">
        <f>'Γενικό Αποτέλεσμα'!AD350</f>
        <v/>
      </c>
      <c r="D141" s="36">
        <f>'Γενικό Αποτέλεσμα'!AA228</f>
        <v/>
      </c>
      <c r="E141" s="36">
        <f>D141-C141</f>
        <v/>
      </c>
      <c r="F141" s="44">
        <f>IF(C141=0, "0%", IF((D141 - C141) / C141 &gt;= 0, "+" &amp; TEXT((D141 - C141) / C141, "#.##%"), TEXT((D141 - C141) / C141, "#.##%")))</f>
        <v/>
      </c>
    </row>
    <row r="142">
      <c r="B142" s="44">
        <f>'Γενικό Αποτέλεσμα'!A229</f>
        <v/>
      </c>
      <c r="C142" s="36">
        <f>'Γενικό Αποτέλεσμα'!AD351</f>
        <v/>
      </c>
      <c r="D142" s="36">
        <f>'Γενικό Αποτέλεσμα'!AA229</f>
        <v/>
      </c>
      <c r="E142" s="36">
        <f>D142-C142</f>
        <v/>
      </c>
      <c r="F142" s="44">
        <f>IF(C142=0, "0%", IF((D142 - C142) / C142 &gt;= 0, "+" &amp; TEXT((D142 - C142) / C142, "#.##%"), TEXT((D142 - C142) / C142, "#.##%")))</f>
        <v/>
      </c>
    </row>
    <row r="143">
      <c r="B143" s="44">
        <f>'Γενικό Αποτέλεσμα'!A230</f>
        <v/>
      </c>
      <c r="C143" s="36">
        <f>'Γενικό Αποτέλεσμα'!AD352</f>
        <v/>
      </c>
      <c r="D143" s="36">
        <f>'Γενικό Αποτέλεσμα'!AA230</f>
        <v/>
      </c>
      <c r="E143" s="36">
        <f>D143-C143</f>
        <v/>
      </c>
      <c r="F143" s="44">
        <f>IF(C143=0, "0%", IF((D143 - C143) / C143 &gt;= 0, "+" &amp; TEXT((D143 - C143) / C143, "#.##%"), TEXT((D143 - C143) / C143, "#.##%")))</f>
        <v/>
      </c>
    </row>
    <row r="144">
      <c r="B144" s="46" t="inlineStr">
        <is>
          <t>Σύνολα</t>
        </is>
      </c>
      <c r="C144" s="36">
        <f>SUM(C104:C142)</f>
        <v/>
      </c>
      <c r="D144" s="36">
        <f>SUM(D104:D142)</f>
        <v/>
      </c>
      <c r="E144" s="36">
        <f>SUM(E104:E142)</f>
        <v/>
      </c>
      <c r="F144" s="44">
        <f>IF(C144=0, "0%", IF((D144 - C144) / C144 &gt;= 0, "+" &amp; TEXT((D144 - C144) / C144, "#.##%"), TEXT((D144 - C144) / C144, "#.##%")))</f>
        <v/>
      </c>
      <c r="G144" t="inlineStr">
        <is>
          <t>&lt;- Διαφορά 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Sarantis Paltadakis</dc:creator>
  <dcterms:created xmlns:dcterms="http://purl.org/dc/terms/" xmlns:xsi="http://www.w3.org/2001/XMLSchema-instance" xsi:type="dcterms:W3CDTF">2025-06-03T19:20:20Z</dcterms:created>
  <dcterms:modified xmlns:dcterms="http://purl.org/dc/terms/" xmlns:xsi="http://www.w3.org/2001/XMLSchema-instance" xsi:type="dcterms:W3CDTF">2026-03-25T21:25:11Z</dcterms:modified>
  <cp:lastModifiedBy>Thomas Nioras</cp:lastModifiedBy>
</cp:coreProperties>
</file>