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theofilou\Desktop\ΣΑΡΑΝΤΗΣ\"/>
    </mc:Choice>
  </mc:AlternateContent>
  <xr:revisionPtr revIDLastSave="0" documentId="13_ncr:1_{B1F4C592-B886-414C-A800-2DF761C02BD1}" xr6:coauthVersionLast="47" xr6:coauthVersionMax="47" xr10:uidLastSave="{00000000-0000-0000-0000-000000000000}"/>
  <bookViews>
    <workbookView xWindow="-28920" yWindow="-120" windowWidth="29040" windowHeight="15840" firstSheet="6" activeTab="12" xr2:uid="{00000000-000D-0000-FFFF-FFFF00000000}"/>
  </bookViews>
  <sheets>
    <sheet name="2025 Ιανουάριος" sheetId="1" r:id="rId1"/>
    <sheet name="2025 Φεβρουάριος" sheetId="17" r:id="rId2"/>
    <sheet name="2025 Μάρτιος" sheetId="3" r:id="rId3"/>
    <sheet name="2025 Απρίλιος" sheetId="4" r:id="rId4"/>
    <sheet name="2025 Μάιος" sheetId="5" r:id="rId5"/>
    <sheet name="2025 Ιούνιος" sheetId="6" r:id="rId6"/>
    <sheet name="2025 Ιούλιος" sheetId="7" r:id="rId7"/>
    <sheet name="2025 Aύγουστος" sheetId="8" r:id="rId8"/>
    <sheet name="2025 Σεπτέμβριος" sheetId="9" r:id="rId9"/>
    <sheet name="2025 Οκτώβριος" sheetId="10" r:id="rId10"/>
    <sheet name="2025 Νοέμβριος" sheetId="11" r:id="rId11"/>
    <sheet name="2025 Δεκέμβριος" sheetId="12" r:id="rId12"/>
    <sheet name="Γενικό Αποτέλεσμα" sheetId="13" r:id="rId13"/>
    <sheet name="Διαφορές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" i="3" l="1"/>
  <c r="D54" i="3"/>
  <c r="F54" i="3"/>
  <c r="J54" i="3"/>
  <c r="L54" i="3"/>
  <c r="N54" i="3" s="1"/>
  <c r="E180" i="13"/>
  <c r="E181" i="13"/>
  <c r="E182" i="13"/>
  <c r="E183" i="13"/>
  <c r="E184" i="13"/>
  <c r="L24" i="12"/>
  <c r="N24" i="12" s="1"/>
  <c r="H24" i="12"/>
  <c r="J24" i="12" s="1"/>
  <c r="D24" i="12"/>
  <c r="F24" i="12" s="1"/>
  <c r="C24" i="12"/>
  <c r="L24" i="11"/>
  <c r="N24" i="11" s="1"/>
  <c r="H24" i="11"/>
  <c r="J24" i="11" s="1"/>
  <c r="D24" i="11"/>
  <c r="F24" i="11" s="1"/>
  <c r="C24" i="11"/>
  <c r="L24" i="10"/>
  <c r="N24" i="10" s="1"/>
  <c r="H24" i="10"/>
  <c r="D24" i="10"/>
  <c r="F24" i="10" s="1"/>
  <c r="C24" i="10"/>
  <c r="L24" i="9"/>
  <c r="N24" i="9" s="1"/>
  <c r="H24" i="9"/>
  <c r="J24" i="9" s="1"/>
  <c r="D24" i="9"/>
  <c r="F24" i="9" s="1"/>
  <c r="C24" i="9"/>
  <c r="L24" i="8"/>
  <c r="N24" i="8" s="1"/>
  <c r="H24" i="8"/>
  <c r="D24" i="8"/>
  <c r="F24" i="8" s="1"/>
  <c r="C24" i="8"/>
  <c r="L24" i="7"/>
  <c r="N24" i="7" s="1"/>
  <c r="H24" i="7"/>
  <c r="J24" i="7" s="1"/>
  <c r="D24" i="7"/>
  <c r="F24" i="7" s="1"/>
  <c r="C24" i="7"/>
  <c r="L24" i="6"/>
  <c r="N24" i="6" s="1"/>
  <c r="H24" i="6"/>
  <c r="J24" i="6" s="1"/>
  <c r="D24" i="6"/>
  <c r="C24" i="6"/>
  <c r="L24" i="5"/>
  <c r="J24" i="5"/>
  <c r="H24" i="5"/>
  <c r="D24" i="5"/>
  <c r="F24" i="5" s="1"/>
  <c r="C24" i="5"/>
  <c r="L24" i="4"/>
  <c r="N24" i="4" s="1"/>
  <c r="H24" i="4"/>
  <c r="J24" i="4" s="1"/>
  <c r="D24" i="4"/>
  <c r="F24" i="4" s="1"/>
  <c r="C24" i="4"/>
  <c r="L24" i="3"/>
  <c r="N24" i="3" s="1"/>
  <c r="H24" i="3"/>
  <c r="D24" i="3"/>
  <c r="C24" i="3"/>
  <c r="N24" i="17"/>
  <c r="L24" i="17"/>
  <c r="H24" i="17"/>
  <c r="J24" i="17" s="1"/>
  <c r="D24" i="17"/>
  <c r="F24" i="17" s="1"/>
  <c r="C24" i="17"/>
  <c r="P24" i="10" l="1"/>
  <c r="Q54" i="3"/>
  <c r="P24" i="17"/>
  <c r="Q24" i="17"/>
  <c r="P24" i="12"/>
  <c r="Q24" i="12"/>
  <c r="P24" i="11"/>
  <c r="Q24" i="11"/>
  <c r="Q24" i="10"/>
  <c r="J24" i="10"/>
  <c r="P24" i="9"/>
  <c r="Q24" i="9"/>
  <c r="P24" i="8"/>
  <c r="Q24" i="8"/>
  <c r="J24" i="8"/>
  <c r="P24" i="7"/>
  <c r="Q24" i="7"/>
  <c r="F24" i="6"/>
  <c r="N24" i="5"/>
  <c r="Q24" i="4"/>
  <c r="P24" i="4"/>
  <c r="F24" i="3"/>
  <c r="J24" i="3"/>
  <c r="P24" i="6" l="1"/>
  <c r="Q24" i="6"/>
  <c r="Q24" i="5"/>
  <c r="P24" i="5"/>
  <c r="P24" i="3"/>
  <c r="Q24" i="3"/>
  <c r="L24" i="1"/>
  <c r="N24" i="1" s="1"/>
  <c r="H24" i="1"/>
  <c r="J24" i="1" s="1"/>
  <c r="D24" i="1"/>
  <c r="F24" i="1" s="1"/>
  <c r="C24" i="1"/>
  <c r="Q24" i="1" l="1"/>
  <c r="P24" i="1"/>
  <c r="Y350" i="13" l="1"/>
  <c r="Y351" i="13"/>
  <c r="Y352" i="13"/>
  <c r="W350" i="13"/>
  <c r="W351" i="13"/>
  <c r="W352" i="13"/>
  <c r="U350" i="13"/>
  <c r="U351" i="13"/>
  <c r="U352" i="13"/>
  <c r="S350" i="13"/>
  <c r="S351" i="13"/>
  <c r="S352" i="13"/>
  <c r="Q350" i="13"/>
  <c r="Q351" i="13"/>
  <c r="Q352" i="13"/>
  <c r="O350" i="13"/>
  <c r="O351" i="13"/>
  <c r="O352" i="13"/>
  <c r="M350" i="13"/>
  <c r="M351" i="13"/>
  <c r="M352" i="13"/>
  <c r="K350" i="13"/>
  <c r="K351" i="13"/>
  <c r="K352" i="13"/>
  <c r="I350" i="13"/>
  <c r="I351" i="13"/>
  <c r="I352" i="13"/>
  <c r="G350" i="13"/>
  <c r="G351" i="13"/>
  <c r="G352" i="13"/>
  <c r="E350" i="13"/>
  <c r="E351" i="13"/>
  <c r="E352" i="13"/>
  <c r="C350" i="13"/>
  <c r="D350" i="13" s="1"/>
  <c r="C351" i="13"/>
  <c r="D351" i="13" s="1"/>
  <c r="C352" i="13"/>
  <c r="D352" i="13" s="1"/>
  <c r="F352" i="13" s="1"/>
  <c r="Y302" i="13"/>
  <c r="Y303" i="13"/>
  <c r="Y304" i="13"/>
  <c r="Y305" i="13"/>
  <c r="Y306" i="13"/>
  <c r="W302" i="13"/>
  <c r="W303" i="13"/>
  <c r="W304" i="13"/>
  <c r="W305" i="13"/>
  <c r="W306" i="13"/>
  <c r="U302" i="13"/>
  <c r="U303" i="13"/>
  <c r="U304" i="13"/>
  <c r="U305" i="13"/>
  <c r="U306" i="13"/>
  <c r="S302" i="13"/>
  <c r="S303" i="13"/>
  <c r="S304" i="13"/>
  <c r="S305" i="13"/>
  <c r="S306" i="13"/>
  <c r="Q302" i="13"/>
  <c r="Q303" i="13"/>
  <c r="Q304" i="13"/>
  <c r="Q305" i="13"/>
  <c r="O302" i="13"/>
  <c r="O303" i="13"/>
  <c r="O304" i="13"/>
  <c r="O305" i="13"/>
  <c r="O306" i="13"/>
  <c r="M302" i="13"/>
  <c r="M303" i="13"/>
  <c r="M304" i="13"/>
  <c r="M305" i="13"/>
  <c r="M306" i="13"/>
  <c r="K304" i="13"/>
  <c r="K305" i="13"/>
  <c r="K306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G302" i="13"/>
  <c r="G303" i="13"/>
  <c r="G304" i="13"/>
  <c r="G305" i="13"/>
  <c r="G306" i="13"/>
  <c r="E306" i="13"/>
  <c r="E302" i="13"/>
  <c r="E303" i="13"/>
  <c r="E304" i="13"/>
  <c r="E305" i="13"/>
  <c r="C302" i="13"/>
  <c r="C303" i="13"/>
  <c r="C304" i="13"/>
  <c r="C305" i="13"/>
  <c r="D305" i="13" s="1"/>
  <c r="C306" i="13"/>
  <c r="D306" i="13" s="1"/>
  <c r="Y228" i="13"/>
  <c r="Y229" i="13"/>
  <c r="Y230" i="13"/>
  <c r="W228" i="13"/>
  <c r="W229" i="13"/>
  <c r="W230" i="13"/>
  <c r="X230" i="13" s="1"/>
  <c r="U228" i="13"/>
  <c r="U229" i="13"/>
  <c r="U230" i="13"/>
  <c r="S230" i="13"/>
  <c r="S228" i="13"/>
  <c r="S229" i="13"/>
  <c r="Q228" i="13"/>
  <c r="Q229" i="13"/>
  <c r="Q230" i="13"/>
  <c r="O228" i="13"/>
  <c r="O229" i="13"/>
  <c r="O230" i="13"/>
  <c r="M228" i="13"/>
  <c r="M229" i="13"/>
  <c r="M230" i="13"/>
  <c r="K228" i="13"/>
  <c r="K229" i="13"/>
  <c r="K230" i="13"/>
  <c r="I230" i="13"/>
  <c r="I228" i="13"/>
  <c r="I229" i="13"/>
  <c r="G228" i="13"/>
  <c r="G229" i="13"/>
  <c r="G230" i="13"/>
  <c r="E228" i="13"/>
  <c r="E229" i="13"/>
  <c r="E230" i="13"/>
  <c r="C228" i="13"/>
  <c r="C229" i="13"/>
  <c r="C230" i="13"/>
  <c r="D230" i="13" s="1"/>
  <c r="Y180" i="13"/>
  <c r="Y181" i="13"/>
  <c r="Y182" i="13"/>
  <c r="Y183" i="13"/>
  <c r="Y184" i="13"/>
  <c r="W180" i="13"/>
  <c r="W181" i="13"/>
  <c r="W182" i="13"/>
  <c r="W183" i="13"/>
  <c r="W184" i="13"/>
  <c r="X184" i="13" s="1"/>
  <c r="Z184" i="13" s="1"/>
  <c r="U180" i="13"/>
  <c r="U181" i="13"/>
  <c r="U182" i="13"/>
  <c r="U183" i="13"/>
  <c r="U184" i="13"/>
  <c r="S180" i="13"/>
  <c r="S181" i="13"/>
  <c r="S182" i="13"/>
  <c r="S183" i="13"/>
  <c r="S184" i="13"/>
  <c r="Q180" i="13"/>
  <c r="Q181" i="13"/>
  <c r="Q182" i="13"/>
  <c r="Q183" i="13"/>
  <c r="Q184" i="13"/>
  <c r="O180" i="13"/>
  <c r="O181" i="13"/>
  <c r="O182" i="13"/>
  <c r="O183" i="13"/>
  <c r="O184" i="13"/>
  <c r="M180" i="13"/>
  <c r="M181" i="13"/>
  <c r="M182" i="13"/>
  <c r="M183" i="13"/>
  <c r="M184" i="13"/>
  <c r="K180" i="13"/>
  <c r="K181" i="13"/>
  <c r="K182" i="13"/>
  <c r="K183" i="13"/>
  <c r="K184" i="13"/>
  <c r="I180" i="13"/>
  <c r="I181" i="13"/>
  <c r="I182" i="13"/>
  <c r="I183" i="13"/>
  <c r="I184" i="13"/>
  <c r="F230" i="13" l="1"/>
  <c r="Z230" i="13"/>
  <c r="AA304" i="13"/>
  <c r="AA352" i="13"/>
  <c r="F305" i="13"/>
  <c r="H305" i="13" s="1"/>
  <c r="J305" i="13" s="1"/>
  <c r="L305" i="13" s="1"/>
  <c r="N305" i="13" s="1"/>
  <c r="F306" i="13"/>
  <c r="H306" i="13" s="1"/>
  <c r="J306" i="13" s="1"/>
  <c r="L306" i="13" s="1"/>
  <c r="N306" i="13" s="1"/>
  <c r="P306" i="13" s="1"/>
  <c r="AA305" i="13"/>
  <c r="F351" i="13"/>
  <c r="H351" i="13" s="1"/>
  <c r="J351" i="13" s="1"/>
  <c r="L351" i="13" s="1"/>
  <c r="N351" i="13" s="1"/>
  <c r="P351" i="13" s="1"/>
  <c r="R351" i="13" s="1"/>
  <c r="T351" i="13" s="1"/>
  <c r="V351" i="13" s="1"/>
  <c r="X351" i="13" s="1"/>
  <c r="Z351" i="13" s="1"/>
  <c r="AA351" i="13"/>
  <c r="F350" i="13"/>
  <c r="H350" i="13" s="1"/>
  <c r="J350" i="13" s="1"/>
  <c r="L350" i="13" s="1"/>
  <c r="N350" i="13" s="1"/>
  <c r="P350" i="13" s="1"/>
  <c r="R350" i="13" s="1"/>
  <c r="T350" i="13" s="1"/>
  <c r="V350" i="13" s="1"/>
  <c r="X350" i="13" s="1"/>
  <c r="Z350" i="13" s="1"/>
  <c r="AA230" i="13"/>
  <c r="D143" i="14" s="1"/>
  <c r="AA229" i="13"/>
  <c r="AA228" i="13"/>
  <c r="H352" i="13"/>
  <c r="J352" i="13" s="1"/>
  <c r="L352" i="13" s="1"/>
  <c r="N352" i="13" s="1"/>
  <c r="P352" i="13" s="1"/>
  <c r="R352" i="13" s="1"/>
  <c r="T352" i="13" s="1"/>
  <c r="V352" i="13" s="1"/>
  <c r="X352" i="13" s="1"/>
  <c r="Z352" i="13" s="1"/>
  <c r="AD352" i="13"/>
  <c r="C143" i="14" s="1"/>
  <c r="F143" i="14" s="1"/>
  <c r="H230" i="13"/>
  <c r="J230" i="13" s="1"/>
  <c r="L230" i="13" s="1"/>
  <c r="N230" i="13" s="1"/>
  <c r="P230" i="13" s="1"/>
  <c r="R230" i="13" s="1"/>
  <c r="T230" i="13" s="1"/>
  <c r="G180" i="13"/>
  <c r="G181" i="13"/>
  <c r="G182" i="13"/>
  <c r="G183" i="13"/>
  <c r="G184" i="13"/>
  <c r="C180" i="13"/>
  <c r="C181" i="13"/>
  <c r="C182" i="13"/>
  <c r="C183" i="13"/>
  <c r="C184" i="13"/>
  <c r="W148" i="13"/>
  <c r="U148" i="13"/>
  <c r="S148" i="13"/>
  <c r="O148" i="13"/>
  <c r="K148" i="13"/>
  <c r="I148" i="13"/>
  <c r="G148" i="13"/>
  <c r="E148" i="13"/>
  <c r="C148" i="13"/>
  <c r="P157" i="12"/>
  <c r="J157" i="12"/>
  <c r="H157" i="12"/>
  <c r="F157" i="12"/>
  <c r="D157" i="12"/>
  <c r="C156" i="12"/>
  <c r="C155" i="12"/>
  <c r="C154" i="12"/>
  <c r="L153" i="12"/>
  <c r="D153" i="12"/>
  <c r="F153" i="12" s="1"/>
  <c r="C153" i="12"/>
  <c r="L152" i="12"/>
  <c r="D152" i="12"/>
  <c r="Y226" i="13" s="1"/>
  <c r="C152" i="12"/>
  <c r="L151" i="12"/>
  <c r="D151" i="12"/>
  <c r="F151" i="12" s="1"/>
  <c r="C151" i="12"/>
  <c r="L150" i="12"/>
  <c r="Y346" i="13" s="1"/>
  <c r="D150" i="12"/>
  <c r="C150" i="12"/>
  <c r="L149" i="12"/>
  <c r="D149" i="12"/>
  <c r="Y223" i="13" s="1"/>
  <c r="C149" i="12"/>
  <c r="L148" i="12"/>
  <c r="D148" i="12"/>
  <c r="Y222" i="13" s="1"/>
  <c r="C148" i="12"/>
  <c r="L147" i="12"/>
  <c r="D147" i="12"/>
  <c r="Y221" i="13" s="1"/>
  <c r="C147" i="12"/>
  <c r="L146" i="12"/>
  <c r="D146" i="12"/>
  <c r="C146" i="12"/>
  <c r="L145" i="12"/>
  <c r="D145" i="12"/>
  <c r="Y219" i="13" s="1"/>
  <c r="C145" i="12"/>
  <c r="L144" i="12"/>
  <c r="D144" i="12"/>
  <c r="Y218" i="13" s="1"/>
  <c r="C144" i="12"/>
  <c r="L143" i="12"/>
  <c r="D143" i="12"/>
  <c r="Y217" i="13" s="1"/>
  <c r="C143" i="12"/>
  <c r="L142" i="12"/>
  <c r="D142" i="12"/>
  <c r="Y216" i="13" s="1"/>
  <c r="C142" i="12"/>
  <c r="L141" i="12"/>
  <c r="D141" i="12"/>
  <c r="Y215" i="13" s="1"/>
  <c r="C141" i="12"/>
  <c r="L140" i="12"/>
  <c r="D140" i="12"/>
  <c r="Y214" i="13" s="1"/>
  <c r="C140" i="12"/>
  <c r="L139" i="12"/>
  <c r="D139" i="12"/>
  <c r="Y213" i="13" s="1"/>
  <c r="C139" i="12"/>
  <c r="L138" i="12"/>
  <c r="Y334" i="13" s="1"/>
  <c r="D138" i="12"/>
  <c r="Y212" i="13" s="1"/>
  <c r="C138" i="12"/>
  <c r="L137" i="12"/>
  <c r="D137" i="12"/>
  <c r="Y211" i="13" s="1"/>
  <c r="C137" i="12"/>
  <c r="L136" i="12"/>
  <c r="D136" i="12"/>
  <c r="Y210" i="13" s="1"/>
  <c r="C136" i="12"/>
  <c r="L135" i="12"/>
  <c r="D135" i="12"/>
  <c r="Y209" i="13" s="1"/>
  <c r="C135" i="12"/>
  <c r="L134" i="12"/>
  <c r="Y330" i="13" s="1"/>
  <c r="D134" i="12"/>
  <c r="Y208" i="13" s="1"/>
  <c r="C134" i="12"/>
  <c r="L133" i="12"/>
  <c r="D133" i="12"/>
  <c r="Y207" i="13" s="1"/>
  <c r="C133" i="12"/>
  <c r="L132" i="12"/>
  <c r="D132" i="12"/>
  <c r="Y206" i="13" s="1"/>
  <c r="C132" i="12"/>
  <c r="L131" i="12"/>
  <c r="D131" i="12"/>
  <c r="Y205" i="13" s="1"/>
  <c r="C131" i="12"/>
  <c r="L130" i="12"/>
  <c r="Y326" i="13" s="1"/>
  <c r="D130" i="12"/>
  <c r="Y204" i="13" s="1"/>
  <c r="C130" i="12"/>
  <c r="L129" i="12"/>
  <c r="D129" i="12"/>
  <c r="Y203" i="13" s="1"/>
  <c r="C129" i="12"/>
  <c r="L128" i="12"/>
  <c r="D128" i="12"/>
  <c r="Y202" i="13" s="1"/>
  <c r="C128" i="12"/>
  <c r="L127" i="12"/>
  <c r="D127" i="12"/>
  <c r="Y201" i="13" s="1"/>
  <c r="C127" i="12"/>
  <c r="L126" i="12"/>
  <c r="Y322" i="13" s="1"/>
  <c r="D126" i="12"/>
  <c r="Y200" i="13" s="1"/>
  <c r="C126" i="12"/>
  <c r="L125" i="12"/>
  <c r="D125" i="12"/>
  <c r="Y199" i="13" s="1"/>
  <c r="C125" i="12"/>
  <c r="L124" i="12"/>
  <c r="D124" i="12"/>
  <c r="Y198" i="13" s="1"/>
  <c r="C124" i="12"/>
  <c r="L123" i="12"/>
  <c r="D123" i="12"/>
  <c r="Y197" i="13" s="1"/>
  <c r="C123" i="12"/>
  <c r="L122" i="12"/>
  <c r="Y318" i="13" s="1"/>
  <c r="D122" i="12"/>
  <c r="Y196" i="13" s="1"/>
  <c r="C122" i="12"/>
  <c r="L121" i="12"/>
  <c r="D121" i="12"/>
  <c r="Y195" i="13" s="1"/>
  <c r="C121" i="12"/>
  <c r="L120" i="12"/>
  <c r="D120" i="12"/>
  <c r="Y194" i="13" s="1"/>
  <c r="C120" i="12"/>
  <c r="L119" i="12"/>
  <c r="D119" i="12"/>
  <c r="Y193" i="13" s="1"/>
  <c r="C119" i="12"/>
  <c r="L118" i="12"/>
  <c r="Y314" i="13" s="1"/>
  <c r="D118" i="12"/>
  <c r="C118" i="12"/>
  <c r="L117" i="12"/>
  <c r="D117" i="12"/>
  <c r="C117" i="12"/>
  <c r="P116" i="12"/>
  <c r="J116" i="12"/>
  <c r="K150" i="12" s="1"/>
  <c r="H116" i="12"/>
  <c r="I150" i="12" s="1"/>
  <c r="O114" i="12"/>
  <c r="L114" i="12"/>
  <c r="K114" i="12"/>
  <c r="H114" i="12"/>
  <c r="G114" i="12"/>
  <c r="D114" i="12"/>
  <c r="Q113" i="12"/>
  <c r="P113" i="12"/>
  <c r="O113" i="12"/>
  <c r="L113" i="12"/>
  <c r="H113" i="12"/>
  <c r="D113" i="12"/>
  <c r="F111" i="12"/>
  <c r="D111" i="12"/>
  <c r="C110" i="12"/>
  <c r="C109" i="12"/>
  <c r="C108" i="12"/>
  <c r="C107" i="12"/>
  <c r="C106" i="12"/>
  <c r="L105" i="12"/>
  <c r="D105" i="12"/>
  <c r="C105" i="12"/>
  <c r="L104" i="12"/>
  <c r="D104" i="12"/>
  <c r="Y178" i="13" s="1"/>
  <c r="C104" i="12"/>
  <c r="L103" i="12"/>
  <c r="Y299" i="13" s="1"/>
  <c r="D103" i="12"/>
  <c r="Y177" i="13" s="1"/>
  <c r="C103" i="12"/>
  <c r="L102" i="12"/>
  <c r="Y298" i="13" s="1"/>
  <c r="D102" i="12"/>
  <c r="C102" i="12"/>
  <c r="L101" i="12"/>
  <c r="D101" i="12"/>
  <c r="C101" i="12"/>
  <c r="L100" i="12"/>
  <c r="Y296" i="13" s="1"/>
  <c r="D100" i="12"/>
  <c r="Y174" i="13" s="1"/>
  <c r="C100" i="12"/>
  <c r="L99" i="12"/>
  <c r="Y295" i="13" s="1"/>
  <c r="D99" i="12"/>
  <c r="Y173" i="13" s="1"/>
  <c r="C99" i="12"/>
  <c r="L98" i="12"/>
  <c r="Y294" i="13" s="1"/>
  <c r="D98" i="12"/>
  <c r="C98" i="12"/>
  <c r="L97" i="12"/>
  <c r="D97" i="12"/>
  <c r="C97" i="12"/>
  <c r="L96" i="12"/>
  <c r="Y292" i="13" s="1"/>
  <c r="D96" i="12"/>
  <c r="Y170" i="13" s="1"/>
  <c r="C96" i="12"/>
  <c r="L95" i="12"/>
  <c r="Y291" i="13" s="1"/>
  <c r="D95" i="12"/>
  <c r="Y169" i="13" s="1"/>
  <c r="C95" i="12"/>
  <c r="L94" i="12"/>
  <c r="Y290" i="13" s="1"/>
  <c r="D94" i="12"/>
  <c r="C94" i="12"/>
  <c r="L93" i="12"/>
  <c r="D93" i="12"/>
  <c r="C93" i="12"/>
  <c r="L92" i="12"/>
  <c r="Y288" i="13" s="1"/>
  <c r="D92" i="12"/>
  <c r="Y166" i="13" s="1"/>
  <c r="C92" i="12"/>
  <c r="L91" i="12"/>
  <c r="D91" i="12"/>
  <c r="Y165" i="13" s="1"/>
  <c r="C91" i="12"/>
  <c r="L90" i="12"/>
  <c r="Y286" i="13" s="1"/>
  <c r="D90" i="12"/>
  <c r="C90" i="12"/>
  <c r="L89" i="12"/>
  <c r="D89" i="12"/>
  <c r="C89" i="12"/>
  <c r="L88" i="12"/>
  <c r="Y284" i="13" s="1"/>
  <c r="D88" i="12"/>
  <c r="Y162" i="13" s="1"/>
  <c r="C88" i="12"/>
  <c r="L87" i="12"/>
  <c r="Y283" i="13" s="1"/>
  <c r="D87" i="12"/>
  <c r="Y161" i="13" s="1"/>
  <c r="C87" i="12"/>
  <c r="L53" i="12"/>
  <c r="Y282" i="13" s="1"/>
  <c r="D53" i="12"/>
  <c r="C53" i="12"/>
  <c r="L52" i="12"/>
  <c r="D52" i="12"/>
  <c r="C52" i="12"/>
  <c r="L86" i="12"/>
  <c r="Y280" i="13" s="1"/>
  <c r="D86" i="12"/>
  <c r="Y160" i="13" s="1"/>
  <c r="C86" i="12"/>
  <c r="L85" i="12"/>
  <c r="Y279" i="13" s="1"/>
  <c r="D85" i="12"/>
  <c r="Y159" i="13" s="1"/>
  <c r="C85" i="12"/>
  <c r="L48" i="12"/>
  <c r="Y278" i="13" s="1"/>
  <c r="D48" i="12"/>
  <c r="C48" i="12"/>
  <c r="L47" i="12"/>
  <c r="D47" i="12"/>
  <c r="I14" i="13" s="1"/>
  <c r="C47" i="12"/>
  <c r="O82" i="12"/>
  <c r="L82" i="12"/>
  <c r="K82" i="12"/>
  <c r="H82" i="12"/>
  <c r="G82" i="12"/>
  <c r="D82" i="12"/>
  <c r="Q81" i="12"/>
  <c r="P81" i="12"/>
  <c r="O81" i="12"/>
  <c r="L81" i="12"/>
  <c r="H81" i="12"/>
  <c r="D81" i="12"/>
  <c r="P78" i="12"/>
  <c r="H78" i="12"/>
  <c r="F78" i="12"/>
  <c r="D78" i="12"/>
  <c r="L77" i="12"/>
  <c r="J77" i="12"/>
  <c r="D77" i="12"/>
  <c r="Y151" i="13" s="1"/>
  <c r="C77" i="12"/>
  <c r="L76" i="12"/>
  <c r="Y269" i="13" s="1"/>
  <c r="J76" i="12"/>
  <c r="D76" i="12"/>
  <c r="Y150" i="13" s="1"/>
  <c r="C76" i="12"/>
  <c r="L75" i="12"/>
  <c r="J75" i="12"/>
  <c r="D75" i="12"/>
  <c r="F75" i="12" s="1"/>
  <c r="C75" i="12"/>
  <c r="L74" i="12"/>
  <c r="J74" i="12"/>
  <c r="D74" i="12"/>
  <c r="Y148" i="13" s="1"/>
  <c r="C74" i="12"/>
  <c r="L73" i="12"/>
  <c r="J73" i="12"/>
  <c r="D73" i="12"/>
  <c r="F73" i="12" s="1"/>
  <c r="C73" i="12"/>
  <c r="L72" i="12"/>
  <c r="J72" i="12"/>
  <c r="D72" i="12"/>
  <c r="F72" i="12" s="1"/>
  <c r="C72" i="12"/>
  <c r="L71" i="12"/>
  <c r="Y264" i="13" s="1"/>
  <c r="J71" i="12"/>
  <c r="D71" i="12"/>
  <c r="F71" i="12" s="1"/>
  <c r="C71" i="12"/>
  <c r="L70" i="12"/>
  <c r="J70" i="12"/>
  <c r="D70" i="12"/>
  <c r="F70" i="12" s="1"/>
  <c r="C70" i="12"/>
  <c r="L69" i="12"/>
  <c r="Y262" i="13" s="1"/>
  <c r="J69" i="12"/>
  <c r="D69" i="12"/>
  <c r="Y143" i="13" s="1"/>
  <c r="C69" i="12"/>
  <c r="L68" i="12"/>
  <c r="J68" i="12"/>
  <c r="D68" i="12"/>
  <c r="F68" i="12" s="1"/>
  <c r="C68" i="12"/>
  <c r="L67" i="12"/>
  <c r="J67" i="12"/>
  <c r="D67" i="12"/>
  <c r="F67" i="12" s="1"/>
  <c r="C67" i="12"/>
  <c r="L66" i="12"/>
  <c r="Y259" i="13" s="1"/>
  <c r="J66" i="12"/>
  <c r="D66" i="12"/>
  <c r="F66" i="12" s="1"/>
  <c r="C66" i="12"/>
  <c r="L65" i="12"/>
  <c r="J65" i="12"/>
  <c r="D65" i="12"/>
  <c r="C65" i="12"/>
  <c r="L64" i="12"/>
  <c r="J64" i="12"/>
  <c r="D64" i="12"/>
  <c r="Y138" i="13" s="1"/>
  <c r="C64" i="12"/>
  <c r="L63" i="12"/>
  <c r="J63" i="12"/>
  <c r="D63" i="12"/>
  <c r="Y137" i="13" s="1"/>
  <c r="C63" i="12"/>
  <c r="L62" i="12"/>
  <c r="Y255" i="13" s="1"/>
  <c r="J62" i="12"/>
  <c r="D62" i="12"/>
  <c r="C62" i="12"/>
  <c r="L61" i="12"/>
  <c r="Y254" i="13" s="1"/>
  <c r="J61" i="12"/>
  <c r="D61" i="12"/>
  <c r="Y135" i="13" s="1"/>
  <c r="C61" i="12"/>
  <c r="L60" i="12"/>
  <c r="Y253" i="13" s="1"/>
  <c r="D60" i="12"/>
  <c r="Y134" i="13" s="1"/>
  <c r="C60" i="12"/>
  <c r="L59" i="12"/>
  <c r="J59" i="12"/>
  <c r="D59" i="12"/>
  <c r="C59" i="12"/>
  <c r="L58" i="12"/>
  <c r="J58" i="12"/>
  <c r="D58" i="12"/>
  <c r="Y132" i="13" s="1"/>
  <c r="C58" i="12"/>
  <c r="L57" i="12"/>
  <c r="Y250" i="13" s="1"/>
  <c r="J57" i="12"/>
  <c r="D57" i="12"/>
  <c r="Y131" i="13" s="1"/>
  <c r="C57" i="12"/>
  <c r="L56" i="12"/>
  <c r="Y249" i="13" s="1"/>
  <c r="J56" i="12"/>
  <c r="D56" i="12"/>
  <c r="Y130" i="13" s="1"/>
  <c r="C56" i="12"/>
  <c r="L55" i="12"/>
  <c r="Y248" i="13" s="1"/>
  <c r="J55" i="12"/>
  <c r="D55" i="12"/>
  <c r="Y129" i="13" s="1"/>
  <c r="C55" i="12"/>
  <c r="L54" i="12"/>
  <c r="Y247" i="13" s="1"/>
  <c r="J54" i="12"/>
  <c r="D54" i="12"/>
  <c r="C54" i="12"/>
  <c r="L51" i="12"/>
  <c r="Y246" i="13" s="1"/>
  <c r="J51" i="12"/>
  <c r="D51" i="12"/>
  <c r="F51" i="12" s="1"/>
  <c r="C51" i="12"/>
  <c r="L50" i="12"/>
  <c r="Y245" i="13" s="1"/>
  <c r="J50" i="12"/>
  <c r="D50" i="12"/>
  <c r="F50" i="12" s="1"/>
  <c r="C50" i="12"/>
  <c r="L49" i="12"/>
  <c r="J49" i="12"/>
  <c r="D49" i="12"/>
  <c r="C49" i="12"/>
  <c r="L46" i="12"/>
  <c r="J46" i="12"/>
  <c r="D46" i="12"/>
  <c r="F46" i="12" s="1"/>
  <c r="C46" i="12"/>
  <c r="L45" i="12"/>
  <c r="J45" i="12"/>
  <c r="I45" i="12"/>
  <c r="D45" i="12"/>
  <c r="F45" i="12" s="1"/>
  <c r="C45" i="12"/>
  <c r="L44" i="12"/>
  <c r="D44" i="12"/>
  <c r="E14" i="13" s="1"/>
  <c r="C44" i="12"/>
  <c r="P43" i="12"/>
  <c r="H43" i="12"/>
  <c r="I70" i="12" s="1"/>
  <c r="O41" i="12"/>
  <c r="L41" i="12"/>
  <c r="K41" i="12"/>
  <c r="H41" i="12"/>
  <c r="G41" i="12"/>
  <c r="D41" i="12"/>
  <c r="Q40" i="12"/>
  <c r="P40" i="12"/>
  <c r="O40" i="12"/>
  <c r="L40" i="12"/>
  <c r="H40" i="12"/>
  <c r="D40" i="12"/>
  <c r="H38" i="12"/>
  <c r="F38" i="12"/>
  <c r="D38" i="12"/>
  <c r="L37" i="12"/>
  <c r="N37" i="12" s="1"/>
  <c r="J37" i="12"/>
  <c r="D37" i="12"/>
  <c r="F37" i="12" s="1"/>
  <c r="C37" i="12"/>
  <c r="L36" i="12"/>
  <c r="N36" i="12" s="1"/>
  <c r="J36" i="12"/>
  <c r="D36" i="12"/>
  <c r="F36" i="12" s="1"/>
  <c r="C36" i="12"/>
  <c r="L35" i="12"/>
  <c r="N35" i="12" s="1"/>
  <c r="J35" i="12"/>
  <c r="D35" i="12"/>
  <c r="F35" i="12" s="1"/>
  <c r="C35" i="12"/>
  <c r="L34" i="12"/>
  <c r="N34" i="12" s="1"/>
  <c r="J34" i="12"/>
  <c r="D34" i="12"/>
  <c r="F34" i="12" s="1"/>
  <c r="C34" i="12"/>
  <c r="L33" i="12"/>
  <c r="N33" i="12" s="1"/>
  <c r="J33" i="12"/>
  <c r="D33" i="12"/>
  <c r="F33" i="12" s="1"/>
  <c r="C33" i="12"/>
  <c r="L32" i="12"/>
  <c r="N32" i="12" s="1"/>
  <c r="J32" i="12"/>
  <c r="D32" i="12"/>
  <c r="F32" i="12" s="1"/>
  <c r="C32" i="12"/>
  <c r="L31" i="12"/>
  <c r="N31" i="12" s="1"/>
  <c r="J31" i="12"/>
  <c r="D31" i="12"/>
  <c r="F31" i="12" s="1"/>
  <c r="C31" i="12"/>
  <c r="L30" i="12"/>
  <c r="N30" i="12" s="1"/>
  <c r="J30" i="12"/>
  <c r="D30" i="12"/>
  <c r="F30" i="12" s="1"/>
  <c r="C30" i="12"/>
  <c r="L29" i="12"/>
  <c r="N29" i="12" s="1"/>
  <c r="J29" i="12"/>
  <c r="D29" i="12"/>
  <c r="C29" i="12"/>
  <c r="L28" i="12"/>
  <c r="N28" i="12" s="1"/>
  <c r="J28" i="12"/>
  <c r="D28" i="12"/>
  <c r="F28" i="12" s="1"/>
  <c r="C28" i="12"/>
  <c r="L27" i="12"/>
  <c r="N27" i="12" s="1"/>
  <c r="J27" i="12"/>
  <c r="D27" i="12"/>
  <c r="F27" i="12" s="1"/>
  <c r="C27" i="12"/>
  <c r="L26" i="12"/>
  <c r="N26" i="12" s="1"/>
  <c r="J26" i="12"/>
  <c r="D26" i="12"/>
  <c r="F26" i="12" s="1"/>
  <c r="C26" i="12"/>
  <c r="L25" i="12"/>
  <c r="N25" i="12" s="1"/>
  <c r="J25" i="12"/>
  <c r="D25" i="12"/>
  <c r="F25" i="12" s="1"/>
  <c r="C25" i="12"/>
  <c r="L23" i="12"/>
  <c r="N23" i="12" s="1"/>
  <c r="J23" i="12"/>
  <c r="D23" i="12"/>
  <c r="F23" i="12" s="1"/>
  <c r="C23" i="12"/>
  <c r="L22" i="12"/>
  <c r="N22" i="12" s="1"/>
  <c r="J22" i="12"/>
  <c r="D22" i="12"/>
  <c r="F22" i="12" s="1"/>
  <c r="C22" i="12"/>
  <c r="L21" i="12"/>
  <c r="N21" i="12" s="1"/>
  <c r="J21" i="12"/>
  <c r="D21" i="12"/>
  <c r="C21" i="12"/>
  <c r="L20" i="12"/>
  <c r="N20" i="12" s="1"/>
  <c r="J20" i="12"/>
  <c r="D20" i="12"/>
  <c r="F20" i="12" s="1"/>
  <c r="C20" i="12"/>
  <c r="L19" i="12"/>
  <c r="N19" i="12" s="1"/>
  <c r="J19" i="12"/>
  <c r="D19" i="12"/>
  <c r="F19" i="12" s="1"/>
  <c r="C19" i="12"/>
  <c r="L18" i="12"/>
  <c r="N18" i="12" s="1"/>
  <c r="J18" i="12"/>
  <c r="D18" i="12"/>
  <c r="F18" i="12" s="1"/>
  <c r="C18" i="12"/>
  <c r="L17" i="12"/>
  <c r="N17" i="12" s="1"/>
  <c r="J17" i="12"/>
  <c r="D17" i="12"/>
  <c r="F17" i="12" s="1"/>
  <c r="C17" i="12"/>
  <c r="L16" i="12"/>
  <c r="N16" i="12" s="1"/>
  <c r="J16" i="12"/>
  <c r="D16" i="12"/>
  <c r="F16" i="12" s="1"/>
  <c r="C16" i="12"/>
  <c r="L15" i="12"/>
  <c r="J15" i="12"/>
  <c r="D15" i="12"/>
  <c r="F15" i="12" s="1"/>
  <c r="C15" i="12"/>
  <c r="L14" i="12"/>
  <c r="N14" i="12" s="1"/>
  <c r="J14" i="12"/>
  <c r="D14" i="12"/>
  <c r="F14" i="12" s="1"/>
  <c r="C14" i="12"/>
  <c r="L13" i="12"/>
  <c r="N13" i="12" s="1"/>
  <c r="J13" i="12"/>
  <c r="D13" i="12"/>
  <c r="F13" i="12" s="1"/>
  <c r="C13" i="12"/>
  <c r="L12" i="12"/>
  <c r="J12" i="12"/>
  <c r="D12" i="12"/>
  <c r="F12" i="12" s="1"/>
  <c r="C12" i="12"/>
  <c r="L11" i="12"/>
  <c r="N11" i="12" s="1"/>
  <c r="J11" i="12"/>
  <c r="D11" i="12"/>
  <c r="F11" i="12" s="1"/>
  <c r="C11" i="12"/>
  <c r="L10" i="12"/>
  <c r="N10" i="12" s="1"/>
  <c r="J10" i="12"/>
  <c r="D10" i="12"/>
  <c r="F10" i="12" s="1"/>
  <c r="C10" i="12"/>
  <c r="L9" i="12"/>
  <c r="N9" i="12" s="1"/>
  <c r="J9" i="12"/>
  <c r="D9" i="12"/>
  <c r="F9" i="12" s="1"/>
  <c r="C9" i="12"/>
  <c r="L8" i="12"/>
  <c r="J8" i="12"/>
  <c r="D8" i="12"/>
  <c r="F8" i="12" s="1"/>
  <c r="C8" i="12"/>
  <c r="H7" i="12"/>
  <c r="I24" i="12" s="1"/>
  <c r="O3" i="12"/>
  <c r="L3" i="12"/>
  <c r="K3" i="12"/>
  <c r="H3" i="12"/>
  <c r="G3" i="12"/>
  <c r="D3" i="12"/>
  <c r="Q2" i="12"/>
  <c r="P2" i="12"/>
  <c r="O2" i="12"/>
  <c r="L2" i="12"/>
  <c r="K2" i="12"/>
  <c r="H2" i="12"/>
  <c r="G2" i="12"/>
  <c r="D2" i="12"/>
  <c r="P157" i="11"/>
  <c r="J157" i="11"/>
  <c r="H157" i="11"/>
  <c r="F157" i="11"/>
  <c r="D157" i="11"/>
  <c r="W231" i="13" s="1"/>
  <c r="C156" i="11"/>
  <c r="C155" i="11"/>
  <c r="C154" i="11"/>
  <c r="L153" i="11"/>
  <c r="D153" i="11"/>
  <c r="W227" i="13" s="1"/>
  <c r="C153" i="11"/>
  <c r="L152" i="11"/>
  <c r="W348" i="13" s="1"/>
  <c r="D152" i="11"/>
  <c r="W226" i="13" s="1"/>
  <c r="C152" i="11"/>
  <c r="L151" i="11"/>
  <c r="W347" i="13" s="1"/>
  <c r="D151" i="11"/>
  <c r="W225" i="13" s="1"/>
  <c r="C151" i="11"/>
  <c r="L150" i="11"/>
  <c r="D150" i="11"/>
  <c r="W224" i="13" s="1"/>
  <c r="C150" i="11"/>
  <c r="L149" i="11"/>
  <c r="D149" i="11"/>
  <c r="W223" i="13" s="1"/>
  <c r="C149" i="11"/>
  <c r="L148" i="11"/>
  <c r="W344" i="13" s="1"/>
  <c r="D148" i="11"/>
  <c r="W222" i="13" s="1"/>
  <c r="C148" i="11"/>
  <c r="L147" i="11"/>
  <c r="W343" i="13" s="1"/>
  <c r="D147" i="11"/>
  <c r="W221" i="13" s="1"/>
  <c r="C147" i="11"/>
  <c r="L146" i="11"/>
  <c r="D146" i="11"/>
  <c r="W220" i="13" s="1"/>
  <c r="C146" i="11"/>
  <c r="L145" i="11"/>
  <c r="D145" i="11"/>
  <c r="W219" i="13" s="1"/>
  <c r="C145" i="11"/>
  <c r="N144" i="11"/>
  <c r="L144" i="11"/>
  <c r="W340" i="13" s="1"/>
  <c r="D144" i="11"/>
  <c r="W218" i="13" s="1"/>
  <c r="C144" i="11"/>
  <c r="L143" i="11"/>
  <c r="W339" i="13" s="1"/>
  <c r="D143" i="11"/>
  <c r="W217" i="13" s="1"/>
  <c r="C143" i="11"/>
  <c r="L142" i="11"/>
  <c r="D142" i="11"/>
  <c r="W216" i="13" s="1"/>
  <c r="C142" i="11"/>
  <c r="L141" i="11"/>
  <c r="D141" i="11"/>
  <c r="W215" i="13" s="1"/>
  <c r="C141" i="11"/>
  <c r="L140" i="11"/>
  <c r="W336" i="13" s="1"/>
  <c r="D140" i="11"/>
  <c r="W214" i="13" s="1"/>
  <c r="C140" i="11"/>
  <c r="L139" i="11"/>
  <c r="W335" i="13" s="1"/>
  <c r="D139" i="11"/>
  <c r="W213" i="13" s="1"/>
  <c r="C139" i="11"/>
  <c r="L138" i="11"/>
  <c r="D138" i="11"/>
  <c r="W212" i="13" s="1"/>
  <c r="C138" i="11"/>
  <c r="L137" i="11"/>
  <c r="D137" i="11"/>
  <c r="W211" i="13" s="1"/>
  <c r="C137" i="11"/>
  <c r="L136" i="11"/>
  <c r="W332" i="13" s="1"/>
  <c r="D136" i="11"/>
  <c r="W210" i="13" s="1"/>
  <c r="C136" i="11"/>
  <c r="L135" i="11"/>
  <c r="W331" i="13" s="1"/>
  <c r="F135" i="11"/>
  <c r="D135" i="11"/>
  <c r="W209" i="13" s="1"/>
  <c r="C135" i="11"/>
  <c r="L134" i="11"/>
  <c r="D134" i="11"/>
  <c r="W208" i="13" s="1"/>
  <c r="C134" i="11"/>
  <c r="L133" i="11"/>
  <c r="D133" i="11"/>
  <c r="W207" i="13" s="1"/>
  <c r="C133" i="11"/>
  <c r="L132" i="11"/>
  <c r="W328" i="13" s="1"/>
  <c r="D132" i="11"/>
  <c r="W206" i="13" s="1"/>
  <c r="C132" i="11"/>
  <c r="L131" i="11"/>
  <c r="W327" i="13" s="1"/>
  <c r="D131" i="11"/>
  <c r="C131" i="11"/>
  <c r="L130" i="11"/>
  <c r="D130" i="11"/>
  <c r="W204" i="13" s="1"/>
  <c r="C130" i="11"/>
  <c r="L129" i="11"/>
  <c r="D129" i="11"/>
  <c r="W203" i="13" s="1"/>
  <c r="C129" i="11"/>
  <c r="N128" i="11"/>
  <c r="L128" i="11"/>
  <c r="W324" i="13" s="1"/>
  <c r="D128" i="11"/>
  <c r="W202" i="13" s="1"/>
  <c r="C128" i="11"/>
  <c r="L127" i="11"/>
  <c r="W323" i="13" s="1"/>
  <c r="D127" i="11"/>
  <c r="C127" i="11"/>
  <c r="L126" i="11"/>
  <c r="D126" i="11"/>
  <c r="W200" i="13" s="1"/>
  <c r="C126" i="11"/>
  <c r="L125" i="11"/>
  <c r="D125" i="11"/>
  <c r="W199" i="13" s="1"/>
  <c r="C125" i="11"/>
  <c r="L124" i="11"/>
  <c r="W320" i="13" s="1"/>
  <c r="D124" i="11"/>
  <c r="W198" i="13" s="1"/>
  <c r="C124" i="11"/>
  <c r="L123" i="11"/>
  <c r="W319" i="13" s="1"/>
  <c r="D123" i="11"/>
  <c r="W197" i="13" s="1"/>
  <c r="C123" i="11"/>
  <c r="L122" i="11"/>
  <c r="D122" i="11"/>
  <c r="W196" i="13" s="1"/>
  <c r="C122" i="11"/>
  <c r="L121" i="11"/>
  <c r="D121" i="11"/>
  <c r="W195" i="13" s="1"/>
  <c r="C121" i="11"/>
  <c r="L120" i="11"/>
  <c r="W316" i="13" s="1"/>
  <c r="D120" i="11"/>
  <c r="W194" i="13" s="1"/>
  <c r="C120" i="11"/>
  <c r="L119" i="11"/>
  <c r="W315" i="13" s="1"/>
  <c r="D119" i="11"/>
  <c r="W193" i="13" s="1"/>
  <c r="C119" i="11"/>
  <c r="L118" i="11"/>
  <c r="D118" i="11"/>
  <c r="W192" i="13" s="1"/>
  <c r="C118" i="11"/>
  <c r="L117" i="11"/>
  <c r="K28" i="13" s="1"/>
  <c r="D117" i="11"/>
  <c r="C117" i="11"/>
  <c r="P116" i="11"/>
  <c r="P158" i="11" s="1"/>
  <c r="J116" i="11"/>
  <c r="K150" i="11" s="1"/>
  <c r="H116" i="11"/>
  <c r="I152" i="11" s="1"/>
  <c r="O114" i="11"/>
  <c r="L114" i="11"/>
  <c r="K114" i="11"/>
  <c r="H114" i="11"/>
  <c r="G114" i="11"/>
  <c r="D114" i="11"/>
  <c r="Q113" i="11"/>
  <c r="P113" i="11"/>
  <c r="O113" i="11"/>
  <c r="L113" i="11"/>
  <c r="H113" i="11"/>
  <c r="D113" i="11"/>
  <c r="F111" i="11"/>
  <c r="D111" i="11"/>
  <c r="C110" i="11"/>
  <c r="C109" i="11"/>
  <c r="C108" i="11"/>
  <c r="C107" i="11"/>
  <c r="C106" i="11"/>
  <c r="L105" i="11"/>
  <c r="D105" i="11"/>
  <c r="W179" i="13" s="1"/>
  <c r="C105" i="11"/>
  <c r="L104" i="11"/>
  <c r="D104" i="11"/>
  <c r="C104" i="11"/>
  <c r="L103" i="11"/>
  <c r="W299" i="13" s="1"/>
  <c r="D103" i="11"/>
  <c r="C103" i="11"/>
  <c r="L102" i="11"/>
  <c r="W298" i="13" s="1"/>
  <c r="D102" i="11"/>
  <c r="W176" i="13" s="1"/>
  <c r="C102" i="11"/>
  <c r="L101" i="11"/>
  <c r="D101" i="11"/>
  <c r="W175" i="13" s="1"/>
  <c r="C101" i="11"/>
  <c r="L100" i="11"/>
  <c r="W296" i="13" s="1"/>
  <c r="D100" i="11"/>
  <c r="C100" i="11"/>
  <c r="L99" i="11"/>
  <c r="W295" i="13" s="1"/>
  <c r="D99" i="11"/>
  <c r="C99" i="11"/>
  <c r="L98" i="11"/>
  <c r="W294" i="13" s="1"/>
  <c r="D98" i="11"/>
  <c r="W172" i="13" s="1"/>
  <c r="C98" i="11"/>
  <c r="L97" i="11"/>
  <c r="D97" i="11"/>
  <c r="W171" i="13" s="1"/>
  <c r="C97" i="11"/>
  <c r="L96" i="11"/>
  <c r="D96" i="11"/>
  <c r="C96" i="11"/>
  <c r="L95" i="11"/>
  <c r="W291" i="13" s="1"/>
  <c r="D95" i="11"/>
  <c r="C95" i="11"/>
  <c r="L94" i="11"/>
  <c r="W290" i="13" s="1"/>
  <c r="D94" i="11"/>
  <c r="W168" i="13" s="1"/>
  <c r="C94" i="11"/>
  <c r="L93" i="11"/>
  <c r="D93" i="11"/>
  <c r="C93" i="11"/>
  <c r="L92" i="11"/>
  <c r="W288" i="13" s="1"/>
  <c r="D92" i="11"/>
  <c r="C92" i="11"/>
  <c r="L91" i="11"/>
  <c r="W287" i="13" s="1"/>
  <c r="D91" i="11"/>
  <c r="C91" i="11"/>
  <c r="L90" i="11"/>
  <c r="W286" i="13" s="1"/>
  <c r="D90" i="11"/>
  <c r="W164" i="13" s="1"/>
  <c r="C90" i="11"/>
  <c r="L89" i="11"/>
  <c r="D89" i="11"/>
  <c r="W163" i="13" s="1"/>
  <c r="C89" i="11"/>
  <c r="L88" i="11"/>
  <c r="W284" i="13" s="1"/>
  <c r="D88" i="11"/>
  <c r="C88" i="11"/>
  <c r="L87" i="11"/>
  <c r="W283" i="13" s="1"/>
  <c r="D87" i="11"/>
  <c r="C87" i="11"/>
  <c r="L53" i="11"/>
  <c r="W282" i="13" s="1"/>
  <c r="D53" i="11"/>
  <c r="C53" i="11"/>
  <c r="L52" i="11"/>
  <c r="D52" i="11"/>
  <c r="W126" i="13" s="1"/>
  <c r="C52" i="11"/>
  <c r="L86" i="11"/>
  <c r="W280" i="13" s="1"/>
  <c r="D86" i="11"/>
  <c r="C86" i="11"/>
  <c r="L85" i="11"/>
  <c r="W279" i="13" s="1"/>
  <c r="D85" i="11"/>
  <c r="C85" i="11"/>
  <c r="L48" i="11"/>
  <c r="W278" i="13" s="1"/>
  <c r="D48" i="11"/>
  <c r="W122" i="13" s="1"/>
  <c r="C48" i="11"/>
  <c r="L47" i="11"/>
  <c r="I28" i="13" s="1"/>
  <c r="D47" i="11"/>
  <c r="C47" i="11"/>
  <c r="O82" i="11"/>
  <c r="L82" i="11"/>
  <c r="K82" i="11"/>
  <c r="H82" i="11"/>
  <c r="G82" i="11"/>
  <c r="D82" i="11"/>
  <c r="Q81" i="11"/>
  <c r="P81" i="11"/>
  <c r="O81" i="11"/>
  <c r="L81" i="11"/>
  <c r="H81" i="11"/>
  <c r="D81" i="11"/>
  <c r="P78" i="11"/>
  <c r="H78" i="11"/>
  <c r="F78" i="11"/>
  <c r="D78" i="11"/>
  <c r="L77" i="11"/>
  <c r="W270" i="13" s="1"/>
  <c r="J77" i="11"/>
  <c r="D77" i="11"/>
  <c r="W151" i="13" s="1"/>
  <c r="C77" i="11"/>
  <c r="L76" i="11"/>
  <c r="W269" i="13" s="1"/>
  <c r="J76" i="11"/>
  <c r="D76" i="11"/>
  <c r="W150" i="13" s="1"/>
  <c r="C76" i="11"/>
  <c r="L75" i="11"/>
  <c r="W268" i="13" s="1"/>
  <c r="J75" i="11"/>
  <c r="D75" i="11"/>
  <c r="F75" i="11" s="1"/>
  <c r="C75" i="11"/>
  <c r="L74" i="11"/>
  <c r="J74" i="11"/>
  <c r="F74" i="11"/>
  <c r="C74" i="11"/>
  <c r="L73" i="11"/>
  <c r="J73" i="11"/>
  <c r="D73" i="11"/>
  <c r="W147" i="13" s="1"/>
  <c r="C73" i="11"/>
  <c r="L72" i="11"/>
  <c r="W265" i="13" s="1"/>
  <c r="J72" i="11"/>
  <c r="D72" i="11"/>
  <c r="W146" i="13" s="1"/>
  <c r="C72" i="11"/>
  <c r="L71" i="11"/>
  <c r="W264" i="13" s="1"/>
  <c r="J71" i="11"/>
  <c r="D71" i="11"/>
  <c r="W145" i="13" s="1"/>
  <c r="C71" i="11"/>
  <c r="L70" i="11"/>
  <c r="W263" i="13" s="1"/>
  <c r="J70" i="11"/>
  <c r="D70" i="11"/>
  <c r="F70" i="11" s="1"/>
  <c r="C70" i="11"/>
  <c r="L69" i="11"/>
  <c r="W262" i="13" s="1"/>
  <c r="J69" i="11"/>
  <c r="D69" i="11"/>
  <c r="F69" i="11" s="1"/>
  <c r="C69" i="11"/>
  <c r="L68" i="11"/>
  <c r="W261" i="13" s="1"/>
  <c r="J68" i="11"/>
  <c r="D68" i="11"/>
  <c r="W142" i="13" s="1"/>
  <c r="C68" i="11"/>
  <c r="L67" i="11"/>
  <c r="W260" i="13" s="1"/>
  <c r="J67" i="11"/>
  <c r="D67" i="11"/>
  <c r="F67" i="11" s="1"/>
  <c r="C67" i="11"/>
  <c r="L66" i="11"/>
  <c r="J66" i="11"/>
  <c r="D66" i="11"/>
  <c r="F66" i="11" s="1"/>
  <c r="C66" i="11"/>
  <c r="L65" i="11"/>
  <c r="W258" i="13" s="1"/>
  <c r="J65" i="11"/>
  <c r="D65" i="11"/>
  <c r="W139" i="13" s="1"/>
  <c r="C65" i="11"/>
  <c r="L64" i="11"/>
  <c r="W257" i="13" s="1"/>
  <c r="J64" i="11"/>
  <c r="D64" i="11"/>
  <c r="W138" i="13" s="1"/>
  <c r="C64" i="11"/>
  <c r="L63" i="11"/>
  <c r="J63" i="11"/>
  <c r="D63" i="11"/>
  <c r="F63" i="11" s="1"/>
  <c r="C63" i="11"/>
  <c r="L62" i="11"/>
  <c r="J62" i="11"/>
  <c r="D62" i="11"/>
  <c r="F62" i="11" s="1"/>
  <c r="C62" i="11"/>
  <c r="L61" i="11"/>
  <c r="W254" i="13" s="1"/>
  <c r="J61" i="11"/>
  <c r="D61" i="11"/>
  <c r="W135" i="13" s="1"/>
  <c r="C61" i="11"/>
  <c r="L60" i="11"/>
  <c r="W253" i="13" s="1"/>
  <c r="D60" i="11"/>
  <c r="C60" i="11"/>
  <c r="L59" i="11"/>
  <c r="W252" i="13" s="1"/>
  <c r="J59" i="11"/>
  <c r="D59" i="11"/>
  <c r="F59" i="11" s="1"/>
  <c r="C59" i="11"/>
  <c r="L58" i="11"/>
  <c r="W251" i="13" s="1"/>
  <c r="J58" i="11"/>
  <c r="D58" i="11"/>
  <c r="W132" i="13" s="1"/>
  <c r="C58" i="11"/>
  <c r="L57" i="11"/>
  <c r="W250" i="13" s="1"/>
  <c r="J57" i="11"/>
  <c r="D57" i="11"/>
  <c r="W131" i="13" s="1"/>
  <c r="C57" i="11"/>
  <c r="L56" i="11"/>
  <c r="W249" i="13" s="1"/>
  <c r="J56" i="11"/>
  <c r="D56" i="11"/>
  <c r="F56" i="11" s="1"/>
  <c r="C56" i="11"/>
  <c r="L55" i="11"/>
  <c r="J55" i="11"/>
  <c r="D55" i="11"/>
  <c r="W129" i="13" s="1"/>
  <c r="C55" i="11"/>
  <c r="L54" i="11"/>
  <c r="W247" i="13" s="1"/>
  <c r="J54" i="11"/>
  <c r="D54" i="11"/>
  <c r="W128" i="13" s="1"/>
  <c r="C54" i="11"/>
  <c r="L51" i="11"/>
  <c r="J51" i="11"/>
  <c r="D51" i="11"/>
  <c r="F51" i="11" s="1"/>
  <c r="C51" i="11"/>
  <c r="L50" i="11"/>
  <c r="W245" i="13" s="1"/>
  <c r="J50" i="11"/>
  <c r="D50" i="11"/>
  <c r="F50" i="11" s="1"/>
  <c r="C50" i="11"/>
  <c r="L49" i="11"/>
  <c r="J49" i="11"/>
  <c r="D49" i="11"/>
  <c r="C49" i="11"/>
  <c r="L46" i="11"/>
  <c r="J46" i="11"/>
  <c r="D46" i="11"/>
  <c r="F46" i="11" s="1"/>
  <c r="C46" i="11"/>
  <c r="L45" i="11"/>
  <c r="J45" i="11"/>
  <c r="D45" i="11"/>
  <c r="W119" i="13" s="1"/>
  <c r="C45" i="11"/>
  <c r="L44" i="11"/>
  <c r="J44" i="11"/>
  <c r="D44" i="11"/>
  <c r="E13" i="13" s="1"/>
  <c r="C44" i="11"/>
  <c r="P43" i="11"/>
  <c r="H43" i="11"/>
  <c r="I46" i="11" s="1"/>
  <c r="O41" i="11"/>
  <c r="L41" i="11"/>
  <c r="K41" i="11"/>
  <c r="H41" i="11"/>
  <c r="G41" i="11"/>
  <c r="D41" i="11"/>
  <c r="Q40" i="11"/>
  <c r="P40" i="11"/>
  <c r="O40" i="11"/>
  <c r="L40" i="11"/>
  <c r="H40" i="11"/>
  <c r="D40" i="11"/>
  <c r="H38" i="11"/>
  <c r="F38" i="11"/>
  <c r="D38" i="11"/>
  <c r="L37" i="11"/>
  <c r="J37" i="11"/>
  <c r="D37" i="11"/>
  <c r="C37" i="11"/>
  <c r="L36" i="11"/>
  <c r="N36" i="11" s="1"/>
  <c r="J36" i="11"/>
  <c r="D36" i="11"/>
  <c r="F36" i="11" s="1"/>
  <c r="C36" i="11"/>
  <c r="L35" i="11"/>
  <c r="J35" i="11"/>
  <c r="F35" i="11"/>
  <c r="D35" i="11"/>
  <c r="C35" i="11"/>
  <c r="L34" i="11"/>
  <c r="N34" i="11" s="1"/>
  <c r="J34" i="11"/>
  <c r="D34" i="11"/>
  <c r="F34" i="11" s="1"/>
  <c r="C34" i="11"/>
  <c r="L33" i="11"/>
  <c r="N33" i="11" s="1"/>
  <c r="J33" i="11"/>
  <c r="D33" i="11"/>
  <c r="F33" i="11" s="1"/>
  <c r="C33" i="11"/>
  <c r="L32" i="11"/>
  <c r="N32" i="11" s="1"/>
  <c r="J32" i="11"/>
  <c r="D32" i="11"/>
  <c r="F32" i="11" s="1"/>
  <c r="C32" i="11"/>
  <c r="L31" i="11"/>
  <c r="N31" i="11" s="1"/>
  <c r="J31" i="11"/>
  <c r="D31" i="11"/>
  <c r="F31" i="11" s="1"/>
  <c r="C31" i="11"/>
  <c r="L30" i="11"/>
  <c r="N30" i="11" s="1"/>
  <c r="J30" i="11"/>
  <c r="D30" i="11"/>
  <c r="F30" i="11" s="1"/>
  <c r="C30" i="11"/>
  <c r="L29" i="11"/>
  <c r="J29" i="11"/>
  <c r="D29" i="11"/>
  <c r="C29" i="11"/>
  <c r="L28" i="11"/>
  <c r="N28" i="11" s="1"/>
  <c r="J28" i="11"/>
  <c r="D28" i="11"/>
  <c r="F28" i="11" s="1"/>
  <c r="C28" i="11"/>
  <c r="L27" i="11"/>
  <c r="J27" i="11"/>
  <c r="D27" i="11"/>
  <c r="F27" i="11" s="1"/>
  <c r="C27" i="11"/>
  <c r="L26" i="11"/>
  <c r="N26" i="11" s="1"/>
  <c r="J26" i="11"/>
  <c r="D26" i="11"/>
  <c r="F26" i="11" s="1"/>
  <c r="C26" i="11"/>
  <c r="L25" i="11"/>
  <c r="N25" i="11" s="1"/>
  <c r="J25" i="11"/>
  <c r="D25" i="11"/>
  <c r="F25" i="11" s="1"/>
  <c r="C25" i="11"/>
  <c r="L23" i="11"/>
  <c r="N23" i="11" s="1"/>
  <c r="J23" i="11"/>
  <c r="D23" i="11"/>
  <c r="F23" i="11" s="1"/>
  <c r="C23" i="11"/>
  <c r="L22" i="11"/>
  <c r="N22" i="11" s="1"/>
  <c r="J22" i="11"/>
  <c r="D22" i="11"/>
  <c r="F22" i="11" s="1"/>
  <c r="C22" i="11"/>
  <c r="L21" i="11"/>
  <c r="J21" i="11"/>
  <c r="D21" i="11"/>
  <c r="C21" i="11"/>
  <c r="L20" i="11"/>
  <c r="N20" i="11" s="1"/>
  <c r="J20" i="11"/>
  <c r="D20" i="11"/>
  <c r="F20" i="11" s="1"/>
  <c r="C20" i="11"/>
  <c r="L19" i="11"/>
  <c r="N19" i="11" s="1"/>
  <c r="J19" i="11"/>
  <c r="D19" i="11"/>
  <c r="F19" i="11" s="1"/>
  <c r="C19" i="11"/>
  <c r="L18" i="11"/>
  <c r="N18" i="11" s="1"/>
  <c r="J18" i="11"/>
  <c r="D18" i="11"/>
  <c r="F18" i="11" s="1"/>
  <c r="C18" i="11"/>
  <c r="L17" i="11"/>
  <c r="N17" i="11" s="1"/>
  <c r="J17" i="11"/>
  <c r="D17" i="11"/>
  <c r="F17" i="11" s="1"/>
  <c r="C17" i="11"/>
  <c r="L16" i="11"/>
  <c r="N16" i="11" s="1"/>
  <c r="J16" i="11"/>
  <c r="D16" i="11"/>
  <c r="F16" i="11" s="1"/>
  <c r="C16" i="11"/>
  <c r="L15" i="11"/>
  <c r="N15" i="11" s="1"/>
  <c r="J15" i="11"/>
  <c r="D15" i="11"/>
  <c r="F15" i="11" s="1"/>
  <c r="C15" i="11"/>
  <c r="L14" i="11"/>
  <c r="N14" i="11" s="1"/>
  <c r="J14" i="11"/>
  <c r="D14" i="11"/>
  <c r="F14" i="11" s="1"/>
  <c r="C14" i="11"/>
  <c r="L13" i="11"/>
  <c r="J13" i="11"/>
  <c r="D13" i="11"/>
  <c r="C13" i="11"/>
  <c r="L12" i="11"/>
  <c r="J12" i="11"/>
  <c r="D12" i="11"/>
  <c r="F12" i="11" s="1"/>
  <c r="C12" i="11"/>
  <c r="L11" i="11"/>
  <c r="J11" i="11"/>
  <c r="D11" i="11"/>
  <c r="F11" i="11" s="1"/>
  <c r="C11" i="11"/>
  <c r="L10" i="11"/>
  <c r="J10" i="11"/>
  <c r="D10" i="11"/>
  <c r="C10" i="11"/>
  <c r="L9" i="11"/>
  <c r="N9" i="11" s="1"/>
  <c r="J9" i="11"/>
  <c r="D9" i="11"/>
  <c r="F9" i="11" s="1"/>
  <c r="C9" i="11"/>
  <c r="L8" i="11"/>
  <c r="N8" i="11" s="1"/>
  <c r="J8" i="11"/>
  <c r="D8" i="11"/>
  <c r="F8" i="11" s="1"/>
  <c r="C8" i="11"/>
  <c r="H7" i="11"/>
  <c r="I24" i="11" s="1"/>
  <c r="O3" i="11"/>
  <c r="L3" i="11"/>
  <c r="K3" i="11"/>
  <c r="H3" i="11"/>
  <c r="G3" i="11"/>
  <c r="D3" i="11"/>
  <c r="Q2" i="11"/>
  <c r="P2" i="11"/>
  <c r="O2" i="11"/>
  <c r="L2" i="11"/>
  <c r="K2" i="11"/>
  <c r="H2" i="11"/>
  <c r="G2" i="11"/>
  <c r="D2" i="11"/>
  <c r="P157" i="10"/>
  <c r="J157" i="10"/>
  <c r="H157" i="10"/>
  <c r="F157" i="10"/>
  <c r="D157" i="10"/>
  <c r="C156" i="10"/>
  <c r="C155" i="10"/>
  <c r="C154" i="10"/>
  <c r="L153" i="10"/>
  <c r="D153" i="10"/>
  <c r="C153" i="10"/>
  <c r="L152" i="10"/>
  <c r="D152" i="10"/>
  <c r="U226" i="13" s="1"/>
  <c r="C152" i="10"/>
  <c r="L151" i="10"/>
  <c r="D151" i="10"/>
  <c r="C151" i="10"/>
  <c r="L150" i="10"/>
  <c r="D150" i="10"/>
  <c r="F150" i="10" s="1"/>
  <c r="C150" i="10"/>
  <c r="L149" i="10"/>
  <c r="D149" i="10"/>
  <c r="C149" i="10"/>
  <c r="L148" i="10"/>
  <c r="D148" i="10"/>
  <c r="U222" i="13" s="1"/>
  <c r="C148" i="10"/>
  <c r="L147" i="10"/>
  <c r="D147" i="10"/>
  <c r="C147" i="10"/>
  <c r="L146" i="10"/>
  <c r="D146" i="10"/>
  <c r="F146" i="10" s="1"/>
  <c r="C146" i="10"/>
  <c r="L145" i="10"/>
  <c r="D145" i="10"/>
  <c r="C145" i="10"/>
  <c r="L144" i="10"/>
  <c r="D144" i="10"/>
  <c r="U218" i="13" s="1"/>
  <c r="C144" i="10"/>
  <c r="L143" i="10"/>
  <c r="D143" i="10"/>
  <c r="C143" i="10"/>
  <c r="L142" i="10"/>
  <c r="D142" i="10"/>
  <c r="F142" i="10" s="1"/>
  <c r="C142" i="10"/>
  <c r="L141" i="10"/>
  <c r="D141" i="10"/>
  <c r="C141" i="10"/>
  <c r="L140" i="10"/>
  <c r="D140" i="10"/>
  <c r="U214" i="13" s="1"/>
  <c r="C140" i="10"/>
  <c r="L139" i="10"/>
  <c r="D139" i="10"/>
  <c r="C139" i="10"/>
  <c r="L138" i="10"/>
  <c r="D138" i="10"/>
  <c r="F138" i="10" s="1"/>
  <c r="C138" i="10"/>
  <c r="L137" i="10"/>
  <c r="D137" i="10"/>
  <c r="C137" i="10"/>
  <c r="L136" i="10"/>
  <c r="D136" i="10"/>
  <c r="U210" i="13" s="1"/>
  <c r="C136" i="10"/>
  <c r="L135" i="10"/>
  <c r="D135" i="10"/>
  <c r="C135" i="10"/>
  <c r="L134" i="10"/>
  <c r="D134" i="10"/>
  <c r="F134" i="10" s="1"/>
  <c r="C134" i="10"/>
  <c r="L133" i="10"/>
  <c r="D133" i="10"/>
  <c r="C133" i="10"/>
  <c r="L132" i="10"/>
  <c r="D132" i="10"/>
  <c r="C132" i="10"/>
  <c r="L131" i="10"/>
  <c r="D131" i="10"/>
  <c r="C131" i="10"/>
  <c r="L130" i="10"/>
  <c r="D130" i="10"/>
  <c r="F130" i="10" s="1"/>
  <c r="C130" i="10"/>
  <c r="L129" i="10"/>
  <c r="D129" i="10"/>
  <c r="C129" i="10"/>
  <c r="L128" i="10"/>
  <c r="D128" i="10"/>
  <c r="C128" i="10"/>
  <c r="L127" i="10"/>
  <c r="D127" i="10"/>
  <c r="C127" i="10"/>
  <c r="L126" i="10"/>
  <c r="D126" i="10"/>
  <c r="F126" i="10" s="1"/>
  <c r="C126" i="10"/>
  <c r="L125" i="10"/>
  <c r="D125" i="10"/>
  <c r="C125" i="10"/>
  <c r="L124" i="10"/>
  <c r="D124" i="10"/>
  <c r="U198" i="13" s="1"/>
  <c r="C124" i="10"/>
  <c r="L123" i="10"/>
  <c r="D123" i="10"/>
  <c r="C123" i="10"/>
  <c r="L122" i="10"/>
  <c r="U318" i="13" s="1"/>
  <c r="D122" i="10"/>
  <c r="C122" i="10"/>
  <c r="L121" i="10"/>
  <c r="D121" i="10"/>
  <c r="C121" i="10"/>
  <c r="L120" i="10"/>
  <c r="D120" i="10"/>
  <c r="U194" i="13" s="1"/>
  <c r="C120" i="10"/>
  <c r="L119" i="10"/>
  <c r="D119" i="10"/>
  <c r="C119" i="10"/>
  <c r="L118" i="10"/>
  <c r="D118" i="10"/>
  <c r="C118" i="10"/>
  <c r="L117" i="10"/>
  <c r="K27" i="13" s="1"/>
  <c r="D117" i="10"/>
  <c r="K12" i="13" s="1"/>
  <c r="C117" i="10"/>
  <c r="P116" i="10"/>
  <c r="J116" i="10"/>
  <c r="K151" i="10" s="1"/>
  <c r="H116" i="10"/>
  <c r="I151" i="10" s="1"/>
  <c r="O114" i="10"/>
  <c r="L114" i="10"/>
  <c r="K114" i="10"/>
  <c r="H114" i="10"/>
  <c r="G114" i="10"/>
  <c r="D114" i="10"/>
  <c r="Q113" i="10"/>
  <c r="P113" i="10"/>
  <c r="O113" i="10"/>
  <c r="L113" i="10"/>
  <c r="H113" i="10"/>
  <c r="D113" i="10"/>
  <c r="F111" i="10"/>
  <c r="D111" i="10"/>
  <c r="C110" i="10"/>
  <c r="C109" i="10"/>
  <c r="C108" i="10"/>
  <c r="C107" i="10"/>
  <c r="C106" i="10"/>
  <c r="L105" i="10"/>
  <c r="U301" i="13" s="1"/>
  <c r="D105" i="10"/>
  <c r="C105" i="10"/>
  <c r="L104" i="10"/>
  <c r="D104" i="10"/>
  <c r="C104" i="10"/>
  <c r="L103" i="10"/>
  <c r="D103" i="10"/>
  <c r="U177" i="13" s="1"/>
  <c r="C103" i="10"/>
  <c r="L102" i="10"/>
  <c r="D102" i="10"/>
  <c r="U176" i="13" s="1"/>
  <c r="C102" i="10"/>
  <c r="L101" i="10"/>
  <c r="U297" i="13" s="1"/>
  <c r="D101" i="10"/>
  <c r="C101" i="10"/>
  <c r="L100" i="10"/>
  <c r="D100" i="10"/>
  <c r="U174" i="13" s="1"/>
  <c r="C100" i="10"/>
  <c r="L99" i="10"/>
  <c r="N99" i="10" s="1"/>
  <c r="D99" i="10"/>
  <c r="U173" i="13" s="1"/>
  <c r="C99" i="10"/>
  <c r="L98" i="10"/>
  <c r="D98" i="10"/>
  <c r="U172" i="13" s="1"/>
  <c r="C98" i="10"/>
  <c r="L97" i="10"/>
  <c r="U293" i="13" s="1"/>
  <c r="D97" i="10"/>
  <c r="C97" i="10"/>
  <c r="L96" i="10"/>
  <c r="D96" i="10"/>
  <c r="U170" i="13" s="1"/>
  <c r="C96" i="10"/>
  <c r="L95" i="10"/>
  <c r="N95" i="10" s="1"/>
  <c r="D95" i="10"/>
  <c r="U169" i="13" s="1"/>
  <c r="C95" i="10"/>
  <c r="L94" i="10"/>
  <c r="U290" i="13" s="1"/>
  <c r="D94" i="10"/>
  <c r="U168" i="13" s="1"/>
  <c r="C94" i="10"/>
  <c r="L93" i="10"/>
  <c r="U289" i="13" s="1"/>
  <c r="D93" i="10"/>
  <c r="C93" i="10"/>
  <c r="L92" i="10"/>
  <c r="D92" i="10"/>
  <c r="C92" i="10"/>
  <c r="L91" i="10"/>
  <c r="N91" i="10" s="1"/>
  <c r="D91" i="10"/>
  <c r="U165" i="13" s="1"/>
  <c r="C91" i="10"/>
  <c r="L90" i="10"/>
  <c r="D90" i="10"/>
  <c r="U164" i="13" s="1"/>
  <c r="C90" i="10"/>
  <c r="L89" i="10"/>
  <c r="U285" i="13" s="1"/>
  <c r="D89" i="10"/>
  <c r="C89" i="10"/>
  <c r="L88" i="10"/>
  <c r="D88" i="10"/>
  <c r="U162" i="13" s="1"/>
  <c r="C88" i="10"/>
  <c r="L87" i="10"/>
  <c r="U283" i="13" s="1"/>
  <c r="D87" i="10"/>
  <c r="U161" i="13" s="1"/>
  <c r="C87" i="10"/>
  <c r="L53" i="10"/>
  <c r="D53" i="10"/>
  <c r="C53" i="10"/>
  <c r="L52" i="10"/>
  <c r="U281" i="13" s="1"/>
  <c r="D52" i="10"/>
  <c r="C52" i="10"/>
  <c r="L86" i="10"/>
  <c r="D86" i="10"/>
  <c r="U160" i="13" s="1"/>
  <c r="C86" i="10"/>
  <c r="L85" i="10"/>
  <c r="N85" i="10" s="1"/>
  <c r="D85" i="10"/>
  <c r="U159" i="13" s="1"/>
  <c r="C85" i="10"/>
  <c r="L48" i="10"/>
  <c r="D48" i="10"/>
  <c r="U122" i="13" s="1"/>
  <c r="C48" i="10"/>
  <c r="L47" i="10"/>
  <c r="D47" i="10"/>
  <c r="I12" i="13" s="1"/>
  <c r="C47" i="10"/>
  <c r="O82" i="10"/>
  <c r="L82" i="10"/>
  <c r="K82" i="10"/>
  <c r="H82" i="10"/>
  <c r="G82" i="10"/>
  <c r="D82" i="10"/>
  <c r="Q81" i="10"/>
  <c r="P81" i="10"/>
  <c r="O81" i="10"/>
  <c r="L81" i="10"/>
  <c r="H81" i="10"/>
  <c r="D81" i="10"/>
  <c r="P78" i="10"/>
  <c r="P80" i="10" s="1"/>
  <c r="H78" i="10"/>
  <c r="F78" i="10"/>
  <c r="F6" i="10" s="1"/>
  <c r="D78" i="10"/>
  <c r="L77" i="10"/>
  <c r="J77" i="10"/>
  <c r="D77" i="10"/>
  <c r="C77" i="10"/>
  <c r="L76" i="10"/>
  <c r="J76" i="10"/>
  <c r="D76" i="10"/>
  <c r="U150" i="13" s="1"/>
  <c r="C76" i="10"/>
  <c r="L75" i="10"/>
  <c r="J75" i="10"/>
  <c r="D75" i="10"/>
  <c r="C75" i="10"/>
  <c r="L74" i="10"/>
  <c r="J74" i="10"/>
  <c r="F74" i="10"/>
  <c r="C74" i="10"/>
  <c r="L73" i="10"/>
  <c r="J73" i="10"/>
  <c r="D73" i="10"/>
  <c r="F73" i="10" s="1"/>
  <c r="C73" i="10"/>
  <c r="L72" i="10"/>
  <c r="J72" i="10"/>
  <c r="D72" i="10"/>
  <c r="F72" i="10" s="1"/>
  <c r="C72" i="10"/>
  <c r="L71" i="10"/>
  <c r="J71" i="10"/>
  <c r="D71" i="10"/>
  <c r="U145" i="13" s="1"/>
  <c r="C71" i="10"/>
  <c r="L70" i="10"/>
  <c r="J70" i="10"/>
  <c r="D70" i="10"/>
  <c r="F70" i="10" s="1"/>
  <c r="C70" i="10"/>
  <c r="L69" i="10"/>
  <c r="J69" i="10"/>
  <c r="D69" i="10"/>
  <c r="C69" i="10"/>
  <c r="L68" i="10"/>
  <c r="U261" i="13" s="1"/>
  <c r="J68" i="10"/>
  <c r="D68" i="10"/>
  <c r="U142" i="13" s="1"/>
  <c r="C68" i="10"/>
  <c r="L67" i="10"/>
  <c r="J67" i="10"/>
  <c r="D67" i="10"/>
  <c r="F67" i="10" s="1"/>
  <c r="C67" i="10"/>
  <c r="L66" i="10"/>
  <c r="U259" i="13" s="1"/>
  <c r="J66" i="10"/>
  <c r="D66" i="10"/>
  <c r="F66" i="10" s="1"/>
  <c r="C66" i="10"/>
  <c r="L65" i="10"/>
  <c r="U258" i="13" s="1"/>
  <c r="J65" i="10"/>
  <c r="D65" i="10"/>
  <c r="C65" i="10"/>
  <c r="L64" i="10"/>
  <c r="J64" i="10"/>
  <c r="D64" i="10"/>
  <c r="C64" i="10"/>
  <c r="L63" i="10"/>
  <c r="J63" i="10"/>
  <c r="D63" i="10"/>
  <c r="F63" i="10" s="1"/>
  <c r="C63" i="10"/>
  <c r="L62" i="10"/>
  <c r="U255" i="13" s="1"/>
  <c r="J62" i="10"/>
  <c r="D62" i="10"/>
  <c r="F62" i="10" s="1"/>
  <c r="C62" i="10"/>
  <c r="L61" i="10"/>
  <c r="U254" i="13" s="1"/>
  <c r="J61" i="10"/>
  <c r="D61" i="10"/>
  <c r="F61" i="10" s="1"/>
  <c r="C61" i="10"/>
  <c r="L60" i="10"/>
  <c r="U253" i="13" s="1"/>
  <c r="D60" i="10"/>
  <c r="F60" i="10" s="1"/>
  <c r="C60" i="10"/>
  <c r="L59" i="10"/>
  <c r="J59" i="10"/>
  <c r="D59" i="10"/>
  <c r="C59" i="10"/>
  <c r="L58" i="10"/>
  <c r="U251" i="13" s="1"/>
  <c r="J58" i="10"/>
  <c r="D58" i="10"/>
  <c r="U132" i="13" s="1"/>
  <c r="C58" i="10"/>
  <c r="L57" i="10"/>
  <c r="J57" i="10"/>
  <c r="D57" i="10"/>
  <c r="F57" i="10" s="1"/>
  <c r="C57" i="10"/>
  <c r="L56" i="10"/>
  <c r="J56" i="10"/>
  <c r="D56" i="10"/>
  <c r="F56" i="10" s="1"/>
  <c r="C56" i="10"/>
  <c r="L55" i="10"/>
  <c r="J55" i="10"/>
  <c r="D55" i="10"/>
  <c r="F55" i="10" s="1"/>
  <c r="C55" i="10"/>
  <c r="L54" i="10"/>
  <c r="J54" i="10"/>
  <c r="D54" i="10"/>
  <c r="U128" i="13" s="1"/>
  <c r="C54" i="10"/>
  <c r="L51" i="10"/>
  <c r="J51" i="10"/>
  <c r="D51" i="10"/>
  <c r="F51" i="10" s="1"/>
  <c r="C51" i="10"/>
  <c r="L50" i="10"/>
  <c r="J50" i="10"/>
  <c r="D50" i="10"/>
  <c r="F50" i="10" s="1"/>
  <c r="C50" i="10"/>
  <c r="L49" i="10"/>
  <c r="U244" i="13" s="1"/>
  <c r="J49" i="10"/>
  <c r="D49" i="10"/>
  <c r="C49" i="10"/>
  <c r="L46" i="10"/>
  <c r="J46" i="10"/>
  <c r="D46" i="10"/>
  <c r="U120" i="13" s="1"/>
  <c r="C46" i="10"/>
  <c r="L45" i="10"/>
  <c r="J45" i="10"/>
  <c r="D45" i="10"/>
  <c r="F45" i="10" s="1"/>
  <c r="C45" i="10"/>
  <c r="L44" i="10"/>
  <c r="E27" i="13" s="1"/>
  <c r="J44" i="10"/>
  <c r="D44" i="10"/>
  <c r="E12" i="13" s="1"/>
  <c r="C44" i="10"/>
  <c r="P43" i="10"/>
  <c r="H43" i="10"/>
  <c r="I46" i="10" s="1"/>
  <c r="O41" i="10"/>
  <c r="L41" i="10"/>
  <c r="K41" i="10"/>
  <c r="H41" i="10"/>
  <c r="G41" i="10"/>
  <c r="D41" i="10"/>
  <c r="Q40" i="10"/>
  <c r="P40" i="10"/>
  <c r="O40" i="10"/>
  <c r="L40" i="10"/>
  <c r="H40" i="10"/>
  <c r="D40" i="10"/>
  <c r="H38" i="10"/>
  <c r="H80" i="10" s="1"/>
  <c r="I80" i="10" s="1"/>
  <c r="F38" i="10"/>
  <c r="D38" i="10"/>
  <c r="L37" i="10"/>
  <c r="N37" i="10" s="1"/>
  <c r="J37" i="10"/>
  <c r="D37" i="10"/>
  <c r="F37" i="10" s="1"/>
  <c r="C37" i="10"/>
  <c r="L36" i="10"/>
  <c r="N36" i="10" s="1"/>
  <c r="J36" i="10"/>
  <c r="D36" i="10"/>
  <c r="F36" i="10" s="1"/>
  <c r="C36" i="10"/>
  <c r="L35" i="10"/>
  <c r="N35" i="10" s="1"/>
  <c r="J35" i="10"/>
  <c r="D35" i="10"/>
  <c r="F35" i="10" s="1"/>
  <c r="C35" i="10"/>
  <c r="L34" i="10"/>
  <c r="N34" i="10" s="1"/>
  <c r="J34" i="10"/>
  <c r="D34" i="10"/>
  <c r="F34" i="10" s="1"/>
  <c r="C34" i="10"/>
  <c r="L33" i="10"/>
  <c r="N33" i="10" s="1"/>
  <c r="J33" i="10"/>
  <c r="D33" i="10"/>
  <c r="F33" i="10" s="1"/>
  <c r="C33" i="10"/>
  <c r="L32" i="10"/>
  <c r="N32" i="10" s="1"/>
  <c r="J32" i="10"/>
  <c r="D32" i="10"/>
  <c r="C32" i="10"/>
  <c r="L31" i="10"/>
  <c r="N31" i="10" s="1"/>
  <c r="J31" i="10"/>
  <c r="D31" i="10"/>
  <c r="F31" i="10" s="1"/>
  <c r="C31" i="10"/>
  <c r="L30" i="10"/>
  <c r="N30" i="10" s="1"/>
  <c r="J30" i="10"/>
  <c r="D30" i="10"/>
  <c r="F30" i="10" s="1"/>
  <c r="C30" i="10"/>
  <c r="L29" i="10"/>
  <c r="N29" i="10" s="1"/>
  <c r="J29" i="10"/>
  <c r="D29" i="10"/>
  <c r="F29" i="10" s="1"/>
  <c r="C29" i="10"/>
  <c r="L28" i="10"/>
  <c r="N28" i="10" s="1"/>
  <c r="J28" i="10"/>
  <c r="D28" i="10"/>
  <c r="F28" i="10" s="1"/>
  <c r="C28" i="10"/>
  <c r="L27" i="10"/>
  <c r="N27" i="10" s="1"/>
  <c r="J27" i="10"/>
  <c r="D27" i="10"/>
  <c r="F27" i="10" s="1"/>
  <c r="C27" i="10"/>
  <c r="L26" i="10"/>
  <c r="N26" i="10" s="1"/>
  <c r="J26" i="10"/>
  <c r="D26" i="10"/>
  <c r="F26" i="10" s="1"/>
  <c r="C26" i="10"/>
  <c r="L25" i="10"/>
  <c r="N25" i="10" s="1"/>
  <c r="J25" i="10"/>
  <c r="D25" i="10"/>
  <c r="F25" i="10" s="1"/>
  <c r="C25" i="10"/>
  <c r="L23" i="10"/>
  <c r="N23" i="10" s="1"/>
  <c r="J23" i="10"/>
  <c r="D23" i="10"/>
  <c r="F23" i="10" s="1"/>
  <c r="C23" i="10"/>
  <c r="L22" i="10"/>
  <c r="N22" i="10" s="1"/>
  <c r="J22" i="10"/>
  <c r="D22" i="10"/>
  <c r="F22" i="10" s="1"/>
  <c r="C22" i="10"/>
  <c r="L21" i="10"/>
  <c r="N21" i="10" s="1"/>
  <c r="J21" i="10"/>
  <c r="D21" i="10"/>
  <c r="F21" i="10" s="1"/>
  <c r="C21" i="10"/>
  <c r="L20" i="10"/>
  <c r="N20" i="10" s="1"/>
  <c r="J20" i="10"/>
  <c r="D20" i="10"/>
  <c r="F20" i="10" s="1"/>
  <c r="C20" i="10"/>
  <c r="L19" i="10"/>
  <c r="N19" i="10" s="1"/>
  <c r="J19" i="10"/>
  <c r="D19" i="10"/>
  <c r="F19" i="10" s="1"/>
  <c r="C19" i="10"/>
  <c r="L18" i="10"/>
  <c r="N18" i="10" s="1"/>
  <c r="J18" i="10"/>
  <c r="D18" i="10"/>
  <c r="F18" i="10" s="1"/>
  <c r="C18" i="10"/>
  <c r="L17" i="10"/>
  <c r="N17" i="10" s="1"/>
  <c r="J17" i="10"/>
  <c r="D17" i="10"/>
  <c r="F17" i="10" s="1"/>
  <c r="C17" i="10"/>
  <c r="L16" i="10"/>
  <c r="N16" i="10" s="1"/>
  <c r="J16" i="10"/>
  <c r="D16" i="10"/>
  <c r="C16" i="10"/>
  <c r="L15" i="10"/>
  <c r="N15" i="10" s="1"/>
  <c r="J15" i="10"/>
  <c r="D15" i="10"/>
  <c r="F15" i="10" s="1"/>
  <c r="C15" i="10"/>
  <c r="N14" i="10"/>
  <c r="L14" i="10"/>
  <c r="J14" i="10"/>
  <c r="D14" i="10"/>
  <c r="F14" i="10" s="1"/>
  <c r="C14" i="10"/>
  <c r="L13" i="10"/>
  <c r="N13" i="10" s="1"/>
  <c r="J13" i="10"/>
  <c r="D13" i="10"/>
  <c r="F13" i="10" s="1"/>
  <c r="C13" i="10"/>
  <c r="L12" i="10"/>
  <c r="N12" i="10" s="1"/>
  <c r="J12" i="10"/>
  <c r="D12" i="10"/>
  <c r="F12" i="10" s="1"/>
  <c r="C12" i="10"/>
  <c r="L11" i="10"/>
  <c r="N11" i="10" s="1"/>
  <c r="J11" i="10"/>
  <c r="D11" i="10"/>
  <c r="F11" i="10" s="1"/>
  <c r="C11" i="10"/>
  <c r="L10" i="10"/>
  <c r="N10" i="10" s="1"/>
  <c r="J10" i="10"/>
  <c r="D10" i="10"/>
  <c r="F10" i="10" s="1"/>
  <c r="C10" i="10"/>
  <c r="L9" i="10"/>
  <c r="N9" i="10" s="1"/>
  <c r="J9" i="10"/>
  <c r="D9" i="10"/>
  <c r="F9" i="10" s="1"/>
  <c r="C9" i="10"/>
  <c r="L8" i="10"/>
  <c r="J8" i="10"/>
  <c r="J7" i="10" s="1"/>
  <c r="K24" i="10" s="1"/>
  <c r="D8" i="10"/>
  <c r="C8" i="10"/>
  <c r="H7" i="10"/>
  <c r="I24" i="10" s="1"/>
  <c r="O3" i="10"/>
  <c r="L3" i="10"/>
  <c r="K3" i="10"/>
  <c r="H3" i="10"/>
  <c r="G3" i="10"/>
  <c r="D3" i="10"/>
  <c r="Q2" i="10"/>
  <c r="P2" i="10"/>
  <c r="O2" i="10"/>
  <c r="L2" i="10"/>
  <c r="K2" i="10"/>
  <c r="H2" i="10"/>
  <c r="G2" i="10"/>
  <c r="D2" i="10"/>
  <c r="P157" i="9"/>
  <c r="J157" i="9"/>
  <c r="H157" i="9"/>
  <c r="F157" i="9"/>
  <c r="D157" i="9"/>
  <c r="C156" i="9"/>
  <c r="C155" i="9"/>
  <c r="C154" i="9"/>
  <c r="L153" i="9"/>
  <c r="D153" i="9"/>
  <c r="S227" i="13" s="1"/>
  <c r="C153" i="9"/>
  <c r="L152" i="9"/>
  <c r="D152" i="9"/>
  <c r="S226" i="13" s="1"/>
  <c r="C152" i="9"/>
  <c r="L151" i="9"/>
  <c r="S347" i="13" s="1"/>
  <c r="D151" i="9"/>
  <c r="C151" i="9"/>
  <c r="L150" i="9"/>
  <c r="D150" i="9"/>
  <c r="S224" i="13" s="1"/>
  <c r="C150" i="9"/>
  <c r="L149" i="9"/>
  <c r="S345" i="13" s="1"/>
  <c r="D149" i="9"/>
  <c r="S223" i="13" s="1"/>
  <c r="C149" i="9"/>
  <c r="L148" i="9"/>
  <c r="D148" i="9"/>
  <c r="S222" i="13" s="1"/>
  <c r="C148" i="9"/>
  <c r="L147" i="9"/>
  <c r="N147" i="9" s="1"/>
  <c r="D147" i="9"/>
  <c r="C147" i="9"/>
  <c r="L146" i="9"/>
  <c r="S342" i="13" s="1"/>
  <c r="D146" i="9"/>
  <c r="S220" i="13" s="1"/>
  <c r="C146" i="9"/>
  <c r="L145" i="9"/>
  <c r="S341" i="13" s="1"/>
  <c r="D145" i="9"/>
  <c r="S219" i="13" s="1"/>
  <c r="C145" i="9"/>
  <c r="L144" i="9"/>
  <c r="D144" i="9"/>
  <c r="S218" i="13" s="1"/>
  <c r="C144" i="9"/>
  <c r="L143" i="9"/>
  <c r="N143" i="9" s="1"/>
  <c r="D143" i="9"/>
  <c r="C143" i="9"/>
  <c r="L142" i="9"/>
  <c r="S338" i="13" s="1"/>
  <c r="D142" i="9"/>
  <c r="S216" i="13" s="1"/>
  <c r="C142" i="9"/>
  <c r="L141" i="9"/>
  <c r="S337" i="13" s="1"/>
  <c r="D141" i="9"/>
  <c r="S215" i="13" s="1"/>
  <c r="C141" i="9"/>
  <c r="L140" i="9"/>
  <c r="D140" i="9"/>
  <c r="S214" i="13" s="1"/>
  <c r="C140" i="9"/>
  <c r="L139" i="9"/>
  <c r="D139" i="9"/>
  <c r="C139" i="9"/>
  <c r="L138" i="9"/>
  <c r="S334" i="13" s="1"/>
  <c r="D138" i="9"/>
  <c r="S212" i="13" s="1"/>
  <c r="C138" i="9"/>
  <c r="L137" i="9"/>
  <c r="D137" i="9"/>
  <c r="S211" i="13" s="1"/>
  <c r="C137" i="9"/>
  <c r="L136" i="9"/>
  <c r="D136" i="9"/>
  <c r="S210" i="13" s="1"/>
  <c r="C136" i="9"/>
  <c r="L135" i="9"/>
  <c r="N135" i="9" s="1"/>
  <c r="D135" i="9"/>
  <c r="C135" i="9"/>
  <c r="L134" i="9"/>
  <c r="D134" i="9"/>
  <c r="S208" i="13" s="1"/>
  <c r="C134" i="9"/>
  <c r="L133" i="9"/>
  <c r="S329" i="13" s="1"/>
  <c r="D133" i="9"/>
  <c r="S207" i="13" s="1"/>
  <c r="C133" i="9"/>
  <c r="L132" i="9"/>
  <c r="D132" i="9"/>
  <c r="S206" i="13" s="1"/>
  <c r="C132" i="9"/>
  <c r="L131" i="9"/>
  <c r="S327" i="13" s="1"/>
  <c r="D131" i="9"/>
  <c r="C131" i="9"/>
  <c r="L130" i="9"/>
  <c r="S326" i="13" s="1"/>
  <c r="D130" i="9"/>
  <c r="S204" i="13" s="1"/>
  <c r="C130" i="9"/>
  <c r="L129" i="9"/>
  <c r="S325" i="13" s="1"/>
  <c r="D129" i="9"/>
  <c r="S203" i="13" s="1"/>
  <c r="C129" i="9"/>
  <c r="L128" i="9"/>
  <c r="D128" i="9"/>
  <c r="S202" i="13" s="1"/>
  <c r="C128" i="9"/>
  <c r="L127" i="9"/>
  <c r="S323" i="13" s="1"/>
  <c r="D127" i="9"/>
  <c r="C127" i="9"/>
  <c r="L126" i="9"/>
  <c r="S322" i="13" s="1"/>
  <c r="D126" i="9"/>
  <c r="C126" i="9"/>
  <c r="L125" i="9"/>
  <c r="S321" i="13" s="1"/>
  <c r="D125" i="9"/>
  <c r="S199" i="13" s="1"/>
  <c r="C125" i="9"/>
  <c r="L124" i="9"/>
  <c r="D124" i="9"/>
  <c r="S198" i="13" s="1"/>
  <c r="C124" i="9"/>
  <c r="L123" i="9"/>
  <c r="S319" i="13" s="1"/>
  <c r="D123" i="9"/>
  <c r="C123" i="9"/>
  <c r="L122" i="9"/>
  <c r="D122" i="9"/>
  <c r="C122" i="9"/>
  <c r="L121" i="9"/>
  <c r="S317" i="13" s="1"/>
  <c r="D121" i="9"/>
  <c r="S195" i="13" s="1"/>
  <c r="C121" i="9"/>
  <c r="L120" i="9"/>
  <c r="D120" i="9"/>
  <c r="S194" i="13" s="1"/>
  <c r="C120" i="9"/>
  <c r="L119" i="9"/>
  <c r="S315" i="13" s="1"/>
  <c r="D119" i="9"/>
  <c r="C119" i="9"/>
  <c r="L118" i="9"/>
  <c r="S314" i="13" s="1"/>
  <c r="D118" i="9"/>
  <c r="C118" i="9"/>
  <c r="L117" i="9"/>
  <c r="D117" i="9"/>
  <c r="C117" i="9"/>
  <c r="P116" i="9"/>
  <c r="J116" i="9"/>
  <c r="K150" i="9" s="1"/>
  <c r="H116" i="9"/>
  <c r="I151" i="9" s="1"/>
  <c r="O114" i="9"/>
  <c r="L114" i="9"/>
  <c r="K114" i="9"/>
  <c r="H114" i="9"/>
  <c r="G114" i="9"/>
  <c r="D114" i="9"/>
  <c r="Q113" i="9"/>
  <c r="P113" i="9"/>
  <c r="O113" i="9"/>
  <c r="L113" i="9"/>
  <c r="H113" i="9"/>
  <c r="D113" i="9"/>
  <c r="D111" i="9"/>
  <c r="C110" i="9"/>
  <c r="C109" i="9"/>
  <c r="C108" i="9"/>
  <c r="C107" i="9"/>
  <c r="Q106" i="9"/>
  <c r="C106" i="9"/>
  <c r="L105" i="9"/>
  <c r="S301" i="13" s="1"/>
  <c r="D105" i="9"/>
  <c r="F105" i="9" s="1"/>
  <c r="C105" i="9"/>
  <c r="L104" i="9"/>
  <c r="D104" i="9"/>
  <c r="S178" i="13" s="1"/>
  <c r="C104" i="9"/>
  <c r="L103" i="9"/>
  <c r="D103" i="9"/>
  <c r="S177" i="13" s="1"/>
  <c r="C103" i="9"/>
  <c r="L102" i="9"/>
  <c r="S298" i="13" s="1"/>
  <c r="D102" i="9"/>
  <c r="C102" i="9"/>
  <c r="L101" i="9"/>
  <c r="S297" i="13" s="1"/>
  <c r="D101" i="9"/>
  <c r="F101" i="9" s="1"/>
  <c r="C101" i="9"/>
  <c r="L100" i="9"/>
  <c r="D100" i="9"/>
  <c r="F100" i="9" s="1"/>
  <c r="C100" i="9"/>
  <c r="L99" i="9"/>
  <c r="D99" i="9"/>
  <c r="S173" i="13" s="1"/>
  <c r="C99" i="9"/>
  <c r="L98" i="9"/>
  <c r="S294" i="13" s="1"/>
  <c r="D98" i="9"/>
  <c r="S172" i="13" s="1"/>
  <c r="C98" i="9"/>
  <c r="L97" i="9"/>
  <c r="S293" i="13" s="1"/>
  <c r="D97" i="9"/>
  <c r="C97" i="9"/>
  <c r="L96" i="9"/>
  <c r="D96" i="9"/>
  <c r="S170" i="13" s="1"/>
  <c r="C96" i="9"/>
  <c r="L95" i="9"/>
  <c r="D95" i="9"/>
  <c r="S169" i="13" s="1"/>
  <c r="C95" i="9"/>
  <c r="L94" i="9"/>
  <c r="S290" i="13" s="1"/>
  <c r="D94" i="9"/>
  <c r="S168" i="13" s="1"/>
  <c r="C94" i="9"/>
  <c r="L93" i="9"/>
  <c r="S289" i="13" s="1"/>
  <c r="D93" i="9"/>
  <c r="C93" i="9"/>
  <c r="L92" i="9"/>
  <c r="D92" i="9"/>
  <c r="S166" i="13" s="1"/>
  <c r="C92" i="9"/>
  <c r="L91" i="9"/>
  <c r="D91" i="9"/>
  <c r="S165" i="13" s="1"/>
  <c r="C91" i="9"/>
  <c r="L90" i="9"/>
  <c r="S286" i="13" s="1"/>
  <c r="D90" i="9"/>
  <c r="C90" i="9"/>
  <c r="L89" i="9"/>
  <c r="S285" i="13" s="1"/>
  <c r="D89" i="9"/>
  <c r="F89" i="9" s="1"/>
  <c r="C89" i="9"/>
  <c r="L88" i="9"/>
  <c r="D88" i="9"/>
  <c r="S162" i="13" s="1"/>
  <c r="C88" i="9"/>
  <c r="L87" i="9"/>
  <c r="D87" i="9"/>
  <c r="S161" i="13" s="1"/>
  <c r="C87" i="9"/>
  <c r="L53" i="9"/>
  <c r="S282" i="13" s="1"/>
  <c r="D53" i="9"/>
  <c r="S127" i="13" s="1"/>
  <c r="C53" i="9"/>
  <c r="L52" i="9"/>
  <c r="S281" i="13" s="1"/>
  <c r="D52" i="9"/>
  <c r="C52" i="9"/>
  <c r="L86" i="9"/>
  <c r="D86" i="9"/>
  <c r="C86" i="9"/>
  <c r="L85" i="9"/>
  <c r="D85" i="9"/>
  <c r="S159" i="13" s="1"/>
  <c r="C85" i="9"/>
  <c r="L48" i="9"/>
  <c r="S278" i="13" s="1"/>
  <c r="D48" i="9"/>
  <c r="S122" i="13" s="1"/>
  <c r="C48" i="9"/>
  <c r="L47" i="9"/>
  <c r="S277" i="13" s="1"/>
  <c r="D47" i="9"/>
  <c r="C47" i="9"/>
  <c r="O82" i="9"/>
  <c r="L82" i="9"/>
  <c r="K82" i="9"/>
  <c r="H82" i="9"/>
  <c r="G82" i="9"/>
  <c r="D82" i="9"/>
  <c r="Q81" i="9"/>
  <c r="P81" i="9"/>
  <c r="O81" i="9"/>
  <c r="L81" i="9"/>
  <c r="H81" i="9"/>
  <c r="D81" i="9"/>
  <c r="P78" i="9"/>
  <c r="P80" i="9" s="1"/>
  <c r="H78" i="9"/>
  <c r="F78" i="9"/>
  <c r="F6" i="9" s="1"/>
  <c r="D78" i="9"/>
  <c r="L77" i="9"/>
  <c r="S270" i="13" s="1"/>
  <c r="J77" i="9"/>
  <c r="D77" i="9"/>
  <c r="C77" i="9"/>
  <c r="L76" i="9"/>
  <c r="J76" i="9"/>
  <c r="D76" i="9"/>
  <c r="S150" i="13" s="1"/>
  <c r="C76" i="9"/>
  <c r="L75" i="9"/>
  <c r="J75" i="9"/>
  <c r="D75" i="9"/>
  <c r="S149" i="13" s="1"/>
  <c r="C75" i="9"/>
  <c r="L74" i="9"/>
  <c r="J74" i="9"/>
  <c r="F74" i="9"/>
  <c r="C74" i="9"/>
  <c r="L73" i="9"/>
  <c r="S266" i="13" s="1"/>
  <c r="J73" i="9"/>
  <c r="D73" i="9"/>
  <c r="F73" i="9" s="1"/>
  <c r="C73" i="9"/>
  <c r="L72" i="9"/>
  <c r="S265" i="13" s="1"/>
  <c r="J72" i="9"/>
  <c r="D72" i="9"/>
  <c r="F72" i="9" s="1"/>
  <c r="C72" i="9"/>
  <c r="L71" i="9"/>
  <c r="J71" i="9"/>
  <c r="D71" i="9"/>
  <c r="C71" i="9"/>
  <c r="L70" i="9"/>
  <c r="J70" i="9"/>
  <c r="D70" i="9"/>
  <c r="S144" i="13" s="1"/>
  <c r="C70" i="9"/>
  <c r="L69" i="9"/>
  <c r="J69" i="9"/>
  <c r="D69" i="9"/>
  <c r="S143" i="13" s="1"/>
  <c r="C69" i="9"/>
  <c r="L68" i="9"/>
  <c r="S261" i="13" s="1"/>
  <c r="J68" i="9"/>
  <c r="D68" i="9"/>
  <c r="C68" i="9"/>
  <c r="L67" i="9"/>
  <c r="S260" i="13" s="1"/>
  <c r="J67" i="9"/>
  <c r="D67" i="9"/>
  <c r="S141" i="13" s="1"/>
  <c r="C67" i="9"/>
  <c r="L66" i="9"/>
  <c r="S259" i="13" s="1"/>
  <c r="J66" i="9"/>
  <c r="D66" i="9"/>
  <c r="C66" i="9"/>
  <c r="L65" i="9"/>
  <c r="J65" i="9"/>
  <c r="D65" i="9"/>
  <c r="S139" i="13" s="1"/>
  <c r="C65" i="9"/>
  <c r="L64" i="9"/>
  <c r="S257" i="13" s="1"/>
  <c r="J64" i="9"/>
  <c r="D64" i="9"/>
  <c r="C64" i="9"/>
  <c r="L63" i="9"/>
  <c r="J63" i="9"/>
  <c r="D63" i="9"/>
  <c r="S137" i="13" s="1"/>
  <c r="C63" i="9"/>
  <c r="L62" i="9"/>
  <c r="S255" i="13" s="1"/>
  <c r="J62" i="9"/>
  <c r="D62" i="9"/>
  <c r="S136" i="13" s="1"/>
  <c r="C62" i="9"/>
  <c r="L61" i="9"/>
  <c r="J61" i="9"/>
  <c r="D61" i="9"/>
  <c r="C61" i="9"/>
  <c r="L60" i="9"/>
  <c r="D60" i="9"/>
  <c r="C60" i="9"/>
  <c r="L59" i="9"/>
  <c r="J59" i="9"/>
  <c r="D59" i="9"/>
  <c r="S133" i="13" s="1"/>
  <c r="C59" i="9"/>
  <c r="L58" i="9"/>
  <c r="S251" i="13" s="1"/>
  <c r="J58" i="9"/>
  <c r="D58" i="9"/>
  <c r="F58" i="9" s="1"/>
  <c r="C58" i="9"/>
  <c r="L57" i="9"/>
  <c r="S250" i="13" s="1"/>
  <c r="J57" i="9"/>
  <c r="D57" i="9"/>
  <c r="C57" i="9"/>
  <c r="L56" i="9"/>
  <c r="S249" i="13" s="1"/>
  <c r="J56" i="9"/>
  <c r="D56" i="9"/>
  <c r="F56" i="9" s="1"/>
  <c r="C56" i="9"/>
  <c r="L55" i="9"/>
  <c r="J55" i="9"/>
  <c r="D55" i="9"/>
  <c r="S129" i="13" s="1"/>
  <c r="C55" i="9"/>
  <c r="L54" i="9"/>
  <c r="S247" i="13" s="1"/>
  <c r="J54" i="9"/>
  <c r="D54" i="9"/>
  <c r="F54" i="9" s="1"/>
  <c r="C54" i="9"/>
  <c r="L51" i="9"/>
  <c r="J51" i="9"/>
  <c r="D51" i="9"/>
  <c r="S125" i="13" s="1"/>
  <c r="C51" i="9"/>
  <c r="L50" i="9"/>
  <c r="S245" i="13" s="1"/>
  <c r="J50" i="9"/>
  <c r="D50" i="9"/>
  <c r="C50" i="9"/>
  <c r="L49" i="9"/>
  <c r="J49" i="9"/>
  <c r="D49" i="9"/>
  <c r="F11" i="13" s="1"/>
  <c r="C49" i="9"/>
  <c r="L46" i="9"/>
  <c r="J46" i="9"/>
  <c r="D46" i="9"/>
  <c r="C46" i="9"/>
  <c r="L45" i="9"/>
  <c r="S242" i="13" s="1"/>
  <c r="J45" i="9"/>
  <c r="D45" i="9"/>
  <c r="S119" i="13" s="1"/>
  <c r="C45" i="9"/>
  <c r="L44" i="9"/>
  <c r="D44" i="9"/>
  <c r="C44" i="9"/>
  <c r="P43" i="9"/>
  <c r="H43" i="9"/>
  <c r="I66" i="9" s="1"/>
  <c r="O41" i="9"/>
  <c r="L41" i="9"/>
  <c r="K41" i="9"/>
  <c r="H41" i="9"/>
  <c r="G41" i="9"/>
  <c r="D41" i="9"/>
  <c r="Q40" i="9"/>
  <c r="P40" i="9"/>
  <c r="O40" i="9"/>
  <c r="L40" i="9"/>
  <c r="H40" i="9"/>
  <c r="D40" i="9"/>
  <c r="H38" i="9"/>
  <c r="F38" i="9"/>
  <c r="D38" i="9"/>
  <c r="L37" i="9"/>
  <c r="N37" i="9" s="1"/>
  <c r="J37" i="9"/>
  <c r="D37" i="9"/>
  <c r="F37" i="9" s="1"/>
  <c r="C37" i="9"/>
  <c r="L36" i="9"/>
  <c r="N36" i="9" s="1"/>
  <c r="J36" i="9"/>
  <c r="D36" i="9"/>
  <c r="F36" i="9" s="1"/>
  <c r="C36" i="9"/>
  <c r="L35" i="9"/>
  <c r="N35" i="9" s="1"/>
  <c r="J35" i="9"/>
  <c r="D35" i="9"/>
  <c r="F35" i="9" s="1"/>
  <c r="C35" i="9"/>
  <c r="L34" i="9"/>
  <c r="N34" i="9" s="1"/>
  <c r="J34" i="9"/>
  <c r="D34" i="9"/>
  <c r="C34" i="9"/>
  <c r="L33" i="9"/>
  <c r="N33" i="9" s="1"/>
  <c r="J33" i="9"/>
  <c r="D33" i="9"/>
  <c r="F33" i="9" s="1"/>
  <c r="C33" i="9"/>
  <c r="L32" i="9"/>
  <c r="N32" i="9" s="1"/>
  <c r="J32" i="9"/>
  <c r="D32" i="9"/>
  <c r="C32" i="9"/>
  <c r="L31" i="9"/>
  <c r="N31" i="9" s="1"/>
  <c r="J31" i="9"/>
  <c r="D31" i="9"/>
  <c r="F31" i="9" s="1"/>
  <c r="C31" i="9"/>
  <c r="L30" i="9"/>
  <c r="N30" i="9" s="1"/>
  <c r="J30" i="9"/>
  <c r="D30" i="9"/>
  <c r="F30" i="9" s="1"/>
  <c r="C30" i="9"/>
  <c r="L29" i="9"/>
  <c r="N29" i="9" s="1"/>
  <c r="J29" i="9"/>
  <c r="D29" i="9"/>
  <c r="F29" i="9" s="1"/>
  <c r="C29" i="9"/>
  <c r="L28" i="9"/>
  <c r="N28" i="9" s="1"/>
  <c r="J28" i="9"/>
  <c r="D28" i="9"/>
  <c r="F28" i="9" s="1"/>
  <c r="C28" i="9"/>
  <c r="L27" i="9"/>
  <c r="N27" i="9" s="1"/>
  <c r="J27" i="9"/>
  <c r="D27" i="9"/>
  <c r="F27" i="9" s="1"/>
  <c r="C27" i="9"/>
  <c r="L26" i="9"/>
  <c r="N26" i="9" s="1"/>
  <c r="J26" i="9"/>
  <c r="D26" i="9"/>
  <c r="C26" i="9"/>
  <c r="L25" i="9"/>
  <c r="N25" i="9" s="1"/>
  <c r="J25" i="9"/>
  <c r="D25" i="9"/>
  <c r="F25" i="9" s="1"/>
  <c r="C25" i="9"/>
  <c r="L23" i="9"/>
  <c r="N23" i="9" s="1"/>
  <c r="J23" i="9"/>
  <c r="D23" i="9"/>
  <c r="F23" i="9" s="1"/>
  <c r="C23" i="9"/>
  <c r="L22" i="9"/>
  <c r="N22" i="9" s="1"/>
  <c r="J22" i="9"/>
  <c r="D22" i="9"/>
  <c r="F22" i="9" s="1"/>
  <c r="C22" i="9"/>
  <c r="L21" i="9"/>
  <c r="J21" i="9"/>
  <c r="D21" i="9"/>
  <c r="F21" i="9" s="1"/>
  <c r="C21" i="9"/>
  <c r="L20" i="9"/>
  <c r="N20" i="9" s="1"/>
  <c r="J20" i="9"/>
  <c r="D20" i="9"/>
  <c r="F20" i="9" s="1"/>
  <c r="C20" i="9"/>
  <c r="L19" i="9"/>
  <c r="N19" i="9" s="1"/>
  <c r="J19" i="9"/>
  <c r="D19" i="9"/>
  <c r="F19" i="9" s="1"/>
  <c r="C19" i="9"/>
  <c r="L18" i="9"/>
  <c r="N18" i="9" s="1"/>
  <c r="J18" i="9"/>
  <c r="D18" i="9"/>
  <c r="C18" i="9"/>
  <c r="L17" i="9"/>
  <c r="N17" i="9" s="1"/>
  <c r="J17" i="9"/>
  <c r="D17" i="9"/>
  <c r="F17" i="9" s="1"/>
  <c r="C17" i="9"/>
  <c r="L16" i="9"/>
  <c r="N16" i="9" s="1"/>
  <c r="J16" i="9"/>
  <c r="D16" i="9"/>
  <c r="C16" i="9"/>
  <c r="L15" i="9"/>
  <c r="N15" i="9" s="1"/>
  <c r="J15" i="9"/>
  <c r="D15" i="9"/>
  <c r="F15" i="9" s="1"/>
  <c r="C15" i="9"/>
  <c r="L14" i="9"/>
  <c r="N14" i="9" s="1"/>
  <c r="J14" i="9"/>
  <c r="D14" i="9"/>
  <c r="F14" i="9" s="1"/>
  <c r="C14" i="9"/>
  <c r="L13" i="9"/>
  <c r="J13" i="9"/>
  <c r="D13" i="9"/>
  <c r="F13" i="9" s="1"/>
  <c r="C13" i="9"/>
  <c r="L12" i="9"/>
  <c r="N12" i="9" s="1"/>
  <c r="J12" i="9"/>
  <c r="D12" i="9"/>
  <c r="F12" i="9" s="1"/>
  <c r="C12" i="9"/>
  <c r="L11" i="9"/>
  <c r="J11" i="9"/>
  <c r="D11" i="9"/>
  <c r="F11" i="9" s="1"/>
  <c r="C11" i="9"/>
  <c r="L10" i="9"/>
  <c r="N10" i="9" s="1"/>
  <c r="J10" i="9"/>
  <c r="D10" i="9"/>
  <c r="C10" i="9"/>
  <c r="L9" i="9"/>
  <c r="N9" i="9" s="1"/>
  <c r="J9" i="9"/>
  <c r="D9" i="9"/>
  <c r="F9" i="9" s="1"/>
  <c r="C9" i="9"/>
  <c r="L8" i="9"/>
  <c r="N8" i="9" s="1"/>
  <c r="J8" i="9"/>
  <c r="D8" i="9"/>
  <c r="C8" i="9"/>
  <c r="H7" i="9"/>
  <c r="I24" i="9" s="1"/>
  <c r="O3" i="9"/>
  <c r="L3" i="9"/>
  <c r="K3" i="9"/>
  <c r="H3" i="9"/>
  <c r="G3" i="9"/>
  <c r="D3" i="9"/>
  <c r="Q2" i="9"/>
  <c r="P2" i="9"/>
  <c r="O2" i="9"/>
  <c r="L2" i="9"/>
  <c r="K2" i="9"/>
  <c r="H2" i="9"/>
  <c r="G2" i="9"/>
  <c r="D2" i="9"/>
  <c r="P157" i="8"/>
  <c r="J157" i="8"/>
  <c r="H157" i="8"/>
  <c r="F157" i="8"/>
  <c r="D157" i="8"/>
  <c r="C156" i="8"/>
  <c r="C155" i="8"/>
  <c r="C154" i="8"/>
  <c r="L153" i="8"/>
  <c r="D153" i="8"/>
  <c r="Q227" i="13" s="1"/>
  <c r="C153" i="8"/>
  <c r="L152" i="8"/>
  <c r="D152" i="8"/>
  <c r="Q226" i="13" s="1"/>
  <c r="C152" i="8"/>
  <c r="L151" i="8"/>
  <c r="D151" i="8"/>
  <c r="C151" i="8"/>
  <c r="L150" i="8"/>
  <c r="Q346" i="13" s="1"/>
  <c r="D150" i="8"/>
  <c r="Q224" i="13" s="1"/>
  <c r="C150" i="8"/>
  <c r="L149" i="8"/>
  <c r="D149" i="8"/>
  <c r="Q223" i="13" s="1"/>
  <c r="C149" i="8"/>
  <c r="L148" i="8"/>
  <c r="D148" i="8"/>
  <c r="Q222" i="13" s="1"/>
  <c r="C148" i="8"/>
  <c r="L147" i="8"/>
  <c r="D147" i="8"/>
  <c r="Q221" i="13" s="1"/>
  <c r="C147" i="8"/>
  <c r="L146" i="8"/>
  <c r="Q342" i="13" s="1"/>
  <c r="D146" i="8"/>
  <c r="Q220" i="13" s="1"/>
  <c r="C146" i="8"/>
  <c r="L145" i="8"/>
  <c r="D145" i="8"/>
  <c r="Q219" i="13" s="1"/>
  <c r="C145" i="8"/>
  <c r="L144" i="8"/>
  <c r="D144" i="8"/>
  <c r="Q218" i="13" s="1"/>
  <c r="C144" i="8"/>
  <c r="L143" i="8"/>
  <c r="D143" i="8"/>
  <c r="Q217" i="13" s="1"/>
  <c r="C143" i="8"/>
  <c r="L142" i="8"/>
  <c r="Q338" i="13" s="1"/>
  <c r="D142" i="8"/>
  <c r="Q216" i="13" s="1"/>
  <c r="C142" i="8"/>
  <c r="L141" i="8"/>
  <c r="D141" i="8"/>
  <c r="C141" i="8"/>
  <c r="L140" i="8"/>
  <c r="D140" i="8"/>
  <c r="Q214" i="13" s="1"/>
  <c r="C140" i="8"/>
  <c r="L139" i="8"/>
  <c r="D139" i="8"/>
  <c r="Q213" i="13" s="1"/>
  <c r="C139" i="8"/>
  <c r="L138" i="8"/>
  <c r="Q334" i="13" s="1"/>
  <c r="D138" i="8"/>
  <c r="C138" i="8"/>
  <c r="L137" i="8"/>
  <c r="D137" i="8"/>
  <c r="Q211" i="13" s="1"/>
  <c r="C137" i="8"/>
  <c r="L136" i="8"/>
  <c r="D136" i="8"/>
  <c r="Q210" i="13" s="1"/>
  <c r="C136" i="8"/>
  <c r="L135" i="8"/>
  <c r="D135" i="8"/>
  <c r="Q209" i="13" s="1"/>
  <c r="C135" i="8"/>
  <c r="L134" i="8"/>
  <c r="Q330" i="13" s="1"/>
  <c r="D134" i="8"/>
  <c r="Q208" i="13" s="1"/>
  <c r="C134" i="8"/>
  <c r="L133" i="8"/>
  <c r="D133" i="8"/>
  <c r="Q207" i="13" s="1"/>
  <c r="C133" i="8"/>
  <c r="L132" i="8"/>
  <c r="D132" i="8"/>
  <c r="Q206" i="13" s="1"/>
  <c r="C132" i="8"/>
  <c r="L131" i="8"/>
  <c r="D131" i="8"/>
  <c r="Q205" i="13" s="1"/>
  <c r="C131" i="8"/>
  <c r="L130" i="8"/>
  <c r="D130" i="8"/>
  <c r="Q204" i="13" s="1"/>
  <c r="C130" i="8"/>
  <c r="L129" i="8"/>
  <c r="D129" i="8"/>
  <c r="Q203" i="13" s="1"/>
  <c r="C129" i="8"/>
  <c r="L128" i="8"/>
  <c r="D128" i="8"/>
  <c r="Q202" i="13" s="1"/>
  <c r="C128" i="8"/>
  <c r="L127" i="8"/>
  <c r="D127" i="8"/>
  <c r="Q201" i="13" s="1"/>
  <c r="C127" i="8"/>
  <c r="L126" i="8"/>
  <c r="Q322" i="13" s="1"/>
  <c r="D126" i="8"/>
  <c r="Q200" i="13" s="1"/>
  <c r="C126" i="8"/>
  <c r="L125" i="8"/>
  <c r="D125" i="8"/>
  <c r="Q199" i="13" s="1"/>
  <c r="C125" i="8"/>
  <c r="L124" i="8"/>
  <c r="D124" i="8"/>
  <c r="Q198" i="13" s="1"/>
  <c r="C124" i="8"/>
  <c r="L123" i="8"/>
  <c r="D123" i="8"/>
  <c r="Q197" i="13" s="1"/>
  <c r="C123" i="8"/>
  <c r="L122" i="8"/>
  <c r="Q318" i="13" s="1"/>
  <c r="D122" i="8"/>
  <c r="C122" i="8"/>
  <c r="L121" i="8"/>
  <c r="D121" i="8"/>
  <c r="Q195" i="13" s="1"/>
  <c r="C121" i="8"/>
  <c r="L120" i="8"/>
  <c r="D120" i="8"/>
  <c r="Q194" i="13" s="1"/>
  <c r="C120" i="8"/>
  <c r="L119" i="8"/>
  <c r="D119" i="8"/>
  <c r="C119" i="8"/>
  <c r="L118" i="8"/>
  <c r="Q314" i="13" s="1"/>
  <c r="D118" i="8"/>
  <c r="Q192" i="13" s="1"/>
  <c r="C118" i="8"/>
  <c r="L117" i="8"/>
  <c r="K26" i="13" s="1"/>
  <c r="D117" i="8"/>
  <c r="C117" i="8"/>
  <c r="P116" i="8"/>
  <c r="J116" i="8"/>
  <c r="K150" i="8" s="1"/>
  <c r="H116" i="8"/>
  <c r="I150" i="8" s="1"/>
  <c r="O114" i="8"/>
  <c r="L114" i="8"/>
  <c r="K114" i="8"/>
  <c r="H114" i="8"/>
  <c r="G114" i="8"/>
  <c r="D114" i="8"/>
  <c r="Q113" i="8"/>
  <c r="P113" i="8"/>
  <c r="O113" i="8"/>
  <c r="L113" i="8"/>
  <c r="H113" i="8"/>
  <c r="D113" i="8"/>
  <c r="F111" i="8"/>
  <c r="D111" i="8"/>
  <c r="C110" i="8"/>
  <c r="C109" i="8"/>
  <c r="C108" i="8"/>
  <c r="C107" i="8"/>
  <c r="C106" i="8"/>
  <c r="L105" i="8"/>
  <c r="F105" i="8"/>
  <c r="D105" i="8"/>
  <c r="Q179" i="13" s="1"/>
  <c r="C105" i="8"/>
  <c r="L104" i="8"/>
  <c r="Q300" i="13" s="1"/>
  <c r="F104" i="8"/>
  <c r="D104" i="8"/>
  <c r="Q178" i="13" s="1"/>
  <c r="C104" i="8"/>
  <c r="L103" i="8"/>
  <c r="Q299" i="13" s="1"/>
  <c r="F103" i="8"/>
  <c r="D103" i="8"/>
  <c r="Q177" i="13" s="1"/>
  <c r="C103" i="8"/>
  <c r="L102" i="8"/>
  <c r="Q298" i="13" s="1"/>
  <c r="F102" i="8"/>
  <c r="D102" i="8"/>
  <c r="Q176" i="13" s="1"/>
  <c r="C102" i="8"/>
  <c r="L101" i="8"/>
  <c r="F101" i="8"/>
  <c r="D101" i="8"/>
  <c r="Q175" i="13" s="1"/>
  <c r="C101" i="8"/>
  <c r="L100" i="8"/>
  <c r="Q296" i="13" s="1"/>
  <c r="F100" i="8"/>
  <c r="D100" i="8"/>
  <c r="Q174" i="13" s="1"/>
  <c r="C100" i="8"/>
  <c r="L99" i="8"/>
  <c r="N99" i="8" s="1"/>
  <c r="F99" i="8"/>
  <c r="D99" i="8"/>
  <c r="Q173" i="13" s="1"/>
  <c r="C99" i="8"/>
  <c r="L98" i="8"/>
  <c r="Q294" i="13" s="1"/>
  <c r="F98" i="8"/>
  <c r="D98" i="8"/>
  <c r="Q172" i="13" s="1"/>
  <c r="C98" i="8"/>
  <c r="L97" i="8"/>
  <c r="F97" i="8"/>
  <c r="D97" i="8"/>
  <c r="Q171" i="13" s="1"/>
  <c r="C97" i="8"/>
  <c r="L96" i="8"/>
  <c r="Q292" i="13" s="1"/>
  <c r="F96" i="8"/>
  <c r="D96" i="8"/>
  <c r="Q170" i="13" s="1"/>
  <c r="C96" i="8"/>
  <c r="L95" i="8"/>
  <c r="Q291" i="13" s="1"/>
  <c r="F95" i="8"/>
  <c r="D95" i="8"/>
  <c r="Q169" i="13" s="1"/>
  <c r="C95" i="8"/>
  <c r="L94" i="8"/>
  <c r="Q290" i="13" s="1"/>
  <c r="F94" i="8"/>
  <c r="D94" i="8"/>
  <c r="Q168" i="13" s="1"/>
  <c r="C94" i="8"/>
  <c r="L93" i="8"/>
  <c r="F93" i="8"/>
  <c r="D93" i="8"/>
  <c r="Q167" i="13" s="1"/>
  <c r="C93" i="8"/>
  <c r="L92" i="8"/>
  <c r="Q288" i="13" s="1"/>
  <c r="F92" i="8"/>
  <c r="D92" i="8"/>
  <c r="Q166" i="13" s="1"/>
  <c r="C92" i="8"/>
  <c r="L91" i="8"/>
  <c r="Q287" i="13" s="1"/>
  <c r="F91" i="8"/>
  <c r="D91" i="8"/>
  <c r="Q165" i="13" s="1"/>
  <c r="C91" i="8"/>
  <c r="L90" i="8"/>
  <c r="Q286" i="13" s="1"/>
  <c r="F90" i="8"/>
  <c r="D90" i="8"/>
  <c r="Q164" i="13" s="1"/>
  <c r="C90" i="8"/>
  <c r="L89" i="8"/>
  <c r="F89" i="8"/>
  <c r="D89" i="8"/>
  <c r="Q163" i="13" s="1"/>
  <c r="C89" i="8"/>
  <c r="L88" i="8"/>
  <c r="Q284" i="13" s="1"/>
  <c r="F88" i="8"/>
  <c r="D88" i="8"/>
  <c r="Q162" i="13" s="1"/>
  <c r="C88" i="8"/>
  <c r="L87" i="8"/>
  <c r="F87" i="8"/>
  <c r="D87" i="8"/>
  <c r="Q161" i="13" s="1"/>
  <c r="C87" i="8"/>
  <c r="L53" i="8"/>
  <c r="N53" i="8" s="1"/>
  <c r="F53" i="8"/>
  <c r="D53" i="8"/>
  <c r="Q127" i="13" s="1"/>
  <c r="C53" i="8"/>
  <c r="L52" i="8"/>
  <c r="F52" i="8"/>
  <c r="D52" i="8"/>
  <c r="Q126" i="13" s="1"/>
  <c r="C52" i="8"/>
  <c r="L86" i="8"/>
  <c r="Q280" i="13" s="1"/>
  <c r="F86" i="8"/>
  <c r="D86" i="8"/>
  <c r="Q160" i="13" s="1"/>
  <c r="C86" i="8"/>
  <c r="L85" i="8"/>
  <c r="Q279" i="13" s="1"/>
  <c r="F85" i="8"/>
  <c r="D85" i="8"/>
  <c r="Q159" i="13" s="1"/>
  <c r="C85" i="8"/>
  <c r="L48" i="8"/>
  <c r="Q278" i="13" s="1"/>
  <c r="F48" i="8"/>
  <c r="D48" i="8"/>
  <c r="Q122" i="13" s="1"/>
  <c r="C48" i="8"/>
  <c r="L47" i="8"/>
  <c r="I26" i="13" s="1"/>
  <c r="F47" i="8"/>
  <c r="J10" i="13" s="1"/>
  <c r="D47" i="8"/>
  <c r="C47" i="8"/>
  <c r="O82" i="8"/>
  <c r="L82" i="8"/>
  <c r="K82" i="8"/>
  <c r="H82" i="8"/>
  <c r="G82" i="8"/>
  <c r="D82" i="8"/>
  <c r="Q81" i="8"/>
  <c r="P81" i="8"/>
  <c r="O81" i="8"/>
  <c r="L81" i="8"/>
  <c r="H81" i="8"/>
  <c r="D81" i="8"/>
  <c r="P78" i="8"/>
  <c r="H78" i="8"/>
  <c r="F78" i="8"/>
  <c r="D78" i="8"/>
  <c r="L77" i="8"/>
  <c r="Q270" i="13" s="1"/>
  <c r="J77" i="8"/>
  <c r="D77" i="8"/>
  <c r="Q151" i="13" s="1"/>
  <c r="C77" i="8"/>
  <c r="L76" i="8"/>
  <c r="Q269" i="13" s="1"/>
  <c r="J76" i="8"/>
  <c r="D76" i="8"/>
  <c r="F76" i="8" s="1"/>
  <c r="C76" i="8"/>
  <c r="L75" i="8"/>
  <c r="Q268" i="13" s="1"/>
  <c r="J75" i="8"/>
  <c r="D75" i="8"/>
  <c r="Q149" i="13" s="1"/>
  <c r="C75" i="8"/>
  <c r="L74" i="8"/>
  <c r="Q267" i="13" s="1"/>
  <c r="J74" i="8"/>
  <c r="D74" i="8"/>
  <c r="F74" i="8" s="1"/>
  <c r="C74" i="8"/>
  <c r="L73" i="8"/>
  <c r="J73" i="8"/>
  <c r="D73" i="8"/>
  <c r="C73" i="8"/>
  <c r="L72" i="8"/>
  <c r="Q265" i="13" s="1"/>
  <c r="J72" i="8"/>
  <c r="D72" i="8"/>
  <c r="C72" i="8"/>
  <c r="L71" i="8"/>
  <c r="J71" i="8"/>
  <c r="D71" i="8"/>
  <c r="C71" i="8"/>
  <c r="L70" i="8"/>
  <c r="J70" i="8"/>
  <c r="D70" i="8"/>
  <c r="Q144" i="13" s="1"/>
  <c r="C70" i="8"/>
  <c r="L69" i="8"/>
  <c r="J69" i="8"/>
  <c r="D69" i="8"/>
  <c r="C69" i="8"/>
  <c r="L68" i="8"/>
  <c r="J68" i="8"/>
  <c r="D68" i="8"/>
  <c r="C68" i="8"/>
  <c r="L67" i="8"/>
  <c r="Q260" i="13" s="1"/>
  <c r="J67" i="8"/>
  <c r="D67" i="8"/>
  <c r="C67" i="8"/>
  <c r="L66" i="8"/>
  <c r="J66" i="8"/>
  <c r="D66" i="8"/>
  <c r="Q140" i="13" s="1"/>
  <c r="C66" i="8"/>
  <c r="L65" i="8"/>
  <c r="J65" i="8"/>
  <c r="D65" i="8"/>
  <c r="Q139" i="13" s="1"/>
  <c r="C65" i="8"/>
  <c r="L64" i="8"/>
  <c r="J64" i="8"/>
  <c r="D64" i="8"/>
  <c r="Q138" i="13" s="1"/>
  <c r="C64" i="8"/>
  <c r="L63" i="8"/>
  <c r="Q256" i="13" s="1"/>
  <c r="J63" i="8"/>
  <c r="D63" i="8"/>
  <c r="Q137" i="13" s="1"/>
  <c r="C63" i="8"/>
  <c r="L62" i="8"/>
  <c r="Q255" i="13" s="1"/>
  <c r="J62" i="8"/>
  <c r="D62" i="8"/>
  <c r="Q136" i="13" s="1"/>
  <c r="C62" i="8"/>
  <c r="L61" i="8"/>
  <c r="Q254" i="13" s="1"/>
  <c r="J61" i="8"/>
  <c r="D61" i="8"/>
  <c r="Q135" i="13" s="1"/>
  <c r="C61" i="8"/>
  <c r="L60" i="8"/>
  <c r="D60" i="8"/>
  <c r="Q134" i="13" s="1"/>
  <c r="C60" i="8"/>
  <c r="L59" i="8"/>
  <c r="J59" i="8"/>
  <c r="D59" i="8"/>
  <c r="C59" i="8"/>
  <c r="L58" i="8"/>
  <c r="J58" i="8"/>
  <c r="D58" i="8"/>
  <c r="F58" i="8" s="1"/>
  <c r="C58" i="8"/>
  <c r="L57" i="8"/>
  <c r="Q250" i="13" s="1"/>
  <c r="J57" i="8"/>
  <c r="D57" i="8"/>
  <c r="C57" i="8"/>
  <c r="L56" i="8"/>
  <c r="J56" i="8"/>
  <c r="D56" i="8"/>
  <c r="Q130" i="13" s="1"/>
  <c r="C56" i="8"/>
  <c r="L55" i="8"/>
  <c r="J55" i="8"/>
  <c r="D55" i="8"/>
  <c r="Q129" i="13" s="1"/>
  <c r="C55" i="8"/>
  <c r="L54" i="8"/>
  <c r="J54" i="8"/>
  <c r="D54" i="8"/>
  <c r="Q128" i="13" s="1"/>
  <c r="C54" i="8"/>
  <c r="L51" i="8"/>
  <c r="Q246" i="13" s="1"/>
  <c r="J51" i="8"/>
  <c r="D51" i="8"/>
  <c r="Q125" i="13" s="1"/>
  <c r="C51" i="8"/>
  <c r="L50" i="8"/>
  <c r="Q245" i="13" s="1"/>
  <c r="J50" i="8"/>
  <c r="D50" i="8"/>
  <c r="Q124" i="13" s="1"/>
  <c r="C50" i="8"/>
  <c r="L49" i="8"/>
  <c r="Q244" i="13" s="1"/>
  <c r="J49" i="8"/>
  <c r="D49" i="8"/>
  <c r="C49" i="8"/>
  <c r="L46" i="8"/>
  <c r="Q243" i="13" s="1"/>
  <c r="J46" i="8"/>
  <c r="D46" i="8"/>
  <c r="C46" i="8"/>
  <c r="L45" i="8"/>
  <c r="Q242" i="13" s="1"/>
  <c r="J45" i="8"/>
  <c r="D45" i="8"/>
  <c r="Q119" i="13" s="1"/>
  <c r="C45" i="8"/>
  <c r="L44" i="8"/>
  <c r="J44" i="8"/>
  <c r="D44" i="8"/>
  <c r="C44" i="8"/>
  <c r="P43" i="8"/>
  <c r="P79" i="8" s="1"/>
  <c r="H43" i="8"/>
  <c r="I71" i="8" s="1"/>
  <c r="O41" i="8"/>
  <c r="L41" i="8"/>
  <c r="K41" i="8"/>
  <c r="H41" i="8"/>
  <c r="G41" i="8"/>
  <c r="D41" i="8"/>
  <c r="Q40" i="8"/>
  <c r="P40" i="8"/>
  <c r="O40" i="8"/>
  <c r="L40" i="8"/>
  <c r="H40" i="8"/>
  <c r="D40" i="8"/>
  <c r="H38" i="8"/>
  <c r="H80" i="8" s="1"/>
  <c r="I80" i="8" s="1"/>
  <c r="F38" i="8"/>
  <c r="D38" i="8"/>
  <c r="L37" i="8"/>
  <c r="N37" i="8" s="1"/>
  <c r="J37" i="8"/>
  <c r="D37" i="8"/>
  <c r="F37" i="8" s="1"/>
  <c r="C37" i="8"/>
  <c r="L36" i="8"/>
  <c r="N36" i="8" s="1"/>
  <c r="J36" i="8"/>
  <c r="D36" i="8"/>
  <c r="F36" i="8" s="1"/>
  <c r="C36" i="8"/>
  <c r="L35" i="8"/>
  <c r="N35" i="8" s="1"/>
  <c r="J35" i="8"/>
  <c r="D35" i="8"/>
  <c r="F35" i="8" s="1"/>
  <c r="C35" i="8"/>
  <c r="L34" i="8"/>
  <c r="N34" i="8" s="1"/>
  <c r="J34" i="8"/>
  <c r="F34" i="8"/>
  <c r="D34" i="8"/>
  <c r="C34" i="8"/>
  <c r="L33" i="8"/>
  <c r="N33" i="8" s="1"/>
  <c r="J33" i="8"/>
  <c r="D33" i="8"/>
  <c r="F33" i="8" s="1"/>
  <c r="C33" i="8"/>
  <c r="L32" i="8"/>
  <c r="N32" i="8" s="1"/>
  <c r="J32" i="8"/>
  <c r="D32" i="8"/>
  <c r="F32" i="8" s="1"/>
  <c r="C32" i="8"/>
  <c r="L31" i="8"/>
  <c r="N31" i="8" s="1"/>
  <c r="J31" i="8"/>
  <c r="D31" i="8"/>
  <c r="F31" i="8" s="1"/>
  <c r="C31" i="8"/>
  <c r="L30" i="8"/>
  <c r="N30" i="8" s="1"/>
  <c r="J30" i="8"/>
  <c r="D30" i="8"/>
  <c r="F30" i="8" s="1"/>
  <c r="C30" i="8"/>
  <c r="L29" i="8"/>
  <c r="N29" i="8" s="1"/>
  <c r="J29" i="8"/>
  <c r="D29" i="8"/>
  <c r="F29" i="8" s="1"/>
  <c r="C29" i="8"/>
  <c r="L28" i="8"/>
  <c r="N28" i="8" s="1"/>
  <c r="J28" i="8"/>
  <c r="D28" i="8"/>
  <c r="F28" i="8" s="1"/>
  <c r="C28" i="8"/>
  <c r="L27" i="8"/>
  <c r="N27" i="8" s="1"/>
  <c r="J27" i="8"/>
  <c r="D27" i="8"/>
  <c r="F27" i="8" s="1"/>
  <c r="C27" i="8"/>
  <c r="L26" i="8"/>
  <c r="N26" i="8" s="1"/>
  <c r="J26" i="8"/>
  <c r="D26" i="8"/>
  <c r="F26" i="8" s="1"/>
  <c r="C26" i="8"/>
  <c r="L25" i="8"/>
  <c r="N25" i="8" s="1"/>
  <c r="J25" i="8"/>
  <c r="D25" i="8"/>
  <c r="F25" i="8" s="1"/>
  <c r="C25" i="8"/>
  <c r="L23" i="8"/>
  <c r="N23" i="8" s="1"/>
  <c r="J23" i="8"/>
  <c r="D23" i="8"/>
  <c r="F23" i="8" s="1"/>
  <c r="C23" i="8"/>
  <c r="L22" i="8"/>
  <c r="N22" i="8" s="1"/>
  <c r="J22" i="8"/>
  <c r="D22" i="8"/>
  <c r="F22" i="8" s="1"/>
  <c r="C22" i="8"/>
  <c r="L21" i="8"/>
  <c r="N21" i="8" s="1"/>
  <c r="J21" i="8"/>
  <c r="D21" i="8"/>
  <c r="F21" i="8" s="1"/>
  <c r="C21" i="8"/>
  <c r="L20" i="8"/>
  <c r="N20" i="8" s="1"/>
  <c r="J20" i="8"/>
  <c r="D20" i="8"/>
  <c r="F20" i="8" s="1"/>
  <c r="C20" i="8"/>
  <c r="L19" i="8"/>
  <c r="N19" i="8" s="1"/>
  <c r="J19" i="8"/>
  <c r="D19" i="8"/>
  <c r="F19" i="8" s="1"/>
  <c r="C19" i="8"/>
  <c r="L18" i="8"/>
  <c r="J18" i="8"/>
  <c r="D18" i="8"/>
  <c r="F18" i="8" s="1"/>
  <c r="C18" i="8"/>
  <c r="L17" i="8"/>
  <c r="N17" i="8" s="1"/>
  <c r="J17" i="8"/>
  <c r="D17" i="8"/>
  <c r="F17" i="8" s="1"/>
  <c r="C17" i="8"/>
  <c r="L16" i="8"/>
  <c r="N16" i="8" s="1"/>
  <c r="J16" i="8"/>
  <c r="D16" i="8"/>
  <c r="F16" i="8" s="1"/>
  <c r="C16" i="8"/>
  <c r="L15" i="8"/>
  <c r="N15" i="8" s="1"/>
  <c r="J15" i="8"/>
  <c r="D15" i="8"/>
  <c r="F15" i="8" s="1"/>
  <c r="C15" i="8"/>
  <c r="L14" i="8"/>
  <c r="N14" i="8" s="1"/>
  <c r="J14" i="8"/>
  <c r="D14" i="8"/>
  <c r="F14" i="8" s="1"/>
  <c r="C14" i="8"/>
  <c r="L13" i="8"/>
  <c r="N13" i="8" s="1"/>
  <c r="J13" i="8"/>
  <c r="D13" i="8"/>
  <c r="F13" i="8" s="1"/>
  <c r="C13" i="8"/>
  <c r="L12" i="8"/>
  <c r="N12" i="8" s="1"/>
  <c r="J12" i="8"/>
  <c r="D12" i="8"/>
  <c r="F12" i="8" s="1"/>
  <c r="C12" i="8"/>
  <c r="L11" i="8"/>
  <c r="N11" i="8" s="1"/>
  <c r="J11" i="8"/>
  <c r="D11" i="8"/>
  <c r="F11" i="8" s="1"/>
  <c r="C11" i="8"/>
  <c r="L10" i="8"/>
  <c r="J10" i="8"/>
  <c r="D10" i="8"/>
  <c r="F10" i="8" s="1"/>
  <c r="C10" i="8"/>
  <c r="L9" i="8"/>
  <c r="N9" i="8" s="1"/>
  <c r="J9" i="8"/>
  <c r="D9" i="8"/>
  <c r="F9" i="8" s="1"/>
  <c r="C9" i="8"/>
  <c r="L8" i="8"/>
  <c r="J8" i="8"/>
  <c r="D8" i="8"/>
  <c r="C8" i="8"/>
  <c r="H7" i="8"/>
  <c r="I24" i="8" s="1"/>
  <c r="O3" i="8"/>
  <c r="L3" i="8"/>
  <c r="K3" i="8"/>
  <c r="H3" i="8"/>
  <c r="G3" i="8"/>
  <c r="D3" i="8"/>
  <c r="Q2" i="8"/>
  <c r="P2" i="8"/>
  <c r="O2" i="8"/>
  <c r="L2" i="8"/>
  <c r="K2" i="8"/>
  <c r="H2" i="8"/>
  <c r="G2" i="8"/>
  <c r="D2" i="8"/>
  <c r="P157" i="7"/>
  <c r="J157" i="7"/>
  <c r="H157" i="7"/>
  <c r="D157" i="7"/>
  <c r="F157" i="7" s="1"/>
  <c r="C156" i="7"/>
  <c r="C155" i="7"/>
  <c r="C154" i="7"/>
  <c r="L153" i="7"/>
  <c r="D153" i="7"/>
  <c r="O227" i="13" s="1"/>
  <c r="C153" i="7"/>
  <c r="L152" i="7"/>
  <c r="D152" i="7"/>
  <c r="O226" i="13" s="1"/>
  <c r="C152" i="7"/>
  <c r="L151" i="7"/>
  <c r="D151" i="7"/>
  <c r="C151" i="7"/>
  <c r="L150" i="7"/>
  <c r="D150" i="7"/>
  <c r="C150" i="7"/>
  <c r="L149" i="7"/>
  <c r="D149" i="7"/>
  <c r="O223" i="13" s="1"/>
  <c r="C149" i="7"/>
  <c r="L148" i="7"/>
  <c r="D148" i="7"/>
  <c r="O222" i="13" s="1"/>
  <c r="C148" i="7"/>
  <c r="L147" i="7"/>
  <c r="D147" i="7"/>
  <c r="C147" i="7"/>
  <c r="L146" i="7"/>
  <c r="D146" i="7"/>
  <c r="C146" i="7"/>
  <c r="L145" i="7"/>
  <c r="D145" i="7"/>
  <c r="O219" i="13" s="1"/>
  <c r="C145" i="7"/>
  <c r="L144" i="7"/>
  <c r="D144" i="7"/>
  <c r="O218" i="13" s="1"/>
  <c r="C144" i="7"/>
  <c r="L143" i="7"/>
  <c r="D143" i="7"/>
  <c r="C143" i="7"/>
  <c r="L142" i="7"/>
  <c r="D142" i="7"/>
  <c r="C142" i="7"/>
  <c r="L141" i="7"/>
  <c r="O337" i="13" s="1"/>
  <c r="D141" i="7"/>
  <c r="O215" i="13" s="1"/>
  <c r="C141" i="7"/>
  <c r="L140" i="7"/>
  <c r="O336" i="13" s="1"/>
  <c r="D140" i="7"/>
  <c r="O214" i="13" s="1"/>
  <c r="C140" i="7"/>
  <c r="L139" i="7"/>
  <c r="D139" i="7"/>
  <c r="C139" i="7"/>
  <c r="L138" i="7"/>
  <c r="D138" i="7"/>
  <c r="C138" i="7"/>
  <c r="L137" i="7"/>
  <c r="O333" i="13" s="1"/>
  <c r="D137" i="7"/>
  <c r="O211" i="13" s="1"/>
  <c r="C137" i="7"/>
  <c r="L136" i="7"/>
  <c r="O332" i="13" s="1"/>
  <c r="D136" i="7"/>
  <c r="O210" i="13" s="1"/>
  <c r="C136" i="7"/>
  <c r="L135" i="7"/>
  <c r="D135" i="7"/>
  <c r="C135" i="7"/>
  <c r="L134" i="7"/>
  <c r="D134" i="7"/>
  <c r="C134" i="7"/>
  <c r="L133" i="7"/>
  <c r="O329" i="13" s="1"/>
  <c r="D133" i="7"/>
  <c r="O207" i="13" s="1"/>
  <c r="C133" i="7"/>
  <c r="L132" i="7"/>
  <c r="O328" i="13" s="1"/>
  <c r="D132" i="7"/>
  <c r="O206" i="13" s="1"/>
  <c r="C132" i="7"/>
  <c r="L131" i="7"/>
  <c r="D131" i="7"/>
  <c r="C131" i="7"/>
  <c r="L130" i="7"/>
  <c r="D130" i="7"/>
  <c r="C130" i="7"/>
  <c r="L129" i="7"/>
  <c r="O325" i="13" s="1"/>
  <c r="D129" i="7"/>
  <c r="O203" i="13" s="1"/>
  <c r="C129" i="7"/>
  <c r="L128" i="7"/>
  <c r="O324" i="13" s="1"/>
  <c r="D128" i="7"/>
  <c r="O202" i="13" s="1"/>
  <c r="C128" i="7"/>
  <c r="L127" i="7"/>
  <c r="D127" i="7"/>
  <c r="C127" i="7"/>
  <c r="L126" i="7"/>
  <c r="D126" i="7"/>
  <c r="C126" i="7"/>
  <c r="L125" i="7"/>
  <c r="O321" i="13" s="1"/>
  <c r="D125" i="7"/>
  <c r="O199" i="13" s="1"/>
  <c r="C125" i="7"/>
  <c r="L124" i="7"/>
  <c r="O320" i="13" s="1"/>
  <c r="D124" i="7"/>
  <c r="O198" i="13" s="1"/>
  <c r="C124" i="7"/>
  <c r="L123" i="7"/>
  <c r="D123" i="7"/>
  <c r="C123" i="7"/>
  <c r="L122" i="7"/>
  <c r="D122" i="7"/>
  <c r="C122" i="7"/>
  <c r="L121" i="7"/>
  <c r="O317" i="13" s="1"/>
  <c r="D121" i="7"/>
  <c r="O195" i="13" s="1"/>
  <c r="C121" i="7"/>
  <c r="L120" i="7"/>
  <c r="O316" i="13" s="1"/>
  <c r="D120" i="7"/>
  <c r="O194" i="13" s="1"/>
  <c r="C120" i="7"/>
  <c r="L119" i="7"/>
  <c r="D119" i="7"/>
  <c r="C119" i="7"/>
  <c r="L118" i="7"/>
  <c r="D118" i="7"/>
  <c r="C118" i="7"/>
  <c r="L117" i="7"/>
  <c r="K25" i="13" s="1"/>
  <c r="D117" i="7"/>
  <c r="C117" i="7"/>
  <c r="P116" i="7"/>
  <c r="J116" i="7"/>
  <c r="K151" i="7" s="1"/>
  <c r="H116" i="7"/>
  <c r="I150" i="7" s="1"/>
  <c r="O114" i="7"/>
  <c r="L114" i="7"/>
  <c r="K114" i="7"/>
  <c r="H114" i="7"/>
  <c r="G114" i="7"/>
  <c r="D114" i="7"/>
  <c r="Q113" i="7"/>
  <c r="P113" i="7"/>
  <c r="O113" i="7"/>
  <c r="L113" i="7"/>
  <c r="H113" i="7"/>
  <c r="D113" i="7"/>
  <c r="D111" i="7"/>
  <c r="F111" i="7" s="1"/>
  <c r="C110" i="7"/>
  <c r="C109" i="7"/>
  <c r="C108" i="7"/>
  <c r="C107" i="7"/>
  <c r="C106" i="7"/>
  <c r="L105" i="7"/>
  <c r="F105" i="7"/>
  <c r="D105" i="7"/>
  <c r="O179" i="13" s="1"/>
  <c r="C105" i="7"/>
  <c r="L104" i="7"/>
  <c r="F104" i="7"/>
  <c r="D104" i="7"/>
  <c r="O178" i="13" s="1"/>
  <c r="C104" i="7"/>
  <c r="L103" i="7"/>
  <c r="F103" i="7"/>
  <c r="D103" i="7"/>
  <c r="O177" i="13" s="1"/>
  <c r="C103" i="7"/>
  <c r="L102" i="7"/>
  <c r="O298" i="13" s="1"/>
  <c r="F102" i="7"/>
  <c r="D102" i="7"/>
  <c r="O176" i="13" s="1"/>
  <c r="C102" i="7"/>
  <c r="L101" i="7"/>
  <c r="F101" i="7"/>
  <c r="D101" i="7"/>
  <c r="O175" i="13" s="1"/>
  <c r="C101" i="7"/>
  <c r="L100" i="7"/>
  <c r="F100" i="7"/>
  <c r="D100" i="7"/>
  <c r="O174" i="13" s="1"/>
  <c r="C100" i="7"/>
  <c r="L99" i="7"/>
  <c r="F99" i="7"/>
  <c r="D99" i="7"/>
  <c r="O173" i="13" s="1"/>
  <c r="C99" i="7"/>
  <c r="L98" i="7"/>
  <c r="O294" i="13" s="1"/>
  <c r="F98" i="7"/>
  <c r="D98" i="7"/>
  <c r="O172" i="13" s="1"/>
  <c r="C98" i="7"/>
  <c r="L97" i="7"/>
  <c r="F97" i="7"/>
  <c r="D97" i="7"/>
  <c r="O171" i="13" s="1"/>
  <c r="C97" i="7"/>
  <c r="L96" i="7"/>
  <c r="F96" i="7"/>
  <c r="D96" i="7"/>
  <c r="O170" i="13" s="1"/>
  <c r="C96" i="7"/>
  <c r="L95" i="7"/>
  <c r="F95" i="7"/>
  <c r="D95" i="7"/>
  <c r="O169" i="13" s="1"/>
  <c r="C95" i="7"/>
  <c r="L94" i="7"/>
  <c r="O290" i="13" s="1"/>
  <c r="F94" i="7"/>
  <c r="D94" i="7"/>
  <c r="O168" i="13" s="1"/>
  <c r="C94" i="7"/>
  <c r="L93" i="7"/>
  <c r="F93" i="7"/>
  <c r="D93" i="7"/>
  <c r="O167" i="13" s="1"/>
  <c r="C93" i="7"/>
  <c r="L92" i="7"/>
  <c r="F92" i="7"/>
  <c r="D92" i="7"/>
  <c r="O166" i="13" s="1"/>
  <c r="C92" i="7"/>
  <c r="L91" i="7"/>
  <c r="F91" i="7"/>
  <c r="D91" i="7"/>
  <c r="O165" i="13" s="1"/>
  <c r="C91" i="7"/>
  <c r="L90" i="7"/>
  <c r="O286" i="13" s="1"/>
  <c r="F90" i="7"/>
  <c r="D90" i="7"/>
  <c r="O164" i="13" s="1"/>
  <c r="C90" i="7"/>
  <c r="L89" i="7"/>
  <c r="F89" i="7"/>
  <c r="D89" i="7"/>
  <c r="O163" i="13" s="1"/>
  <c r="C89" i="7"/>
  <c r="L88" i="7"/>
  <c r="F88" i="7"/>
  <c r="D88" i="7"/>
  <c r="O162" i="13" s="1"/>
  <c r="C88" i="7"/>
  <c r="L87" i="7"/>
  <c r="F87" i="7"/>
  <c r="D87" i="7"/>
  <c r="O161" i="13" s="1"/>
  <c r="C87" i="7"/>
  <c r="L53" i="7"/>
  <c r="O282" i="13" s="1"/>
  <c r="F53" i="7"/>
  <c r="D53" i="7"/>
  <c r="O127" i="13" s="1"/>
  <c r="C53" i="7"/>
  <c r="L52" i="7"/>
  <c r="F52" i="7"/>
  <c r="D52" i="7"/>
  <c r="O126" i="13" s="1"/>
  <c r="C52" i="7"/>
  <c r="L86" i="7"/>
  <c r="F86" i="7"/>
  <c r="D86" i="7"/>
  <c r="C86" i="7"/>
  <c r="L85" i="7"/>
  <c r="F85" i="7"/>
  <c r="D85" i="7"/>
  <c r="O159" i="13" s="1"/>
  <c r="C85" i="7"/>
  <c r="L48" i="7"/>
  <c r="O278" i="13" s="1"/>
  <c r="F48" i="7"/>
  <c r="D48" i="7"/>
  <c r="O122" i="13" s="1"/>
  <c r="C48" i="7"/>
  <c r="L47" i="7"/>
  <c r="I25" i="13" s="1"/>
  <c r="F47" i="7"/>
  <c r="J9" i="13" s="1"/>
  <c r="D47" i="7"/>
  <c r="C47" i="7"/>
  <c r="O82" i="7"/>
  <c r="L82" i="7"/>
  <c r="K82" i="7"/>
  <c r="H82" i="7"/>
  <c r="G82" i="7"/>
  <c r="D82" i="7"/>
  <c r="Q81" i="7"/>
  <c r="P81" i="7"/>
  <c r="O81" i="7"/>
  <c r="L81" i="7"/>
  <c r="H81" i="7"/>
  <c r="D81" i="7"/>
  <c r="P78" i="7"/>
  <c r="H78" i="7"/>
  <c r="F78" i="7"/>
  <c r="D78" i="7"/>
  <c r="O152" i="13" s="1"/>
  <c r="L77" i="7"/>
  <c r="O270" i="13" s="1"/>
  <c r="J77" i="7"/>
  <c r="D77" i="7"/>
  <c r="C77" i="7"/>
  <c r="L76" i="7"/>
  <c r="J76" i="7"/>
  <c r="D76" i="7"/>
  <c r="F76" i="7" s="1"/>
  <c r="C76" i="7"/>
  <c r="L75" i="7"/>
  <c r="J75" i="7"/>
  <c r="D75" i="7"/>
  <c r="O149" i="13" s="1"/>
  <c r="C75" i="7"/>
  <c r="L74" i="7"/>
  <c r="J74" i="7"/>
  <c r="F74" i="7"/>
  <c r="C74" i="7"/>
  <c r="L73" i="7"/>
  <c r="J73" i="7"/>
  <c r="D73" i="7"/>
  <c r="C73" i="7"/>
  <c r="L72" i="7"/>
  <c r="O265" i="13" s="1"/>
  <c r="J72" i="7"/>
  <c r="D72" i="7"/>
  <c r="C72" i="7"/>
  <c r="L71" i="7"/>
  <c r="J71" i="7"/>
  <c r="D71" i="7"/>
  <c r="O145" i="13" s="1"/>
  <c r="C71" i="7"/>
  <c r="L70" i="7"/>
  <c r="J70" i="7"/>
  <c r="D70" i="7"/>
  <c r="O144" i="13" s="1"/>
  <c r="C70" i="7"/>
  <c r="L69" i="7"/>
  <c r="J69" i="7"/>
  <c r="D69" i="7"/>
  <c r="O143" i="13" s="1"/>
  <c r="C69" i="7"/>
  <c r="L68" i="7"/>
  <c r="O261" i="13" s="1"/>
  <c r="J68" i="7"/>
  <c r="D68" i="7"/>
  <c r="C68" i="7"/>
  <c r="L67" i="7"/>
  <c r="O260" i="13" s="1"/>
  <c r="J67" i="7"/>
  <c r="D67" i="7"/>
  <c r="C67" i="7"/>
  <c r="L66" i="7"/>
  <c r="J66" i="7"/>
  <c r="D66" i="7"/>
  <c r="O140" i="13" s="1"/>
  <c r="C66" i="7"/>
  <c r="L65" i="7"/>
  <c r="J65" i="7"/>
  <c r="I65" i="7"/>
  <c r="D65" i="7"/>
  <c r="C65" i="7"/>
  <c r="L64" i="7"/>
  <c r="J64" i="7"/>
  <c r="D64" i="7"/>
  <c r="O138" i="13" s="1"/>
  <c r="C64" i="7"/>
  <c r="L63" i="7"/>
  <c r="O256" i="13" s="1"/>
  <c r="J63" i="7"/>
  <c r="D63" i="7"/>
  <c r="C63" i="7"/>
  <c r="L62" i="7"/>
  <c r="J62" i="7"/>
  <c r="D62" i="7"/>
  <c r="O136" i="13" s="1"/>
  <c r="C62" i="7"/>
  <c r="L61" i="7"/>
  <c r="O254" i="13" s="1"/>
  <c r="J61" i="7"/>
  <c r="D61" i="7"/>
  <c r="C61" i="7"/>
  <c r="L60" i="7"/>
  <c r="D60" i="7"/>
  <c r="F60" i="7" s="1"/>
  <c r="C60" i="7"/>
  <c r="L59" i="7"/>
  <c r="J59" i="7"/>
  <c r="D59" i="7"/>
  <c r="O133" i="13" s="1"/>
  <c r="C59" i="7"/>
  <c r="L58" i="7"/>
  <c r="O251" i="13" s="1"/>
  <c r="J58" i="7"/>
  <c r="D58" i="7"/>
  <c r="C58" i="7"/>
  <c r="L57" i="7"/>
  <c r="J57" i="7"/>
  <c r="D57" i="7"/>
  <c r="O131" i="13" s="1"/>
  <c r="C57" i="7"/>
  <c r="L56" i="7"/>
  <c r="O249" i="13" s="1"/>
  <c r="J56" i="7"/>
  <c r="D56" i="7"/>
  <c r="C56" i="7"/>
  <c r="L55" i="7"/>
  <c r="J55" i="7"/>
  <c r="D55" i="7"/>
  <c r="C55" i="7"/>
  <c r="L54" i="7"/>
  <c r="O247" i="13" s="1"/>
  <c r="J54" i="7"/>
  <c r="D54" i="7"/>
  <c r="O128" i="13" s="1"/>
  <c r="C54" i="7"/>
  <c r="L51" i="7"/>
  <c r="J51" i="7"/>
  <c r="D51" i="7"/>
  <c r="C51" i="7"/>
  <c r="L50" i="7"/>
  <c r="J50" i="7"/>
  <c r="D50" i="7"/>
  <c r="C50" i="7"/>
  <c r="L49" i="7"/>
  <c r="O244" i="13" s="1"/>
  <c r="J49" i="7"/>
  <c r="D49" i="7"/>
  <c r="F9" i="13" s="1"/>
  <c r="C49" i="7"/>
  <c r="L46" i="7"/>
  <c r="J46" i="7"/>
  <c r="D46" i="7"/>
  <c r="O120" i="13" s="1"/>
  <c r="C46" i="7"/>
  <c r="L45" i="7"/>
  <c r="J45" i="7"/>
  <c r="D45" i="7"/>
  <c r="O119" i="13" s="1"/>
  <c r="C45" i="7"/>
  <c r="L44" i="7"/>
  <c r="E25" i="13" s="1"/>
  <c r="J44" i="7"/>
  <c r="D44" i="7"/>
  <c r="C44" i="7"/>
  <c r="P43" i="7"/>
  <c r="H43" i="7"/>
  <c r="I76" i="7" s="1"/>
  <c r="O41" i="7"/>
  <c r="L41" i="7"/>
  <c r="K41" i="7"/>
  <c r="H41" i="7"/>
  <c r="G41" i="7"/>
  <c r="D41" i="7"/>
  <c r="Q40" i="7"/>
  <c r="P40" i="7"/>
  <c r="O40" i="7"/>
  <c r="L40" i="7"/>
  <c r="H40" i="7"/>
  <c r="D40" i="7"/>
  <c r="H38" i="7"/>
  <c r="F38" i="7"/>
  <c r="D38" i="7"/>
  <c r="L37" i="7"/>
  <c r="N37" i="7" s="1"/>
  <c r="J37" i="7"/>
  <c r="D37" i="7"/>
  <c r="F37" i="7" s="1"/>
  <c r="C37" i="7"/>
  <c r="L36" i="7"/>
  <c r="N36" i="7" s="1"/>
  <c r="J36" i="7"/>
  <c r="D36" i="7"/>
  <c r="F36" i="7" s="1"/>
  <c r="C36" i="7"/>
  <c r="L35" i="7"/>
  <c r="N35" i="7" s="1"/>
  <c r="J35" i="7"/>
  <c r="D35" i="7"/>
  <c r="F35" i="7" s="1"/>
  <c r="C35" i="7"/>
  <c r="L34" i="7"/>
  <c r="N34" i="7" s="1"/>
  <c r="J34" i="7"/>
  <c r="D34" i="7"/>
  <c r="F34" i="7" s="1"/>
  <c r="C34" i="7"/>
  <c r="L33" i="7"/>
  <c r="J33" i="7"/>
  <c r="D33" i="7"/>
  <c r="F33" i="7" s="1"/>
  <c r="C33" i="7"/>
  <c r="L32" i="7"/>
  <c r="N32" i="7" s="1"/>
  <c r="J32" i="7"/>
  <c r="D32" i="7"/>
  <c r="F32" i="7" s="1"/>
  <c r="C32" i="7"/>
  <c r="L31" i="7"/>
  <c r="N31" i="7" s="1"/>
  <c r="J31" i="7"/>
  <c r="D31" i="7"/>
  <c r="F31" i="7" s="1"/>
  <c r="C31" i="7"/>
  <c r="L30" i="7"/>
  <c r="N30" i="7" s="1"/>
  <c r="J30" i="7"/>
  <c r="D30" i="7"/>
  <c r="F30" i="7" s="1"/>
  <c r="C30" i="7"/>
  <c r="L29" i="7"/>
  <c r="N29" i="7" s="1"/>
  <c r="J29" i="7"/>
  <c r="D29" i="7"/>
  <c r="F29" i="7" s="1"/>
  <c r="C29" i="7"/>
  <c r="L28" i="7"/>
  <c r="N28" i="7" s="1"/>
  <c r="J28" i="7"/>
  <c r="D28" i="7"/>
  <c r="F28" i="7" s="1"/>
  <c r="C28" i="7"/>
  <c r="L27" i="7"/>
  <c r="N27" i="7" s="1"/>
  <c r="J27" i="7"/>
  <c r="D27" i="7"/>
  <c r="F27" i="7" s="1"/>
  <c r="C27" i="7"/>
  <c r="L26" i="7"/>
  <c r="N26" i="7" s="1"/>
  <c r="J26" i="7"/>
  <c r="D26" i="7"/>
  <c r="F26" i="7" s="1"/>
  <c r="C26" i="7"/>
  <c r="L25" i="7"/>
  <c r="N25" i="7" s="1"/>
  <c r="J25" i="7"/>
  <c r="D25" i="7"/>
  <c r="F25" i="7" s="1"/>
  <c r="C25" i="7"/>
  <c r="L23" i="7"/>
  <c r="N23" i="7" s="1"/>
  <c r="J23" i="7"/>
  <c r="D23" i="7"/>
  <c r="F23" i="7" s="1"/>
  <c r="C23" i="7"/>
  <c r="L22" i="7"/>
  <c r="N22" i="7" s="1"/>
  <c r="J22" i="7"/>
  <c r="D22" i="7"/>
  <c r="F22" i="7" s="1"/>
  <c r="C22" i="7"/>
  <c r="L21" i="7"/>
  <c r="N21" i="7" s="1"/>
  <c r="J21" i="7"/>
  <c r="D21" i="7"/>
  <c r="F21" i="7" s="1"/>
  <c r="C21" i="7"/>
  <c r="L20" i="7"/>
  <c r="N20" i="7" s="1"/>
  <c r="J20" i="7"/>
  <c r="D20" i="7"/>
  <c r="F20" i="7" s="1"/>
  <c r="C20" i="7"/>
  <c r="L19" i="7"/>
  <c r="N19" i="7" s="1"/>
  <c r="J19" i="7"/>
  <c r="D19" i="7"/>
  <c r="F19" i="7" s="1"/>
  <c r="C19" i="7"/>
  <c r="L18" i="7"/>
  <c r="N18" i="7" s="1"/>
  <c r="J18" i="7"/>
  <c r="D18" i="7"/>
  <c r="F18" i="7" s="1"/>
  <c r="C18" i="7"/>
  <c r="L17" i="7"/>
  <c r="J17" i="7"/>
  <c r="D17" i="7"/>
  <c r="F17" i="7" s="1"/>
  <c r="C17" i="7"/>
  <c r="L16" i="7"/>
  <c r="N16" i="7" s="1"/>
  <c r="J16" i="7"/>
  <c r="D16" i="7"/>
  <c r="F16" i="7" s="1"/>
  <c r="C16" i="7"/>
  <c r="L15" i="7"/>
  <c r="N15" i="7" s="1"/>
  <c r="J15" i="7"/>
  <c r="D15" i="7"/>
  <c r="F15" i="7" s="1"/>
  <c r="C15" i="7"/>
  <c r="L14" i="7"/>
  <c r="N14" i="7" s="1"/>
  <c r="J14" i="7"/>
  <c r="D14" i="7"/>
  <c r="F14" i="7" s="1"/>
  <c r="C14" i="7"/>
  <c r="L13" i="7"/>
  <c r="N13" i="7" s="1"/>
  <c r="J13" i="7"/>
  <c r="D13" i="7"/>
  <c r="F13" i="7" s="1"/>
  <c r="C13" i="7"/>
  <c r="L12" i="7"/>
  <c r="N12" i="7" s="1"/>
  <c r="J12" i="7"/>
  <c r="D12" i="7"/>
  <c r="F12" i="7" s="1"/>
  <c r="C12" i="7"/>
  <c r="L11" i="7"/>
  <c r="N11" i="7" s="1"/>
  <c r="J11" i="7"/>
  <c r="D11" i="7"/>
  <c r="F11" i="7" s="1"/>
  <c r="C11" i="7"/>
  <c r="L10" i="7"/>
  <c r="N10" i="7" s="1"/>
  <c r="J10" i="7"/>
  <c r="D10" i="7"/>
  <c r="F10" i="7" s="1"/>
  <c r="C10" i="7"/>
  <c r="L9" i="7"/>
  <c r="N9" i="7" s="1"/>
  <c r="J9" i="7"/>
  <c r="D9" i="7"/>
  <c r="F9" i="7" s="1"/>
  <c r="C9" i="7"/>
  <c r="L8" i="7"/>
  <c r="J8" i="7"/>
  <c r="D8" i="7"/>
  <c r="F8" i="7" s="1"/>
  <c r="C8" i="7"/>
  <c r="H7" i="7"/>
  <c r="I24" i="7" s="1"/>
  <c r="O3" i="7"/>
  <c r="L3" i="7"/>
  <c r="K3" i="7"/>
  <c r="H3" i="7"/>
  <c r="G3" i="7"/>
  <c r="D3" i="7"/>
  <c r="Q2" i="7"/>
  <c r="P2" i="7"/>
  <c r="O2" i="7"/>
  <c r="L2" i="7"/>
  <c r="K2" i="7"/>
  <c r="H2" i="7"/>
  <c r="G2" i="7"/>
  <c r="D2" i="7"/>
  <c r="P157" i="6"/>
  <c r="J157" i="6"/>
  <c r="H157" i="6"/>
  <c r="F157" i="6"/>
  <c r="D157" i="6"/>
  <c r="C156" i="6"/>
  <c r="C155" i="6"/>
  <c r="C154" i="6"/>
  <c r="L153" i="6"/>
  <c r="D153" i="6"/>
  <c r="F153" i="6" s="1"/>
  <c r="C153" i="6"/>
  <c r="L152" i="6"/>
  <c r="N152" i="6" s="1"/>
  <c r="E152" i="6"/>
  <c r="D152" i="6"/>
  <c r="C152" i="6"/>
  <c r="L151" i="6"/>
  <c r="D151" i="6"/>
  <c r="F151" i="6" s="1"/>
  <c r="C151" i="6"/>
  <c r="L150" i="6"/>
  <c r="M346" i="13" s="1"/>
  <c r="D150" i="6"/>
  <c r="C150" i="6"/>
  <c r="L149" i="6"/>
  <c r="D149" i="6"/>
  <c r="C149" i="6"/>
  <c r="L148" i="6"/>
  <c r="N148" i="6" s="1"/>
  <c r="D148" i="6"/>
  <c r="E148" i="6" s="1"/>
  <c r="C148" i="6"/>
  <c r="L147" i="6"/>
  <c r="D147" i="6"/>
  <c r="C147" i="6"/>
  <c r="L146" i="6"/>
  <c r="M342" i="13" s="1"/>
  <c r="D146" i="6"/>
  <c r="C146" i="6"/>
  <c r="L145" i="6"/>
  <c r="D145" i="6"/>
  <c r="C145" i="6"/>
  <c r="L144" i="6"/>
  <c r="D144" i="6"/>
  <c r="C144" i="6"/>
  <c r="L143" i="6"/>
  <c r="D143" i="6"/>
  <c r="F143" i="6" s="1"/>
  <c r="C143" i="6"/>
  <c r="L142" i="6"/>
  <c r="M338" i="13" s="1"/>
  <c r="D142" i="6"/>
  <c r="C142" i="6"/>
  <c r="L141" i="6"/>
  <c r="D141" i="6"/>
  <c r="F141" i="6" s="1"/>
  <c r="C141" i="6"/>
  <c r="L140" i="6"/>
  <c r="N140" i="6" s="1"/>
  <c r="D140" i="6"/>
  <c r="E140" i="6" s="1"/>
  <c r="C140" i="6"/>
  <c r="L139" i="6"/>
  <c r="D139" i="6"/>
  <c r="F139" i="6" s="1"/>
  <c r="C139" i="6"/>
  <c r="L138" i="6"/>
  <c r="M334" i="13" s="1"/>
  <c r="D138" i="6"/>
  <c r="C138" i="6"/>
  <c r="L137" i="6"/>
  <c r="D137" i="6"/>
  <c r="C137" i="6"/>
  <c r="L136" i="6"/>
  <c r="N136" i="6" s="1"/>
  <c r="D136" i="6"/>
  <c r="E136" i="6" s="1"/>
  <c r="C136" i="6"/>
  <c r="L135" i="6"/>
  <c r="D135" i="6"/>
  <c r="F135" i="6" s="1"/>
  <c r="C135" i="6"/>
  <c r="L134" i="6"/>
  <c r="M330" i="13" s="1"/>
  <c r="D134" i="6"/>
  <c r="C134" i="6"/>
  <c r="L133" i="6"/>
  <c r="D133" i="6"/>
  <c r="C133" i="6"/>
  <c r="L132" i="6"/>
  <c r="D132" i="6"/>
  <c r="E132" i="6" s="1"/>
  <c r="C132" i="6"/>
  <c r="L131" i="6"/>
  <c r="D131" i="6"/>
  <c r="F131" i="6" s="1"/>
  <c r="C131" i="6"/>
  <c r="L130" i="6"/>
  <c r="M326" i="13" s="1"/>
  <c r="D130" i="6"/>
  <c r="C130" i="6"/>
  <c r="L129" i="6"/>
  <c r="D129" i="6"/>
  <c r="C129" i="6"/>
  <c r="L128" i="6"/>
  <c r="N128" i="6" s="1"/>
  <c r="D128" i="6"/>
  <c r="E128" i="6" s="1"/>
  <c r="C128" i="6"/>
  <c r="L127" i="6"/>
  <c r="K127" i="6"/>
  <c r="D127" i="6"/>
  <c r="C127" i="6"/>
  <c r="L126" i="6"/>
  <c r="M322" i="13" s="1"/>
  <c r="D126" i="6"/>
  <c r="C126" i="6"/>
  <c r="L125" i="6"/>
  <c r="D125" i="6"/>
  <c r="C125" i="6"/>
  <c r="L124" i="6"/>
  <c r="N124" i="6" s="1"/>
  <c r="D124" i="6"/>
  <c r="C124" i="6"/>
  <c r="L123" i="6"/>
  <c r="D123" i="6"/>
  <c r="F123" i="6" s="1"/>
  <c r="C123" i="6"/>
  <c r="L122" i="6"/>
  <c r="M318" i="13" s="1"/>
  <c r="D122" i="6"/>
  <c r="C122" i="6"/>
  <c r="L121" i="6"/>
  <c r="D121" i="6"/>
  <c r="F121" i="6" s="1"/>
  <c r="C121" i="6"/>
  <c r="L120" i="6"/>
  <c r="N120" i="6" s="1"/>
  <c r="D120" i="6"/>
  <c r="E120" i="6" s="1"/>
  <c r="C120" i="6"/>
  <c r="L119" i="6"/>
  <c r="D119" i="6"/>
  <c r="F119" i="6" s="1"/>
  <c r="C119" i="6"/>
  <c r="L118" i="6"/>
  <c r="M314" i="13" s="1"/>
  <c r="D118" i="6"/>
  <c r="C118" i="6"/>
  <c r="L117" i="6"/>
  <c r="K24" i="13" s="1"/>
  <c r="D117" i="6"/>
  <c r="K8" i="13" s="1"/>
  <c r="C117" i="6"/>
  <c r="P116" i="6"/>
  <c r="J116" i="6"/>
  <c r="K150" i="6" s="1"/>
  <c r="H116" i="6"/>
  <c r="I150" i="6" s="1"/>
  <c r="O114" i="6"/>
  <c r="L114" i="6"/>
  <c r="K114" i="6"/>
  <c r="H114" i="6"/>
  <c r="G114" i="6"/>
  <c r="D114" i="6"/>
  <c r="Q113" i="6"/>
  <c r="P113" i="6"/>
  <c r="O113" i="6"/>
  <c r="L113" i="6"/>
  <c r="H113" i="6"/>
  <c r="D113" i="6"/>
  <c r="D111" i="6"/>
  <c r="F111" i="6" s="1"/>
  <c r="C110" i="6"/>
  <c r="C109" i="6"/>
  <c r="C108" i="6"/>
  <c r="C107" i="6"/>
  <c r="C106" i="6"/>
  <c r="L105" i="6"/>
  <c r="F105" i="6"/>
  <c r="D105" i="6"/>
  <c r="M179" i="13" s="1"/>
  <c r="C105" i="6"/>
  <c r="L104" i="6"/>
  <c r="M300" i="13" s="1"/>
  <c r="F104" i="6"/>
  <c r="D104" i="6"/>
  <c r="M178" i="13" s="1"/>
  <c r="C104" i="6"/>
  <c r="L103" i="6"/>
  <c r="F103" i="6"/>
  <c r="D103" i="6"/>
  <c r="M177" i="13" s="1"/>
  <c r="C103" i="6"/>
  <c r="L102" i="6"/>
  <c r="M298" i="13" s="1"/>
  <c r="F102" i="6"/>
  <c r="D102" i="6"/>
  <c r="M176" i="13" s="1"/>
  <c r="C102" i="6"/>
  <c r="L101" i="6"/>
  <c r="F101" i="6"/>
  <c r="D101" i="6"/>
  <c r="M175" i="13" s="1"/>
  <c r="C101" i="6"/>
  <c r="L100" i="6"/>
  <c r="M296" i="13" s="1"/>
  <c r="F100" i="6"/>
  <c r="D100" i="6"/>
  <c r="M174" i="13" s="1"/>
  <c r="C100" i="6"/>
  <c r="L99" i="6"/>
  <c r="F99" i="6"/>
  <c r="D99" i="6"/>
  <c r="M173" i="13" s="1"/>
  <c r="C99" i="6"/>
  <c r="L98" i="6"/>
  <c r="M294" i="13" s="1"/>
  <c r="F98" i="6"/>
  <c r="D98" i="6"/>
  <c r="M172" i="13" s="1"/>
  <c r="C98" i="6"/>
  <c r="L97" i="6"/>
  <c r="F97" i="6"/>
  <c r="D97" i="6"/>
  <c r="M171" i="13" s="1"/>
  <c r="C97" i="6"/>
  <c r="L96" i="6"/>
  <c r="M292" i="13" s="1"/>
  <c r="F96" i="6"/>
  <c r="D96" i="6"/>
  <c r="M170" i="13" s="1"/>
  <c r="C96" i="6"/>
  <c r="L95" i="6"/>
  <c r="F95" i="6"/>
  <c r="D95" i="6"/>
  <c r="M169" i="13" s="1"/>
  <c r="C95" i="6"/>
  <c r="L94" i="6"/>
  <c r="M290" i="13" s="1"/>
  <c r="F94" i="6"/>
  <c r="D94" i="6"/>
  <c r="M168" i="13" s="1"/>
  <c r="C94" i="6"/>
  <c r="L93" i="6"/>
  <c r="F93" i="6"/>
  <c r="D93" i="6"/>
  <c r="M167" i="13" s="1"/>
  <c r="C93" i="6"/>
  <c r="L92" i="6"/>
  <c r="M288" i="13" s="1"/>
  <c r="F92" i="6"/>
  <c r="D92" i="6"/>
  <c r="M166" i="13" s="1"/>
  <c r="C92" i="6"/>
  <c r="L91" i="6"/>
  <c r="F91" i="6"/>
  <c r="D91" i="6"/>
  <c r="M165" i="13" s="1"/>
  <c r="C91" i="6"/>
  <c r="L90" i="6"/>
  <c r="M286" i="13" s="1"/>
  <c r="F90" i="6"/>
  <c r="D90" i="6"/>
  <c r="M164" i="13" s="1"/>
  <c r="C90" i="6"/>
  <c r="L89" i="6"/>
  <c r="F89" i="6"/>
  <c r="D89" i="6"/>
  <c r="M163" i="13" s="1"/>
  <c r="C89" i="6"/>
  <c r="L88" i="6"/>
  <c r="M284" i="13" s="1"/>
  <c r="F88" i="6"/>
  <c r="D88" i="6"/>
  <c r="M162" i="13" s="1"/>
  <c r="C88" i="6"/>
  <c r="L87" i="6"/>
  <c r="F87" i="6"/>
  <c r="D87" i="6"/>
  <c r="M161" i="13" s="1"/>
  <c r="C87" i="6"/>
  <c r="L53" i="6"/>
  <c r="M282" i="13" s="1"/>
  <c r="F53" i="6"/>
  <c r="D53" i="6"/>
  <c r="M127" i="13" s="1"/>
  <c r="C53" i="6"/>
  <c r="L52" i="6"/>
  <c r="F52" i="6"/>
  <c r="D52" i="6"/>
  <c r="M126" i="13" s="1"/>
  <c r="C52" i="6"/>
  <c r="L86" i="6"/>
  <c r="M280" i="13" s="1"/>
  <c r="F86" i="6"/>
  <c r="D86" i="6"/>
  <c r="M160" i="13" s="1"/>
  <c r="C86" i="6"/>
  <c r="L85" i="6"/>
  <c r="F85" i="6"/>
  <c r="D85" i="6"/>
  <c r="M159" i="13" s="1"/>
  <c r="C85" i="6"/>
  <c r="L48" i="6"/>
  <c r="M278" i="13" s="1"/>
  <c r="F48" i="6"/>
  <c r="D48" i="6"/>
  <c r="M122" i="13" s="1"/>
  <c r="C48" i="6"/>
  <c r="L47" i="6"/>
  <c r="I24" i="13" s="1"/>
  <c r="F47" i="6"/>
  <c r="J8" i="13" s="1"/>
  <c r="D47" i="6"/>
  <c r="C47" i="6"/>
  <c r="O82" i="6"/>
  <c r="L82" i="6"/>
  <c r="K82" i="6"/>
  <c r="H82" i="6"/>
  <c r="G82" i="6"/>
  <c r="D82" i="6"/>
  <c r="Q81" i="6"/>
  <c r="P81" i="6"/>
  <c r="O81" i="6"/>
  <c r="L81" i="6"/>
  <c r="H81" i="6"/>
  <c r="D81" i="6"/>
  <c r="P78" i="6"/>
  <c r="H78" i="6"/>
  <c r="D78" i="6"/>
  <c r="F78" i="6" s="1"/>
  <c r="L77" i="6"/>
  <c r="N77" i="6" s="1"/>
  <c r="J77" i="6"/>
  <c r="I77" i="6"/>
  <c r="D77" i="6"/>
  <c r="F77" i="6" s="1"/>
  <c r="C77" i="6"/>
  <c r="L76" i="6"/>
  <c r="J76" i="6"/>
  <c r="I76" i="6"/>
  <c r="D76" i="6"/>
  <c r="C76" i="6"/>
  <c r="L75" i="6"/>
  <c r="M268" i="13" s="1"/>
  <c r="J75" i="6"/>
  <c r="I75" i="6"/>
  <c r="D75" i="6"/>
  <c r="M149" i="13" s="1"/>
  <c r="C75" i="6"/>
  <c r="L74" i="6"/>
  <c r="J74" i="6"/>
  <c r="I74" i="6"/>
  <c r="D74" i="6"/>
  <c r="M148" i="13" s="1"/>
  <c r="C74" i="6"/>
  <c r="L73" i="6"/>
  <c r="J73" i="6"/>
  <c r="I73" i="6"/>
  <c r="D73" i="6"/>
  <c r="C73" i="6"/>
  <c r="L72" i="6"/>
  <c r="M265" i="13" s="1"/>
  <c r="J72" i="6"/>
  <c r="I72" i="6"/>
  <c r="D72" i="6"/>
  <c r="M146" i="13" s="1"/>
  <c r="C72" i="6"/>
  <c r="L71" i="6"/>
  <c r="M264" i="13" s="1"/>
  <c r="J71" i="6"/>
  <c r="I71" i="6"/>
  <c r="D71" i="6"/>
  <c r="M145" i="13" s="1"/>
  <c r="C71" i="6"/>
  <c r="L70" i="6"/>
  <c r="J70" i="6"/>
  <c r="I70" i="6"/>
  <c r="D70" i="6"/>
  <c r="M144" i="13" s="1"/>
  <c r="C70" i="6"/>
  <c r="L69" i="6"/>
  <c r="M262" i="13" s="1"/>
  <c r="J69" i="6"/>
  <c r="I69" i="6"/>
  <c r="D69" i="6"/>
  <c r="M143" i="13" s="1"/>
  <c r="C69" i="6"/>
  <c r="L68" i="6"/>
  <c r="M261" i="13" s="1"/>
  <c r="J68" i="6"/>
  <c r="I68" i="6"/>
  <c r="D68" i="6"/>
  <c r="C68" i="6"/>
  <c r="L67" i="6"/>
  <c r="M260" i="13" s="1"/>
  <c r="J67" i="6"/>
  <c r="I67" i="6"/>
  <c r="D67" i="6"/>
  <c r="M141" i="13" s="1"/>
  <c r="C67" i="6"/>
  <c r="L66" i="6"/>
  <c r="J66" i="6"/>
  <c r="I66" i="6"/>
  <c r="D66" i="6"/>
  <c r="M140" i="13" s="1"/>
  <c r="C66" i="6"/>
  <c r="L65" i="6"/>
  <c r="J65" i="6"/>
  <c r="I65" i="6"/>
  <c r="D65" i="6"/>
  <c r="C65" i="6"/>
  <c r="L64" i="6"/>
  <c r="M257" i="13" s="1"/>
  <c r="J64" i="6"/>
  <c r="I64" i="6"/>
  <c r="D64" i="6"/>
  <c r="C64" i="6"/>
  <c r="L63" i="6"/>
  <c r="M256" i="13" s="1"/>
  <c r="J63" i="6"/>
  <c r="I63" i="6"/>
  <c r="D63" i="6"/>
  <c r="F63" i="6" s="1"/>
  <c r="C63" i="6"/>
  <c r="L62" i="6"/>
  <c r="J62" i="6"/>
  <c r="I62" i="6"/>
  <c r="D62" i="6"/>
  <c r="M136" i="13" s="1"/>
  <c r="C62" i="6"/>
  <c r="L61" i="6"/>
  <c r="N61" i="6" s="1"/>
  <c r="J61" i="6"/>
  <c r="I61" i="6"/>
  <c r="D61" i="6"/>
  <c r="F61" i="6" s="1"/>
  <c r="C61" i="6"/>
  <c r="L60" i="6"/>
  <c r="D60" i="6"/>
  <c r="M134" i="13" s="1"/>
  <c r="C60" i="6"/>
  <c r="L59" i="6"/>
  <c r="J59" i="6"/>
  <c r="I59" i="6"/>
  <c r="D59" i="6"/>
  <c r="M133" i="13" s="1"/>
  <c r="C59" i="6"/>
  <c r="L58" i="6"/>
  <c r="J58" i="6"/>
  <c r="I58" i="6"/>
  <c r="D58" i="6"/>
  <c r="C58" i="6"/>
  <c r="L57" i="6"/>
  <c r="M250" i="13" s="1"/>
  <c r="J57" i="6"/>
  <c r="I57" i="6"/>
  <c r="D57" i="6"/>
  <c r="M131" i="13" s="1"/>
  <c r="C57" i="6"/>
  <c r="L56" i="6"/>
  <c r="M249" i="13" s="1"/>
  <c r="J56" i="6"/>
  <c r="I56" i="6"/>
  <c r="D56" i="6"/>
  <c r="C56" i="6"/>
  <c r="L55" i="6"/>
  <c r="J55" i="6"/>
  <c r="I55" i="6"/>
  <c r="D55" i="6"/>
  <c r="M129" i="13" s="1"/>
  <c r="C55" i="6"/>
  <c r="L54" i="6"/>
  <c r="M247" i="13" s="1"/>
  <c r="J54" i="6"/>
  <c r="I54" i="6"/>
  <c r="D54" i="6"/>
  <c r="M128" i="13" s="1"/>
  <c r="C54" i="6"/>
  <c r="L51" i="6"/>
  <c r="J51" i="6"/>
  <c r="I51" i="6"/>
  <c r="D51" i="6"/>
  <c r="C51" i="6"/>
  <c r="L50" i="6"/>
  <c r="M245" i="13" s="1"/>
  <c r="J50" i="6"/>
  <c r="I50" i="6"/>
  <c r="D50" i="6"/>
  <c r="M124" i="13" s="1"/>
  <c r="C50" i="6"/>
  <c r="L49" i="6"/>
  <c r="M244" i="13" s="1"/>
  <c r="J49" i="6"/>
  <c r="I49" i="6"/>
  <c r="D49" i="6"/>
  <c r="F8" i="13" s="1"/>
  <c r="C49" i="6"/>
  <c r="L46" i="6"/>
  <c r="J46" i="6"/>
  <c r="I46" i="6"/>
  <c r="D46" i="6"/>
  <c r="C46" i="6"/>
  <c r="L45" i="6"/>
  <c r="M242" i="13" s="1"/>
  <c r="J45" i="6"/>
  <c r="I45" i="6"/>
  <c r="D45" i="6"/>
  <c r="M119" i="13" s="1"/>
  <c r="C45" i="6"/>
  <c r="L44" i="6"/>
  <c r="J44" i="6"/>
  <c r="D44" i="6"/>
  <c r="E8" i="13" s="1"/>
  <c r="C44" i="6"/>
  <c r="P43" i="6"/>
  <c r="H43" i="6"/>
  <c r="O41" i="6"/>
  <c r="L41" i="6"/>
  <c r="K41" i="6"/>
  <c r="H41" i="6"/>
  <c r="G41" i="6"/>
  <c r="D41" i="6"/>
  <c r="Q40" i="6"/>
  <c r="P40" i="6"/>
  <c r="O40" i="6"/>
  <c r="L40" i="6"/>
  <c r="H40" i="6"/>
  <c r="D40" i="6"/>
  <c r="H38" i="6"/>
  <c r="F38" i="6"/>
  <c r="D38" i="6"/>
  <c r="L37" i="6"/>
  <c r="N37" i="6" s="1"/>
  <c r="J37" i="6"/>
  <c r="D37" i="6"/>
  <c r="F37" i="6" s="1"/>
  <c r="C37" i="6"/>
  <c r="L36" i="6"/>
  <c r="N36" i="6" s="1"/>
  <c r="J36" i="6"/>
  <c r="D36" i="6"/>
  <c r="F36" i="6" s="1"/>
  <c r="C36" i="6"/>
  <c r="L35" i="6"/>
  <c r="N35" i="6" s="1"/>
  <c r="J35" i="6"/>
  <c r="D35" i="6"/>
  <c r="F35" i="6" s="1"/>
  <c r="C35" i="6"/>
  <c r="L34" i="6"/>
  <c r="N34" i="6" s="1"/>
  <c r="J34" i="6"/>
  <c r="D34" i="6"/>
  <c r="F34" i="6" s="1"/>
  <c r="C34" i="6"/>
  <c r="L33" i="6"/>
  <c r="N33" i="6" s="1"/>
  <c r="J33" i="6"/>
  <c r="D33" i="6"/>
  <c r="F33" i="6" s="1"/>
  <c r="C33" i="6"/>
  <c r="L32" i="6"/>
  <c r="N32" i="6" s="1"/>
  <c r="J32" i="6"/>
  <c r="D32" i="6"/>
  <c r="F32" i="6" s="1"/>
  <c r="C32" i="6"/>
  <c r="L31" i="6"/>
  <c r="N31" i="6" s="1"/>
  <c r="J31" i="6"/>
  <c r="F31" i="6"/>
  <c r="P31" i="6" s="1"/>
  <c r="D31" i="6"/>
  <c r="C31" i="6"/>
  <c r="L30" i="6"/>
  <c r="N30" i="6" s="1"/>
  <c r="J30" i="6"/>
  <c r="D30" i="6"/>
  <c r="F30" i="6" s="1"/>
  <c r="C30" i="6"/>
  <c r="L29" i="6"/>
  <c r="N29" i="6" s="1"/>
  <c r="J29" i="6"/>
  <c r="D29" i="6"/>
  <c r="F29" i="6" s="1"/>
  <c r="C29" i="6"/>
  <c r="L28" i="6"/>
  <c r="N28" i="6" s="1"/>
  <c r="J28" i="6"/>
  <c r="D28" i="6"/>
  <c r="F28" i="6" s="1"/>
  <c r="C28" i="6"/>
  <c r="L27" i="6"/>
  <c r="N27" i="6" s="1"/>
  <c r="J27" i="6"/>
  <c r="D27" i="6"/>
  <c r="F27" i="6" s="1"/>
  <c r="C27" i="6"/>
  <c r="L26" i="6"/>
  <c r="N26" i="6" s="1"/>
  <c r="J26" i="6"/>
  <c r="D26" i="6"/>
  <c r="F26" i="6" s="1"/>
  <c r="C26" i="6"/>
  <c r="L25" i="6"/>
  <c r="N25" i="6" s="1"/>
  <c r="J25" i="6"/>
  <c r="D25" i="6"/>
  <c r="F25" i="6" s="1"/>
  <c r="C25" i="6"/>
  <c r="L23" i="6"/>
  <c r="N23" i="6" s="1"/>
  <c r="J23" i="6"/>
  <c r="D23" i="6"/>
  <c r="F23" i="6" s="1"/>
  <c r="C23" i="6"/>
  <c r="L22" i="6"/>
  <c r="N22" i="6" s="1"/>
  <c r="J22" i="6"/>
  <c r="D22" i="6"/>
  <c r="F22" i="6" s="1"/>
  <c r="C22" i="6"/>
  <c r="L21" i="6"/>
  <c r="N21" i="6" s="1"/>
  <c r="J21" i="6"/>
  <c r="D21" i="6"/>
  <c r="F21" i="6" s="1"/>
  <c r="C21" i="6"/>
  <c r="L20" i="6"/>
  <c r="N20" i="6" s="1"/>
  <c r="J20" i="6"/>
  <c r="D20" i="6"/>
  <c r="F20" i="6" s="1"/>
  <c r="C20" i="6"/>
  <c r="L19" i="6"/>
  <c r="N19" i="6" s="1"/>
  <c r="J19" i="6"/>
  <c r="D19" i="6"/>
  <c r="F19" i="6" s="1"/>
  <c r="C19" i="6"/>
  <c r="L18" i="6"/>
  <c r="N18" i="6" s="1"/>
  <c r="J18" i="6"/>
  <c r="D18" i="6"/>
  <c r="F18" i="6" s="1"/>
  <c r="C18" i="6"/>
  <c r="L17" i="6"/>
  <c r="N17" i="6" s="1"/>
  <c r="J17" i="6"/>
  <c r="D17" i="6"/>
  <c r="F17" i="6" s="1"/>
  <c r="C17" i="6"/>
  <c r="L16" i="6"/>
  <c r="N16" i="6" s="1"/>
  <c r="J16" i="6"/>
  <c r="D16" i="6"/>
  <c r="F16" i="6" s="1"/>
  <c r="C16" i="6"/>
  <c r="L15" i="6"/>
  <c r="N15" i="6" s="1"/>
  <c r="J15" i="6"/>
  <c r="D15" i="6"/>
  <c r="F15" i="6" s="1"/>
  <c r="C15" i="6"/>
  <c r="L14" i="6"/>
  <c r="N14" i="6" s="1"/>
  <c r="J14" i="6"/>
  <c r="D14" i="6"/>
  <c r="F14" i="6" s="1"/>
  <c r="C14" i="6"/>
  <c r="L13" i="6"/>
  <c r="N13" i="6" s="1"/>
  <c r="J13" i="6"/>
  <c r="D13" i="6"/>
  <c r="F13" i="6" s="1"/>
  <c r="C13" i="6"/>
  <c r="L12" i="6"/>
  <c r="N12" i="6" s="1"/>
  <c r="J12" i="6"/>
  <c r="D12" i="6"/>
  <c r="F12" i="6" s="1"/>
  <c r="C12" i="6"/>
  <c r="L11" i="6"/>
  <c r="N11" i="6" s="1"/>
  <c r="J11" i="6"/>
  <c r="D11" i="6"/>
  <c r="F11" i="6" s="1"/>
  <c r="C11" i="6"/>
  <c r="L10" i="6"/>
  <c r="N10" i="6" s="1"/>
  <c r="J10" i="6"/>
  <c r="D10" i="6"/>
  <c r="F10" i="6" s="1"/>
  <c r="C10" i="6"/>
  <c r="L9" i="6"/>
  <c r="J9" i="6"/>
  <c r="D9" i="6"/>
  <c r="F9" i="6" s="1"/>
  <c r="C9" i="6"/>
  <c r="L8" i="6"/>
  <c r="N8" i="6" s="1"/>
  <c r="J8" i="6"/>
  <c r="D8" i="6"/>
  <c r="F8" i="6" s="1"/>
  <c r="C8" i="6"/>
  <c r="H7" i="6"/>
  <c r="I24" i="6" s="1"/>
  <c r="O3" i="6"/>
  <c r="L3" i="6"/>
  <c r="K3" i="6"/>
  <c r="H3" i="6"/>
  <c r="G3" i="6"/>
  <c r="D3" i="6"/>
  <c r="Q2" i="6"/>
  <c r="P2" i="6"/>
  <c r="O2" i="6"/>
  <c r="L2" i="6"/>
  <c r="K2" i="6"/>
  <c r="H2" i="6"/>
  <c r="G2" i="6"/>
  <c r="D2" i="6"/>
  <c r="P157" i="5"/>
  <c r="J157" i="5"/>
  <c r="H157" i="5"/>
  <c r="F157" i="5"/>
  <c r="D157" i="5"/>
  <c r="C156" i="5"/>
  <c r="C155" i="5"/>
  <c r="C154" i="5"/>
  <c r="L153" i="5"/>
  <c r="D153" i="5"/>
  <c r="C153" i="5"/>
  <c r="L152" i="5"/>
  <c r="D152" i="5"/>
  <c r="K226" i="13" s="1"/>
  <c r="C152" i="5"/>
  <c r="L151" i="5"/>
  <c r="D151" i="5"/>
  <c r="K225" i="13" s="1"/>
  <c r="C151" i="5"/>
  <c r="L150" i="5"/>
  <c r="K346" i="13" s="1"/>
  <c r="D150" i="5"/>
  <c r="K224" i="13" s="1"/>
  <c r="C150" i="5"/>
  <c r="L149" i="5"/>
  <c r="D149" i="5"/>
  <c r="K223" i="13" s="1"/>
  <c r="C149" i="5"/>
  <c r="L148" i="5"/>
  <c r="D148" i="5"/>
  <c r="K222" i="13" s="1"/>
  <c r="C148" i="5"/>
  <c r="L147" i="5"/>
  <c r="D147" i="5"/>
  <c r="K221" i="13" s="1"/>
  <c r="C147" i="5"/>
  <c r="L146" i="5"/>
  <c r="K342" i="13" s="1"/>
  <c r="D146" i="5"/>
  <c r="K220" i="13" s="1"/>
  <c r="C146" i="5"/>
  <c r="L145" i="5"/>
  <c r="D145" i="5"/>
  <c r="C145" i="5"/>
  <c r="L144" i="5"/>
  <c r="D144" i="5"/>
  <c r="K218" i="13" s="1"/>
  <c r="C144" i="5"/>
  <c r="L143" i="5"/>
  <c r="D143" i="5"/>
  <c r="K217" i="13" s="1"/>
  <c r="C143" i="5"/>
  <c r="L142" i="5"/>
  <c r="K338" i="13" s="1"/>
  <c r="D142" i="5"/>
  <c r="K216" i="13" s="1"/>
  <c r="C142" i="5"/>
  <c r="L141" i="5"/>
  <c r="D141" i="5"/>
  <c r="K215" i="13" s="1"/>
  <c r="C141" i="5"/>
  <c r="L140" i="5"/>
  <c r="D140" i="5"/>
  <c r="K214" i="13" s="1"/>
  <c r="C140" i="5"/>
  <c r="L139" i="5"/>
  <c r="D139" i="5"/>
  <c r="K213" i="13" s="1"/>
  <c r="C139" i="5"/>
  <c r="L138" i="5"/>
  <c r="K334" i="13" s="1"/>
  <c r="D138" i="5"/>
  <c r="K212" i="13" s="1"/>
  <c r="C138" i="5"/>
  <c r="L137" i="5"/>
  <c r="D137" i="5"/>
  <c r="K211" i="13" s="1"/>
  <c r="C137" i="5"/>
  <c r="L136" i="5"/>
  <c r="D136" i="5"/>
  <c r="K210" i="13" s="1"/>
  <c r="C136" i="5"/>
  <c r="L135" i="5"/>
  <c r="D135" i="5"/>
  <c r="K209" i="13" s="1"/>
  <c r="C135" i="5"/>
  <c r="L134" i="5"/>
  <c r="K330" i="13" s="1"/>
  <c r="D134" i="5"/>
  <c r="K208" i="13" s="1"/>
  <c r="C134" i="5"/>
  <c r="L133" i="5"/>
  <c r="D133" i="5"/>
  <c r="K207" i="13" s="1"/>
  <c r="C133" i="5"/>
  <c r="L132" i="5"/>
  <c r="D132" i="5"/>
  <c r="K206" i="13" s="1"/>
  <c r="C132" i="5"/>
  <c r="L131" i="5"/>
  <c r="D131" i="5"/>
  <c r="K205" i="13" s="1"/>
  <c r="C131" i="5"/>
  <c r="N130" i="5"/>
  <c r="L130" i="5"/>
  <c r="K326" i="13" s="1"/>
  <c r="D130" i="5"/>
  <c r="K204" i="13" s="1"/>
  <c r="C130" i="5"/>
  <c r="L129" i="5"/>
  <c r="D129" i="5"/>
  <c r="K203" i="13" s="1"/>
  <c r="C129" i="5"/>
  <c r="L128" i="5"/>
  <c r="D128" i="5"/>
  <c r="K202" i="13" s="1"/>
  <c r="C128" i="5"/>
  <c r="L127" i="5"/>
  <c r="D127" i="5"/>
  <c r="K201" i="13" s="1"/>
  <c r="C127" i="5"/>
  <c r="L126" i="5"/>
  <c r="K322" i="13" s="1"/>
  <c r="D126" i="5"/>
  <c r="C126" i="5"/>
  <c r="L125" i="5"/>
  <c r="D125" i="5"/>
  <c r="K199" i="13" s="1"/>
  <c r="C125" i="5"/>
  <c r="L124" i="5"/>
  <c r="D124" i="5"/>
  <c r="K198" i="13" s="1"/>
  <c r="C124" i="5"/>
  <c r="L123" i="5"/>
  <c r="D123" i="5"/>
  <c r="K197" i="13" s="1"/>
  <c r="C123" i="5"/>
  <c r="L122" i="5"/>
  <c r="K318" i="13" s="1"/>
  <c r="D122" i="5"/>
  <c r="K196" i="13" s="1"/>
  <c r="C122" i="5"/>
  <c r="L121" i="5"/>
  <c r="D121" i="5"/>
  <c r="K195" i="13" s="1"/>
  <c r="C121" i="5"/>
  <c r="L120" i="5"/>
  <c r="D120" i="5"/>
  <c r="K194" i="13" s="1"/>
  <c r="C120" i="5"/>
  <c r="L119" i="5"/>
  <c r="D119" i="5"/>
  <c r="K193" i="13" s="1"/>
  <c r="C119" i="5"/>
  <c r="L118" i="5"/>
  <c r="D118" i="5"/>
  <c r="K192" i="13" s="1"/>
  <c r="C118" i="5"/>
  <c r="L117" i="5"/>
  <c r="K23" i="13" s="1"/>
  <c r="D117" i="5"/>
  <c r="C117" i="5"/>
  <c r="P116" i="5"/>
  <c r="J116" i="5"/>
  <c r="K150" i="5" s="1"/>
  <c r="H116" i="5"/>
  <c r="I150" i="5" s="1"/>
  <c r="O114" i="5"/>
  <c r="L114" i="5"/>
  <c r="K114" i="5"/>
  <c r="H114" i="5"/>
  <c r="G114" i="5"/>
  <c r="D114" i="5"/>
  <c r="Q113" i="5"/>
  <c r="P113" i="5"/>
  <c r="O113" i="5"/>
  <c r="L113" i="5"/>
  <c r="H113" i="5"/>
  <c r="D113" i="5"/>
  <c r="D111" i="5"/>
  <c r="F111" i="5" s="1"/>
  <c r="C110" i="5"/>
  <c r="C109" i="5"/>
  <c r="C108" i="5"/>
  <c r="L107" i="5"/>
  <c r="K303" i="13" s="1"/>
  <c r="AA303" i="13" s="1"/>
  <c r="C107" i="5"/>
  <c r="L106" i="5"/>
  <c r="C106" i="5"/>
  <c r="L105" i="5"/>
  <c r="K301" i="13" s="1"/>
  <c r="D105" i="5"/>
  <c r="K179" i="13" s="1"/>
  <c r="C105" i="5"/>
  <c r="L104" i="5"/>
  <c r="K300" i="13" s="1"/>
  <c r="D104" i="5"/>
  <c r="C104" i="5"/>
  <c r="L103" i="5"/>
  <c r="D103" i="5"/>
  <c r="C103" i="5"/>
  <c r="L102" i="5"/>
  <c r="K298" i="13" s="1"/>
  <c r="D102" i="5"/>
  <c r="K176" i="13" s="1"/>
  <c r="C102" i="5"/>
  <c r="L101" i="5"/>
  <c r="K297" i="13" s="1"/>
  <c r="D101" i="5"/>
  <c r="K175" i="13" s="1"/>
  <c r="C101" i="5"/>
  <c r="L100" i="5"/>
  <c r="K296" i="13" s="1"/>
  <c r="D100" i="5"/>
  <c r="C100" i="5"/>
  <c r="L99" i="5"/>
  <c r="D99" i="5"/>
  <c r="C99" i="5"/>
  <c r="L98" i="5"/>
  <c r="K294" i="13" s="1"/>
  <c r="D98" i="5"/>
  <c r="K172" i="13" s="1"/>
  <c r="C98" i="5"/>
  <c r="L97" i="5"/>
  <c r="K293" i="13" s="1"/>
  <c r="D97" i="5"/>
  <c r="K171" i="13" s="1"/>
  <c r="C97" i="5"/>
  <c r="L96" i="5"/>
  <c r="K292" i="13" s="1"/>
  <c r="D96" i="5"/>
  <c r="C96" i="5"/>
  <c r="L95" i="5"/>
  <c r="D95" i="5"/>
  <c r="C95" i="5"/>
  <c r="L94" i="5"/>
  <c r="K290" i="13" s="1"/>
  <c r="D94" i="5"/>
  <c r="K168" i="13" s="1"/>
  <c r="C94" i="5"/>
  <c r="L93" i="5"/>
  <c r="K289" i="13" s="1"/>
  <c r="D93" i="5"/>
  <c r="K167" i="13" s="1"/>
  <c r="C93" i="5"/>
  <c r="L92" i="5"/>
  <c r="K288" i="13" s="1"/>
  <c r="D92" i="5"/>
  <c r="C92" i="5"/>
  <c r="L91" i="5"/>
  <c r="D91" i="5"/>
  <c r="C91" i="5"/>
  <c r="L90" i="5"/>
  <c r="D90" i="5"/>
  <c r="K164" i="13" s="1"/>
  <c r="C90" i="5"/>
  <c r="L89" i="5"/>
  <c r="K285" i="13" s="1"/>
  <c r="D89" i="5"/>
  <c r="K163" i="13" s="1"/>
  <c r="C89" i="5"/>
  <c r="L88" i="5"/>
  <c r="K284" i="13" s="1"/>
  <c r="D88" i="5"/>
  <c r="C88" i="5"/>
  <c r="L87" i="5"/>
  <c r="D87" i="5"/>
  <c r="C87" i="5"/>
  <c r="L53" i="5"/>
  <c r="K282" i="13" s="1"/>
  <c r="D53" i="5"/>
  <c r="K127" i="13" s="1"/>
  <c r="C53" i="5"/>
  <c r="L52" i="5"/>
  <c r="K281" i="13" s="1"/>
  <c r="D52" i="5"/>
  <c r="K126" i="13" s="1"/>
  <c r="C52" i="5"/>
  <c r="L86" i="5"/>
  <c r="K280" i="13" s="1"/>
  <c r="D86" i="5"/>
  <c r="C86" i="5"/>
  <c r="L85" i="5"/>
  <c r="D85" i="5"/>
  <c r="C85" i="5"/>
  <c r="L48" i="5"/>
  <c r="K278" i="13" s="1"/>
  <c r="D48" i="5"/>
  <c r="K122" i="13" s="1"/>
  <c r="C48" i="5"/>
  <c r="L47" i="5"/>
  <c r="I23" i="13" s="1"/>
  <c r="D47" i="5"/>
  <c r="I7" i="13" s="1"/>
  <c r="C47" i="5"/>
  <c r="O82" i="5"/>
  <c r="L82" i="5"/>
  <c r="K82" i="5"/>
  <c r="H82" i="5"/>
  <c r="G82" i="5"/>
  <c r="D82" i="5"/>
  <c r="Q81" i="5"/>
  <c r="P81" i="5"/>
  <c r="O81" i="5"/>
  <c r="L81" i="5"/>
  <c r="H81" i="5"/>
  <c r="D81" i="5"/>
  <c r="P78" i="5"/>
  <c r="J78" i="5"/>
  <c r="H78" i="5"/>
  <c r="D78" i="5"/>
  <c r="F78" i="5" s="1"/>
  <c r="L77" i="5"/>
  <c r="K270" i="13" s="1"/>
  <c r="K77" i="5"/>
  <c r="D77" i="5"/>
  <c r="K151" i="13" s="1"/>
  <c r="C77" i="5"/>
  <c r="L76" i="5"/>
  <c r="K269" i="13" s="1"/>
  <c r="K76" i="5"/>
  <c r="D76" i="5"/>
  <c r="C76" i="5"/>
  <c r="L75" i="5"/>
  <c r="K268" i="13" s="1"/>
  <c r="K75" i="5"/>
  <c r="D75" i="5"/>
  <c r="C75" i="5"/>
  <c r="L74" i="5"/>
  <c r="K74" i="5"/>
  <c r="F74" i="5"/>
  <c r="C74" i="5"/>
  <c r="L73" i="5"/>
  <c r="K266" i="13" s="1"/>
  <c r="K73" i="5"/>
  <c r="D73" i="5"/>
  <c r="C73" i="5"/>
  <c r="L72" i="5"/>
  <c r="K72" i="5"/>
  <c r="D72" i="5"/>
  <c r="C72" i="5"/>
  <c r="L71" i="5"/>
  <c r="K264" i="13" s="1"/>
  <c r="K71" i="5"/>
  <c r="D71" i="5"/>
  <c r="C71" i="5"/>
  <c r="L70" i="5"/>
  <c r="K70" i="5"/>
  <c r="D70" i="5"/>
  <c r="K144" i="13" s="1"/>
  <c r="C70" i="5"/>
  <c r="L69" i="5"/>
  <c r="K262" i="13" s="1"/>
  <c r="K69" i="5"/>
  <c r="D69" i="5"/>
  <c r="C69" i="5"/>
  <c r="L68" i="5"/>
  <c r="K68" i="5"/>
  <c r="D68" i="5"/>
  <c r="C68" i="5"/>
  <c r="L67" i="5"/>
  <c r="K260" i="13" s="1"/>
  <c r="K67" i="5"/>
  <c r="D67" i="5"/>
  <c r="C67" i="5"/>
  <c r="L66" i="5"/>
  <c r="K66" i="5"/>
  <c r="D66" i="5"/>
  <c r="K140" i="13" s="1"/>
  <c r="C66" i="5"/>
  <c r="L65" i="5"/>
  <c r="K258" i="13" s="1"/>
  <c r="K65" i="5"/>
  <c r="D65" i="5"/>
  <c r="C65" i="5"/>
  <c r="L64" i="5"/>
  <c r="K64" i="5"/>
  <c r="D64" i="5"/>
  <c r="F64" i="5" s="1"/>
  <c r="C64" i="5"/>
  <c r="L63" i="5"/>
  <c r="K256" i="13" s="1"/>
  <c r="K63" i="5"/>
  <c r="D63" i="5"/>
  <c r="C63" i="5"/>
  <c r="L62" i="5"/>
  <c r="K62" i="5"/>
  <c r="D62" i="5"/>
  <c r="K136" i="13" s="1"/>
  <c r="C62" i="5"/>
  <c r="L61" i="5"/>
  <c r="K254" i="13" s="1"/>
  <c r="K61" i="5"/>
  <c r="D61" i="5"/>
  <c r="C61" i="5"/>
  <c r="L60" i="5"/>
  <c r="K60" i="5"/>
  <c r="D60" i="5"/>
  <c r="K134" i="13" s="1"/>
  <c r="C60" i="5"/>
  <c r="L59" i="5"/>
  <c r="K252" i="13" s="1"/>
  <c r="K59" i="5"/>
  <c r="D59" i="5"/>
  <c r="K133" i="13" s="1"/>
  <c r="C59" i="5"/>
  <c r="L58" i="5"/>
  <c r="K58" i="5"/>
  <c r="D58" i="5"/>
  <c r="K132" i="13" s="1"/>
  <c r="C58" i="5"/>
  <c r="L57" i="5"/>
  <c r="K57" i="5"/>
  <c r="D57" i="5"/>
  <c r="K131" i="13" s="1"/>
  <c r="C57" i="5"/>
  <c r="L56" i="5"/>
  <c r="K56" i="5"/>
  <c r="D56" i="5"/>
  <c r="C56" i="5"/>
  <c r="L55" i="5"/>
  <c r="K248" i="13" s="1"/>
  <c r="K55" i="5"/>
  <c r="D55" i="5"/>
  <c r="K129" i="13" s="1"/>
  <c r="C55" i="5"/>
  <c r="L54" i="5"/>
  <c r="K54" i="5"/>
  <c r="D54" i="5"/>
  <c r="K128" i="13" s="1"/>
  <c r="C54" i="5"/>
  <c r="L51" i="5"/>
  <c r="K51" i="5"/>
  <c r="D51" i="5"/>
  <c r="K125" i="13" s="1"/>
  <c r="C51" i="5"/>
  <c r="L50" i="5"/>
  <c r="K50" i="5"/>
  <c r="D50" i="5"/>
  <c r="K124" i="13" s="1"/>
  <c r="C50" i="5"/>
  <c r="L49" i="5"/>
  <c r="K244" i="13" s="1"/>
  <c r="K49" i="5"/>
  <c r="D49" i="5"/>
  <c r="C49" i="5"/>
  <c r="L46" i="5"/>
  <c r="K46" i="5"/>
  <c r="D46" i="5"/>
  <c r="K120" i="13" s="1"/>
  <c r="C46" i="5"/>
  <c r="L45" i="5"/>
  <c r="K45" i="5"/>
  <c r="D45" i="5"/>
  <c r="K119" i="13" s="1"/>
  <c r="C45" i="5"/>
  <c r="L44" i="5"/>
  <c r="E23" i="13" s="1"/>
  <c r="K44" i="5"/>
  <c r="D44" i="5"/>
  <c r="E7" i="13" s="1"/>
  <c r="C44" i="5"/>
  <c r="P43" i="5"/>
  <c r="P79" i="5" s="1"/>
  <c r="J43" i="5"/>
  <c r="J79" i="5" s="1"/>
  <c r="H43" i="5"/>
  <c r="I74" i="5" s="1"/>
  <c r="O41" i="5"/>
  <c r="L41" i="5"/>
  <c r="K41" i="5"/>
  <c r="H41" i="5"/>
  <c r="G41" i="5"/>
  <c r="D41" i="5"/>
  <c r="Q40" i="5"/>
  <c r="P40" i="5"/>
  <c r="O40" i="5"/>
  <c r="L40" i="5"/>
  <c r="H40" i="5"/>
  <c r="D40" i="5"/>
  <c r="H38" i="5"/>
  <c r="F38" i="5"/>
  <c r="D38" i="5"/>
  <c r="L37" i="5"/>
  <c r="N37" i="5" s="1"/>
  <c r="J37" i="5"/>
  <c r="D37" i="5"/>
  <c r="F37" i="5" s="1"/>
  <c r="C37" i="5"/>
  <c r="L36" i="5"/>
  <c r="N36" i="5" s="1"/>
  <c r="J36" i="5"/>
  <c r="D36" i="5"/>
  <c r="F36" i="5" s="1"/>
  <c r="C36" i="5"/>
  <c r="L35" i="5"/>
  <c r="J35" i="5"/>
  <c r="D35" i="5"/>
  <c r="F35" i="5" s="1"/>
  <c r="C35" i="5"/>
  <c r="L34" i="5"/>
  <c r="N34" i="5" s="1"/>
  <c r="J34" i="5"/>
  <c r="D34" i="5"/>
  <c r="F34" i="5" s="1"/>
  <c r="C34" i="5"/>
  <c r="L33" i="5"/>
  <c r="N33" i="5" s="1"/>
  <c r="J33" i="5"/>
  <c r="D33" i="5"/>
  <c r="F33" i="5" s="1"/>
  <c r="C33" i="5"/>
  <c r="L32" i="5"/>
  <c r="N32" i="5" s="1"/>
  <c r="J32" i="5"/>
  <c r="D32" i="5"/>
  <c r="F32" i="5" s="1"/>
  <c r="C32" i="5"/>
  <c r="L31" i="5"/>
  <c r="N31" i="5" s="1"/>
  <c r="J31" i="5"/>
  <c r="D31" i="5"/>
  <c r="F31" i="5" s="1"/>
  <c r="C31" i="5"/>
  <c r="L30" i="5"/>
  <c r="N30" i="5" s="1"/>
  <c r="J30" i="5"/>
  <c r="D30" i="5"/>
  <c r="F30" i="5" s="1"/>
  <c r="C30" i="5"/>
  <c r="L29" i="5"/>
  <c r="N29" i="5" s="1"/>
  <c r="J29" i="5"/>
  <c r="D29" i="5"/>
  <c r="F29" i="5" s="1"/>
  <c r="C29" i="5"/>
  <c r="L28" i="5"/>
  <c r="N28" i="5" s="1"/>
  <c r="J28" i="5"/>
  <c r="D28" i="5"/>
  <c r="F28" i="5" s="1"/>
  <c r="C28" i="5"/>
  <c r="L27" i="5"/>
  <c r="J27" i="5"/>
  <c r="D27" i="5"/>
  <c r="F27" i="5" s="1"/>
  <c r="C27" i="5"/>
  <c r="L26" i="5"/>
  <c r="N26" i="5" s="1"/>
  <c r="J26" i="5"/>
  <c r="D26" i="5"/>
  <c r="F26" i="5" s="1"/>
  <c r="C26" i="5"/>
  <c r="L25" i="5"/>
  <c r="N25" i="5" s="1"/>
  <c r="J25" i="5"/>
  <c r="D25" i="5"/>
  <c r="F25" i="5" s="1"/>
  <c r="C25" i="5"/>
  <c r="L23" i="5"/>
  <c r="N23" i="5" s="1"/>
  <c r="J23" i="5"/>
  <c r="D23" i="5"/>
  <c r="F23" i="5" s="1"/>
  <c r="C23" i="5"/>
  <c r="L22" i="5"/>
  <c r="N22" i="5" s="1"/>
  <c r="J22" i="5"/>
  <c r="D22" i="5"/>
  <c r="F22" i="5" s="1"/>
  <c r="C22" i="5"/>
  <c r="L21" i="5"/>
  <c r="N21" i="5" s="1"/>
  <c r="J21" i="5"/>
  <c r="D21" i="5"/>
  <c r="F21" i="5" s="1"/>
  <c r="C21" i="5"/>
  <c r="L20" i="5"/>
  <c r="N20" i="5" s="1"/>
  <c r="J20" i="5"/>
  <c r="D20" i="5"/>
  <c r="F20" i="5" s="1"/>
  <c r="C20" i="5"/>
  <c r="L19" i="5"/>
  <c r="J19" i="5"/>
  <c r="D19" i="5"/>
  <c r="F19" i="5" s="1"/>
  <c r="C19" i="5"/>
  <c r="L18" i="5"/>
  <c r="N18" i="5" s="1"/>
  <c r="J18" i="5"/>
  <c r="D18" i="5"/>
  <c r="F18" i="5" s="1"/>
  <c r="C18" i="5"/>
  <c r="L17" i="5"/>
  <c r="N17" i="5" s="1"/>
  <c r="J17" i="5"/>
  <c r="D17" i="5"/>
  <c r="F17" i="5" s="1"/>
  <c r="C17" i="5"/>
  <c r="L16" i="5"/>
  <c r="N16" i="5" s="1"/>
  <c r="J16" i="5"/>
  <c r="D16" i="5"/>
  <c r="F16" i="5" s="1"/>
  <c r="C16" i="5"/>
  <c r="L15" i="5"/>
  <c r="N15" i="5" s="1"/>
  <c r="J15" i="5"/>
  <c r="D15" i="5"/>
  <c r="F15" i="5" s="1"/>
  <c r="C15" i="5"/>
  <c r="L14" i="5"/>
  <c r="N14" i="5" s="1"/>
  <c r="J14" i="5"/>
  <c r="D14" i="5"/>
  <c r="F14" i="5" s="1"/>
  <c r="C14" i="5"/>
  <c r="L13" i="5"/>
  <c r="N13" i="5" s="1"/>
  <c r="J13" i="5"/>
  <c r="D13" i="5"/>
  <c r="F13" i="5" s="1"/>
  <c r="C13" i="5"/>
  <c r="L12" i="5"/>
  <c r="N12" i="5" s="1"/>
  <c r="J12" i="5"/>
  <c r="D12" i="5"/>
  <c r="F12" i="5" s="1"/>
  <c r="C12" i="5"/>
  <c r="L11" i="5"/>
  <c r="J11" i="5"/>
  <c r="D11" i="5"/>
  <c r="F11" i="5" s="1"/>
  <c r="C11" i="5"/>
  <c r="L10" i="5"/>
  <c r="N10" i="5" s="1"/>
  <c r="J10" i="5"/>
  <c r="D10" i="5"/>
  <c r="F10" i="5" s="1"/>
  <c r="C10" i="5"/>
  <c r="L9" i="5"/>
  <c r="N9" i="5" s="1"/>
  <c r="J9" i="5"/>
  <c r="D9" i="5"/>
  <c r="F9" i="5" s="1"/>
  <c r="C9" i="5"/>
  <c r="L8" i="5"/>
  <c r="J8" i="5"/>
  <c r="D8" i="5"/>
  <c r="C8" i="5"/>
  <c r="H7" i="5"/>
  <c r="I24" i="5" s="1"/>
  <c r="O3" i="5"/>
  <c r="L3" i="5"/>
  <c r="K3" i="5"/>
  <c r="H3" i="5"/>
  <c r="G3" i="5"/>
  <c r="D3" i="5"/>
  <c r="Q2" i="5"/>
  <c r="P2" i="5"/>
  <c r="O2" i="5"/>
  <c r="L2" i="5"/>
  <c r="K2" i="5"/>
  <c r="H2" i="5"/>
  <c r="G2" i="5"/>
  <c r="D2" i="5"/>
  <c r="P157" i="4"/>
  <c r="J157" i="4"/>
  <c r="H157" i="4"/>
  <c r="D157" i="4"/>
  <c r="F157" i="4" s="1"/>
  <c r="C156" i="4"/>
  <c r="C155" i="4"/>
  <c r="C154" i="4"/>
  <c r="L153" i="4"/>
  <c r="D153" i="4"/>
  <c r="I227" i="13" s="1"/>
  <c r="C153" i="4"/>
  <c r="L152" i="4"/>
  <c r="D152" i="4"/>
  <c r="I226" i="13" s="1"/>
  <c r="C152" i="4"/>
  <c r="L151" i="4"/>
  <c r="D151" i="4"/>
  <c r="I225" i="13" s="1"/>
  <c r="C151" i="4"/>
  <c r="L150" i="4"/>
  <c r="I346" i="13" s="1"/>
  <c r="D150" i="4"/>
  <c r="C150" i="4"/>
  <c r="L149" i="4"/>
  <c r="D149" i="4"/>
  <c r="I223" i="13" s="1"/>
  <c r="C149" i="4"/>
  <c r="L148" i="4"/>
  <c r="N148" i="4" s="1"/>
  <c r="D148" i="4"/>
  <c r="I222" i="13" s="1"/>
  <c r="C148" i="4"/>
  <c r="L147" i="4"/>
  <c r="D147" i="4"/>
  <c r="C147" i="4"/>
  <c r="L146" i="4"/>
  <c r="I342" i="13" s="1"/>
  <c r="D146" i="4"/>
  <c r="C146" i="4"/>
  <c r="L145" i="4"/>
  <c r="D145" i="4"/>
  <c r="I219" i="13" s="1"/>
  <c r="C145" i="4"/>
  <c r="L144" i="4"/>
  <c r="D144" i="4"/>
  <c r="I218" i="13" s="1"/>
  <c r="C144" i="4"/>
  <c r="L143" i="4"/>
  <c r="D143" i="4"/>
  <c r="I217" i="13" s="1"/>
  <c r="C143" i="4"/>
  <c r="L142" i="4"/>
  <c r="I338" i="13" s="1"/>
  <c r="D142" i="4"/>
  <c r="C142" i="4"/>
  <c r="L141" i="4"/>
  <c r="D141" i="4"/>
  <c r="C141" i="4"/>
  <c r="L140" i="4"/>
  <c r="N140" i="4" s="1"/>
  <c r="D140" i="4"/>
  <c r="I214" i="13" s="1"/>
  <c r="C140" i="4"/>
  <c r="L139" i="4"/>
  <c r="D139" i="4"/>
  <c r="I213" i="13" s="1"/>
  <c r="C139" i="4"/>
  <c r="L138" i="4"/>
  <c r="I334" i="13" s="1"/>
  <c r="D138" i="4"/>
  <c r="C138" i="4"/>
  <c r="L137" i="4"/>
  <c r="D137" i="4"/>
  <c r="I211" i="13" s="1"/>
  <c r="C137" i="4"/>
  <c r="L136" i="4"/>
  <c r="N136" i="4" s="1"/>
  <c r="D136" i="4"/>
  <c r="I210" i="13" s="1"/>
  <c r="C136" i="4"/>
  <c r="L135" i="4"/>
  <c r="D135" i="4"/>
  <c r="I209" i="13" s="1"/>
  <c r="C135" i="4"/>
  <c r="L134" i="4"/>
  <c r="I330" i="13" s="1"/>
  <c r="D134" i="4"/>
  <c r="C134" i="4"/>
  <c r="L133" i="4"/>
  <c r="D133" i="4"/>
  <c r="I207" i="13" s="1"/>
  <c r="C133" i="4"/>
  <c r="L132" i="4"/>
  <c r="N132" i="4" s="1"/>
  <c r="D132" i="4"/>
  <c r="I206" i="13" s="1"/>
  <c r="C132" i="4"/>
  <c r="L131" i="4"/>
  <c r="D131" i="4"/>
  <c r="I205" i="13" s="1"/>
  <c r="C131" i="4"/>
  <c r="L130" i="4"/>
  <c r="I326" i="13" s="1"/>
  <c r="D130" i="4"/>
  <c r="C130" i="4"/>
  <c r="L129" i="4"/>
  <c r="D129" i="4"/>
  <c r="I203" i="13" s="1"/>
  <c r="C129" i="4"/>
  <c r="L128" i="4"/>
  <c r="D128" i="4"/>
  <c r="I202" i="13" s="1"/>
  <c r="C128" i="4"/>
  <c r="L127" i="4"/>
  <c r="D127" i="4"/>
  <c r="I201" i="13" s="1"/>
  <c r="C127" i="4"/>
  <c r="L126" i="4"/>
  <c r="I322" i="13" s="1"/>
  <c r="D126" i="4"/>
  <c r="C126" i="4"/>
  <c r="L125" i="4"/>
  <c r="D125" i="4"/>
  <c r="I199" i="13" s="1"/>
  <c r="C125" i="4"/>
  <c r="L124" i="4"/>
  <c r="D124" i="4"/>
  <c r="I198" i="13" s="1"/>
  <c r="C124" i="4"/>
  <c r="L123" i="4"/>
  <c r="D123" i="4"/>
  <c r="I197" i="13" s="1"/>
  <c r="C123" i="4"/>
  <c r="L122" i="4"/>
  <c r="I318" i="13" s="1"/>
  <c r="D122" i="4"/>
  <c r="C122" i="4"/>
  <c r="L121" i="4"/>
  <c r="D121" i="4"/>
  <c r="I195" i="13" s="1"/>
  <c r="C121" i="4"/>
  <c r="L120" i="4"/>
  <c r="N120" i="4" s="1"/>
  <c r="D120" i="4"/>
  <c r="I194" i="13" s="1"/>
  <c r="C120" i="4"/>
  <c r="L119" i="4"/>
  <c r="D119" i="4"/>
  <c r="I193" i="13" s="1"/>
  <c r="C119" i="4"/>
  <c r="L118" i="4"/>
  <c r="I314" i="13" s="1"/>
  <c r="D118" i="4"/>
  <c r="C118" i="4"/>
  <c r="L117" i="4"/>
  <c r="K22" i="13" s="1"/>
  <c r="D117" i="4"/>
  <c r="C117" i="4"/>
  <c r="P116" i="4"/>
  <c r="J116" i="4"/>
  <c r="K150" i="4" s="1"/>
  <c r="H116" i="4"/>
  <c r="I150" i="4" s="1"/>
  <c r="O114" i="4"/>
  <c r="L114" i="4"/>
  <c r="K114" i="4"/>
  <c r="H114" i="4"/>
  <c r="G114" i="4"/>
  <c r="D114" i="4"/>
  <c r="Q113" i="4"/>
  <c r="P113" i="4"/>
  <c r="O113" i="4"/>
  <c r="L113" i="4"/>
  <c r="H113" i="4"/>
  <c r="D113" i="4"/>
  <c r="D111" i="4"/>
  <c r="C110" i="4"/>
  <c r="C109" i="4"/>
  <c r="C108" i="4"/>
  <c r="C107" i="4"/>
  <c r="C106" i="4"/>
  <c r="N105" i="4"/>
  <c r="D105" i="4"/>
  <c r="C105" i="4"/>
  <c r="N104" i="4"/>
  <c r="D104" i="4"/>
  <c r="I178" i="13" s="1"/>
  <c r="C104" i="4"/>
  <c r="N103" i="4"/>
  <c r="D103" i="4"/>
  <c r="I177" i="13" s="1"/>
  <c r="C103" i="4"/>
  <c r="N102" i="4"/>
  <c r="D102" i="4"/>
  <c r="C102" i="4"/>
  <c r="N101" i="4"/>
  <c r="D101" i="4"/>
  <c r="I175" i="13" s="1"/>
  <c r="C101" i="4"/>
  <c r="N100" i="4"/>
  <c r="D100" i="4"/>
  <c r="I174" i="13" s="1"/>
  <c r="C100" i="4"/>
  <c r="N99" i="4"/>
  <c r="D99" i="4"/>
  <c r="C99" i="4"/>
  <c r="N98" i="4"/>
  <c r="D98" i="4"/>
  <c r="I172" i="13" s="1"/>
  <c r="C98" i="4"/>
  <c r="N97" i="4"/>
  <c r="D97" i="4"/>
  <c r="I171" i="13" s="1"/>
  <c r="C97" i="4"/>
  <c r="N96" i="4"/>
  <c r="D96" i="4"/>
  <c r="C96" i="4"/>
  <c r="N95" i="4"/>
  <c r="D95" i="4"/>
  <c r="I169" i="13" s="1"/>
  <c r="C95" i="4"/>
  <c r="N94" i="4"/>
  <c r="D94" i="4"/>
  <c r="C94" i="4"/>
  <c r="N93" i="4"/>
  <c r="D93" i="4"/>
  <c r="I167" i="13" s="1"/>
  <c r="C93" i="4"/>
  <c r="N92" i="4"/>
  <c r="D92" i="4"/>
  <c r="F92" i="4" s="1"/>
  <c r="C92" i="4"/>
  <c r="N91" i="4"/>
  <c r="D91" i="4"/>
  <c r="I165" i="13" s="1"/>
  <c r="C91" i="4"/>
  <c r="N90" i="4"/>
  <c r="D90" i="4"/>
  <c r="F90" i="4" s="1"/>
  <c r="C90" i="4"/>
  <c r="N89" i="4"/>
  <c r="D89" i="4"/>
  <c r="C89" i="4"/>
  <c r="N88" i="4"/>
  <c r="D88" i="4"/>
  <c r="I162" i="13" s="1"/>
  <c r="C88" i="4"/>
  <c r="N87" i="4"/>
  <c r="D87" i="4"/>
  <c r="I161" i="13" s="1"/>
  <c r="C87" i="4"/>
  <c r="N53" i="4"/>
  <c r="D53" i="4"/>
  <c r="C53" i="4"/>
  <c r="N52" i="4"/>
  <c r="D52" i="4"/>
  <c r="I126" i="13" s="1"/>
  <c r="C52" i="4"/>
  <c r="N86" i="4"/>
  <c r="D86" i="4"/>
  <c r="I160" i="13" s="1"/>
  <c r="C86" i="4"/>
  <c r="N85" i="4"/>
  <c r="D85" i="4"/>
  <c r="C85" i="4"/>
  <c r="N48" i="4"/>
  <c r="D48" i="4"/>
  <c r="F48" i="4" s="1"/>
  <c r="C48" i="4"/>
  <c r="L47" i="4"/>
  <c r="I22" i="13" s="1"/>
  <c r="D47" i="4"/>
  <c r="C47" i="4"/>
  <c r="O82" i="4"/>
  <c r="L82" i="4"/>
  <c r="K82" i="4"/>
  <c r="H82" i="4"/>
  <c r="G82" i="4"/>
  <c r="D82" i="4"/>
  <c r="Q81" i="4"/>
  <c r="P81" i="4"/>
  <c r="O81" i="4"/>
  <c r="L81" i="4"/>
  <c r="H81" i="4"/>
  <c r="D81" i="4"/>
  <c r="P78" i="4"/>
  <c r="H78" i="4"/>
  <c r="D78" i="4"/>
  <c r="F78" i="4" s="1"/>
  <c r="L77" i="4"/>
  <c r="J77" i="4"/>
  <c r="D77" i="4"/>
  <c r="F77" i="4" s="1"/>
  <c r="C77" i="4"/>
  <c r="L76" i="4"/>
  <c r="I269" i="13" s="1"/>
  <c r="J76" i="4"/>
  <c r="D76" i="4"/>
  <c r="C76" i="4"/>
  <c r="L75" i="4"/>
  <c r="J75" i="4"/>
  <c r="D75" i="4"/>
  <c r="C75" i="4"/>
  <c r="L74" i="4"/>
  <c r="I267" i="13" s="1"/>
  <c r="J74" i="4"/>
  <c r="F74" i="4"/>
  <c r="C74" i="4"/>
  <c r="L73" i="4"/>
  <c r="J73" i="4"/>
  <c r="D73" i="4"/>
  <c r="C73" i="4"/>
  <c r="L72" i="4"/>
  <c r="J72" i="4"/>
  <c r="D72" i="4"/>
  <c r="F72" i="4" s="1"/>
  <c r="C72" i="4"/>
  <c r="L71" i="4"/>
  <c r="J71" i="4"/>
  <c r="D71" i="4"/>
  <c r="C71" i="4"/>
  <c r="L70" i="4"/>
  <c r="J70" i="4"/>
  <c r="D70" i="4"/>
  <c r="C70" i="4"/>
  <c r="L69" i="4"/>
  <c r="I262" i="13" s="1"/>
  <c r="J69" i="4"/>
  <c r="D69" i="4"/>
  <c r="C69" i="4"/>
  <c r="L68" i="4"/>
  <c r="J68" i="4"/>
  <c r="D68" i="4"/>
  <c r="C68" i="4"/>
  <c r="L67" i="4"/>
  <c r="J67" i="4"/>
  <c r="D67" i="4"/>
  <c r="C67" i="4"/>
  <c r="L66" i="4"/>
  <c r="J66" i="4"/>
  <c r="D66" i="4"/>
  <c r="I140" i="13" s="1"/>
  <c r="C66" i="4"/>
  <c r="L65" i="4"/>
  <c r="J65" i="4"/>
  <c r="D65" i="4"/>
  <c r="F65" i="4" s="1"/>
  <c r="C65" i="4"/>
  <c r="L64" i="4"/>
  <c r="J64" i="4"/>
  <c r="D64" i="4"/>
  <c r="I138" i="13" s="1"/>
  <c r="C64" i="4"/>
  <c r="L63" i="4"/>
  <c r="I256" i="13" s="1"/>
  <c r="J63" i="4"/>
  <c r="D63" i="4"/>
  <c r="I137" i="13" s="1"/>
  <c r="C63" i="4"/>
  <c r="L62" i="4"/>
  <c r="J62" i="4"/>
  <c r="D62" i="4"/>
  <c r="C62" i="4"/>
  <c r="L61" i="4"/>
  <c r="J61" i="4"/>
  <c r="D61" i="4"/>
  <c r="I135" i="13" s="1"/>
  <c r="C61" i="4"/>
  <c r="L60" i="4"/>
  <c r="D60" i="4"/>
  <c r="C60" i="4"/>
  <c r="L59" i="4"/>
  <c r="I252" i="13" s="1"/>
  <c r="J59" i="4"/>
  <c r="D59" i="4"/>
  <c r="C59" i="4"/>
  <c r="L58" i="4"/>
  <c r="J58" i="4"/>
  <c r="D58" i="4"/>
  <c r="C58" i="4"/>
  <c r="L57" i="4"/>
  <c r="I250" i="13" s="1"/>
  <c r="J57" i="4"/>
  <c r="D57" i="4"/>
  <c r="C57" i="4"/>
  <c r="L56" i="4"/>
  <c r="J56" i="4"/>
  <c r="D56" i="4"/>
  <c r="I130" i="13" s="1"/>
  <c r="C56" i="4"/>
  <c r="L55" i="4"/>
  <c r="J55" i="4"/>
  <c r="D55" i="4"/>
  <c r="C55" i="4"/>
  <c r="L54" i="4"/>
  <c r="J54" i="4"/>
  <c r="D54" i="4"/>
  <c r="I128" i="13" s="1"/>
  <c r="C54" i="4"/>
  <c r="L51" i="4"/>
  <c r="I246" i="13" s="1"/>
  <c r="J51" i="4"/>
  <c r="D51" i="4"/>
  <c r="I125" i="13" s="1"/>
  <c r="C51" i="4"/>
  <c r="L50" i="4"/>
  <c r="J50" i="4"/>
  <c r="D50" i="4"/>
  <c r="C50" i="4"/>
  <c r="L49" i="4"/>
  <c r="I244" i="13" s="1"/>
  <c r="J49" i="4"/>
  <c r="D49" i="4"/>
  <c r="C49" i="4"/>
  <c r="L46" i="4"/>
  <c r="I243" i="13" s="1"/>
  <c r="J46" i="4"/>
  <c r="D46" i="4"/>
  <c r="C46" i="4"/>
  <c r="L45" i="4"/>
  <c r="J45" i="4"/>
  <c r="D45" i="4"/>
  <c r="F45" i="4" s="1"/>
  <c r="C45" i="4"/>
  <c r="L44" i="4"/>
  <c r="E22" i="13" s="1"/>
  <c r="J44" i="4"/>
  <c r="D44" i="4"/>
  <c r="E6" i="13" s="1"/>
  <c r="C44" i="4"/>
  <c r="P43" i="4"/>
  <c r="P79" i="4" s="1"/>
  <c r="H43" i="4"/>
  <c r="I73" i="4" s="1"/>
  <c r="O41" i="4"/>
  <c r="L41" i="4"/>
  <c r="K41" i="4"/>
  <c r="H41" i="4"/>
  <c r="G41" i="4"/>
  <c r="D41" i="4"/>
  <c r="Q40" i="4"/>
  <c r="P40" i="4"/>
  <c r="O40" i="4"/>
  <c r="L40" i="4"/>
  <c r="H40" i="4"/>
  <c r="D40" i="4"/>
  <c r="H38" i="4"/>
  <c r="F38" i="4"/>
  <c r="D38" i="4"/>
  <c r="L37" i="4"/>
  <c r="N37" i="4" s="1"/>
  <c r="J37" i="4"/>
  <c r="D37" i="4"/>
  <c r="F37" i="4" s="1"/>
  <c r="C37" i="4"/>
  <c r="L36" i="4"/>
  <c r="N36" i="4" s="1"/>
  <c r="J36" i="4"/>
  <c r="D36" i="4"/>
  <c r="F36" i="4" s="1"/>
  <c r="C36" i="4"/>
  <c r="L35" i="4"/>
  <c r="N35" i="4" s="1"/>
  <c r="J35" i="4"/>
  <c r="D35" i="4"/>
  <c r="C35" i="4"/>
  <c r="L34" i="4"/>
  <c r="N34" i="4" s="1"/>
  <c r="J34" i="4"/>
  <c r="D34" i="4"/>
  <c r="F34" i="4" s="1"/>
  <c r="C34" i="4"/>
  <c r="L33" i="4"/>
  <c r="N33" i="4" s="1"/>
  <c r="J33" i="4"/>
  <c r="D33" i="4"/>
  <c r="F33" i="4" s="1"/>
  <c r="C33" i="4"/>
  <c r="L32" i="4"/>
  <c r="N32" i="4" s="1"/>
  <c r="J32" i="4"/>
  <c r="D32" i="4"/>
  <c r="F32" i="4" s="1"/>
  <c r="C32" i="4"/>
  <c r="L31" i="4"/>
  <c r="N31" i="4" s="1"/>
  <c r="J31" i="4"/>
  <c r="D31" i="4"/>
  <c r="F31" i="4" s="1"/>
  <c r="C31" i="4"/>
  <c r="L30" i="4"/>
  <c r="N30" i="4" s="1"/>
  <c r="J30" i="4"/>
  <c r="D30" i="4"/>
  <c r="C30" i="4"/>
  <c r="L29" i="4"/>
  <c r="N29" i="4" s="1"/>
  <c r="J29" i="4"/>
  <c r="D29" i="4"/>
  <c r="F29" i="4" s="1"/>
  <c r="C29" i="4"/>
  <c r="L28" i="4"/>
  <c r="N28" i="4" s="1"/>
  <c r="J28" i="4"/>
  <c r="D28" i="4"/>
  <c r="F28" i="4" s="1"/>
  <c r="C28" i="4"/>
  <c r="L27" i="4"/>
  <c r="N27" i="4" s="1"/>
  <c r="J27" i="4"/>
  <c r="D27" i="4"/>
  <c r="F27" i="4" s="1"/>
  <c r="C27" i="4"/>
  <c r="L26" i="4"/>
  <c r="N26" i="4" s="1"/>
  <c r="J26" i="4"/>
  <c r="D26" i="4"/>
  <c r="F26" i="4" s="1"/>
  <c r="C26" i="4"/>
  <c r="L25" i="4"/>
  <c r="N25" i="4" s="1"/>
  <c r="J25" i="4"/>
  <c r="D25" i="4"/>
  <c r="F25" i="4" s="1"/>
  <c r="C25" i="4"/>
  <c r="L23" i="4"/>
  <c r="N23" i="4" s="1"/>
  <c r="J23" i="4"/>
  <c r="D23" i="4"/>
  <c r="F23" i="4" s="1"/>
  <c r="C23" i="4"/>
  <c r="L22" i="4"/>
  <c r="N22" i="4" s="1"/>
  <c r="J22" i="4"/>
  <c r="D22" i="4"/>
  <c r="F22" i="4" s="1"/>
  <c r="C22" i="4"/>
  <c r="L21" i="4"/>
  <c r="N21" i="4" s="1"/>
  <c r="J21" i="4"/>
  <c r="D21" i="4"/>
  <c r="F21" i="4" s="1"/>
  <c r="C21" i="4"/>
  <c r="L20" i="4"/>
  <c r="N20" i="4" s="1"/>
  <c r="J20" i="4"/>
  <c r="D20" i="4"/>
  <c r="F20" i="4" s="1"/>
  <c r="C20" i="4"/>
  <c r="L19" i="4"/>
  <c r="N19" i="4" s="1"/>
  <c r="J19" i="4"/>
  <c r="D19" i="4"/>
  <c r="F19" i="4" s="1"/>
  <c r="C19" i="4"/>
  <c r="L18" i="4"/>
  <c r="N18" i="4" s="1"/>
  <c r="J18" i="4"/>
  <c r="D18" i="4"/>
  <c r="F18" i="4" s="1"/>
  <c r="C18" i="4"/>
  <c r="L17" i="4"/>
  <c r="N17" i="4" s="1"/>
  <c r="J17" i="4"/>
  <c r="D17" i="4"/>
  <c r="F17" i="4" s="1"/>
  <c r="C17" i="4"/>
  <c r="L16" i="4"/>
  <c r="N16" i="4" s="1"/>
  <c r="J16" i="4"/>
  <c r="D16" i="4"/>
  <c r="F16" i="4" s="1"/>
  <c r="C16" i="4"/>
  <c r="L15" i="4"/>
  <c r="N15" i="4" s="1"/>
  <c r="J15" i="4"/>
  <c r="D15" i="4"/>
  <c r="F15" i="4" s="1"/>
  <c r="C15" i="4"/>
  <c r="L14" i="4"/>
  <c r="N14" i="4" s="1"/>
  <c r="J14" i="4"/>
  <c r="D14" i="4"/>
  <c r="C14" i="4"/>
  <c r="L13" i="4"/>
  <c r="N13" i="4" s="1"/>
  <c r="J13" i="4"/>
  <c r="D13" i="4"/>
  <c r="F13" i="4" s="1"/>
  <c r="C13" i="4"/>
  <c r="L12" i="4"/>
  <c r="N12" i="4" s="1"/>
  <c r="J12" i="4"/>
  <c r="D12" i="4"/>
  <c r="F12" i="4" s="1"/>
  <c r="C12" i="4"/>
  <c r="L11" i="4"/>
  <c r="N11" i="4" s="1"/>
  <c r="J11" i="4"/>
  <c r="D11" i="4"/>
  <c r="F11" i="4" s="1"/>
  <c r="C11" i="4"/>
  <c r="L10" i="4"/>
  <c r="N10" i="4" s="1"/>
  <c r="J10" i="4"/>
  <c r="D10" i="4"/>
  <c r="F10" i="4" s="1"/>
  <c r="C10" i="4"/>
  <c r="L9" i="4"/>
  <c r="N9" i="4" s="1"/>
  <c r="J9" i="4"/>
  <c r="D9" i="4"/>
  <c r="C9" i="4"/>
  <c r="L8" i="4"/>
  <c r="N8" i="4" s="1"/>
  <c r="J8" i="4"/>
  <c r="D8" i="4"/>
  <c r="F8" i="4" s="1"/>
  <c r="C8" i="4"/>
  <c r="H7" i="4"/>
  <c r="I24" i="4" s="1"/>
  <c r="O3" i="4"/>
  <c r="L3" i="4"/>
  <c r="K3" i="4"/>
  <c r="H3" i="4"/>
  <c r="G3" i="4"/>
  <c r="D3" i="4"/>
  <c r="Q2" i="4"/>
  <c r="P2" i="4"/>
  <c r="O2" i="4"/>
  <c r="L2" i="4"/>
  <c r="K2" i="4"/>
  <c r="H2" i="4"/>
  <c r="G2" i="4"/>
  <c r="D2" i="4"/>
  <c r="P157" i="3"/>
  <c r="J157" i="3"/>
  <c r="H157" i="3"/>
  <c r="F157" i="3"/>
  <c r="D157" i="3"/>
  <c r="C156" i="3"/>
  <c r="C155" i="3"/>
  <c r="C154" i="3"/>
  <c r="L153" i="3"/>
  <c r="D153" i="3"/>
  <c r="G227" i="13" s="1"/>
  <c r="C153" i="3"/>
  <c r="L152" i="3"/>
  <c r="G348" i="13" s="1"/>
  <c r="D152" i="3"/>
  <c r="G226" i="13" s="1"/>
  <c r="C152" i="3"/>
  <c r="L151" i="3"/>
  <c r="G347" i="13" s="1"/>
  <c r="D151" i="3"/>
  <c r="C151" i="3"/>
  <c r="L150" i="3"/>
  <c r="G346" i="13" s="1"/>
  <c r="D150" i="3"/>
  <c r="C150" i="3"/>
  <c r="L149" i="3"/>
  <c r="N149" i="3" s="1"/>
  <c r="D149" i="3"/>
  <c r="G223" i="13" s="1"/>
  <c r="C149" i="3"/>
  <c r="L148" i="3"/>
  <c r="G344" i="13" s="1"/>
  <c r="D148" i="3"/>
  <c r="G222" i="13" s="1"/>
  <c r="C148" i="3"/>
  <c r="L147" i="3"/>
  <c r="G343" i="13" s="1"/>
  <c r="D147" i="3"/>
  <c r="C147" i="3"/>
  <c r="L146" i="3"/>
  <c r="G342" i="13" s="1"/>
  <c r="D146" i="3"/>
  <c r="C146" i="3"/>
  <c r="L145" i="3"/>
  <c r="N145" i="3" s="1"/>
  <c r="D145" i="3"/>
  <c r="G219" i="13" s="1"/>
  <c r="C145" i="3"/>
  <c r="L144" i="3"/>
  <c r="G340" i="13" s="1"/>
  <c r="D144" i="3"/>
  <c r="G218" i="13" s="1"/>
  <c r="C144" i="3"/>
  <c r="L143" i="3"/>
  <c r="G339" i="13" s="1"/>
  <c r="D143" i="3"/>
  <c r="C143" i="3"/>
  <c r="L142" i="3"/>
  <c r="G338" i="13" s="1"/>
  <c r="D142" i="3"/>
  <c r="C142" i="3"/>
  <c r="L141" i="3"/>
  <c r="N141" i="3" s="1"/>
  <c r="D141" i="3"/>
  <c r="G215" i="13" s="1"/>
  <c r="C141" i="3"/>
  <c r="L140" i="3"/>
  <c r="G336" i="13" s="1"/>
  <c r="D140" i="3"/>
  <c r="G214" i="13" s="1"/>
  <c r="C140" i="3"/>
  <c r="L139" i="3"/>
  <c r="G335" i="13" s="1"/>
  <c r="D139" i="3"/>
  <c r="C139" i="3"/>
  <c r="L138" i="3"/>
  <c r="G334" i="13" s="1"/>
  <c r="D138" i="3"/>
  <c r="C138" i="3"/>
  <c r="L137" i="3"/>
  <c r="G333" i="13" s="1"/>
  <c r="D137" i="3"/>
  <c r="G211" i="13" s="1"/>
  <c r="C137" i="3"/>
  <c r="L136" i="3"/>
  <c r="G332" i="13" s="1"/>
  <c r="D136" i="3"/>
  <c r="G210" i="13" s="1"/>
  <c r="C136" i="3"/>
  <c r="L135" i="3"/>
  <c r="G331" i="13" s="1"/>
  <c r="D135" i="3"/>
  <c r="C135" i="3"/>
  <c r="L134" i="3"/>
  <c r="D134" i="3"/>
  <c r="C134" i="3"/>
  <c r="L133" i="3"/>
  <c r="G329" i="13" s="1"/>
  <c r="D133" i="3"/>
  <c r="G207" i="13" s="1"/>
  <c r="C133" i="3"/>
  <c r="L132" i="3"/>
  <c r="G328" i="13" s="1"/>
  <c r="D132" i="3"/>
  <c r="G206" i="13" s="1"/>
  <c r="C132" i="3"/>
  <c r="L131" i="3"/>
  <c r="G327" i="13" s="1"/>
  <c r="D131" i="3"/>
  <c r="C131" i="3"/>
  <c r="L130" i="3"/>
  <c r="G326" i="13" s="1"/>
  <c r="D130" i="3"/>
  <c r="C130" i="3"/>
  <c r="L129" i="3"/>
  <c r="G325" i="13" s="1"/>
  <c r="D129" i="3"/>
  <c r="G203" i="13" s="1"/>
  <c r="C129" i="3"/>
  <c r="L128" i="3"/>
  <c r="G324" i="13" s="1"/>
  <c r="D128" i="3"/>
  <c r="G202" i="13" s="1"/>
  <c r="C128" i="3"/>
  <c r="L127" i="3"/>
  <c r="G323" i="13" s="1"/>
  <c r="D127" i="3"/>
  <c r="C127" i="3"/>
  <c r="L126" i="3"/>
  <c r="D126" i="3"/>
  <c r="C126" i="3"/>
  <c r="L125" i="3"/>
  <c r="G321" i="13" s="1"/>
  <c r="D125" i="3"/>
  <c r="G199" i="13" s="1"/>
  <c r="C125" i="3"/>
  <c r="L124" i="3"/>
  <c r="G320" i="13" s="1"/>
  <c r="D124" i="3"/>
  <c r="G198" i="13" s="1"/>
  <c r="C124" i="3"/>
  <c r="L123" i="3"/>
  <c r="D123" i="3"/>
  <c r="C123" i="3"/>
  <c r="L122" i="3"/>
  <c r="G318" i="13" s="1"/>
  <c r="D122" i="3"/>
  <c r="C122" i="3"/>
  <c r="L121" i="3"/>
  <c r="G317" i="13" s="1"/>
  <c r="D121" i="3"/>
  <c r="G195" i="13" s="1"/>
  <c r="C121" i="3"/>
  <c r="L120" i="3"/>
  <c r="G316" i="13" s="1"/>
  <c r="D120" i="3"/>
  <c r="G194" i="13" s="1"/>
  <c r="C120" i="3"/>
  <c r="L119" i="3"/>
  <c r="G315" i="13" s="1"/>
  <c r="D119" i="3"/>
  <c r="C119" i="3"/>
  <c r="L118" i="3"/>
  <c r="G314" i="13" s="1"/>
  <c r="D118" i="3"/>
  <c r="C118" i="3"/>
  <c r="L117" i="3"/>
  <c r="D117" i="3"/>
  <c r="C117" i="3"/>
  <c r="P116" i="3"/>
  <c r="J116" i="3"/>
  <c r="K150" i="3" s="1"/>
  <c r="H116" i="3"/>
  <c r="I152" i="3" s="1"/>
  <c r="O114" i="3"/>
  <c r="L114" i="3"/>
  <c r="K114" i="3"/>
  <c r="H114" i="3"/>
  <c r="G114" i="3"/>
  <c r="D114" i="3"/>
  <c r="Q113" i="3"/>
  <c r="P113" i="3"/>
  <c r="O113" i="3"/>
  <c r="L113" i="3"/>
  <c r="H113" i="3"/>
  <c r="D113" i="3"/>
  <c r="F111" i="3"/>
  <c r="D111" i="3"/>
  <c r="C110" i="3"/>
  <c r="C109" i="3"/>
  <c r="C108" i="3"/>
  <c r="C107" i="3"/>
  <c r="C106" i="3"/>
  <c r="L105" i="3"/>
  <c r="F105" i="3"/>
  <c r="D105" i="3"/>
  <c r="C105" i="3"/>
  <c r="L104" i="3"/>
  <c r="F104" i="3"/>
  <c r="D104" i="3"/>
  <c r="C104" i="3"/>
  <c r="L103" i="3"/>
  <c r="F103" i="3"/>
  <c r="D103" i="3"/>
  <c r="C103" i="3"/>
  <c r="L102" i="3"/>
  <c r="F102" i="3"/>
  <c r="D102" i="3"/>
  <c r="C102" i="3"/>
  <c r="L101" i="3"/>
  <c r="F101" i="3"/>
  <c r="D101" i="3"/>
  <c r="C101" i="3"/>
  <c r="L100" i="3"/>
  <c r="F100" i="3"/>
  <c r="D100" i="3"/>
  <c r="C100" i="3"/>
  <c r="L99" i="3"/>
  <c r="F99" i="3"/>
  <c r="D99" i="3"/>
  <c r="C99" i="3"/>
  <c r="L98" i="3"/>
  <c r="F98" i="3"/>
  <c r="D98" i="3"/>
  <c r="C98" i="3"/>
  <c r="L97" i="3"/>
  <c r="F97" i="3"/>
  <c r="D97" i="3"/>
  <c r="C97" i="3"/>
  <c r="L96" i="3"/>
  <c r="F96" i="3"/>
  <c r="D96" i="3"/>
  <c r="G170" i="13" s="1"/>
  <c r="C96" i="3"/>
  <c r="L95" i="3"/>
  <c r="F95" i="3"/>
  <c r="D95" i="3"/>
  <c r="C95" i="3"/>
  <c r="L94" i="3"/>
  <c r="G290" i="13" s="1"/>
  <c r="F94" i="3"/>
  <c r="D94" i="3"/>
  <c r="G168" i="13" s="1"/>
  <c r="C94" i="3"/>
  <c r="L93" i="3"/>
  <c r="F93" i="3"/>
  <c r="D93" i="3"/>
  <c r="C93" i="3"/>
  <c r="L92" i="3"/>
  <c r="F92" i="3"/>
  <c r="D92" i="3"/>
  <c r="C92" i="3"/>
  <c r="L91" i="3"/>
  <c r="F91" i="3"/>
  <c r="D91" i="3"/>
  <c r="C91" i="3"/>
  <c r="L90" i="3"/>
  <c r="G286" i="13" s="1"/>
  <c r="F90" i="3"/>
  <c r="D90" i="3"/>
  <c r="C90" i="3"/>
  <c r="L89" i="3"/>
  <c r="F89" i="3"/>
  <c r="D89" i="3"/>
  <c r="C89" i="3"/>
  <c r="L88" i="3"/>
  <c r="F88" i="3"/>
  <c r="D88" i="3"/>
  <c r="C88" i="3"/>
  <c r="L87" i="3"/>
  <c r="F87" i="3"/>
  <c r="D87" i="3"/>
  <c r="C87" i="3"/>
  <c r="L53" i="3"/>
  <c r="F53" i="3"/>
  <c r="D53" i="3"/>
  <c r="C53" i="3"/>
  <c r="L52" i="3"/>
  <c r="F52" i="3"/>
  <c r="D52" i="3"/>
  <c r="C52" i="3"/>
  <c r="L86" i="3"/>
  <c r="F86" i="3"/>
  <c r="D86" i="3"/>
  <c r="C86" i="3"/>
  <c r="L85" i="3"/>
  <c r="F85" i="3"/>
  <c r="D85" i="3"/>
  <c r="C85" i="3"/>
  <c r="L48" i="3"/>
  <c r="F48" i="3"/>
  <c r="D48" i="3"/>
  <c r="C48" i="3"/>
  <c r="L47" i="3"/>
  <c r="I21" i="13" s="1"/>
  <c r="F47" i="3"/>
  <c r="J5" i="13" s="1"/>
  <c r="D47" i="3"/>
  <c r="I5" i="13" s="1"/>
  <c r="C47" i="3"/>
  <c r="O82" i="3"/>
  <c r="L82" i="3"/>
  <c r="K82" i="3"/>
  <c r="H82" i="3"/>
  <c r="G82" i="3"/>
  <c r="D82" i="3"/>
  <c r="Q81" i="3"/>
  <c r="P81" i="3"/>
  <c r="O81" i="3"/>
  <c r="L81" i="3"/>
  <c r="H81" i="3"/>
  <c r="D81" i="3"/>
  <c r="I80" i="3"/>
  <c r="H78" i="3"/>
  <c r="F78" i="3"/>
  <c r="D78" i="3"/>
  <c r="L77" i="3"/>
  <c r="G270" i="13" s="1"/>
  <c r="J77" i="3"/>
  <c r="F77" i="3"/>
  <c r="D77" i="3"/>
  <c r="G151" i="13" s="1"/>
  <c r="C77" i="3"/>
  <c r="L76" i="3"/>
  <c r="G269" i="13" s="1"/>
  <c r="J76" i="3"/>
  <c r="F76" i="3"/>
  <c r="D76" i="3"/>
  <c r="G150" i="13" s="1"/>
  <c r="C76" i="3"/>
  <c r="L75" i="3"/>
  <c r="J75" i="3"/>
  <c r="F75" i="3"/>
  <c r="D75" i="3"/>
  <c r="C75" i="3"/>
  <c r="L74" i="3"/>
  <c r="J74" i="3"/>
  <c r="F74" i="3"/>
  <c r="C74" i="3"/>
  <c r="L73" i="3"/>
  <c r="J73" i="3"/>
  <c r="F73" i="3"/>
  <c r="D73" i="3"/>
  <c r="C73" i="3"/>
  <c r="L72" i="3"/>
  <c r="J72" i="3"/>
  <c r="F72" i="3"/>
  <c r="D72" i="3"/>
  <c r="C72" i="3"/>
  <c r="L71" i="3"/>
  <c r="G264" i="13" s="1"/>
  <c r="J71" i="3"/>
  <c r="F71" i="3"/>
  <c r="D71" i="3"/>
  <c r="G145" i="13" s="1"/>
  <c r="C71" i="3"/>
  <c r="L70" i="3"/>
  <c r="J70" i="3"/>
  <c r="F70" i="3"/>
  <c r="D70" i="3"/>
  <c r="C70" i="3"/>
  <c r="L69" i="3"/>
  <c r="J69" i="3"/>
  <c r="F69" i="3"/>
  <c r="D69" i="3"/>
  <c r="G143" i="13" s="1"/>
  <c r="C69" i="3"/>
  <c r="L68" i="3"/>
  <c r="G261" i="13" s="1"/>
  <c r="J68" i="3"/>
  <c r="F68" i="3"/>
  <c r="D68" i="3"/>
  <c r="G142" i="13" s="1"/>
  <c r="C68" i="3"/>
  <c r="L67" i="3"/>
  <c r="J67" i="3"/>
  <c r="F67" i="3"/>
  <c r="D67" i="3"/>
  <c r="G141" i="13" s="1"/>
  <c r="C67" i="3"/>
  <c r="L66" i="3"/>
  <c r="G259" i="13" s="1"/>
  <c r="J66" i="3"/>
  <c r="F66" i="3"/>
  <c r="D66" i="3"/>
  <c r="G140" i="13" s="1"/>
  <c r="C66" i="3"/>
  <c r="L65" i="3"/>
  <c r="J65" i="3"/>
  <c r="F65" i="3"/>
  <c r="D65" i="3"/>
  <c r="C65" i="3"/>
  <c r="L64" i="3"/>
  <c r="G257" i="13" s="1"/>
  <c r="J64" i="3"/>
  <c r="F64" i="3"/>
  <c r="D64" i="3"/>
  <c r="G138" i="13" s="1"/>
  <c r="C64" i="3"/>
  <c r="L63" i="3"/>
  <c r="G256" i="13" s="1"/>
  <c r="J63" i="3"/>
  <c r="F63" i="3"/>
  <c r="D63" i="3"/>
  <c r="C63" i="3"/>
  <c r="L62" i="3"/>
  <c r="J62" i="3"/>
  <c r="F62" i="3"/>
  <c r="D62" i="3"/>
  <c r="G136" i="13" s="1"/>
  <c r="C62" i="3"/>
  <c r="L61" i="3"/>
  <c r="G254" i="13" s="1"/>
  <c r="J61" i="3"/>
  <c r="F61" i="3"/>
  <c r="D61" i="3"/>
  <c r="G135" i="13" s="1"/>
  <c r="C61" i="3"/>
  <c r="L60" i="3"/>
  <c r="J60" i="3"/>
  <c r="F60" i="3"/>
  <c r="D60" i="3"/>
  <c r="C60" i="3"/>
  <c r="L59" i="3"/>
  <c r="F59" i="3"/>
  <c r="D59" i="3"/>
  <c r="C59" i="3"/>
  <c r="L58" i="3"/>
  <c r="J58" i="3"/>
  <c r="F58" i="3"/>
  <c r="D58" i="3"/>
  <c r="G132" i="13" s="1"/>
  <c r="C58" i="3"/>
  <c r="L57" i="3"/>
  <c r="G250" i="13" s="1"/>
  <c r="J57" i="3"/>
  <c r="F57" i="3"/>
  <c r="D57" i="3"/>
  <c r="G131" i="13" s="1"/>
  <c r="C57" i="3"/>
  <c r="L56" i="3"/>
  <c r="J56" i="3"/>
  <c r="F56" i="3"/>
  <c r="D56" i="3"/>
  <c r="G130" i="13" s="1"/>
  <c r="C56" i="3"/>
  <c r="L55" i="3"/>
  <c r="J55" i="3"/>
  <c r="F55" i="3"/>
  <c r="D55" i="3"/>
  <c r="G129" i="13" s="1"/>
  <c r="C55" i="3"/>
  <c r="G247" i="13"/>
  <c r="G128" i="13"/>
  <c r="L51" i="3"/>
  <c r="J51" i="3"/>
  <c r="F51" i="3"/>
  <c r="D51" i="3"/>
  <c r="C51" i="3"/>
  <c r="L50" i="3"/>
  <c r="G245" i="13" s="1"/>
  <c r="J50" i="3"/>
  <c r="F50" i="3"/>
  <c r="D50" i="3"/>
  <c r="C50" i="3"/>
  <c r="L49" i="3"/>
  <c r="G244" i="13" s="1"/>
  <c r="J49" i="3"/>
  <c r="F49" i="3"/>
  <c r="D49" i="3"/>
  <c r="C49" i="3"/>
  <c r="L46" i="3"/>
  <c r="J46" i="3"/>
  <c r="F46" i="3"/>
  <c r="D46" i="3"/>
  <c r="C46" i="3"/>
  <c r="L45" i="3"/>
  <c r="J45" i="3"/>
  <c r="F45" i="3"/>
  <c r="D45" i="3"/>
  <c r="G119" i="13" s="1"/>
  <c r="C45" i="3"/>
  <c r="L44" i="3"/>
  <c r="J44" i="3"/>
  <c r="F44" i="3"/>
  <c r="D44" i="3"/>
  <c r="E5" i="13" s="1"/>
  <c r="C44" i="3"/>
  <c r="H43" i="3"/>
  <c r="O41" i="3"/>
  <c r="L41" i="3"/>
  <c r="K41" i="3"/>
  <c r="H41" i="3"/>
  <c r="G41" i="3"/>
  <c r="D41" i="3"/>
  <c r="Q40" i="3"/>
  <c r="P40" i="3"/>
  <c r="O40" i="3"/>
  <c r="L40" i="3"/>
  <c r="H40" i="3"/>
  <c r="D40" i="3"/>
  <c r="H38" i="3"/>
  <c r="F38" i="3"/>
  <c r="D38" i="3"/>
  <c r="L37" i="3"/>
  <c r="N37" i="3" s="1"/>
  <c r="J37" i="3"/>
  <c r="D37" i="3"/>
  <c r="F37" i="3" s="1"/>
  <c r="C37" i="3"/>
  <c r="L36" i="3"/>
  <c r="N36" i="3" s="1"/>
  <c r="J36" i="3"/>
  <c r="D36" i="3"/>
  <c r="F36" i="3" s="1"/>
  <c r="C36" i="3"/>
  <c r="L35" i="3"/>
  <c r="N35" i="3" s="1"/>
  <c r="J35" i="3"/>
  <c r="D35" i="3"/>
  <c r="F35" i="3" s="1"/>
  <c r="C35" i="3"/>
  <c r="L34" i="3"/>
  <c r="J34" i="3"/>
  <c r="D34" i="3"/>
  <c r="F34" i="3" s="1"/>
  <c r="C34" i="3"/>
  <c r="L33" i="3"/>
  <c r="N33" i="3" s="1"/>
  <c r="J33" i="3"/>
  <c r="D33" i="3"/>
  <c r="F33" i="3" s="1"/>
  <c r="C33" i="3"/>
  <c r="L32" i="3"/>
  <c r="N32" i="3" s="1"/>
  <c r="J32" i="3"/>
  <c r="D32" i="3"/>
  <c r="F32" i="3" s="1"/>
  <c r="C32" i="3"/>
  <c r="L31" i="3"/>
  <c r="N31" i="3" s="1"/>
  <c r="J31" i="3"/>
  <c r="D31" i="3"/>
  <c r="C31" i="3"/>
  <c r="L30" i="3"/>
  <c r="N30" i="3" s="1"/>
  <c r="J30" i="3"/>
  <c r="D30" i="3"/>
  <c r="F30" i="3" s="1"/>
  <c r="C30" i="3"/>
  <c r="L29" i="3"/>
  <c r="N29" i="3" s="1"/>
  <c r="J29" i="3"/>
  <c r="D29" i="3"/>
  <c r="F29" i="3" s="1"/>
  <c r="C29" i="3"/>
  <c r="L28" i="3"/>
  <c r="N28" i="3" s="1"/>
  <c r="J28" i="3"/>
  <c r="D28" i="3"/>
  <c r="F28" i="3" s="1"/>
  <c r="C28" i="3"/>
  <c r="L27" i="3"/>
  <c r="N27" i="3" s="1"/>
  <c r="J27" i="3"/>
  <c r="D27" i="3"/>
  <c r="F27" i="3" s="1"/>
  <c r="C27" i="3"/>
  <c r="L26" i="3"/>
  <c r="N26" i="3" s="1"/>
  <c r="J26" i="3"/>
  <c r="D26" i="3"/>
  <c r="F26" i="3" s="1"/>
  <c r="C26" i="3"/>
  <c r="L25" i="3"/>
  <c r="N25" i="3" s="1"/>
  <c r="J25" i="3"/>
  <c r="D25" i="3"/>
  <c r="F25" i="3" s="1"/>
  <c r="C25" i="3"/>
  <c r="L23" i="3"/>
  <c r="N23" i="3" s="1"/>
  <c r="J23" i="3"/>
  <c r="D23" i="3"/>
  <c r="C23" i="3"/>
  <c r="L22" i="3"/>
  <c r="J22" i="3"/>
  <c r="D22" i="3"/>
  <c r="F22" i="3" s="1"/>
  <c r="C22" i="3"/>
  <c r="L21" i="3"/>
  <c r="N21" i="3" s="1"/>
  <c r="J21" i="3"/>
  <c r="D21" i="3"/>
  <c r="F21" i="3" s="1"/>
  <c r="C21" i="3"/>
  <c r="L20" i="3"/>
  <c r="N20" i="3" s="1"/>
  <c r="J20" i="3"/>
  <c r="D20" i="3"/>
  <c r="F20" i="3" s="1"/>
  <c r="C20" i="3"/>
  <c r="L19" i="3"/>
  <c r="N19" i="3" s="1"/>
  <c r="J19" i="3"/>
  <c r="D19" i="3"/>
  <c r="F19" i="3" s="1"/>
  <c r="C19" i="3"/>
  <c r="L18" i="3"/>
  <c r="N18" i="3" s="1"/>
  <c r="J18" i="3"/>
  <c r="D18" i="3"/>
  <c r="F18" i="3" s="1"/>
  <c r="C18" i="3"/>
  <c r="L17" i="3"/>
  <c r="N17" i="3" s="1"/>
  <c r="J17" i="3"/>
  <c r="D17" i="3"/>
  <c r="F17" i="3" s="1"/>
  <c r="C17" i="3"/>
  <c r="L16" i="3"/>
  <c r="N16" i="3" s="1"/>
  <c r="J16" i="3"/>
  <c r="D16" i="3"/>
  <c r="F16" i="3" s="1"/>
  <c r="C16" i="3"/>
  <c r="L15" i="3"/>
  <c r="N15" i="3" s="1"/>
  <c r="J15" i="3"/>
  <c r="D15" i="3"/>
  <c r="C15" i="3"/>
  <c r="L14" i="3"/>
  <c r="N14" i="3" s="1"/>
  <c r="J14" i="3"/>
  <c r="D14" i="3"/>
  <c r="F14" i="3" s="1"/>
  <c r="C14" i="3"/>
  <c r="L13" i="3"/>
  <c r="N13" i="3" s="1"/>
  <c r="J13" i="3"/>
  <c r="D13" i="3"/>
  <c r="F13" i="3" s="1"/>
  <c r="C13" i="3"/>
  <c r="L12" i="3"/>
  <c r="N12" i="3" s="1"/>
  <c r="J12" i="3"/>
  <c r="D12" i="3"/>
  <c r="F12" i="3" s="1"/>
  <c r="C12" i="3"/>
  <c r="L11" i="3"/>
  <c r="N11" i="3" s="1"/>
  <c r="J11" i="3"/>
  <c r="D11" i="3"/>
  <c r="F11" i="3" s="1"/>
  <c r="C11" i="3"/>
  <c r="L10" i="3"/>
  <c r="J10" i="3"/>
  <c r="D10" i="3"/>
  <c r="F10" i="3" s="1"/>
  <c r="C10" i="3"/>
  <c r="L9" i="3"/>
  <c r="N9" i="3" s="1"/>
  <c r="J9" i="3"/>
  <c r="D9" i="3"/>
  <c r="F9" i="3" s="1"/>
  <c r="C9" i="3"/>
  <c r="L8" i="3"/>
  <c r="J8" i="3"/>
  <c r="D8" i="3"/>
  <c r="C8" i="3"/>
  <c r="H7" i="3"/>
  <c r="I24" i="3" s="1"/>
  <c r="O3" i="3"/>
  <c r="L3" i="3"/>
  <c r="K3" i="3"/>
  <c r="H3" i="3"/>
  <c r="G3" i="3"/>
  <c r="D3" i="3"/>
  <c r="Q2" i="3"/>
  <c r="P2" i="3"/>
  <c r="O2" i="3"/>
  <c r="L2" i="3"/>
  <c r="K2" i="3"/>
  <c r="H2" i="3"/>
  <c r="G2" i="3"/>
  <c r="D2" i="3"/>
  <c r="F60" i="12" l="1"/>
  <c r="I69" i="12"/>
  <c r="I22" i="12"/>
  <c r="F80" i="12"/>
  <c r="P158" i="12"/>
  <c r="F125" i="12"/>
  <c r="F126" i="12"/>
  <c r="F141" i="12"/>
  <c r="K147" i="12"/>
  <c r="K143" i="12"/>
  <c r="H80" i="12"/>
  <c r="I80" i="12" s="1"/>
  <c r="K119" i="12"/>
  <c r="K139" i="12"/>
  <c r="F58" i="12"/>
  <c r="F6" i="12"/>
  <c r="F137" i="12"/>
  <c r="P15" i="11"/>
  <c r="N100" i="11"/>
  <c r="I139" i="11"/>
  <c r="I75" i="11"/>
  <c r="N86" i="11"/>
  <c r="F89" i="11"/>
  <c r="F102" i="11"/>
  <c r="I119" i="11"/>
  <c r="I143" i="11"/>
  <c r="F68" i="10"/>
  <c r="Q35" i="10"/>
  <c r="P158" i="10"/>
  <c r="I58" i="10"/>
  <c r="I63" i="10"/>
  <c r="I51" i="10"/>
  <c r="I68" i="10"/>
  <c r="I55" i="10"/>
  <c r="I71" i="10"/>
  <c r="H80" i="9"/>
  <c r="F87" i="9"/>
  <c r="F127" i="8"/>
  <c r="F125" i="8"/>
  <c r="I153" i="8"/>
  <c r="Q12" i="8"/>
  <c r="F146" i="8"/>
  <c r="P79" i="7"/>
  <c r="Q9" i="7"/>
  <c r="Q34" i="7"/>
  <c r="P158" i="7"/>
  <c r="I72" i="7"/>
  <c r="N67" i="7"/>
  <c r="I75" i="7"/>
  <c r="K118" i="7"/>
  <c r="N100" i="6"/>
  <c r="F60" i="6"/>
  <c r="P15" i="6"/>
  <c r="P16" i="6"/>
  <c r="I117" i="6"/>
  <c r="I137" i="6"/>
  <c r="P158" i="6"/>
  <c r="N65" i="5"/>
  <c r="F121" i="5"/>
  <c r="I117" i="5"/>
  <c r="I121" i="5"/>
  <c r="I57" i="4"/>
  <c r="F64" i="4"/>
  <c r="E53" i="4"/>
  <c r="P158" i="4"/>
  <c r="F66" i="4"/>
  <c r="I54" i="4"/>
  <c r="N59" i="4"/>
  <c r="D80" i="4"/>
  <c r="F103" i="4"/>
  <c r="K147" i="4"/>
  <c r="F80" i="3"/>
  <c r="I65" i="3"/>
  <c r="I54" i="3"/>
  <c r="N131" i="3"/>
  <c r="I127" i="3"/>
  <c r="I138" i="3"/>
  <c r="P12" i="3"/>
  <c r="I130" i="3"/>
  <c r="K131" i="3"/>
  <c r="D80" i="3"/>
  <c r="N77" i="3"/>
  <c r="I125" i="12"/>
  <c r="F143" i="12"/>
  <c r="N51" i="12"/>
  <c r="Q51" i="12" s="1"/>
  <c r="N103" i="12"/>
  <c r="I121" i="12"/>
  <c r="F135" i="12"/>
  <c r="Q25" i="12"/>
  <c r="I46" i="12"/>
  <c r="F61" i="12"/>
  <c r="Y191" i="13"/>
  <c r="K14" i="13"/>
  <c r="I117" i="12"/>
  <c r="K29" i="13"/>
  <c r="K30" i="13"/>
  <c r="P10" i="12"/>
  <c r="F77" i="12"/>
  <c r="P34" i="12"/>
  <c r="D80" i="12"/>
  <c r="F49" i="12"/>
  <c r="F15" i="13"/>
  <c r="F14" i="13"/>
  <c r="I141" i="12"/>
  <c r="F44" i="12"/>
  <c r="I59" i="12"/>
  <c r="N62" i="12"/>
  <c r="I137" i="12"/>
  <c r="E29" i="13"/>
  <c r="E30" i="13"/>
  <c r="H79" i="12"/>
  <c r="I133" i="12"/>
  <c r="K151" i="12"/>
  <c r="I30" i="13"/>
  <c r="I29" i="13"/>
  <c r="I129" i="12"/>
  <c r="F147" i="12"/>
  <c r="F65" i="11"/>
  <c r="F77" i="11"/>
  <c r="I62" i="11"/>
  <c r="N54" i="11"/>
  <c r="I135" i="11"/>
  <c r="W123" i="13"/>
  <c r="F13" i="13"/>
  <c r="W121" i="13"/>
  <c r="I13" i="13"/>
  <c r="W241" i="13"/>
  <c r="E28" i="13"/>
  <c r="W191" i="13"/>
  <c r="K13" i="13"/>
  <c r="N152" i="11"/>
  <c r="I45" i="11"/>
  <c r="I22" i="10"/>
  <c r="N105" i="10"/>
  <c r="I118" i="10"/>
  <c r="K133" i="10"/>
  <c r="I148" i="10"/>
  <c r="N47" i="10"/>
  <c r="J27" i="13" s="1"/>
  <c r="I27" i="13"/>
  <c r="I144" i="10"/>
  <c r="K129" i="10"/>
  <c r="I65" i="10"/>
  <c r="I120" i="10"/>
  <c r="I150" i="10"/>
  <c r="K146" i="10"/>
  <c r="F49" i="10"/>
  <c r="F12" i="13"/>
  <c r="J158" i="10"/>
  <c r="D80" i="10"/>
  <c r="I44" i="10"/>
  <c r="J43" i="10"/>
  <c r="N146" i="9"/>
  <c r="S191" i="13"/>
  <c r="K11" i="13"/>
  <c r="K117" i="9"/>
  <c r="F47" i="9"/>
  <c r="J11" i="13" s="1"/>
  <c r="I11" i="13"/>
  <c r="F63" i="9"/>
  <c r="N133" i="9"/>
  <c r="I118" i="9"/>
  <c r="I134" i="9"/>
  <c r="S118" i="13"/>
  <c r="E11" i="13"/>
  <c r="I60" i="9"/>
  <c r="I51" i="8"/>
  <c r="I72" i="8"/>
  <c r="N96" i="8"/>
  <c r="I121" i="8"/>
  <c r="Q191" i="13"/>
  <c r="K10" i="13"/>
  <c r="I65" i="8"/>
  <c r="N104" i="8"/>
  <c r="I117" i="8"/>
  <c r="Q123" i="13"/>
  <c r="F10" i="13"/>
  <c r="I58" i="8"/>
  <c r="F6" i="8"/>
  <c r="I55" i="8"/>
  <c r="Q118" i="13"/>
  <c r="E10" i="13"/>
  <c r="I50" i="8"/>
  <c r="I59" i="8"/>
  <c r="Q121" i="13"/>
  <c r="I10" i="13"/>
  <c r="I129" i="8"/>
  <c r="N44" i="8"/>
  <c r="E26" i="13"/>
  <c r="M26" i="13" s="1"/>
  <c r="F134" i="8"/>
  <c r="Q35" i="8"/>
  <c r="F130" i="8"/>
  <c r="F44" i="7"/>
  <c r="E9" i="13"/>
  <c r="O121" i="13"/>
  <c r="I9" i="13"/>
  <c r="K137" i="7"/>
  <c r="I152" i="7"/>
  <c r="K133" i="7"/>
  <c r="I148" i="7"/>
  <c r="K129" i="7"/>
  <c r="I144" i="7"/>
  <c r="F149" i="7"/>
  <c r="F46" i="7"/>
  <c r="K125" i="7"/>
  <c r="Q25" i="7"/>
  <c r="F80" i="7"/>
  <c r="O191" i="13"/>
  <c r="K9" i="13"/>
  <c r="D80" i="7"/>
  <c r="I55" i="7"/>
  <c r="K117" i="7"/>
  <c r="P30" i="7"/>
  <c r="M25" i="13"/>
  <c r="K122" i="7"/>
  <c r="N44" i="6"/>
  <c r="E24" i="13"/>
  <c r="K151" i="6"/>
  <c r="M121" i="13"/>
  <c r="I8" i="13"/>
  <c r="M24" i="13"/>
  <c r="P37" i="6"/>
  <c r="H79" i="6"/>
  <c r="N48" i="6"/>
  <c r="I145" i="5"/>
  <c r="I125" i="5"/>
  <c r="N98" i="5"/>
  <c r="F94" i="5"/>
  <c r="K191" i="13"/>
  <c r="K7" i="13"/>
  <c r="N94" i="5"/>
  <c r="I58" i="5"/>
  <c r="I153" i="5"/>
  <c r="F62" i="5"/>
  <c r="K123" i="13"/>
  <c r="F7" i="13"/>
  <c r="F55" i="5"/>
  <c r="N44" i="4"/>
  <c r="I64" i="4"/>
  <c r="F121" i="4"/>
  <c r="I191" i="13"/>
  <c r="K6" i="13"/>
  <c r="N142" i="4"/>
  <c r="I123" i="13"/>
  <c r="F6" i="13"/>
  <c r="E94" i="4"/>
  <c r="K133" i="4"/>
  <c r="I123" i="4"/>
  <c r="I121" i="13"/>
  <c r="I6" i="13"/>
  <c r="K141" i="3"/>
  <c r="I146" i="3"/>
  <c r="K137" i="3"/>
  <c r="Q29" i="3"/>
  <c r="N119" i="3"/>
  <c r="I124" i="3"/>
  <c r="G123" i="13"/>
  <c r="F5" i="13"/>
  <c r="I147" i="3"/>
  <c r="P14" i="3"/>
  <c r="I120" i="3"/>
  <c r="I143" i="3"/>
  <c r="K125" i="3"/>
  <c r="I153" i="3"/>
  <c r="N44" i="3"/>
  <c r="E21" i="13"/>
  <c r="Q77" i="3"/>
  <c r="G191" i="13"/>
  <c r="K5" i="13"/>
  <c r="I135" i="3"/>
  <c r="Q18" i="3"/>
  <c r="K117" i="3"/>
  <c r="P28" i="3"/>
  <c r="N117" i="3"/>
  <c r="L21" i="13" s="1"/>
  <c r="K21" i="13"/>
  <c r="I36" i="11"/>
  <c r="I18" i="10"/>
  <c r="I16" i="8"/>
  <c r="I10" i="5"/>
  <c r="I8" i="4"/>
  <c r="I19" i="3"/>
  <c r="I32" i="12"/>
  <c r="H39" i="11"/>
  <c r="I28" i="11"/>
  <c r="I32" i="11"/>
  <c r="I33" i="11"/>
  <c r="I36" i="10"/>
  <c r="I23" i="10"/>
  <c r="I35" i="10"/>
  <c r="I34" i="8"/>
  <c r="I32" i="7"/>
  <c r="I34" i="6"/>
  <c r="I28" i="6"/>
  <c r="I32" i="6"/>
  <c r="I36" i="6"/>
  <c r="I35" i="5"/>
  <c r="H39" i="4"/>
  <c r="I37" i="4"/>
  <c r="I23" i="4"/>
  <c r="I23" i="3"/>
  <c r="I15" i="12"/>
  <c r="I19" i="12"/>
  <c r="I9" i="12"/>
  <c r="I14" i="12"/>
  <c r="H6" i="12"/>
  <c r="I23" i="11"/>
  <c r="I12" i="11"/>
  <c r="I16" i="11"/>
  <c r="K19" i="10"/>
  <c r="I15" i="10"/>
  <c r="I31" i="10"/>
  <c r="I23" i="8"/>
  <c r="I27" i="8"/>
  <c r="I32" i="8"/>
  <c r="I15" i="8"/>
  <c r="I19" i="8"/>
  <c r="I26" i="7"/>
  <c r="I23" i="7"/>
  <c r="I16" i="7"/>
  <c r="I31" i="7"/>
  <c r="I36" i="7"/>
  <c r="I10" i="7"/>
  <c r="I8" i="6"/>
  <c r="I12" i="6"/>
  <c r="I16" i="6"/>
  <c r="H39" i="6"/>
  <c r="I20" i="6"/>
  <c r="I19" i="4"/>
  <c r="I16" i="4"/>
  <c r="I31" i="4"/>
  <c r="I36" i="4"/>
  <c r="I27" i="3"/>
  <c r="I31" i="3"/>
  <c r="I35" i="3"/>
  <c r="I17" i="3"/>
  <c r="I9" i="3"/>
  <c r="I25" i="3"/>
  <c r="I11" i="3"/>
  <c r="I15" i="3"/>
  <c r="I33" i="3"/>
  <c r="Q34" i="12"/>
  <c r="Q17" i="5"/>
  <c r="N77" i="7"/>
  <c r="F143" i="8"/>
  <c r="N45" i="9"/>
  <c r="F76" i="9"/>
  <c r="F48" i="9"/>
  <c r="F91" i="9"/>
  <c r="P8" i="11"/>
  <c r="F57" i="11"/>
  <c r="F61" i="11"/>
  <c r="N127" i="11"/>
  <c r="N125" i="3"/>
  <c r="F119" i="5"/>
  <c r="N50" i="3"/>
  <c r="Q50" i="3" s="1"/>
  <c r="N68" i="3"/>
  <c r="Q68" i="3" s="1"/>
  <c r="N71" i="3"/>
  <c r="Q71" i="3" s="1"/>
  <c r="F6" i="3"/>
  <c r="N146" i="3"/>
  <c r="N134" i="4"/>
  <c r="F149" i="4"/>
  <c r="Q13" i="5"/>
  <c r="F133" i="5"/>
  <c r="F138" i="5"/>
  <c r="N134" i="6"/>
  <c r="N138" i="6"/>
  <c r="Q12" i="7"/>
  <c r="N49" i="7"/>
  <c r="F25" i="13" s="1"/>
  <c r="F45" i="8"/>
  <c r="N138" i="8"/>
  <c r="N57" i="9"/>
  <c r="N72" i="9"/>
  <c r="Q72" i="9" s="1"/>
  <c r="N131" i="9"/>
  <c r="F46" i="10"/>
  <c r="N93" i="10"/>
  <c r="N101" i="10"/>
  <c r="F54" i="11"/>
  <c r="N132" i="11"/>
  <c r="F123" i="12"/>
  <c r="N138" i="3"/>
  <c r="F49" i="4"/>
  <c r="N69" i="4"/>
  <c r="F145" i="4"/>
  <c r="F69" i="6"/>
  <c r="N86" i="6"/>
  <c r="F121" i="7"/>
  <c r="F60" i="8"/>
  <c r="N127" i="9"/>
  <c r="F124" i="10"/>
  <c r="N123" i="11"/>
  <c r="N56" i="12"/>
  <c r="F63" i="12"/>
  <c r="F96" i="12"/>
  <c r="E93" i="4"/>
  <c r="D80" i="6"/>
  <c r="N134" i="8"/>
  <c r="F58" i="10"/>
  <c r="F94" i="10"/>
  <c r="N147" i="11"/>
  <c r="F80" i="11"/>
  <c r="F125" i="5"/>
  <c r="F54" i="6"/>
  <c r="N63" i="6"/>
  <c r="F126" i="8"/>
  <c r="F70" i="9"/>
  <c r="N118" i="9"/>
  <c r="N123" i="9"/>
  <c r="F80" i="10"/>
  <c r="P33" i="5"/>
  <c r="Q37" i="3"/>
  <c r="H80" i="4"/>
  <c r="I80" i="4" s="1"/>
  <c r="F6" i="11"/>
  <c r="N136" i="3"/>
  <c r="N144" i="3"/>
  <c r="N122" i="4"/>
  <c r="N89" i="5"/>
  <c r="P20" i="8"/>
  <c r="D80" i="8"/>
  <c r="F67" i="9"/>
  <c r="F134" i="12"/>
  <c r="F146" i="5"/>
  <c r="F151" i="5"/>
  <c r="F50" i="6"/>
  <c r="N67" i="6"/>
  <c r="N61" i="7"/>
  <c r="F134" i="9"/>
  <c r="N61" i="12"/>
  <c r="D80" i="5"/>
  <c r="N52" i="5"/>
  <c r="F122" i="5"/>
  <c r="F54" i="7"/>
  <c r="N94" i="8"/>
  <c r="F99" i="9"/>
  <c r="N90" i="7"/>
  <c r="F95" i="9"/>
  <c r="N130" i="9"/>
  <c r="F71" i="10"/>
  <c r="N56" i="11"/>
  <c r="F94" i="11"/>
  <c r="F119" i="4"/>
  <c r="N133" i="3"/>
  <c r="N137" i="3"/>
  <c r="F153" i="4"/>
  <c r="N94" i="6"/>
  <c r="N142" i="6"/>
  <c r="Q27" i="8"/>
  <c r="F150" i="9"/>
  <c r="N55" i="12"/>
  <c r="F131" i="12"/>
  <c r="N128" i="3"/>
  <c r="P23" i="11"/>
  <c r="P18" i="12"/>
  <c r="Y120" i="13"/>
  <c r="N48" i="12"/>
  <c r="I54" i="12"/>
  <c r="I67" i="12"/>
  <c r="F74" i="12"/>
  <c r="F117" i="12"/>
  <c r="F121" i="12"/>
  <c r="P79" i="12"/>
  <c r="I64" i="12"/>
  <c r="N53" i="12"/>
  <c r="F129" i="12"/>
  <c r="F133" i="12"/>
  <c r="K58" i="12"/>
  <c r="N71" i="12"/>
  <c r="Q71" i="12" s="1"/>
  <c r="N90" i="12"/>
  <c r="F145" i="12"/>
  <c r="F149" i="12"/>
  <c r="I23" i="12"/>
  <c r="F86" i="12"/>
  <c r="N94" i="12"/>
  <c r="N122" i="12"/>
  <c r="I145" i="12"/>
  <c r="I149" i="12"/>
  <c r="I153" i="12"/>
  <c r="I17" i="12"/>
  <c r="N50" i="12"/>
  <c r="K62" i="12"/>
  <c r="N86" i="12"/>
  <c r="N98" i="12"/>
  <c r="N102" i="12"/>
  <c r="F119" i="12"/>
  <c r="J43" i="12"/>
  <c r="K59" i="12" s="1"/>
  <c r="F69" i="12"/>
  <c r="F76" i="12"/>
  <c r="F88" i="12"/>
  <c r="N138" i="12"/>
  <c r="F142" i="12"/>
  <c r="Y141" i="13"/>
  <c r="K56" i="12"/>
  <c r="K123" i="12"/>
  <c r="F127" i="12"/>
  <c r="Y140" i="13"/>
  <c r="I11" i="12"/>
  <c r="I30" i="12"/>
  <c r="I66" i="12"/>
  <c r="N88" i="12"/>
  <c r="N95" i="12"/>
  <c r="K127" i="12"/>
  <c r="K131" i="12"/>
  <c r="Y124" i="13"/>
  <c r="I27" i="12"/>
  <c r="F92" i="12"/>
  <c r="N99" i="12"/>
  <c r="K135" i="12"/>
  <c r="F139" i="12"/>
  <c r="Y123" i="13"/>
  <c r="N64" i="11"/>
  <c r="I71" i="11"/>
  <c r="I131" i="11"/>
  <c r="I150" i="11"/>
  <c r="Q19" i="11"/>
  <c r="I50" i="11"/>
  <c r="F55" i="11"/>
  <c r="N120" i="11"/>
  <c r="N135" i="11"/>
  <c r="I147" i="11"/>
  <c r="Q32" i="11"/>
  <c r="N139" i="11"/>
  <c r="N143" i="11"/>
  <c r="I151" i="11"/>
  <c r="K117" i="11"/>
  <c r="I20" i="11"/>
  <c r="Q26" i="11"/>
  <c r="P33" i="11"/>
  <c r="N92" i="11"/>
  <c r="K121" i="11"/>
  <c r="N151" i="11"/>
  <c r="I76" i="11"/>
  <c r="K125" i="11"/>
  <c r="N136" i="11"/>
  <c r="Q20" i="11"/>
  <c r="F97" i="11"/>
  <c r="F101" i="11"/>
  <c r="K129" i="11"/>
  <c r="K133" i="11"/>
  <c r="P14" i="11"/>
  <c r="N59" i="11"/>
  <c r="F73" i="11"/>
  <c r="F48" i="11"/>
  <c r="I118" i="11"/>
  <c r="N148" i="11"/>
  <c r="W144" i="13"/>
  <c r="I122" i="11"/>
  <c r="K137" i="11"/>
  <c r="K141" i="11"/>
  <c r="P31" i="11"/>
  <c r="I70" i="11"/>
  <c r="I126" i="11"/>
  <c r="K145" i="11"/>
  <c r="W124" i="13"/>
  <c r="I31" i="11"/>
  <c r="I60" i="11"/>
  <c r="I130" i="11"/>
  <c r="I134" i="11"/>
  <c r="K149" i="11"/>
  <c r="I54" i="11"/>
  <c r="K153" i="11"/>
  <c r="P79" i="11"/>
  <c r="F49" i="11"/>
  <c r="I57" i="11"/>
  <c r="F64" i="11"/>
  <c r="I67" i="11"/>
  <c r="F123" i="11"/>
  <c r="I138" i="11"/>
  <c r="I142" i="11"/>
  <c r="I8" i="11"/>
  <c r="I15" i="11"/>
  <c r="I64" i="11"/>
  <c r="N119" i="11"/>
  <c r="I123" i="11"/>
  <c r="I127" i="11"/>
  <c r="I146" i="11"/>
  <c r="I8" i="10"/>
  <c r="P79" i="10"/>
  <c r="K130" i="10"/>
  <c r="I134" i="10"/>
  <c r="K153" i="10"/>
  <c r="K134" i="10"/>
  <c r="I138" i="10"/>
  <c r="K18" i="10"/>
  <c r="K138" i="10"/>
  <c r="I142" i="10"/>
  <c r="K49" i="10"/>
  <c r="F86" i="10"/>
  <c r="N87" i="10"/>
  <c r="K142" i="10"/>
  <c r="I146" i="10"/>
  <c r="Q22" i="10"/>
  <c r="K44" i="10"/>
  <c r="K9" i="10"/>
  <c r="K35" i="10"/>
  <c r="D116" i="10"/>
  <c r="D158" i="10" s="1"/>
  <c r="I124" i="10"/>
  <c r="K150" i="10"/>
  <c r="U146" i="13"/>
  <c r="I19" i="10"/>
  <c r="K22" i="10"/>
  <c r="N58" i="10"/>
  <c r="F88" i="10"/>
  <c r="N97" i="10"/>
  <c r="I117" i="10"/>
  <c r="I128" i="10"/>
  <c r="U144" i="13"/>
  <c r="K117" i="10"/>
  <c r="I121" i="10"/>
  <c r="I132" i="10"/>
  <c r="H158" i="10"/>
  <c r="U130" i="13"/>
  <c r="I26" i="10"/>
  <c r="I45" i="10"/>
  <c r="N62" i="10"/>
  <c r="Q62" i="10" s="1"/>
  <c r="I69" i="10"/>
  <c r="I76" i="10"/>
  <c r="K121" i="10"/>
  <c r="I136" i="10"/>
  <c r="I10" i="10"/>
  <c r="I56" i="10"/>
  <c r="I59" i="10"/>
  <c r="I66" i="10"/>
  <c r="K69" i="10"/>
  <c r="F48" i="10"/>
  <c r="K125" i="10"/>
  <c r="I140" i="10"/>
  <c r="I30" i="10"/>
  <c r="K118" i="10"/>
  <c r="I122" i="10"/>
  <c r="K137" i="10"/>
  <c r="I152" i="10"/>
  <c r="I14" i="10"/>
  <c r="I27" i="10"/>
  <c r="K122" i="10"/>
  <c r="K141" i="10"/>
  <c r="I11" i="10"/>
  <c r="K14" i="10"/>
  <c r="K37" i="10"/>
  <c r="N89" i="10"/>
  <c r="F96" i="10"/>
  <c r="I126" i="10"/>
  <c r="K145" i="10"/>
  <c r="K11" i="10"/>
  <c r="I34" i="10"/>
  <c r="H79" i="10"/>
  <c r="K46" i="10"/>
  <c r="N60" i="10"/>
  <c r="I74" i="10"/>
  <c r="K126" i="10"/>
  <c r="I130" i="10"/>
  <c r="K149" i="10"/>
  <c r="K121" i="9"/>
  <c r="I128" i="9"/>
  <c r="I138" i="9"/>
  <c r="I149" i="9"/>
  <c r="I125" i="9"/>
  <c r="I142" i="9"/>
  <c r="K149" i="9"/>
  <c r="I153" i="9"/>
  <c r="H39" i="9"/>
  <c r="F51" i="9"/>
  <c r="I70" i="9"/>
  <c r="F53" i="9"/>
  <c r="K125" i="9"/>
  <c r="N138" i="9"/>
  <c r="F146" i="9"/>
  <c r="K153" i="9"/>
  <c r="I132" i="9"/>
  <c r="I146" i="9"/>
  <c r="S146" i="13"/>
  <c r="L7" i="9"/>
  <c r="M24" i="9" s="1"/>
  <c r="I46" i="9"/>
  <c r="I122" i="9"/>
  <c r="N125" i="9"/>
  <c r="I129" i="9"/>
  <c r="N77" i="9"/>
  <c r="F85" i="9"/>
  <c r="K129" i="9"/>
  <c r="I119" i="9"/>
  <c r="I136" i="9"/>
  <c r="I150" i="9"/>
  <c r="I61" i="9"/>
  <c r="I126" i="9"/>
  <c r="I133" i="9"/>
  <c r="P31" i="9"/>
  <c r="I68" i="9"/>
  <c r="F75" i="9"/>
  <c r="N119" i="9"/>
  <c r="I123" i="9"/>
  <c r="K133" i="9"/>
  <c r="I140" i="9"/>
  <c r="F80" i="9"/>
  <c r="I49" i="9"/>
  <c r="I58" i="9"/>
  <c r="I75" i="9"/>
  <c r="N126" i="9"/>
  <c r="F130" i="9"/>
  <c r="I144" i="9"/>
  <c r="I65" i="9"/>
  <c r="I130" i="9"/>
  <c r="I137" i="9"/>
  <c r="I44" i="9"/>
  <c r="I55" i="9"/>
  <c r="F88" i="9"/>
  <c r="I120" i="9"/>
  <c r="K137" i="9"/>
  <c r="P158" i="9"/>
  <c r="N58" i="9"/>
  <c r="F62" i="9"/>
  <c r="I117" i="9"/>
  <c r="I141" i="9"/>
  <c r="I148" i="9"/>
  <c r="I124" i="9"/>
  <c r="K141" i="9"/>
  <c r="I145" i="9"/>
  <c r="I152" i="9"/>
  <c r="K145" i="9"/>
  <c r="I121" i="9"/>
  <c r="F138" i="9"/>
  <c r="P12" i="8"/>
  <c r="I44" i="8"/>
  <c r="I54" i="8"/>
  <c r="I133" i="8"/>
  <c r="J43" i="8"/>
  <c r="K51" i="8" s="1"/>
  <c r="I8" i="8"/>
  <c r="Q28" i="8"/>
  <c r="I35" i="8"/>
  <c r="I68" i="8"/>
  <c r="F75" i="8"/>
  <c r="P158" i="8"/>
  <c r="I125" i="8"/>
  <c r="N146" i="8"/>
  <c r="P36" i="8"/>
  <c r="P16" i="8"/>
  <c r="N72" i="8"/>
  <c r="N45" i="8"/>
  <c r="Q45" i="8" s="1"/>
  <c r="F66" i="8"/>
  <c r="N76" i="8"/>
  <c r="Q76" i="8" s="1"/>
  <c r="F118" i="8"/>
  <c r="F131" i="8"/>
  <c r="F56" i="8"/>
  <c r="F63" i="8"/>
  <c r="I70" i="8"/>
  <c r="N95" i="8"/>
  <c r="N118" i="8"/>
  <c r="F145" i="8"/>
  <c r="I149" i="8"/>
  <c r="I46" i="8"/>
  <c r="I145" i="8"/>
  <c r="I141" i="8"/>
  <c r="I60" i="8"/>
  <c r="I11" i="8"/>
  <c r="I31" i="8"/>
  <c r="F54" i="8"/>
  <c r="I64" i="8"/>
  <c r="I137" i="8"/>
  <c r="N58" i="7"/>
  <c r="Q26" i="7"/>
  <c r="I45" i="7"/>
  <c r="N102" i="7"/>
  <c r="F141" i="7"/>
  <c r="I20" i="7"/>
  <c r="J43" i="7"/>
  <c r="K67" i="7" s="1"/>
  <c r="I59" i="7"/>
  <c r="I69" i="7"/>
  <c r="K141" i="7"/>
  <c r="F45" i="7"/>
  <c r="P14" i="7"/>
  <c r="K126" i="7"/>
  <c r="K130" i="7"/>
  <c r="K145" i="7"/>
  <c r="I14" i="7"/>
  <c r="I56" i="7"/>
  <c r="I119" i="7"/>
  <c r="K134" i="7"/>
  <c r="N141" i="7"/>
  <c r="K149" i="7"/>
  <c r="F153" i="7"/>
  <c r="F137" i="7"/>
  <c r="I8" i="7"/>
  <c r="I11" i="7"/>
  <c r="Q20" i="7"/>
  <c r="I34" i="7"/>
  <c r="I123" i="7"/>
  <c r="K138" i="7"/>
  <c r="K153" i="7"/>
  <c r="I60" i="7"/>
  <c r="N63" i="7"/>
  <c r="I70" i="7"/>
  <c r="I77" i="7"/>
  <c r="I127" i="7"/>
  <c r="I131" i="7"/>
  <c r="K142" i="7"/>
  <c r="K146" i="7"/>
  <c r="P15" i="7"/>
  <c r="I18" i="7"/>
  <c r="I120" i="7"/>
  <c r="I135" i="7"/>
  <c r="K150" i="7"/>
  <c r="I15" i="7"/>
  <c r="I28" i="7"/>
  <c r="I74" i="7"/>
  <c r="I124" i="7"/>
  <c r="I139" i="7"/>
  <c r="F133" i="7"/>
  <c r="I12" i="7"/>
  <c r="Q18" i="7"/>
  <c r="I54" i="7"/>
  <c r="I64" i="7"/>
  <c r="I44" i="7"/>
  <c r="I49" i="7"/>
  <c r="I61" i="7"/>
  <c r="I117" i="7"/>
  <c r="I128" i="7"/>
  <c r="I132" i="7"/>
  <c r="I143" i="7"/>
  <c r="I147" i="7"/>
  <c r="J78" i="7"/>
  <c r="K49" i="7"/>
  <c r="I136" i="7"/>
  <c r="I151" i="7"/>
  <c r="J158" i="7"/>
  <c r="N98" i="7"/>
  <c r="N125" i="7"/>
  <c r="I68" i="7"/>
  <c r="N94" i="7"/>
  <c r="L116" i="7"/>
  <c r="K121" i="7"/>
  <c r="F125" i="7"/>
  <c r="I140" i="7"/>
  <c r="Q14" i="6"/>
  <c r="K117" i="6"/>
  <c r="K137" i="6"/>
  <c r="I151" i="6"/>
  <c r="P21" i="6"/>
  <c r="P79" i="6"/>
  <c r="Q11" i="6"/>
  <c r="N53" i="6"/>
  <c r="I131" i="6"/>
  <c r="N90" i="6"/>
  <c r="I121" i="6"/>
  <c r="K131" i="6"/>
  <c r="I141" i="6"/>
  <c r="Q27" i="6"/>
  <c r="J43" i="6"/>
  <c r="K58" i="6" s="1"/>
  <c r="K121" i="6"/>
  <c r="K141" i="6"/>
  <c r="P32" i="6"/>
  <c r="Q35" i="6"/>
  <c r="F57" i="6"/>
  <c r="I125" i="6"/>
  <c r="I135" i="6"/>
  <c r="I145" i="6"/>
  <c r="K125" i="6"/>
  <c r="K135" i="6"/>
  <c r="K145" i="6"/>
  <c r="N54" i="6"/>
  <c r="K57" i="6"/>
  <c r="F72" i="6"/>
  <c r="I149" i="6"/>
  <c r="I119" i="6"/>
  <c r="I129" i="6"/>
  <c r="K149" i="6"/>
  <c r="N57" i="6"/>
  <c r="K72" i="6"/>
  <c r="K119" i="6"/>
  <c r="K129" i="6"/>
  <c r="I139" i="6"/>
  <c r="K50" i="6"/>
  <c r="F55" i="6"/>
  <c r="F67" i="6"/>
  <c r="Q67" i="6" s="1"/>
  <c r="N69" i="6"/>
  <c r="K139" i="6"/>
  <c r="N126" i="6"/>
  <c r="I133" i="6"/>
  <c r="I153" i="6"/>
  <c r="I123" i="6"/>
  <c r="K133" i="6"/>
  <c r="K153" i="6"/>
  <c r="K123" i="6"/>
  <c r="I143" i="6"/>
  <c r="I147" i="6"/>
  <c r="I127" i="6"/>
  <c r="N130" i="6"/>
  <c r="K143" i="6"/>
  <c r="K147" i="6"/>
  <c r="N76" i="5"/>
  <c r="N53" i="5"/>
  <c r="F130" i="5"/>
  <c r="N138" i="5"/>
  <c r="F147" i="5"/>
  <c r="F50" i="5"/>
  <c r="N55" i="5"/>
  <c r="Q55" i="5" s="1"/>
  <c r="F59" i="5"/>
  <c r="F70" i="5"/>
  <c r="N122" i="5"/>
  <c r="N73" i="5"/>
  <c r="F135" i="5"/>
  <c r="P29" i="5"/>
  <c r="F127" i="5"/>
  <c r="P37" i="5"/>
  <c r="F46" i="5"/>
  <c r="I149" i="5"/>
  <c r="F149" i="5"/>
  <c r="I46" i="5"/>
  <c r="F60" i="5"/>
  <c r="F98" i="5"/>
  <c r="N102" i="5"/>
  <c r="F141" i="5"/>
  <c r="F102" i="5"/>
  <c r="P9" i="5"/>
  <c r="I137" i="5"/>
  <c r="I141" i="5"/>
  <c r="Q25" i="5"/>
  <c r="I54" i="5"/>
  <c r="P158" i="5"/>
  <c r="I129" i="5"/>
  <c r="I133" i="5"/>
  <c r="N146" i="5"/>
  <c r="H80" i="5"/>
  <c r="I80" i="5" s="1"/>
  <c r="F49" i="5"/>
  <c r="F53" i="5"/>
  <c r="I67" i="4"/>
  <c r="F93" i="4"/>
  <c r="F111" i="4"/>
  <c r="F6" i="4" s="1"/>
  <c r="I119" i="4"/>
  <c r="N126" i="4"/>
  <c r="F137" i="4"/>
  <c r="F151" i="4"/>
  <c r="K119" i="4"/>
  <c r="I137" i="4"/>
  <c r="I151" i="4"/>
  <c r="I20" i="4"/>
  <c r="F54" i="4"/>
  <c r="F61" i="4"/>
  <c r="E47" i="4"/>
  <c r="F87" i="4"/>
  <c r="K123" i="4"/>
  <c r="F127" i="4"/>
  <c r="I141" i="4"/>
  <c r="I127" i="4"/>
  <c r="K141" i="4"/>
  <c r="I27" i="4"/>
  <c r="K127" i="4"/>
  <c r="I131" i="4"/>
  <c r="H158" i="4"/>
  <c r="E98" i="4"/>
  <c r="I117" i="4"/>
  <c r="K131" i="4"/>
  <c r="I145" i="4"/>
  <c r="I11" i="4"/>
  <c r="F98" i="4"/>
  <c r="K117" i="4"/>
  <c r="F135" i="4"/>
  <c r="N138" i="4"/>
  <c r="K145" i="4"/>
  <c r="I135" i="4"/>
  <c r="I149" i="4"/>
  <c r="K135" i="4"/>
  <c r="K149" i="4"/>
  <c r="K151" i="4"/>
  <c r="E48" i="4"/>
  <c r="E102" i="4"/>
  <c r="I121" i="4"/>
  <c r="J7" i="4"/>
  <c r="K24" i="4" s="1"/>
  <c r="I15" i="4"/>
  <c r="I28" i="4"/>
  <c r="I35" i="4"/>
  <c r="F95" i="4"/>
  <c r="K121" i="4"/>
  <c r="I125" i="4"/>
  <c r="I139" i="4"/>
  <c r="I153" i="4"/>
  <c r="K153" i="4"/>
  <c r="K139" i="4"/>
  <c r="I12" i="4"/>
  <c r="F63" i="4"/>
  <c r="N118" i="4"/>
  <c r="F129" i="4"/>
  <c r="F143" i="4"/>
  <c r="K137" i="4"/>
  <c r="F56" i="4"/>
  <c r="I129" i="4"/>
  <c r="I143" i="4"/>
  <c r="K125" i="4"/>
  <c r="J78" i="4"/>
  <c r="K129" i="4"/>
  <c r="I133" i="4"/>
  <c r="K143" i="4"/>
  <c r="I147" i="4"/>
  <c r="J43" i="3"/>
  <c r="I118" i="3"/>
  <c r="K121" i="3"/>
  <c r="I131" i="3"/>
  <c r="I150" i="3"/>
  <c r="N49" i="3"/>
  <c r="F21" i="13" s="1"/>
  <c r="N118" i="3"/>
  <c r="I125" i="3"/>
  <c r="I141" i="3"/>
  <c r="K147" i="3"/>
  <c r="I122" i="3"/>
  <c r="K135" i="3"/>
  <c r="I151" i="3"/>
  <c r="I119" i="3"/>
  <c r="K151" i="3"/>
  <c r="P30" i="3"/>
  <c r="I50" i="3"/>
  <c r="K119" i="3"/>
  <c r="N122" i="3"/>
  <c r="I129" i="3"/>
  <c r="N135" i="3"/>
  <c r="I145" i="3"/>
  <c r="Q26" i="3"/>
  <c r="K129" i="3"/>
  <c r="K145" i="3"/>
  <c r="N148" i="3"/>
  <c r="N151" i="3"/>
  <c r="I55" i="3"/>
  <c r="I126" i="3"/>
  <c r="I139" i="3"/>
  <c r="I142" i="3"/>
  <c r="P158" i="3"/>
  <c r="I123" i="3"/>
  <c r="I133" i="3"/>
  <c r="K139" i="3"/>
  <c r="I117" i="3"/>
  <c r="K123" i="3"/>
  <c r="K133" i="3"/>
  <c r="I149" i="3"/>
  <c r="N139" i="3"/>
  <c r="K149" i="3"/>
  <c r="N152" i="3"/>
  <c r="K127" i="3"/>
  <c r="N130" i="3"/>
  <c r="I137" i="3"/>
  <c r="K143" i="3"/>
  <c r="P44" i="3"/>
  <c r="I121" i="3"/>
  <c r="N127" i="3"/>
  <c r="I134" i="3"/>
  <c r="N140" i="3"/>
  <c r="N143" i="3"/>
  <c r="K153" i="3"/>
  <c r="AD306" i="13"/>
  <c r="C100" i="14" s="1"/>
  <c r="F100" i="14" s="1"/>
  <c r="AA184" i="13"/>
  <c r="D100" i="14" s="1"/>
  <c r="AA183" i="13"/>
  <c r="AA182" i="13"/>
  <c r="AA181" i="13"/>
  <c r="AA180" i="13"/>
  <c r="D184" i="13"/>
  <c r="F184" i="13" s="1"/>
  <c r="H184" i="13" s="1"/>
  <c r="J184" i="13" s="1"/>
  <c r="L184" i="13" s="1"/>
  <c r="N184" i="13" s="1"/>
  <c r="P184" i="13" s="1"/>
  <c r="R184" i="13" s="1"/>
  <c r="T184" i="13" s="1"/>
  <c r="E143" i="14"/>
  <c r="G147" i="13"/>
  <c r="F135" i="3"/>
  <c r="G209" i="13"/>
  <c r="F138" i="3"/>
  <c r="G212" i="13"/>
  <c r="K200" i="13"/>
  <c r="F126" i="5"/>
  <c r="F30" i="4"/>
  <c r="P30" i="4" s="1"/>
  <c r="I215" i="13"/>
  <c r="F141" i="4"/>
  <c r="F87" i="5"/>
  <c r="K161" i="13"/>
  <c r="G265" i="13"/>
  <c r="N72" i="3"/>
  <c r="Q72" i="3" s="1"/>
  <c r="N22" i="3"/>
  <c r="Q22" i="3" s="1"/>
  <c r="I264" i="13"/>
  <c r="N71" i="4"/>
  <c r="K314" i="13"/>
  <c r="N118" i="5"/>
  <c r="N152" i="5"/>
  <c r="K348" i="13"/>
  <c r="E125" i="6"/>
  <c r="Q125" i="6" s="1"/>
  <c r="M199" i="13"/>
  <c r="F125" i="6"/>
  <c r="Q21" i="5"/>
  <c r="P21" i="5"/>
  <c r="N45" i="3"/>
  <c r="G242" i="13"/>
  <c r="I254" i="13"/>
  <c r="N61" i="4"/>
  <c r="F86" i="5"/>
  <c r="K160" i="13"/>
  <c r="N87" i="6"/>
  <c r="M283" i="13"/>
  <c r="M259" i="13"/>
  <c r="N66" i="6"/>
  <c r="Q30" i="3"/>
  <c r="N58" i="3"/>
  <c r="G251" i="13"/>
  <c r="N131" i="4"/>
  <c r="I327" i="13"/>
  <c r="G248" i="13"/>
  <c r="N55" i="3"/>
  <c r="Q55" i="3" s="1"/>
  <c r="I118" i="13"/>
  <c r="F44" i="4"/>
  <c r="D43" i="4"/>
  <c r="E62" i="4" s="1"/>
  <c r="Q14" i="7"/>
  <c r="Q36" i="8"/>
  <c r="G322" i="13"/>
  <c r="N126" i="3"/>
  <c r="J38" i="4"/>
  <c r="M138" i="13"/>
  <c r="F64" i="6"/>
  <c r="F122" i="6"/>
  <c r="M196" i="13"/>
  <c r="K121" i="13"/>
  <c r="F76" i="6"/>
  <c r="M150" i="13"/>
  <c r="F143" i="3"/>
  <c r="G217" i="13"/>
  <c r="N34" i="3"/>
  <c r="Q34" i="3" s="1"/>
  <c r="G165" i="13"/>
  <c r="G172" i="13"/>
  <c r="N101" i="3"/>
  <c r="G297" i="13"/>
  <c r="L116" i="3"/>
  <c r="M134" i="3" s="1"/>
  <c r="K130" i="13"/>
  <c r="F56" i="5"/>
  <c r="N125" i="4"/>
  <c r="I321" i="13"/>
  <c r="F150" i="4"/>
  <c r="I224" i="13"/>
  <c r="N133" i="6"/>
  <c r="M329" i="13"/>
  <c r="Q20" i="8"/>
  <c r="G260" i="13"/>
  <c r="N67" i="3"/>
  <c r="Q67" i="3" s="1"/>
  <c r="G319" i="13"/>
  <c r="N123" i="3"/>
  <c r="N75" i="3"/>
  <c r="Q75" i="3" s="1"/>
  <c r="G268" i="13"/>
  <c r="I221" i="13"/>
  <c r="F147" i="4"/>
  <c r="P13" i="5"/>
  <c r="N133" i="5"/>
  <c r="K329" i="13"/>
  <c r="F14" i="4"/>
  <c r="Q14" i="4" s="1"/>
  <c r="K219" i="13"/>
  <c r="F145" i="5"/>
  <c r="Q13" i="3"/>
  <c r="F146" i="3"/>
  <c r="G220" i="13"/>
  <c r="Q14" i="3"/>
  <c r="F118" i="3"/>
  <c r="G192" i="13"/>
  <c r="K286" i="13"/>
  <c r="N90" i="5"/>
  <c r="M130" i="13"/>
  <c r="F56" i="6"/>
  <c r="N73" i="6"/>
  <c r="M266" i="13"/>
  <c r="M135" i="7"/>
  <c r="M142" i="7"/>
  <c r="M126" i="7"/>
  <c r="M150" i="7"/>
  <c r="M134" i="7"/>
  <c r="M118" i="7"/>
  <c r="M146" i="7"/>
  <c r="M130" i="7"/>
  <c r="N69" i="3"/>
  <c r="G262" i="13"/>
  <c r="G173" i="13"/>
  <c r="G298" i="13"/>
  <c r="G330" i="13"/>
  <c r="N134" i="3"/>
  <c r="F67" i="4"/>
  <c r="I141" i="13"/>
  <c r="N70" i="4"/>
  <c r="I263" i="13"/>
  <c r="F69" i="5"/>
  <c r="K143" i="13"/>
  <c r="M246" i="13"/>
  <c r="N51" i="6"/>
  <c r="P28" i="8"/>
  <c r="N141" i="4"/>
  <c r="I337" i="13"/>
  <c r="N91" i="6"/>
  <c r="M287" i="13"/>
  <c r="E117" i="6"/>
  <c r="Q117" i="6" s="1"/>
  <c r="M191" i="13"/>
  <c r="N125" i="6"/>
  <c r="M321" i="13"/>
  <c r="F146" i="6"/>
  <c r="M220" i="13"/>
  <c r="E149" i="6"/>
  <c r="Q149" i="6" s="1"/>
  <c r="M223" i="13"/>
  <c r="N55" i="7"/>
  <c r="O248" i="13"/>
  <c r="N64" i="7"/>
  <c r="O257" i="13"/>
  <c r="N88" i="7"/>
  <c r="O284" i="13"/>
  <c r="N95" i="7"/>
  <c r="O291" i="13"/>
  <c r="N127" i="7"/>
  <c r="O323" i="13"/>
  <c r="N143" i="7"/>
  <c r="O339" i="13"/>
  <c r="J7" i="8"/>
  <c r="K24" i="8" s="1"/>
  <c r="F57" i="8"/>
  <c r="Q131" i="13"/>
  <c r="N68" i="8"/>
  <c r="Q261" i="13"/>
  <c r="F72" i="8"/>
  <c r="Q72" i="8" s="1"/>
  <c r="Q146" i="13"/>
  <c r="N137" i="8"/>
  <c r="Q333" i="13"/>
  <c r="N59" i="9"/>
  <c r="S252" i="13"/>
  <c r="N86" i="9"/>
  <c r="S280" i="13"/>
  <c r="S318" i="13"/>
  <c r="N122" i="9"/>
  <c r="U249" i="13"/>
  <c r="N56" i="10"/>
  <c r="N67" i="12"/>
  <c r="Y260" i="13"/>
  <c r="Y267" i="13"/>
  <c r="N74" i="12"/>
  <c r="L116" i="12"/>
  <c r="M121" i="12" s="1"/>
  <c r="Y313" i="13"/>
  <c r="N121" i="12"/>
  <c r="Y317" i="13"/>
  <c r="Y142" i="13"/>
  <c r="F54" i="5"/>
  <c r="N66" i="5"/>
  <c r="K259" i="13"/>
  <c r="F48" i="5"/>
  <c r="N91" i="5"/>
  <c r="K287" i="13"/>
  <c r="N95" i="5"/>
  <c r="K291" i="13"/>
  <c r="N99" i="5"/>
  <c r="K295" i="13"/>
  <c r="N103" i="5"/>
  <c r="K299" i="13"/>
  <c r="F6" i="5"/>
  <c r="N119" i="5"/>
  <c r="K315" i="13"/>
  <c r="F123" i="5"/>
  <c r="N134" i="5"/>
  <c r="F142" i="5"/>
  <c r="N56" i="6"/>
  <c r="F59" i="6"/>
  <c r="F62" i="6"/>
  <c r="N64" i="6"/>
  <c r="N88" i="6"/>
  <c r="N101" i="6"/>
  <c r="M297" i="13"/>
  <c r="F117" i="6"/>
  <c r="L8" i="13" s="1"/>
  <c r="Q120" i="6"/>
  <c r="M194" i="13"/>
  <c r="E123" i="6"/>
  <c r="Q123" i="6" s="1"/>
  <c r="M197" i="13"/>
  <c r="N131" i="6"/>
  <c r="M327" i="13"/>
  <c r="M336" i="13"/>
  <c r="F149" i="6"/>
  <c r="Q152" i="6"/>
  <c r="M226" i="13"/>
  <c r="N45" i="7"/>
  <c r="O242" i="13"/>
  <c r="N73" i="7"/>
  <c r="O266" i="13"/>
  <c r="N76" i="7"/>
  <c r="O269" i="13"/>
  <c r="O277" i="13"/>
  <c r="F118" i="7"/>
  <c r="O192" i="13"/>
  <c r="N124" i="7"/>
  <c r="F134" i="7"/>
  <c r="O208" i="13"/>
  <c r="N140" i="7"/>
  <c r="F150" i="7"/>
  <c r="O224" i="13"/>
  <c r="F50" i="8"/>
  <c r="N65" i="8"/>
  <c r="Q258" i="13"/>
  <c r="N88" i="8"/>
  <c r="N102" i="8"/>
  <c r="N105" i="8"/>
  <c r="Q301" i="13"/>
  <c r="Q196" i="13"/>
  <c r="F122" i="8"/>
  <c r="N69" i="9"/>
  <c r="S262" i="13"/>
  <c r="S174" i="13"/>
  <c r="N145" i="9"/>
  <c r="N59" i="10"/>
  <c r="U252" i="13"/>
  <c r="U287" i="13"/>
  <c r="N131" i="10"/>
  <c r="U327" i="13"/>
  <c r="W292" i="13"/>
  <c r="N96" i="11"/>
  <c r="W300" i="13"/>
  <c r="N104" i="11"/>
  <c r="I119" i="13"/>
  <c r="Q132" i="13"/>
  <c r="N46" i="3"/>
  <c r="G243" i="13"/>
  <c r="F55" i="4"/>
  <c r="I129" i="13"/>
  <c r="F58" i="4"/>
  <c r="I132" i="13"/>
  <c r="N64" i="4"/>
  <c r="I257" i="13"/>
  <c r="N135" i="4"/>
  <c r="I331" i="13"/>
  <c r="G133" i="13"/>
  <c r="G277" i="13"/>
  <c r="G177" i="13"/>
  <c r="N132" i="3"/>
  <c r="F75" i="4"/>
  <c r="I149" i="13"/>
  <c r="F142" i="4"/>
  <c r="I216" i="13"/>
  <c r="D43" i="5"/>
  <c r="E58" i="5" s="1"/>
  <c r="K118" i="13"/>
  <c r="N123" i="5"/>
  <c r="K319" i="13"/>
  <c r="N74" i="6"/>
  <c r="M267" i="13"/>
  <c r="F126" i="6"/>
  <c r="M200" i="13"/>
  <c r="E129" i="6"/>
  <c r="Q129" i="6" s="1"/>
  <c r="M203" i="13"/>
  <c r="N137" i="6"/>
  <c r="M333" i="13"/>
  <c r="F51" i="7"/>
  <c r="O125" i="13"/>
  <c r="F56" i="7"/>
  <c r="O130" i="13"/>
  <c r="F65" i="7"/>
  <c r="O139" i="13"/>
  <c r="F68" i="7"/>
  <c r="O142" i="13"/>
  <c r="N70" i="7"/>
  <c r="O263" i="13"/>
  <c r="N92" i="7"/>
  <c r="O288" i="13"/>
  <c r="N99" i="7"/>
  <c r="O295" i="13"/>
  <c r="F131" i="7"/>
  <c r="O205" i="13"/>
  <c r="F147" i="7"/>
  <c r="O221" i="13"/>
  <c r="M153" i="7"/>
  <c r="O349" i="13"/>
  <c r="N60" i="8"/>
  <c r="Q253" i="13"/>
  <c r="F69" i="8"/>
  <c r="Q143" i="13"/>
  <c r="Q212" i="13"/>
  <c r="F138" i="8"/>
  <c r="F46" i="9"/>
  <c r="S120" i="13"/>
  <c r="S134" i="13"/>
  <c r="F60" i="9"/>
  <c r="S126" i="13"/>
  <c r="F52" i="9"/>
  <c r="N96" i="9"/>
  <c r="S292" i="13"/>
  <c r="N51" i="10"/>
  <c r="U246" i="13"/>
  <c r="U202" i="13"/>
  <c r="F128" i="10"/>
  <c r="N135" i="10"/>
  <c r="U331" i="13"/>
  <c r="N64" i="12"/>
  <c r="Y257" i="13"/>
  <c r="N101" i="12"/>
  <c r="Y297" i="13"/>
  <c r="N105" i="12"/>
  <c r="Y301" i="13"/>
  <c r="Y192" i="13"/>
  <c r="F118" i="12"/>
  <c r="F85" i="4"/>
  <c r="I159" i="13"/>
  <c r="I316" i="13"/>
  <c r="F63" i="5"/>
  <c r="K137" i="13"/>
  <c r="N149" i="5"/>
  <c r="K345" i="13"/>
  <c r="D7" i="3"/>
  <c r="E24" i="3" s="1"/>
  <c r="N70" i="3"/>
  <c r="Q70" i="3" s="1"/>
  <c r="G263" i="13"/>
  <c r="G126" i="13"/>
  <c r="N88" i="3"/>
  <c r="G284" i="13"/>
  <c r="N95" i="3"/>
  <c r="G291" i="13"/>
  <c r="F50" i="4"/>
  <c r="I124" i="13"/>
  <c r="F68" i="4"/>
  <c r="I142" i="13"/>
  <c r="F99" i="4"/>
  <c r="I173" i="13"/>
  <c r="N129" i="4"/>
  <c r="I325" i="13"/>
  <c r="F8" i="3"/>
  <c r="G139" i="13"/>
  <c r="N76" i="3"/>
  <c r="Q76" i="3" s="1"/>
  <c r="N129" i="3"/>
  <c r="F147" i="3"/>
  <c r="G221" i="13"/>
  <c r="F150" i="3"/>
  <c r="G224" i="13"/>
  <c r="N117" i="4"/>
  <c r="L22" i="13" s="1"/>
  <c r="I313" i="13"/>
  <c r="N123" i="4"/>
  <c r="I319" i="13"/>
  <c r="Q9" i="5"/>
  <c r="N52" i="6"/>
  <c r="M281" i="13"/>
  <c r="J7" i="3"/>
  <c r="K24" i="3" s="1"/>
  <c r="D43" i="3"/>
  <c r="G118" i="13"/>
  <c r="N62" i="3"/>
  <c r="G255" i="13"/>
  <c r="N73" i="3"/>
  <c r="Q73" i="3" s="1"/>
  <c r="G266" i="13"/>
  <c r="G163" i="13"/>
  <c r="N92" i="3"/>
  <c r="G288" i="13"/>
  <c r="N99" i="3"/>
  <c r="G295" i="13"/>
  <c r="M118" i="3"/>
  <c r="G337" i="13"/>
  <c r="D7" i="4"/>
  <c r="E24" i="4" s="1"/>
  <c r="N50" i="4"/>
  <c r="I245" i="13"/>
  <c r="N55" i="4"/>
  <c r="I248" i="13"/>
  <c r="N58" i="4"/>
  <c r="Q58" i="4" s="1"/>
  <c r="I251" i="13"/>
  <c r="F62" i="4"/>
  <c r="I136" i="13"/>
  <c r="N68" i="4"/>
  <c r="Q68" i="4" s="1"/>
  <c r="I261" i="13"/>
  <c r="I146" i="13"/>
  <c r="F130" i="4"/>
  <c r="I204" i="13"/>
  <c r="F133" i="4"/>
  <c r="F139" i="4"/>
  <c r="I344" i="13"/>
  <c r="F44" i="5"/>
  <c r="N57" i="5"/>
  <c r="K250" i="13"/>
  <c r="N63" i="5"/>
  <c r="F67" i="5"/>
  <c r="K141" i="13"/>
  <c r="F77" i="5"/>
  <c r="N88" i="5"/>
  <c r="F92" i="5"/>
  <c r="K166" i="13"/>
  <c r="F96" i="5"/>
  <c r="K170" i="13"/>
  <c r="F100" i="5"/>
  <c r="K174" i="13"/>
  <c r="F104" i="5"/>
  <c r="K178" i="13"/>
  <c r="N127" i="5"/>
  <c r="K323" i="13"/>
  <c r="F131" i="5"/>
  <c r="N142" i="5"/>
  <c r="F150" i="5"/>
  <c r="L7" i="6"/>
  <c r="N45" i="6"/>
  <c r="F65" i="6"/>
  <c r="M139" i="13"/>
  <c r="N98" i="6"/>
  <c r="M316" i="13"/>
  <c r="F129" i="6"/>
  <c r="Q132" i="6"/>
  <c r="M206" i="13"/>
  <c r="E135" i="6"/>
  <c r="Q135" i="6" s="1"/>
  <c r="M209" i="13"/>
  <c r="N143" i="6"/>
  <c r="M339" i="13"/>
  <c r="N146" i="6"/>
  <c r="M348" i="13"/>
  <c r="F59" i="7"/>
  <c r="F62" i="7"/>
  <c r="F77" i="7"/>
  <c r="Q77" i="7" s="1"/>
  <c r="O151" i="13"/>
  <c r="N52" i="7"/>
  <c r="O281" i="13"/>
  <c r="N118" i="7"/>
  <c r="O314" i="13"/>
  <c r="N121" i="7"/>
  <c r="N134" i="7"/>
  <c r="O330" i="13"/>
  <c r="N137" i="7"/>
  <c r="N150" i="7"/>
  <c r="O346" i="13"/>
  <c r="N153" i="7"/>
  <c r="N54" i="8"/>
  <c r="Q247" i="13"/>
  <c r="N57" i="8"/>
  <c r="N75" i="8"/>
  <c r="Q75" i="8" s="1"/>
  <c r="N85" i="8"/>
  <c r="N91" i="8"/>
  <c r="N122" i="8"/>
  <c r="N126" i="8"/>
  <c r="Q326" i="13"/>
  <c r="N130" i="8"/>
  <c r="N142" i="8"/>
  <c r="F150" i="8"/>
  <c r="N51" i="9"/>
  <c r="Q51" i="9" s="1"/>
  <c r="S246" i="13"/>
  <c r="F57" i="9"/>
  <c r="S131" i="13"/>
  <c r="S335" i="13"/>
  <c r="N142" i="9"/>
  <c r="U269" i="13"/>
  <c r="N76" i="10"/>
  <c r="U206" i="13"/>
  <c r="F132" i="10"/>
  <c r="P20" i="11"/>
  <c r="W255" i="13"/>
  <c r="N62" i="11"/>
  <c r="F29" i="12"/>
  <c r="Q29" i="12" s="1"/>
  <c r="K138" i="13"/>
  <c r="N147" i="4"/>
  <c r="I343" i="13"/>
  <c r="N50" i="7"/>
  <c r="O245" i="13"/>
  <c r="N59" i="3"/>
  <c r="G252" i="13"/>
  <c r="Q30" i="4"/>
  <c r="N139" i="9"/>
  <c r="Q27" i="10"/>
  <c r="U166" i="13"/>
  <c r="F92" i="10"/>
  <c r="W167" i="13"/>
  <c r="F93" i="11"/>
  <c r="D7" i="12"/>
  <c r="E24" i="12" s="1"/>
  <c r="Y139" i="13"/>
  <c r="F65" i="12"/>
  <c r="F98" i="12"/>
  <c r="Y172" i="13"/>
  <c r="F102" i="12"/>
  <c r="Y176" i="13"/>
  <c r="S132" i="13"/>
  <c r="Q29" i="5"/>
  <c r="N54" i="5"/>
  <c r="K247" i="13"/>
  <c r="N70" i="5"/>
  <c r="K263" i="13"/>
  <c r="N51" i="7"/>
  <c r="O246" i="13"/>
  <c r="N131" i="7"/>
  <c r="O327" i="13"/>
  <c r="M144" i="7"/>
  <c r="O340" i="13"/>
  <c r="N147" i="7"/>
  <c r="O343" i="13"/>
  <c r="N60" i="9"/>
  <c r="S253" i="13"/>
  <c r="N76" i="9"/>
  <c r="S269" i="13"/>
  <c r="G167" i="13"/>
  <c r="N103" i="3"/>
  <c r="G299" i="13"/>
  <c r="N121" i="3"/>
  <c r="M150" i="3"/>
  <c r="N153" i="3"/>
  <c r="G349" i="13"/>
  <c r="F59" i="4"/>
  <c r="I133" i="13"/>
  <c r="N62" i="4"/>
  <c r="I255" i="13"/>
  <c r="N65" i="4"/>
  <c r="I258" i="13"/>
  <c r="F69" i="4"/>
  <c r="Q69" i="4" s="1"/>
  <c r="I143" i="13"/>
  <c r="E86" i="4"/>
  <c r="I320" i="13"/>
  <c r="N145" i="4"/>
  <c r="I341" i="13"/>
  <c r="N151" i="4"/>
  <c r="I347" i="13"/>
  <c r="L78" i="5"/>
  <c r="K241" i="13"/>
  <c r="N49" i="5"/>
  <c r="F23" i="13" s="1"/>
  <c r="N48" i="5"/>
  <c r="N92" i="5"/>
  <c r="N96" i="5"/>
  <c r="N100" i="5"/>
  <c r="N104" i="5"/>
  <c r="N124" i="5"/>
  <c r="K320" i="13"/>
  <c r="N135" i="5"/>
  <c r="K331" i="13"/>
  <c r="F139" i="5"/>
  <c r="N150" i="5"/>
  <c r="F46" i="6"/>
  <c r="M120" i="13"/>
  <c r="F70" i="6"/>
  <c r="F75" i="6"/>
  <c r="N92" i="6"/>
  <c r="N123" i="6"/>
  <c r="M319" i="13"/>
  <c r="M328" i="13"/>
  <c r="M218" i="13"/>
  <c r="E147" i="6"/>
  <c r="Q147" i="6" s="1"/>
  <c r="M221" i="13"/>
  <c r="J7" i="7"/>
  <c r="K24" i="7" s="1"/>
  <c r="N62" i="7"/>
  <c r="O255" i="13"/>
  <c r="N65" i="7"/>
  <c r="Q65" i="7" s="1"/>
  <c r="O258" i="13"/>
  <c r="F71" i="7"/>
  <c r="N89" i="7"/>
  <c r="O285" i="13"/>
  <c r="F122" i="7"/>
  <c r="O196" i="13"/>
  <c r="N128" i="7"/>
  <c r="F138" i="7"/>
  <c r="O212" i="13"/>
  <c r="N144" i="7"/>
  <c r="N50" i="8"/>
  <c r="F61" i="8"/>
  <c r="N63" i="8"/>
  <c r="Q63" i="8" s="1"/>
  <c r="N97" i="8"/>
  <c r="Q293" i="13"/>
  <c r="N150" i="8"/>
  <c r="N13" i="9"/>
  <c r="Q13" i="9" s="1"/>
  <c r="S243" i="13"/>
  <c r="N46" i="9"/>
  <c r="F64" i="9"/>
  <c r="S138" i="13"/>
  <c r="N73" i="9"/>
  <c r="Q73" i="9" s="1"/>
  <c r="S167" i="13"/>
  <c r="F93" i="9"/>
  <c r="S179" i="13"/>
  <c r="F143" i="9"/>
  <c r="S217" i="13"/>
  <c r="L7" i="10"/>
  <c r="M24" i="10" s="1"/>
  <c r="N46" i="10"/>
  <c r="U243" i="13"/>
  <c r="U266" i="13"/>
  <c r="N73" i="10"/>
  <c r="Q73" i="10" s="1"/>
  <c r="F77" i="10"/>
  <c r="U151" i="13"/>
  <c r="N52" i="10"/>
  <c r="N52" i="11"/>
  <c r="W281" i="13"/>
  <c r="Q10" i="12"/>
  <c r="Y133" i="13"/>
  <c r="F59" i="12"/>
  <c r="F62" i="12"/>
  <c r="Q62" i="12" s="1"/>
  <c r="Y136" i="13"/>
  <c r="N149" i="12"/>
  <c r="Y345" i="13"/>
  <c r="N153" i="12"/>
  <c r="Y349" i="13"/>
  <c r="S130" i="13"/>
  <c r="N96" i="7"/>
  <c r="O292" i="13"/>
  <c r="N103" i="7"/>
  <c r="O299" i="13"/>
  <c r="F46" i="8"/>
  <c r="Q120" i="13"/>
  <c r="N69" i="8"/>
  <c r="Q262" i="13"/>
  <c r="S171" i="13"/>
  <c r="F97" i="9"/>
  <c r="G137" i="13"/>
  <c r="N65" i="3"/>
  <c r="Q65" i="3" s="1"/>
  <c r="G258" i="13"/>
  <c r="N96" i="3"/>
  <c r="G292" i="13"/>
  <c r="G174" i="13"/>
  <c r="L43" i="3"/>
  <c r="M61" i="3" s="1"/>
  <c r="G241" i="13"/>
  <c r="N56" i="3"/>
  <c r="G249" i="13"/>
  <c r="G134" i="13"/>
  <c r="G278" i="13"/>
  <c r="G127" i="13"/>
  <c r="N89" i="3"/>
  <c r="G285" i="13"/>
  <c r="F119" i="3"/>
  <c r="G193" i="13"/>
  <c r="N124" i="3"/>
  <c r="F139" i="3"/>
  <c r="G213" i="13"/>
  <c r="F142" i="3"/>
  <c r="G216" i="13"/>
  <c r="N147" i="3"/>
  <c r="N150" i="3"/>
  <c r="F46" i="4"/>
  <c r="I120" i="13"/>
  <c r="F51" i="4"/>
  <c r="E56" i="4"/>
  <c r="N72" i="4"/>
  <c r="I265" i="13"/>
  <c r="F76" i="4"/>
  <c r="I150" i="13"/>
  <c r="F86" i="4"/>
  <c r="E87" i="4"/>
  <c r="F100" i="4"/>
  <c r="E103" i="4"/>
  <c r="N124" i="4"/>
  <c r="N130" i="4"/>
  <c r="N133" i="4"/>
  <c r="I329" i="13"/>
  <c r="N139" i="4"/>
  <c r="I335" i="13"/>
  <c r="F58" i="5"/>
  <c r="F61" i="5"/>
  <c r="K135" i="13"/>
  <c r="N67" i="5"/>
  <c r="F71" i="5"/>
  <c r="K145" i="13"/>
  <c r="N74" i="5"/>
  <c r="Q74" i="5" s="1"/>
  <c r="K267" i="13"/>
  <c r="N77" i="5"/>
  <c r="F117" i="5"/>
  <c r="L7" i="13" s="1"/>
  <c r="N128" i="5"/>
  <c r="K324" i="13"/>
  <c r="N139" i="5"/>
  <c r="K335" i="13"/>
  <c r="F143" i="5"/>
  <c r="N50" i="6"/>
  <c r="N65" i="6"/>
  <c r="M258" i="13"/>
  <c r="N72" i="6"/>
  <c r="F6" i="6"/>
  <c r="N102" i="6"/>
  <c r="F118" i="6"/>
  <c r="M192" i="13"/>
  <c r="E121" i="6"/>
  <c r="Q121" i="6" s="1"/>
  <c r="M195" i="13"/>
  <c r="N129" i="6"/>
  <c r="M325" i="13"/>
  <c r="N132" i="6"/>
  <c r="E144" i="6"/>
  <c r="Q144" i="6" s="1"/>
  <c r="F147" i="6"/>
  <c r="F150" i="6"/>
  <c r="M224" i="13"/>
  <c r="E153" i="6"/>
  <c r="Q153" i="6" s="1"/>
  <c r="M227" i="13"/>
  <c r="L7" i="7"/>
  <c r="M33" i="7" s="1"/>
  <c r="N46" i="7"/>
  <c r="O243" i="13"/>
  <c r="N56" i="7"/>
  <c r="Q56" i="7" s="1"/>
  <c r="N59" i="7"/>
  <c r="O252" i="13"/>
  <c r="N68" i="7"/>
  <c r="N74" i="7"/>
  <c r="O267" i="13"/>
  <c r="N48" i="7"/>
  <c r="N100" i="7"/>
  <c r="O296" i="13"/>
  <c r="F119" i="7"/>
  <c r="O193" i="13"/>
  <c r="F135" i="7"/>
  <c r="O209" i="13"/>
  <c r="F151" i="7"/>
  <c r="O225" i="13"/>
  <c r="F80" i="8"/>
  <c r="F55" i="8"/>
  <c r="N66" i="8"/>
  <c r="Q66" i="8" s="1"/>
  <c r="Q259" i="13"/>
  <c r="F73" i="8"/>
  <c r="Q147" i="13"/>
  <c r="Q277" i="13"/>
  <c r="N100" i="8"/>
  <c r="N103" i="8"/>
  <c r="Q193" i="13"/>
  <c r="F119" i="8"/>
  <c r="N123" i="8"/>
  <c r="Q319" i="13"/>
  <c r="D80" i="9"/>
  <c r="F61" i="9"/>
  <c r="S135" i="13"/>
  <c r="S151" i="13"/>
  <c r="F77" i="9"/>
  <c r="S316" i="13"/>
  <c r="N120" i="9"/>
  <c r="N70" i="10"/>
  <c r="Q70" i="10" s="1"/>
  <c r="U263" i="13"/>
  <c r="U278" i="13"/>
  <c r="N121" i="10"/>
  <c r="U317" i="13"/>
  <c r="Q26" i="12"/>
  <c r="P26" i="12"/>
  <c r="M151" i="13"/>
  <c r="N120" i="5"/>
  <c r="K316" i="13"/>
  <c r="N131" i="5"/>
  <c r="K327" i="13"/>
  <c r="N59" i="6"/>
  <c r="M252" i="13"/>
  <c r="N117" i="6"/>
  <c r="L24" i="13" s="1"/>
  <c r="M313" i="13"/>
  <c r="F138" i="6"/>
  <c r="M212" i="13"/>
  <c r="N74" i="3"/>
  <c r="Q74" i="3" s="1"/>
  <c r="G267" i="13"/>
  <c r="G171" i="13"/>
  <c r="N100" i="3"/>
  <c r="G296" i="13"/>
  <c r="G178" i="13"/>
  <c r="F122" i="3"/>
  <c r="G196" i="13"/>
  <c r="K34" i="4"/>
  <c r="N47" i="4"/>
  <c r="J22" i="13" s="1"/>
  <c r="I277" i="13"/>
  <c r="N121" i="4"/>
  <c r="I317" i="13"/>
  <c r="N127" i="4"/>
  <c r="I323" i="13"/>
  <c r="F146" i="4"/>
  <c r="I220" i="13"/>
  <c r="P17" i="5"/>
  <c r="N64" i="5"/>
  <c r="Q64" i="5" s="1"/>
  <c r="K257" i="13"/>
  <c r="F85" i="5"/>
  <c r="K159" i="13"/>
  <c r="N132" i="5"/>
  <c r="K328" i="13"/>
  <c r="N143" i="5"/>
  <c r="K339" i="13"/>
  <c r="Q19" i="6"/>
  <c r="F68" i="6"/>
  <c r="M142" i="13"/>
  <c r="N85" i="6"/>
  <c r="M279" i="13"/>
  <c r="N89" i="6"/>
  <c r="M285" i="13"/>
  <c r="N99" i="6"/>
  <c r="M295" i="13"/>
  <c r="M198" i="13"/>
  <c r="E127" i="6"/>
  <c r="Q127" i="6" s="1"/>
  <c r="M201" i="13"/>
  <c r="N135" i="6"/>
  <c r="M331" i="13"/>
  <c r="M340" i="13"/>
  <c r="D43" i="7"/>
  <c r="E57" i="7" s="1"/>
  <c r="O118" i="13"/>
  <c r="F63" i="7"/>
  <c r="Q63" i="7" s="1"/>
  <c r="O137" i="13"/>
  <c r="N71" i="7"/>
  <c r="O264" i="13"/>
  <c r="N93" i="7"/>
  <c r="O289" i="13"/>
  <c r="N122" i="7"/>
  <c r="O318" i="13"/>
  <c r="N138" i="7"/>
  <c r="O334" i="13"/>
  <c r="F70" i="8"/>
  <c r="N47" i="8"/>
  <c r="J26" i="13" s="1"/>
  <c r="N89" i="8"/>
  <c r="Q285" i="13"/>
  <c r="N127" i="8"/>
  <c r="Q323" i="13"/>
  <c r="N131" i="8"/>
  <c r="Q327" i="13"/>
  <c r="F135" i="8"/>
  <c r="F139" i="8"/>
  <c r="N143" i="8"/>
  <c r="Q339" i="13"/>
  <c r="F147" i="8"/>
  <c r="Q225" i="13"/>
  <c r="F151" i="8"/>
  <c r="F49" i="9"/>
  <c r="S123" i="13"/>
  <c r="N67" i="9"/>
  <c r="Q67" i="9" s="1"/>
  <c r="N70" i="9"/>
  <c r="S263" i="13"/>
  <c r="F127" i="9"/>
  <c r="S201" i="13"/>
  <c r="S349" i="13"/>
  <c r="N153" i="9"/>
  <c r="N77" i="10"/>
  <c r="U270" i="13"/>
  <c r="U127" i="13"/>
  <c r="F53" i="10"/>
  <c r="E118" i="10"/>
  <c r="U192" i="13"/>
  <c r="F118" i="10"/>
  <c r="W134" i="13"/>
  <c r="F60" i="11"/>
  <c r="W127" i="13"/>
  <c r="F53" i="11"/>
  <c r="N137" i="11"/>
  <c r="W333" i="13"/>
  <c r="N141" i="11"/>
  <c r="W337" i="13"/>
  <c r="Y287" i="13"/>
  <c r="N91" i="12"/>
  <c r="Y220" i="13"/>
  <c r="F146" i="12"/>
  <c r="Y224" i="13"/>
  <c r="F150" i="12"/>
  <c r="M137" i="13"/>
  <c r="E124" i="6"/>
  <c r="Q124" i="6" s="1"/>
  <c r="F127" i="6"/>
  <c r="F130" i="6"/>
  <c r="M204" i="13"/>
  <c r="E133" i="6"/>
  <c r="Q133" i="6" s="1"/>
  <c r="M207" i="13"/>
  <c r="N141" i="6"/>
  <c r="M337" i="13"/>
  <c r="N144" i="6"/>
  <c r="F49" i="7"/>
  <c r="O123" i="13"/>
  <c r="F66" i="7"/>
  <c r="N53" i="7"/>
  <c r="N104" i="7"/>
  <c r="O300" i="13"/>
  <c r="N119" i="7"/>
  <c r="O315" i="13"/>
  <c r="M122" i="7"/>
  <c r="F129" i="7"/>
  <c r="N135" i="7"/>
  <c r="O331" i="13"/>
  <c r="M138" i="7"/>
  <c r="F145" i="7"/>
  <c r="M148" i="7"/>
  <c r="O344" i="13"/>
  <c r="N151" i="7"/>
  <c r="O347" i="13"/>
  <c r="F44" i="8"/>
  <c r="N46" i="8"/>
  <c r="N58" i="8"/>
  <c r="Q58" i="8" s="1"/>
  <c r="Q251" i="13"/>
  <c r="N61" i="8"/>
  <c r="F64" i="8"/>
  <c r="F67" i="8"/>
  <c r="Q141" i="13"/>
  <c r="N73" i="8"/>
  <c r="Q266" i="13"/>
  <c r="N135" i="8"/>
  <c r="Q331" i="13"/>
  <c r="N139" i="8"/>
  <c r="Q335" i="13"/>
  <c r="N151" i="8"/>
  <c r="Q347" i="13"/>
  <c r="M21" i="9"/>
  <c r="N54" i="9"/>
  <c r="Q54" i="9" s="1"/>
  <c r="N64" i="9"/>
  <c r="Q64" i="9" s="1"/>
  <c r="N140" i="9"/>
  <c r="S336" i="13"/>
  <c r="E122" i="10"/>
  <c r="U196" i="13"/>
  <c r="F122" i="10"/>
  <c r="Q18" i="11"/>
  <c r="F52" i="12"/>
  <c r="Y126" i="13"/>
  <c r="Y338" i="13"/>
  <c r="N142" i="12"/>
  <c r="Y342" i="13"/>
  <c r="N146" i="12"/>
  <c r="M135" i="13"/>
  <c r="F88" i="5"/>
  <c r="K162" i="13"/>
  <c r="F95" i="5"/>
  <c r="K169" i="13"/>
  <c r="F99" i="5"/>
  <c r="K173" i="13"/>
  <c r="F103" i="5"/>
  <c r="K177" i="13"/>
  <c r="L7" i="3"/>
  <c r="M24" i="3" s="1"/>
  <c r="N51" i="3"/>
  <c r="G246" i="13"/>
  <c r="N52" i="3"/>
  <c r="G281" i="13"/>
  <c r="N45" i="4"/>
  <c r="Q45" i="4" s="1"/>
  <c r="I242" i="13"/>
  <c r="N75" i="4"/>
  <c r="I268" i="13"/>
  <c r="F118" i="4"/>
  <c r="I192" i="13"/>
  <c r="F151" i="3"/>
  <c r="G225" i="13"/>
  <c r="F73" i="4"/>
  <c r="I147" i="13"/>
  <c r="F134" i="4"/>
  <c r="I208" i="13"/>
  <c r="I348" i="13"/>
  <c r="Q33" i="5"/>
  <c r="F68" i="5"/>
  <c r="K142" i="13"/>
  <c r="F75" i="5"/>
  <c r="K149" i="13"/>
  <c r="L116" i="5"/>
  <c r="M137" i="5" s="1"/>
  <c r="K313" i="13"/>
  <c r="N136" i="5"/>
  <c r="K332" i="13"/>
  <c r="N147" i="5"/>
  <c r="K343" i="13"/>
  <c r="L43" i="6"/>
  <c r="M74" i="6" s="1"/>
  <c r="M243" i="13"/>
  <c r="N60" i="6"/>
  <c r="M253" i="13"/>
  <c r="N70" i="6"/>
  <c r="M263" i="13"/>
  <c r="G124" i="13"/>
  <c r="N60" i="3"/>
  <c r="G253" i="13"/>
  <c r="N63" i="3"/>
  <c r="Q63" i="3" s="1"/>
  <c r="G146" i="13"/>
  <c r="G149" i="13"/>
  <c r="G175" i="13"/>
  <c r="N104" i="3"/>
  <c r="G300" i="13"/>
  <c r="M142" i="3"/>
  <c r="M145" i="3"/>
  <c r="G341" i="13"/>
  <c r="N46" i="4"/>
  <c r="N51" i="4"/>
  <c r="N56" i="4"/>
  <c r="I249" i="13"/>
  <c r="N76" i="4"/>
  <c r="Q76" i="4" s="1"/>
  <c r="I122" i="13"/>
  <c r="F94" i="4"/>
  <c r="I168" i="13"/>
  <c r="F122" i="4"/>
  <c r="I196" i="13"/>
  <c r="F125" i="4"/>
  <c r="F131" i="4"/>
  <c r="I336" i="13"/>
  <c r="N152" i="4"/>
  <c r="N45" i="5"/>
  <c r="K242" i="13"/>
  <c r="N58" i="5"/>
  <c r="K251" i="13"/>
  <c r="N61" i="5"/>
  <c r="F65" i="5"/>
  <c r="Q65" i="5" s="1"/>
  <c r="K139" i="13"/>
  <c r="N71" i="5"/>
  <c r="N93" i="5"/>
  <c r="N97" i="5"/>
  <c r="N101" i="5"/>
  <c r="N105" i="5"/>
  <c r="N121" i="5"/>
  <c r="K317" i="13"/>
  <c r="F129" i="5"/>
  <c r="N140" i="5"/>
  <c r="K336" i="13"/>
  <c r="N151" i="5"/>
  <c r="K347" i="13"/>
  <c r="D43" i="6"/>
  <c r="E49" i="6" s="1"/>
  <c r="M118" i="13"/>
  <c r="F51" i="6"/>
  <c r="M125" i="13"/>
  <c r="F66" i="6"/>
  <c r="F73" i="6"/>
  <c r="M147" i="13"/>
  <c r="N75" i="6"/>
  <c r="Q75" i="6" s="1"/>
  <c r="N96" i="6"/>
  <c r="N118" i="6"/>
  <c r="M320" i="13"/>
  <c r="F133" i="6"/>
  <c r="Q136" i="6"/>
  <c r="M210" i="13"/>
  <c r="E139" i="6"/>
  <c r="Q139" i="6" s="1"/>
  <c r="M213" i="13"/>
  <c r="N147" i="6"/>
  <c r="M343" i="13"/>
  <c r="N150" i="6"/>
  <c r="F57" i="7"/>
  <c r="F69" i="7"/>
  <c r="F72" i="7"/>
  <c r="O146" i="13"/>
  <c r="F75" i="7"/>
  <c r="F6" i="7"/>
  <c r="N97" i="7"/>
  <c r="O293" i="13"/>
  <c r="F126" i="7"/>
  <c r="O200" i="13"/>
  <c r="N132" i="7"/>
  <c r="F142" i="7"/>
  <c r="O216" i="13"/>
  <c r="N148" i="7"/>
  <c r="F51" i="8"/>
  <c r="N55" i="8"/>
  <c r="Q55" i="8" s="1"/>
  <c r="Q248" i="13"/>
  <c r="N86" i="8"/>
  <c r="N92" i="8"/>
  <c r="N124" i="8"/>
  <c r="Q320" i="13"/>
  <c r="N21" i="9"/>
  <c r="P21" i="9" s="1"/>
  <c r="N61" i="9"/>
  <c r="S254" i="13"/>
  <c r="F68" i="9"/>
  <c r="S142" i="13"/>
  <c r="F71" i="9"/>
  <c r="S145" i="13"/>
  <c r="S164" i="13"/>
  <c r="F90" i="9"/>
  <c r="F98" i="9"/>
  <c r="F65" i="10"/>
  <c r="U139" i="13"/>
  <c r="N130" i="11"/>
  <c r="W326" i="13"/>
  <c r="L116" i="11"/>
  <c r="M131" i="11" s="1"/>
  <c r="N134" i="11"/>
  <c r="W330" i="13"/>
  <c r="F21" i="12"/>
  <c r="E21" i="12"/>
  <c r="F127" i="3"/>
  <c r="G201" i="13"/>
  <c r="F130" i="3"/>
  <c r="G204" i="13"/>
  <c r="N62" i="6"/>
  <c r="M255" i="13"/>
  <c r="N149" i="6"/>
  <c r="M345" i="13"/>
  <c r="G164" i="13"/>
  <c r="F43" i="3"/>
  <c r="G161" i="13"/>
  <c r="F131" i="3"/>
  <c r="G205" i="13"/>
  <c r="F134" i="3"/>
  <c r="G208" i="13"/>
  <c r="N66" i="4"/>
  <c r="I259" i="13"/>
  <c r="F70" i="4"/>
  <c r="Q70" i="4" s="1"/>
  <c r="I144" i="13"/>
  <c r="N73" i="4"/>
  <c r="I266" i="13"/>
  <c r="N149" i="4"/>
  <c r="I345" i="13"/>
  <c r="N125" i="5"/>
  <c r="K321" i="13"/>
  <c r="N144" i="5"/>
  <c r="K340" i="13"/>
  <c r="P23" i="6"/>
  <c r="P29" i="6"/>
  <c r="M123" i="13"/>
  <c r="N55" i="6"/>
  <c r="Q55" i="6" s="1"/>
  <c r="M248" i="13"/>
  <c r="N103" i="6"/>
  <c r="M299" i="13"/>
  <c r="N121" i="6"/>
  <c r="M317" i="13"/>
  <c r="F142" i="6"/>
  <c r="M216" i="13"/>
  <c r="E145" i="6"/>
  <c r="Q145" i="6" s="1"/>
  <c r="M219" i="13"/>
  <c r="N153" i="6"/>
  <c r="M349" i="13"/>
  <c r="N60" i="7"/>
  <c r="Q60" i="7" s="1"/>
  <c r="O253" i="13"/>
  <c r="O259" i="13"/>
  <c r="N85" i="7"/>
  <c r="O279" i="13"/>
  <c r="F123" i="7"/>
  <c r="O197" i="13"/>
  <c r="F139" i="7"/>
  <c r="O213" i="13"/>
  <c r="M145" i="7"/>
  <c r="O341" i="13"/>
  <c r="F59" i="8"/>
  <c r="Q133" i="13"/>
  <c r="N70" i="8"/>
  <c r="Q263" i="13"/>
  <c r="Q283" i="13"/>
  <c r="N120" i="8"/>
  <c r="Q316" i="13"/>
  <c r="N128" i="8"/>
  <c r="Q324" i="13"/>
  <c r="N132" i="8"/>
  <c r="Q328" i="13"/>
  <c r="N144" i="8"/>
  <c r="Q340" i="13"/>
  <c r="N44" i="9"/>
  <c r="N78" i="9" s="1"/>
  <c r="S241" i="13"/>
  <c r="L43" i="9"/>
  <c r="M72" i="9" s="1"/>
  <c r="N49" i="9"/>
  <c r="S244" i="13"/>
  <c r="S176" i="13"/>
  <c r="F102" i="9"/>
  <c r="S320" i="13"/>
  <c r="N124" i="9"/>
  <c r="S333" i="13"/>
  <c r="N137" i="9"/>
  <c r="S346" i="13"/>
  <c r="N150" i="9"/>
  <c r="N74" i="10"/>
  <c r="U267" i="13"/>
  <c r="U314" i="13"/>
  <c r="N118" i="10"/>
  <c r="W201" i="13"/>
  <c r="F127" i="11"/>
  <c r="N131" i="12"/>
  <c r="Y327" i="13"/>
  <c r="O150" i="13"/>
  <c r="N153" i="5"/>
  <c r="K349" i="13"/>
  <c r="G122" i="13"/>
  <c r="E90" i="4"/>
  <c r="I164" i="13"/>
  <c r="F96" i="4"/>
  <c r="I170" i="13"/>
  <c r="I332" i="13"/>
  <c r="N60" i="5"/>
  <c r="K253" i="13"/>
  <c r="M270" i="13"/>
  <c r="N95" i="6"/>
  <c r="M291" i="13"/>
  <c r="N105" i="6"/>
  <c r="M301" i="13"/>
  <c r="E141" i="6"/>
  <c r="Q141" i="6" s="1"/>
  <c r="M215" i="13"/>
  <c r="G159" i="13"/>
  <c r="G282" i="13"/>
  <c r="N93" i="3"/>
  <c r="G289" i="13"/>
  <c r="N97" i="3"/>
  <c r="G293" i="13"/>
  <c r="N142" i="3"/>
  <c r="Q22" i="4"/>
  <c r="Q25" i="4"/>
  <c r="F60" i="4"/>
  <c r="I134" i="13"/>
  <c r="I324" i="13"/>
  <c r="N146" i="4"/>
  <c r="D7" i="5"/>
  <c r="E24" i="5" s="1"/>
  <c r="N50" i="5"/>
  <c r="K245" i="13"/>
  <c r="N68" i="5"/>
  <c r="K261" i="13"/>
  <c r="N85" i="5"/>
  <c r="K279" i="13"/>
  <c r="N66" i="3"/>
  <c r="Q66" i="3" s="1"/>
  <c r="N85" i="3"/>
  <c r="G279" i="13"/>
  <c r="G179" i="13"/>
  <c r="F35" i="4"/>
  <c r="P35" i="4" s="1"/>
  <c r="F57" i="4"/>
  <c r="I131" i="13"/>
  <c r="N60" i="4"/>
  <c r="I253" i="13"/>
  <c r="N63" i="4"/>
  <c r="Q63" i="4" s="1"/>
  <c r="I151" i="13"/>
  <c r="L116" i="4"/>
  <c r="M120" i="4" s="1"/>
  <c r="N128" i="4"/>
  <c r="N137" i="4"/>
  <c r="I333" i="13"/>
  <c r="N143" i="4"/>
  <c r="I339" i="13"/>
  <c r="F72" i="5"/>
  <c r="K146" i="13"/>
  <c r="N75" i="5"/>
  <c r="Q75" i="5" s="1"/>
  <c r="F90" i="5"/>
  <c r="N106" i="5"/>
  <c r="K302" i="13"/>
  <c r="AA302" i="13" s="1"/>
  <c r="F118" i="5"/>
  <c r="N129" i="5"/>
  <c r="K325" i="13"/>
  <c r="F137" i="5"/>
  <c r="N148" i="5"/>
  <c r="K344" i="13"/>
  <c r="L78" i="6"/>
  <c r="L79" i="6" s="1"/>
  <c r="M241" i="13"/>
  <c r="F49" i="6"/>
  <c r="F58" i="6"/>
  <c r="M132" i="13"/>
  <c r="N68" i="6"/>
  <c r="F71" i="6"/>
  <c r="N93" i="6"/>
  <c r="M289" i="13"/>
  <c r="E119" i="6"/>
  <c r="Q119" i="6" s="1"/>
  <c r="M193" i="13"/>
  <c r="N127" i="6"/>
  <c r="M323" i="13"/>
  <c r="M332" i="13"/>
  <c r="F145" i="6"/>
  <c r="Q148" i="6"/>
  <c r="M222" i="13"/>
  <c r="E151" i="6"/>
  <c r="Q151" i="6" s="1"/>
  <c r="M225" i="13"/>
  <c r="N17" i="7"/>
  <c r="Q17" i="7" s="1"/>
  <c r="L43" i="7"/>
  <c r="M66" i="7" s="1"/>
  <c r="O241" i="13"/>
  <c r="N54" i="7"/>
  <c r="N57" i="7"/>
  <c r="O250" i="13"/>
  <c r="N66" i="7"/>
  <c r="N101" i="7"/>
  <c r="O297" i="13"/>
  <c r="F117" i="7"/>
  <c r="L9" i="13" s="1"/>
  <c r="N126" i="7"/>
  <c r="O322" i="13"/>
  <c r="N129" i="7"/>
  <c r="N142" i="7"/>
  <c r="O338" i="13"/>
  <c r="N145" i="7"/>
  <c r="K33" i="8"/>
  <c r="L43" i="8"/>
  <c r="M75" i="8" s="1"/>
  <c r="Q241" i="13"/>
  <c r="F49" i="8"/>
  <c r="F62" i="8"/>
  <c r="N64" i="8"/>
  <c r="Q257" i="13"/>
  <c r="N67" i="8"/>
  <c r="Q67" i="8" s="1"/>
  <c r="F77" i="8"/>
  <c r="N87" i="8"/>
  <c r="N98" i="8"/>
  <c r="N101" i="8"/>
  <c r="Q297" i="13"/>
  <c r="N140" i="8"/>
  <c r="Q336" i="13"/>
  <c r="N148" i="8"/>
  <c r="Q344" i="13"/>
  <c r="N71" i="9"/>
  <c r="S264" i="13"/>
  <c r="F131" i="9"/>
  <c r="S205" i="13"/>
  <c r="U248" i="13"/>
  <c r="N55" i="10"/>
  <c r="Q55" i="10" s="1"/>
  <c r="W267" i="13"/>
  <c r="N74" i="11"/>
  <c r="Q74" i="11" s="1"/>
  <c r="W205" i="13"/>
  <c r="F131" i="11"/>
  <c r="N135" i="12"/>
  <c r="Y331" i="13"/>
  <c r="G125" i="13"/>
  <c r="S330" i="13"/>
  <c r="N134" i="9"/>
  <c r="F151" i="9"/>
  <c r="S225" i="13"/>
  <c r="U264" i="13"/>
  <c r="N71" i="10"/>
  <c r="Q71" i="10" s="1"/>
  <c r="F75" i="10"/>
  <c r="U149" i="13"/>
  <c r="F44" i="11"/>
  <c r="W118" i="13"/>
  <c r="W244" i="13"/>
  <c r="N49" i="11"/>
  <c r="F28" i="13" s="1"/>
  <c r="Q54" i="11"/>
  <c r="N69" i="7"/>
  <c r="O262" i="13"/>
  <c r="N75" i="7"/>
  <c r="O268" i="13"/>
  <c r="O160" i="13"/>
  <c r="N87" i="7"/>
  <c r="O283" i="13"/>
  <c r="N123" i="7"/>
  <c r="O319" i="13"/>
  <c r="N139" i="7"/>
  <c r="O335" i="13"/>
  <c r="M152" i="7"/>
  <c r="O348" i="13"/>
  <c r="F71" i="8"/>
  <c r="Q145" i="13"/>
  <c r="S124" i="13"/>
  <c r="F50" i="9"/>
  <c r="N85" i="9"/>
  <c r="S279" i="13"/>
  <c r="G160" i="13"/>
  <c r="N87" i="3"/>
  <c r="G283" i="13"/>
  <c r="L157" i="3"/>
  <c r="L158" i="3" s="1"/>
  <c r="G313" i="13"/>
  <c r="F123" i="3"/>
  <c r="G197" i="13"/>
  <c r="E92" i="4"/>
  <c r="I166" i="13"/>
  <c r="N119" i="4"/>
  <c r="I315" i="13"/>
  <c r="F138" i="4"/>
  <c r="I212" i="13"/>
  <c r="N72" i="5"/>
  <c r="K265" i="13"/>
  <c r="F76" i="5"/>
  <c r="Q76" i="5" s="1"/>
  <c r="K150" i="13"/>
  <c r="N137" i="5"/>
  <c r="K333" i="13"/>
  <c r="J7" i="6"/>
  <c r="K24" i="6" s="1"/>
  <c r="M254" i="13"/>
  <c r="M277" i="13"/>
  <c r="L116" i="6"/>
  <c r="M152" i="6" s="1"/>
  <c r="Q128" i="6"/>
  <c r="M202" i="13"/>
  <c r="E131" i="6"/>
  <c r="Q131" i="6" s="1"/>
  <c r="M205" i="13"/>
  <c r="N139" i="6"/>
  <c r="M335" i="13"/>
  <c r="M344" i="13"/>
  <c r="F55" i="7"/>
  <c r="O129" i="13"/>
  <c r="F58" i="7"/>
  <c r="O132" i="13"/>
  <c r="F64" i="7"/>
  <c r="F67" i="7"/>
  <c r="O141" i="13"/>
  <c r="N72" i="7"/>
  <c r="Q72" i="7" s="1"/>
  <c r="N105" i="7"/>
  <c r="O301" i="13"/>
  <c r="N120" i="7"/>
  <c r="F130" i="7"/>
  <c r="O204" i="13"/>
  <c r="N136" i="7"/>
  <c r="F146" i="7"/>
  <c r="O220" i="13"/>
  <c r="N152" i="7"/>
  <c r="D7" i="8"/>
  <c r="E24" i="8" s="1"/>
  <c r="N51" i="8"/>
  <c r="N59" i="8"/>
  <c r="Q252" i="13"/>
  <c r="F68" i="8"/>
  <c r="Q68" i="8" s="1"/>
  <c r="Q142" i="13"/>
  <c r="N74" i="8"/>
  <c r="Q74" i="8" s="1"/>
  <c r="N48" i="8"/>
  <c r="N90" i="8"/>
  <c r="F117" i="8"/>
  <c r="L10" i="13" s="1"/>
  <c r="F121" i="8"/>
  <c r="F129" i="8"/>
  <c r="F133" i="8"/>
  <c r="Q215" i="13"/>
  <c r="F141" i="8"/>
  <c r="F45" i="9"/>
  <c r="Q45" i="9" s="1"/>
  <c r="N55" i="9"/>
  <c r="S248" i="13"/>
  <c r="N65" i="9"/>
  <c r="S258" i="13"/>
  <c r="N68" i="9"/>
  <c r="Q68" i="9" s="1"/>
  <c r="N128" i="9"/>
  <c r="S324" i="13"/>
  <c r="U245" i="13"/>
  <c r="N50" i="10"/>
  <c r="Q50" i="10" s="1"/>
  <c r="U133" i="13"/>
  <c r="N65" i="10"/>
  <c r="N68" i="10"/>
  <c r="Q68" i="10" s="1"/>
  <c r="U299" i="13"/>
  <c r="N103" i="10"/>
  <c r="Q18" i="12"/>
  <c r="Y243" i="13"/>
  <c r="N46" i="12"/>
  <c r="Q46" i="12" s="1"/>
  <c r="F54" i="12"/>
  <c r="Y128" i="13"/>
  <c r="O134" i="13"/>
  <c r="F8" i="8"/>
  <c r="N49" i="8"/>
  <c r="N56" i="8"/>
  <c r="Q249" i="13"/>
  <c r="N62" i="8"/>
  <c r="F65" i="8"/>
  <c r="Q65" i="8" s="1"/>
  <c r="N71" i="8"/>
  <c r="Q264" i="13"/>
  <c r="N77" i="8"/>
  <c r="N125" i="8"/>
  <c r="Q321" i="13"/>
  <c r="F137" i="8"/>
  <c r="F149" i="8"/>
  <c r="F153" i="8"/>
  <c r="M29" i="9"/>
  <c r="S160" i="13"/>
  <c r="F86" i="9"/>
  <c r="F122" i="9"/>
  <c r="S196" i="13"/>
  <c r="N151" i="9"/>
  <c r="F59" i="10"/>
  <c r="F97" i="10"/>
  <c r="U171" i="13"/>
  <c r="F100" i="10"/>
  <c r="N12" i="12"/>
  <c r="P12" i="12" s="1"/>
  <c r="N15" i="12"/>
  <c r="Y270" i="13"/>
  <c r="N77" i="12"/>
  <c r="Q150" i="13"/>
  <c r="F61" i="7"/>
  <c r="Q61" i="7" s="1"/>
  <c r="O135" i="13"/>
  <c r="P22" i="3"/>
  <c r="G120" i="13"/>
  <c r="G144" i="13"/>
  <c r="G169" i="13"/>
  <c r="G294" i="13"/>
  <c r="G176" i="13"/>
  <c r="N105" i="3"/>
  <c r="G301" i="13"/>
  <c r="F126" i="3"/>
  <c r="G200" i="13"/>
  <c r="F71" i="4"/>
  <c r="I145" i="13"/>
  <c r="N77" i="4"/>
  <c r="I270" i="13"/>
  <c r="F105" i="4"/>
  <c r="I179" i="13"/>
  <c r="F126" i="4"/>
  <c r="I200" i="13"/>
  <c r="I340" i="13"/>
  <c r="P25" i="5"/>
  <c r="N51" i="5"/>
  <c r="K246" i="13"/>
  <c r="N62" i="5"/>
  <c r="Q62" i="5" s="1"/>
  <c r="K255" i="13"/>
  <c r="K277" i="13"/>
  <c r="N87" i="5"/>
  <c r="K283" i="13"/>
  <c r="N141" i="5"/>
  <c r="K337" i="13"/>
  <c r="F153" i="5"/>
  <c r="K227" i="13"/>
  <c r="N58" i="6"/>
  <c r="M251" i="13"/>
  <c r="N97" i="6"/>
  <c r="M293" i="13"/>
  <c r="F134" i="6"/>
  <c r="M208" i="13"/>
  <c r="E137" i="6"/>
  <c r="Q137" i="6" s="1"/>
  <c r="M211" i="13"/>
  <c r="N145" i="6"/>
  <c r="M341" i="13"/>
  <c r="P27" i="7"/>
  <c r="F50" i="7"/>
  <c r="O124" i="13"/>
  <c r="N86" i="7"/>
  <c r="O280" i="13"/>
  <c r="N91" i="7"/>
  <c r="O287" i="13"/>
  <c r="L157" i="7"/>
  <c r="L158" i="7" s="1"/>
  <c r="O313" i="13"/>
  <c r="F127" i="7"/>
  <c r="O201" i="13"/>
  <c r="F143" i="7"/>
  <c r="O217" i="13"/>
  <c r="M149" i="7"/>
  <c r="O345" i="13"/>
  <c r="N10" i="3"/>
  <c r="Q10" i="3" s="1"/>
  <c r="N64" i="3"/>
  <c r="Q64" i="3" s="1"/>
  <c r="G70" i="3"/>
  <c r="G121" i="13"/>
  <c r="N86" i="3"/>
  <c r="G280" i="13"/>
  <c r="G162" i="13"/>
  <c r="N91" i="3"/>
  <c r="G287" i="13"/>
  <c r="N120" i="3"/>
  <c r="M146" i="3"/>
  <c r="M149" i="3"/>
  <c r="G345" i="13"/>
  <c r="L78" i="4"/>
  <c r="I241" i="13"/>
  <c r="N49" i="4"/>
  <c r="N54" i="4"/>
  <c r="I247" i="13"/>
  <c r="N57" i="4"/>
  <c r="N67" i="4"/>
  <c r="Q67" i="4" s="1"/>
  <c r="I260" i="13"/>
  <c r="N74" i="4"/>
  <c r="Q74" i="4" s="1"/>
  <c r="F53" i="4"/>
  <c r="I127" i="13"/>
  <c r="F89" i="4"/>
  <c r="I163" i="13"/>
  <c r="E95" i="4"/>
  <c r="F102" i="4"/>
  <c r="I176" i="13"/>
  <c r="F117" i="4"/>
  <c r="L6" i="13" s="1"/>
  <c r="F123" i="4"/>
  <c r="I328" i="13"/>
  <c r="N144" i="4"/>
  <c r="N150" i="4"/>
  <c r="N153" i="4"/>
  <c r="I349" i="13"/>
  <c r="F80" i="5"/>
  <c r="L43" i="5"/>
  <c r="M77" i="5" s="1"/>
  <c r="N46" i="5"/>
  <c r="Q46" i="5" s="1"/>
  <c r="K243" i="13"/>
  <c r="N56" i="5"/>
  <c r="K249" i="13"/>
  <c r="N59" i="5"/>
  <c r="F66" i="5"/>
  <c r="N69" i="5"/>
  <c r="Q69" i="5" s="1"/>
  <c r="F73" i="5"/>
  <c r="Q73" i="5" s="1"/>
  <c r="K147" i="13"/>
  <c r="N86" i="5"/>
  <c r="F91" i="5"/>
  <c r="K165" i="13"/>
  <c r="N126" i="5"/>
  <c r="F134" i="5"/>
  <c r="N145" i="5"/>
  <c r="K341" i="13"/>
  <c r="F45" i="6"/>
  <c r="N49" i="6"/>
  <c r="N71" i="6"/>
  <c r="F74" i="6"/>
  <c r="N76" i="6"/>
  <c r="M269" i="13"/>
  <c r="N104" i="6"/>
  <c r="N119" i="6"/>
  <c r="M315" i="13"/>
  <c r="N122" i="6"/>
  <c r="M324" i="13"/>
  <c r="F137" i="6"/>
  <c r="Q140" i="6"/>
  <c r="M214" i="13"/>
  <c r="E143" i="6"/>
  <c r="Q143" i="6" s="1"/>
  <c r="M217" i="13"/>
  <c r="N151" i="6"/>
  <c r="M347" i="13"/>
  <c r="N33" i="7"/>
  <c r="Q33" i="7" s="1"/>
  <c r="F70" i="7"/>
  <c r="F73" i="7"/>
  <c r="O147" i="13"/>
  <c r="N117" i="7"/>
  <c r="L25" i="13" s="1"/>
  <c r="N130" i="7"/>
  <c r="O326" i="13"/>
  <c r="N133" i="7"/>
  <c r="N146" i="7"/>
  <c r="O342" i="13"/>
  <c r="N149" i="7"/>
  <c r="K11" i="8"/>
  <c r="P31" i="8"/>
  <c r="N52" i="8"/>
  <c r="Q281" i="13"/>
  <c r="N93" i="8"/>
  <c r="Q289" i="13"/>
  <c r="Q295" i="13"/>
  <c r="L116" i="8"/>
  <c r="M130" i="8" s="1"/>
  <c r="Q313" i="13"/>
  <c r="N121" i="8"/>
  <c r="Q317" i="13"/>
  <c r="N129" i="8"/>
  <c r="Q325" i="13"/>
  <c r="N141" i="8"/>
  <c r="Q337" i="13"/>
  <c r="N145" i="8"/>
  <c r="Q341" i="13"/>
  <c r="F66" i="9"/>
  <c r="S140" i="13"/>
  <c r="N91" i="9"/>
  <c r="S287" i="13"/>
  <c r="N95" i="9"/>
  <c r="S291" i="13"/>
  <c r="N148" i="9"/>
  <c r="S344" i="13"/>
  <c r="Q30" i="10"/>
  <c r="F69" i="10"/>
  <c r="U143" i="13"/>
  <c r="F100" i="11"/>
  <c r="W174" i="13"/>
  <c r="I139" i="13"/>
  <c r="Q148" i="13"/>
  <c r="AA148" i="13" s="1"/>
  <c r="G166" i="13"/>
  <c r="M27" i="10"/>
  <c r="F52" i="10"/>
  <c r="U126" i="13"/>
  <c r="N96" i="10"/>
  <c r="U292" i="13"/>
  <c r="U298" i="13"/>
  <c r="E121" i="10"/>
  <c r="U195" i="13"/>
  <c r="F131" i="10"/>
  <c r="U205" i="13"/>
  <c r="N134" i="10"/>
  <c r="U330" i="13"/>
  <c r="E142" i="10"/>
  <c r="U216" i="13"/>
  <c r="N145" i="10"/>
  <c r="U341" i="13"/>
  <c r="E149" i="10"/>
  <c r="U223" i="13"/>
  <c r="N152" i="10"/>
  <c r="U348" i="13"/>
  <c r="Q8" i="11"/>
  <c r="F96" i="11"/>
  <c r="W170" i="13"/>
  <c r="F56" i="12"/>
  <c r="N70" i="12"/>
  <c r="Q70" i="12" s="1"/>
  <c r="Y263" i="13"/>
  <c r="Y277" i="13"/>
  <c r="F105" i="12"/>
  <c r="Y179" i="13"/>
  <c r="N124" i="12"/>
  <c r="Y320" i="13"/>
  <c r="E153" i="12"/>
  <c r="Y227" i="13"/>
  <c r="U147" i="13"/>
  <c r="U131" i="13"/>
  <c r="Y125" i="13"/>
  <c r="N124" i="10"/>
  <c r="U320" i="13"/>
  <c r="F135" i="10"/>
  <c r="U209" i="13"/>
  <c r="N138" i="10"/>
  <c r="U334" i="13"/>
  <c r="E146" i="10"/>
  <c r="U220" i="13"/>
  <c r="N149" i="10"/>
  <c r="U345" i="13"/>
  <c r="E153" i="10"/>
  <c r="U227" i="13"/>
  <c r="F104" i="11"/>
  <c r="W178" i="13"/>
  <c r="F48" i="12"/>
  <c r="Y122" i="13"/>
  <c r="N128" i="12"/>
  <c r="Y324" i="13"/>
  <c r="S147" i="13"/>
  <c r="U129" i="13"/>
  <c r="W143" i="13"/>
  <c r="W125" i="13"/>
  <c r="N88" i="9"/>
  <c r="S284" i="13"/>
  <c r="L157" i="9"/>
  <c r="S353" i="13" s="1"/>
  <c r="S313" i="13"/>
  <c r="K13" i="10"/>
  <c r="K25" i="10"/>
  <c r="K34" i="10"/>
  <c r="N88" i="10"/>
  <c r="U284" i="13"/>
  <c r="E125" i="10"/>
  <c r="U199" i="13"/>
  <c r="N128" i="10"/>
  <c r="U324" i="13"/>
  <c r="F139" i="10"/>
  <c r="U213" i="13"/>
  <c r="N142" i="10"/>
  <c r="U338" i="13"/>
  <c r="E150" i="10"/>
  <c r="U224" i="13"/>
  <c r="N153" i="10"/>
  <c r="U349" i="13"/>
  <c r="D80" i="11"/>
  <c r="F85" i="11"/>
  <c r="W159" i="13"/>
  <c r="N89" i="11"/>
  <c r="W285" i="13"/>
  <c r="D43" i="12"/>
  <c r="E63" i="12" s="1"/>
  <c r="N52" i="12"/>
  <c r="Y281" i="13"/>
  <c r="N132" i="12"/>
  <c r="Y328" i="13"/>
  <c r="U125" i="13"/>
  <c r="W141" i="13"/>
  <c r="Y119" i="13"/>
  <c r="N139" i="10"/>
  <c r="U335" i="13"/>
  <c r="N138" i="11"/>
  <c r="W334" i="13"/>
  <c r="N145" i="11"/>
  <c r="W341" i="13"/>
  <c r="N59" i="12"/>
  <c r="Q59" i="12" s="1"/>
  <c r="Y252" i="13"/>
  <c r="N68" i="12"/>
  <c r="Q68" i="12" s="1"/>
  <c r="Y261" i="13"/>
  <c r="F89" i="12"/>
  <c r="Y163" i="13"/>
  <c r="N125" i="12"/>
  <c r="Y321" i="13"/>
  <c r="N139" i="12"/>
  <c r="Y335" i="13"/>
  <c r="S128" i="13"/>
  <c r="U124" i="13"/>
  <c r="W140" i="13"/>
  <c r="W120" i="13"/>
  <c r="N136" i="8"/>
  <c r="Q332" i="13"/>
  <c r="N147" i="8"/>
  <c r="Q343" i="13"/>
  <c r="N74" i="9"/>
  <c r="S267" i="13"/>
  <c r="S163" i="13"/>
  <c r="F92" i="9"/>
  <c r="N117" i="9"/>
  <c r="N116" i="9" s="1"/>
  <c r="F123" i="9"/>
  <c r="S197" i="13"/>
  <c r="S339" i="13"/>
  <c r="K10" i="10"/>
  <c r="M19" i="10"/>
  <c r="M22" i="10"/>
  <c r="U279" i="13"/>
  <c r="F89" i="10"/>
  <c r="U163" i="13"/>
  <c r="N100" i="10"/>
  <c r="U296" i="13"/>
  <c r="U178" i="13"/>
  <c r="N125" i="10"/>
  <c r="U321" i="13"/>
  <c r="E129" i="10"/>
  <c r="U203" i="13"/>
  <c r="N132" i="10"/>
  <c r="U328" i="13"/>
  <c r="F136" i="10"/>
  <c r="F143" i="10"/>
  <c r="U217" i="13"/>
  <c r="N146" i="10"/>
  <c r="U342" i="13"/>
  <c r="N63" i="11"/>
  <c r="Q63" i="11" s="1"/>
  <c r="W256" i="13"/>
  <c r="F72" i="11"/>
  <c r="N93" i="11"/>
  <c r="W289" i="13"/>
  <c r="L78" i="12"/>
  <c r="L79" i="12" s="1"/>
  <c r="Y241" i="13"/>
  <c r="N49" i="12"/>
  <c r="Y244" i="13"/>
  <c r="N65" i="12"/>
  <c r="Q65" i="12" s="1"/>
  <c r="Y258" i="13"/>
  <c r="F53" i="12"/>
  <c r="Y127" i="13"/>
  <c r="N118" i="12"/>
  <c r="F122" i="12"/>
  <c r="N136" i="12"/>
  <c r="Y332" i="13"/>
  <c r="N150" i="12"/>
  <c r="U141" i="13"/>
  <c r="U123" i="13"/>
  <c r="N92" i="9"/>
  <c r="S288" i="13"/>
  <c r="N99" i="9"/>
  <c r="S295" i="13"/>
  <c r="F126" i="9"/>
  <c r="S200" i="13"/>
  <c r="N152" i="9"/>
  <c r="S348" i="13"/>
  <c r="D43" i="10"/>
  <c r="E59" i="10" s="1"/>
  <c r="N54" i="10"/>
  <c r="U247" i="13"/>
  <c r="N63" i="10"/>
  <c r="Q63" i="10" s="1"/>
  <c r="U256" i="13"/>
  <c r="N75" i="10"/>
  <c r="U268" i="13"/>
  <c r="N143" i="10"/>
  <c r="U339" i="13"/>
  <c r="N57" i="11"/>
  <c r="N66" i="11"/>
  <c r="Q66" i="11" s="1"/>
  <c r="W259" i="13"/>
  <c r="F87" i="11"/>
  <c r="W161" i="13"/>
  <c r="F90" i="11"/>
  <c r="N97" i="11"/>
  <c r="W293" i="13"/>
  <c r="F105" i="11"/>
  <c r="N117" i="11"/>
  <c r="L28" i="13" s="1"/>
  <c r="W313" i="13"/>
  <c r="N124" i="11"/>
  <c r="N131" i="11"/>
  <c r="N142" i="11"/>
  <c r="W338" i="13"/>
  <c r="N149" i="11"/>
  <c r="W345" i="13"/>
  <c r="E8" i="12"/>
  <c r="N44" i="12"/>
  <c r="N54" i="12"/>
  <c r="F57" i="12"/>
  <c r="N92" i="12"/>
  <c r="N129" i="12"/>
  <c r="Y325" i="13"/>
  <c r="N143" i="12"/>
  <c r="Y339" i="13"/>
  <c r="U140" i="13"/>
  <c r="Y118" i="13"/>
  <c r="F96" i="9"/>
  <c r="F103" i="9"/>
  <c r="F118" i="9"/>
  <c r="S192" i="13"/>
  <c r="N149" i="9"/>
  <c r="K29" i="10"/>
  <c r="N57" i="10"/>
  <c r="Q57" i="10" s="1"/>
  <c r="U250" i="13"/>
  <c r="N66" i="10"/>
  <c r="Q66" i="10" s="1"/>
  <c r="U291" i="13"/>
  <c r="F98" i="10"/>
  <c r="F101" i="10"/>
  <c r="U175" i="13"/>
  <c r="F104" i="10"/>
  <c r="F119" i="10"/>
  <c r="U193" i="13"/>
  <c r="E126" i="10"/>
  <c r="U200" i="13"/>
  <c r="N129" i="10"/>
  <c r="U325" i="13"/>
  <c r="E133" i="10"/>
  <c r="U207" i="13"/>
  <c r="N136" i="10"/>
  <c r="U332" i="13"/>
  <c r="F140" i="10"/>
  <c r="F147" i="10"/>
  <c r="U221" i="13"/>
  <c r="N150" i="10"/>
  <c r="U346" i="13"/>
  <c r="N69" i="11"/>
  <c r="Q69" i="11" s="1"/>
  <c r="N75" i="11"/>
  <c r="Q75" i="11" s="1"/>
  <c r="H80" i="11"/>
  <c r="N101" i="11"/>
  <c r="W297" i="13"/>
  <c r="F139" i="11"/>
  <c r="P30" i="12"/>
  <c r="N75" i="12"/>
  <c r="Q75" i="12" s="1"/>
  <c r="Y268" i="13"/>
  <c r="N89" i="12"/>
  <c r="Y285" i="13"/>
  <c r="N140" i="12"/>
  <c r="Y336" i="13"/>
  <c r="E151" i="12"/>
  <c r="Y225" i="13"/>
  <c r="U119" i="13"/>
  <c r="W137" i="13"/>
  <c r="N132" i="9"/>
  <c r="O132" i="9" s="1"/>
  <c r="S328" i="13"/>
  <c r="F135" i="9"/>
  <c r="S209" i="13"/>
  <c r="Q14" i="10"/>
  <c r="N69" i="10"/>
  <c r="Q69" i="10" s="1"/>
  <c r="U262" i="13"/>
  <c r="N72" i="10"/>
  <c r="Q72" i="10" s="1"/>
  <c r="U265" i="13"/>
  <c r="U282" i="13"/>
  <c r="N119" i="10"/>
  <c r="U315" i="13"/>
  <c r="N147" i="10"/>
  <c r="U343" i="13"/>
  <c r="P19" i="11"/>
  <c r="F86" i="11"/>
  <c r="W160" i="13"/>
  <c r="N105" i="11"/>
  <c r="W301" i="13"/>
  <c r="N121" i="11"/>
  <c r="W317" i="13"/>
  <c r="N146" i="11"/>
  <c r="W342" i="13"/>
  <c r="N153" i="11"/>
  <c r="W349" i="13"/>
  <c r="J7" i="12"/>
  <c r="K24" i="12" s="1"/>
  <c r="N72" i="12"/>
  <c r="Q72" i="12" s="1"/>
  <c r="Y265" i="13"/>
  <c r="F93" i="12"/>
  <c r="Y167" i="13"/>
  <c r="N133" i="12"/>
  <c r="Y329" i="13"/>
  <c r="N147" i="12"/>
  <c r="Y343" i="13"/>
  <c r="U138" i="13"/>
  <c r="W136" i="13"/>
  <c r="Q282" i="13"/>
  <c r="N133" i="8"/>
  <c r="Q329" i="13"/>
  <c r="N152" i="8"/>
  <c r="Q348" i="13"/>
  <c r="M37" i="9"/>
  <c r="N103" i="9"/>
  <c r="S299" i="13"/>
  <c r="N129" i="9"/>
  <c r="S331" i="13"/>
  <c r="M35" i="10"/>
  <c r="N44" i="10"/>
  <c r="U241" i="13"/>
  <c r="F76" i="10"/>
  <c r="F47" i="10"/>
  <c r="J12" i="13" s="1"/>
  <c r="U121" i="13"/>
  <c r="N92" i="10"/>
  <c r="U288" i="13"/>
  <c r="N104" i="10"/>
  <c r="U300" i="13"/>
  <c r="N122" i="10"/>
  <c r="E130" i="10"/>
  <c r="U204" i="13"/>
  <c r="N133" i="10"/>
  <c r="U329" i="13"/>
  <c r="E137" i="10"/>
  <c r="U211" i="13"/>
  <c r="N140" i="10"/>
  <c r="U336" i="13"/>
  <c r="F144" i="10"/>
  <c r="F151" i="10"/>
  <c r="U225" i="13"/>
  <c r="N45" i="11"/>
  <c r="W242" i="13"/>
  <c r="N50" i="11"/>
  <c r="Q50" i="11" s="1"/>
  <c r="F47" i="11"/>
  <c r="J13" i="13" s="1"/>
  <c r="F91" i="11"/>
  <c r="W165" i="13"/>
  <c r="F98" i="11"/>
  <c r="F143" i="11"/>
  <c r="L7" i="12"/>
  <c r="M24" i="12" s="1"/>
  <c r="F55" i="12"/>
  <c r="N57" i="12"/>
  <c r="N60" i="12"/>
  <c r="Q60" i="12" s="1"/>
  <c r="N85" i="12"/>
  <c r="F90" i="12"/>
  <c r="Y164" i="13"/>
  <c r="N96" i="12"/>
  <c r="F100" i="12"/>
  <c r="N126" i="12"/>
  <c r="F130" i="12"/>
  <c r="N144" i="12"/>
  <c r="Y340" i="13"/>
  <c r="U137" i="13"/>
  <c r="Y149" i="13"/>
  <c r="N144" i="9"/>
  <c r="S340" i="13"/>
  <c r="F147" i="9"/>
  <c r="S221" i="13"/>
  <c r="N64" i="10"/>
  <c r="U257" i="13"/>
  <c r="U294" i="13"/>
  <c r="N151" i="10"/>
  <c r="U347" i="13"/>
  <c r="L43" i="11"/>
  <c r="M49" i="11" s="1"/>
  <c r="W248" i="13"/>
  <c r="N118" i="11"/>
  <c r="W314" i="13"/>
  <c r="N125" i="11"/>
  <c r="W321" i="13"/>
  <c r="N150" i="11"/>
  <c r="W346" i="13"/>
  <c r="N63" i="12"/>
  <c r="Y256" i="13"/>
  <c r="N119" i="12"/>
  <c r="Y315" i="13"/>
  <c r="N137" i="12"/>
  <c r="Y333" i="13"/>
  <c r="N151" i="12"/>
  <c r="Y347" i="13"/>
  <c r="U118" i="13"/>
  <c r="U136" i="13"/>
  <c r="N75" i="9"/>
  <c r="S268" i="13"/>
  <c r="N100" i="9"/>
  <c r="S296" i="13"/>
  <c r="N141" i="9"/>
  <c r="S343" i="13"/>
  <c r="M11" i="10"/>
  <c r="M14" i="10"/>
  <c r="N67" i="10"/>
  <c r="Q67" i="10" s="1"/>
  <c r="U260" i="13"/>
  <c r="U277" i="13"/>
  <c r="F90" i="10"/>
  <c r="F93" i="10"/>
  <c r="U167" i="13"/>
  <c r="F105" i="10"/>
  <c r="U179" i="13"/>
  <c r="E117" i="10"/>
  <c r="U191" i="13"/>
  <c r="F120" i="10"/>
  <c r="F123" i="10"/>
  <c r="U197" i="13"/>
  <c r="N126" i="10"/>
  <c r="U322" i="13"/>
  <c r="E134" i="10"/>
  <c r="U208" i="13"/>
  <c r="N137" i="10"/>
  <c r="U333" i="13"/>
  <c r="E141" i="10"/>
  <c r="U215" i="13"/>
  <c r="N144" i="10"/>
  <c r="U340" i="13"/>
  <c r="F148" i="10"/>
  <c r="N61" i="11"/>
  <c r="F88" i="11"/>
  <c r="W162" i="13"/>
  <c r="F95" i="11"/>
  <c r="W169" i="13"/>
  <c r="F147" i="11"/>
  <c r="L43" i="12"/>
  <c r="M66" i="12" s="1"/>
  <c r="Y242" i="13"/>
  <c r="N66" i="12"/>
  <c r="Q66" i="12" s="1"/>
  <c r="N69" i="12"/>
  <c r="Q69" i="12" s="1"/>
  <c r="N93" i="12"/>
  <c r="Y289" i="13"/>
  <c r="F97" i="12"/>
  <c r="Y171" i="13"/>
  <c r="N100" i="12"/>
  <c r="F104" i="12"/>
  <c r="N130" i="12"/>
  <c r="N148" i="12"/>
  <c r="Y344" i="13"/>
  <c r="U135" i="13"/>
  <c r="W149" i="13"/>
  <c r="W133" i="13"/>
  <c r="Y147" i="13"/>
  <c r="N123" i="10"/>
  <c r="U319" i="13"/>
  <c r="N73" i="11"/>
  <c r="Q73" i="11" s="1"/>
  <c r="W266" i="13"/>
  <c r="N47" i="11"/>
  <c r="J28" i="13" s="1"/>
  <c r="W277" i="13"/>
  <c r="F99" i="11"/>
  <c r="W173" i="13"/>
  <c r="N122" i="11"/>
  <c r="W318" i="13"/>
  <c r="N129" i="11"/>
  <c r="W325" i="13"/>
  <c r="Y266" i="13"/>
  <c r="F47" i="12"/>
  <c r="Y121" i="13"/>
  <c r="Y300" i="13"/>
  <c r="N123" i="12"/>
  <c r="Y319" i="13"/>
  <c r="N141" i="12"/>
  <c r="Y337" i="13"/>
  <c r="U134" i="13"/>
  <c r="Y146" i="13"/>
  <c r="N149" i="8"/>
  <c r="Q345" i="13"/>
  <c r="S175" i="13"/>
  <c r="F104" i="9"/>
  <c r="L116" i="9"/>
  <c r="M119" i="9" s="1"/>
  <c r="F119" i="9"/>
  <c r="S193" i="13"/>
  <c r="N121" i="9"/>
  <c r="K21" i="10"/>
  <c r="K33" i="10"/>
  <c r="N86" i="10"/>
  <c r="U280" i="13"/>
  <c r="U295" i="13"/>
  <c r="F102" i="10"/>
  <c r="N120" i="10"/>
  <c r="U316" i="13"/>
  <c r="F127" i="10"/>
  <c r="U201" i="13"/>
  <c r="N130" i="10"/>
  <c r="U326" i="13"/>
  <c r="E138" i="10"/>
  <c r="U212" i="13"/>
  <c r="N141" i="10"/>
  <c r="U337" i="13"/>
  <c r="E145" i="10"/>
  <c r="U219" i="13"/>
  <c r="N148" i="10"/>
  <c r="U344" i="13"/>
  <c r="F152" i="10"/>
  <c r="N46" i="11"/>
  <c r="Q46" i="11" s="1"/>
  <c r="W243" i="13"/>
  <c r="N51" i="11"/>
  <c r="Q51" i="11" s="1"/>
  <c r="W246" i="13"/>
  <c r="N67" i="11"/>
  <c r="Q67" i="11" s="1"/>
  <c r="N70" i="11"/>
  <c r="Q70" i="11" s="1"/>
  <c r="N76" i="11"/>
  <c r="F52" i="11"/>
  <c r="N88" i="11"/>
  <c r="F103" i="11"/>
  <c r="W177" i="13"/>
  <c r="F119" i="11"/>
  <c r="F151" i="11"/>
  <c r="E37" i="12"/>
  <c r="F64" i="12"/>
  <c r="Q64" i="12" s="1"/>
  <c r="N73" i="12"/>
  <c r="Q73" i="12" s="1"/>
  <c r="N76" i="12"/>
  <c r="Q76" i="12" s="1"/>
  <c r="N87" i="12"/>
  <c r="F94" i="12"/>
  <c r="Y168" i="13"/>
  <c r="F101" i="12"/>
  <c r="Y175" i="13"/>
  <c r="N104" i="12"/>
  <c r="N120" i="12"/>
  <c r="Y316" i="13"/>
  <c r="N134" i="12"/>
  <c r="F138" i="12"/>
  <c r="N152" i="12"/>
  <c r="Y348" i="13"/>
  <c r="Y145" i="13"/>
  <c r="N119" i="8"/>
  <c r="Q315" i="13"/>
  <c r="F123" i="8"/>
  <c r="F142" i="8"/>
  <c r="N153" i="8"/>
  <c r="Q349" i="13"/>
  <c r="N63" i="9"/>
  <c r="S256" i="13"/>
  <c r="S121" i="13"/>
  <c r="N87" i="9"/>
  <c r="S283" i="13"/>
  <c r="F94" i="9"/>
  <c r="N104" i="9"/>
  <c r="S300" i="13"/>
  <c r="N136" i="9"/>
  <c r="S332" i="13"/>
  <c r="F139" i="9"/>
  <c r="S213" i="13"/>
  <c r="F142" i="9"/>
  <c r="K27" i="10"/>
  <c r="K30" i="10"/>
  <c r="L43" i="10"/>
  <c r="M60" i="10" s="1"/>
  <c r="U242" i="13"/>
  <c r="U286" i="13"/>
  <c r="L116" i="10"/>
  <c r="M118" i="10" s="1"/>
  <c r="U313" i="13"/>
  <c r="N127" i="10"/>
  <c r="U323" i="13"/>
  <c r="Q28" i="11"/>
  <c r="F92" i="11"/>
  <c r="W166" i="13"/>
  <c r="N126" i="11"/>
  <c r="W322" i="13"/>
  <c r="N133" i="11"/>
  <c r="W329" i="13"/>
  <c r="N140" i="11"/>
  <c r="Q17" i="12"/>
  <c r="N58" i="12"/>
  <c r="Q58" i="12" s="1"/>
  <c r="Y251" i="13"/>
  <c r="N97" i="12"/>
  <c r="Y293" i="13"/>
  <c r="N127" i="12"/>
  <c r="Y323" i="13"/>
  <c r="N145" i="12"/>
  <c r="Y341" i="13"/>
  <c r="W130" i="13"/>
  <c r="Y144" i="13"/>
  <c r="P9" i="12"/>
  <c r="Q19" i="12"/>
  <c r="P28" i="12"/>
  <c r="M77" i="12"/>
  <c r="M62" i="12"/>
  <c r="M57" i="12"/>
  <c r="M60" i="12"/>
  <c r="M58" i="12"/>
  <c r="M74" i="12"/>
  <c r="M51" i="12"/>
  <c r="M55" i="12"/>
  <c r="M54" i="12"/>
  <c r="M71" i="12"/>
  <c r="M46" i="12"/>
  <c r="Q11" i="12"/>
  <c r="Q22" i="12"/>
  <c r="Q31" i="12"/>
  <c r="P31" i="12"/>
  <c r="Q14" i="12"/>
  <c r="P20" i="12"/>
  <c r="Q23" i="12"/>
  <c r="P23" i="12"/>
  <c r="Q28" i="12"/>
  <c r="P37" i="12"/>
  <c r="M61" i="12"/>
  <c r="Q9" i="12"/>
  <c r="Q15" i="12"/>
  <c r="P15" i="12"/>
  <c r="Q20" i="12"/>
  <c r="Q37" i="12"/>
  <c r="Q67" i="12"/>
  <c r="M138" i="12"/>
  <c r="M118" i="12"/>
  <c r="M146" i="12"/>
  <c r="M142" i="12"/>
  <c r="M134" i="12"/>
  <c r="M126" i="12"/>
  <c r="M137" i="12"/>
  <c r="M133" i="12"/>
  <c r="M129" i="12"/>
  <c r="M125" i="12"/>
  <c r="M150" i="12"/>
  <c r="M122" i="12"/>
  <c r="M56" i="12"/>
  <c r="K74" i="12"/>
  <c r="K77" i="12"/>
  <c r="P35" i="12"/>
  <c r="E44" i="12"/>
  <c r="Q32" i="12"/>
  <c r="Q35" i="12"/>
  <c r="Q21" i="12"/>
  <c r="P21" i="12"/>
  <c r="P27" i="12"/>
  <c r="P33" i="12"/>
  <c r="K75" i="12"/>
  <c r="Q13" i="12"/>
  <c r="P13" i="12"/>
  <c r="P36" i="12"/>
  <c r="K57" i="12"/>
  <c r="Q16" i="12"/>
  <c r="P19" i="12"/>
  <c r="P11" i="12"/>
  <c r="P22" i="12"/>
  <c r="P25" i="12"/>
  <c r="Q27" i="12"/>
  <c r="Q33" i="12"/>
  <c r="M50" i="12"/>
  <c r="K66" i="12"/>
  <c r="P14" i="12"/>
  <c r="P17" i="12"/>
  <c r="Q30" i="12"/>
  <c r="Q36" i="12"/>
  <c r="K76" i="12"/>
  <c r="K60" i="12"/>
  <c r="K55" i="12"/>
  <c r="K71" i="12"/>
  <c r="K46" i="12"/>
  <c r="K72" i="12"/>
  <c r="K49" i="12"/>
  <c r="K45" i="12"/>
  <c r="K67" i="12"/>
  <c r="K73" i="12"/>
  <c r="K50" i="12"/>
  <c r="K68" i="12"/>
  <c r="K63" i="12"/>
  <c r="K70" i="12"/>
  <c r="K51" i="12"/>
  <c r="K69" i="12"/>
  <c r="K44" i="12"/>
  <c r="K65" i="12"/>
  <c r="Q50" i="12"/>
  <c r="M69" i="12"/>
  <c r="I31" i="12"/>
  <c r="J38" i="12"/>
  <c r="I75" i="12"/>
  <c r="L157" i="12"/>
  <c r="L38" i="12"/>
  <c r="M65" i="12"/>
  <c r="F7" i="12"/>
  <c r="G24" i="12" s="1"/>
  <c r="N8" i="12"/>
  <c r="E12" i="12"/>
  <c r="E20" i="12"/>
  <c r="E28" i="12"/>
  <c r="E36" i="12"/>
  <c r="I44" i="12"/>
  <c r="M45" i="12"/>
  <c r="I51" i="12"/>
  <c r="M70" i="12"/>
  <c r="E73" i="12"/>
  <c r="I74" i="12"/>
  <c r="K117" i="12"/>
  <c r="K121" i="12"/>
  <c r="K125" i="12"/>
  <c r="K129" i="12"/>
  <c r="K133" i="12"/>
  <c r="K137" i="12"/>
  <c r="K141" i="12"/>
  <c r="K145" i="12"/>
  <c r="K149" i="12"/>
  <c r="E152" i="12"/>
  <c r="K153" i="12"/>
  <c r="I13" i="12"/>
  <c r="I21" i="12"/>
  <c r="I29" i="12"/>
  <c r="I37" i="12"/>
  <c r="D39" i="12"/>
  <c r="N45" i="12"/>
  <c r="I58" i="12"/>
  <c r="I63" i="12"/>
  <c r="M75" i="12"/>
  <c r="N47" i="12"/>
  <c r="F120" i="12"/>
  <c r="F124" i="12"/>
  <c r="F128" i="12"/>
  <c r="F132" i="12"/>
  <c r="F136" i="12"/>
  <c r="F140" i="12"/>
  <c r="F144" i="12"/>
  <c r="F148" i="12"/>
  <c r="F152" i="12"/>
  <c r="E11" i="12"/>
  <c r="P16" i="12"/>
  <c r="E19" i="12"/>
  <c r="E27" i="12"/>
  <c r="P32" i="12"/>
  <c r="E35" i="12"/>
  <c r="M59" i="12"/>
  <c r="M64" i="12"/>
  <c r="I68" i="12"/>
  <c r="J78" i="12"/>
  <c r="J79" i="12" s="1"/>
  <c r="M141" i="12"/>
  <c r="M145" i="12"/>
  <c r="M149" i="12"/>
  <c r="M153" i="12"/>
  <c r="H158" i="12"/>
  <c r="I12" i="12"/>
  <c r="I20" i="12"/>
  <c r="I28" i="12"/>
  <c r="I36" i="12"/>
  <c r="H39" i="12"/>
  <c r="M44" i="12"/>
  <c r="I50" i="12"/>
  <c r="I73" i="12"/>
  <c r="F85" i="12"/>
  <c r="F87" i="12"/>
  <c r="F91" i="12"/>
  <c r="F95" i="12"/>
  <c r="F99" i="12"/>
  <c r="F103" i="12"/>
  <c r="D116" i="12"/>
  <c r="E133" i="12" s="1"/>
  <c r="N117" i="12"/>
  <c r="I120" i="12"/>
  <c r="I124" i="12"/>
  <c r="I128" i="12"/>
  <c r="I132" i="12"/>
  <c r="I136" i="12"/>
  <c r="I140" i="12"/>
  <c r="I144" i="12"/>
  <c r="I148" i="12"/>
  <c r="I152" i="12"/>
  <c r="J158" i="12"/>
  <c r="E10" i="12"/>
  <c r="E18" i="12"/>
  <c r="E26" i="12"/>
  <c r="E34" i="12"/>
  <c r="I57" i="12"/>
  <c r="I62" i="12"/>
  <c r="K120" i="12"/>
  <c r="K124" i="12"/>
  <c r="K128" i="12"/>
  <c r="K132" i="12"/>
  <c r="K136" i="12"/>
  <c r="K140" i="12"/>
  <c r="K144" i="12"/>
  <c r="K148" i="12"/>
  <c r="K152" i="12"/>
  <c r="I35" i="12"/>
  <c r="E9" i="12"/>
  <c r="E17" i="12"/>
  <c r="E25" i="12"/>
  <c r="E33" i="12"/>
  <c r="I49" i="12"/>
  <c r="M68" i="12"/>
  <c r="I72" i="12"/>
  <c r="M120" i="12"/>
  <c r="M124" i="12"/>
  <c r="M128" i="12"/>
  <c r="M136" i="12"/>
  <c r="M140" i="12"/>
  <c r="M144" i="12"/>
  <c r="M152" i="12"/>
  <c r="I10" i="12"/>
  <c r="I18" i="12"/>
  <c r="I26" i="12"/>
  <c r="I34" i="12"/>
  <c r="I56" i="12"/>
  <c r="I61" i="12"/>
  <c r="I77" i="12"/>
  <c r="I119" i="12"/>
  <c r="I123" i="12"/>
  <c r="I127" i="12"/>
  <c r="I131" i="12"/>
  <c r="I135" i="12"/>
  <c r="I139" i="12"/>
  <c r="I143" i="12"/>
  <c r="I147" i="12"/>
  <c r="I151" i="12"/>
  <c r="D159" i="12"/>
  <c r="E16" i="12"/>
  <c r="E32" i="12"/>
  <c r="I25" i="12"/>
  <c r="I33" i="12"/>
  <c r="M67" i="12"/>
  <c r="I71" i="12"/>
  <c r="E15" i="12"/>
  <c r="E23" i="12"/>
  <c r="E31" i="12"/>
  <c r="M49" i="12"/>
  <c r="I55" i="12"/>
  <c r="M72" i="12"/>
  <c r="I76" i="12"/>
  <c r="M119" i="12"/>
  <c r="M123" i="12"/>
  <c r="M127" i="12"/>
  <c r="M135" i="12"/>
  <c r="M143" i="12"/>
  <c r="M147" i="12"/>
  <c r="M151" i="12"/>
  <c r="I8" i="12"/>
  <c r="I16" i="12"/>
  <c r="I60" i="12"/>
  <c r="I65" i="12"/>
  <c r="I118" i="12"/>
  <c r="I122" i="12"/>
  <c r="I126" i="12"/>
  <c r="I130" i="12"/>
  <c r="I134" i="12"/>
  <c r="I138" i="12"/>
  <c r="I142" i="12"/>
  <c r="I146" i="12"/>
  <c r="E14" i="12"/>
  <c r="E22" i="12"/>
  <c r="K118" i="12"/>
  <c r="K122" i="12"/>
  <c r="K126" i="12"/>
  <c r="K130" i="12"/>
  <c r="K134" i="12"/>
  <c r="K138" i="12"/>
  <c r="K142" i="12"/>
  <c r="K146" i="12"/>
  <c r="Q9" i="11"/>
  <c r="M69" i="11"/>
  <c r="Q14" i="11"/>
  <c r="P9" i="11"/>
  <c r="F118" i="11"/>
  <c r="N10" i="11"/>
  <c r="F45" i="11"/>
  <c r="M64" i="11"/>
  <c r="J7" i="11"/>
  <c r="K24" i="11" s="1"/>
  <c r="Q17" i="11"/>
  <c r="F29" i="11"/>
  <c r="F150" i="11"/>
  <c r="L7" i="11"/>
  <c r="M24" i="11" s="1"/>
  <c r="N35" i="11"/>
  <c r="P35" i="11" s="1"/>
  <c r="F58" i="11"/>
  <c r="F130" i="11"/>
  <c r="N12" i="11"/>
  <c r="N21" i="11"/>
  <c r="P25" i="11"/>
  <c r="Q31" i="11"/>
  <c r="Q33" i="11"/>
  <c r="Q62" i="11"/>
  <c r="F21" i="11"/>
  <c r="P18" i="11"/>
  <c r="N29" i="11"/>
  <c r="D43" i="11"/>
  <c r="E45" i="11" s="1"/>
  <c r="N60" i="11"/>
  <c r="N71" i="11"/>
  <c r="F76" i="11"/>
  <c r="N48" i="11"/>
  <c r="N87" i="11"/>
  <c r="N95" i="11"/>
  <c r="F142" i="11"/>
  <c r="Q23" i="11"/>
  <c r="J38" i="11"/>
  <c r="Q56" i="11"/>
  <c r="N58" i="11"/>
  <c r="N27" i="11"/>
  <c r="P27" i="11" s="1"/>
  <c r="P34" i="11"/>
  <c r="P36" i="11"/>
  <c r="F122" i="11"/>
  <c r="F13" i="11"/>
  <c r="Q25" i="11"/>
  <c r="P32" i="11"/>
  <c r="N65" i="11"/>
  <c r="N90" i="11"/>
  <c r="P22" i="11"/>
  <c r="P30" i="11"/>
  <c r="M129" i="11"/>
  <c r="F134" i="11"/>
  <c r="F10" i="11"/>
  <c r="D7" i="11"/>
  <c r="E24" i="11" s="1"/>
  <c r="N11" i="11"/>
  <c r="P11" i="11" s="1"/>
  <c r="P16" i="11"/>
  <c r="F71" i="11"/>
  <c r="Q16" i="11"/>
  <c r="P26" i="11"/>
  <c r="P28" i="11"/>
  <c r="F68" i="11"/>
  <c r="N72" i="11"/>
  <c r="N85" i="11"/>
  <c r="N99" i="11"/>
  <c r="F146" i="11"/>
  <c r="N103" i="11"/>
  <c r="L38" i="11"/>
  <c r="N13" i="11"/>
  <c r="Q34" i="11"/>
  <c r="Q36" i="11"/>
  <c r="J43" i="11"/>
  <c r="K55" i="11" s="1"/>
  <c r="N37" i="11"/>
  <c r="P17" i="11"/>
  <c r="Q22" i="11"/>
  <c r="Q30" i="11"/>
  <c r="N44" i="11"/>
  <c r="L78" i="11"/>
  <c r="F126" i="11"/>
  <c r="F37" i="11"/>
  <c r="Q59" i="11"/>
  <c r="N68" i="11"/>
  <c r="N91" i="11"/>
  <c r="M146" i="11"/>
  <c r="Q15" i="11"/>
  <c r="N55" i="11"/>
  <c r="N77" i="11"/>
  <c r="N53" i="11"/>
  <c r="F138" i="11"/>
  <c r="I55" i="11"/>
  <c r="I65" i="11"/>
  <c r="N94" i="11"/>
  <c r="N98" i="11"/>
  <c r="N102" i="11"/>
  <c r="F117" i="11"/>
  <c r="L13" i="13" s="1"/>
  <c r="F121" i="11"/>
  <c r="F125" i="11"/>
  <c r="F129" i="11"/>
  <c r="F133" i="11"/>
  <c r="F137" i="11"/>
  <c r="F141" i="11"/>
  <c r="F145" i="11"/>
  <c r="F149" i="11"/>
  <c r="F153" i="11"/>
  <c r="L157" i="11"/>
  <c r="I117" i="11"/>
  <c r="I121" i="11"/>
  <c r="I125" i="11"/>
  <c r="I129" i="11"/>
  <c r="I133" i="11"/>
  <c r="I137" i="11"/>
  <c r="I141" i="11"/>
  <c r="I145" i="11"/>
  <c r="I149" i="11"/>
  <c r="I153" i="11"/>
  <c r="I59" i="11"/>
  <c r="I69" i="11"/>
  <c r="I74" i="11"/>
  <c r="F120" i="11"/>
  <c r="F124" i="11"/>
  <c r="F128" i="11"/>
  <c r="F132" i="11"/>
  <c r="F136" i="11"/>
  <c r="F140" i="11"/>
  <c r="F144" i="11"/>
  <c r="F148" i="11"/>
  <c r="F152" i="11"/>
  <c r="I14" i="11"/>
  <c r="I22" i="11"/>
  <c r="I30" i="11"/>
  <c r="H158" i="11"/>
  <c r="I44" i="11"/>
  <c r="I51" i="11"/>
  <c r="I63" i="11"/>
  <c r="J78" i="11"/>
  <c r="D116" i="11"/>
  <c r="E127" i="11" s="1"/>
  <c r="I120" i="11"/>
  <c r="I124" i="11"/>
  <c r="I128" i="11"/>
  <c r="I132" i="11"/>
  <c r="I136" i="11"/>
  <c r="I140" i="11"/>
  <c r="I144" i="11"/>
  <c r="I148" i="11"/>
  <c r="J158" i="11"/>
  <c r="I13" i="11"/>
  <c r="I21" i="11"/>
  <c r="I29" i="11"/>
  <c r="I37" i="11"/>
  <c r="I58" i="11"/>
  <c r="I68" i="11"/>
  <c r="K120" i="11"/>
  <c r="K124" i="11"/>
  <c r="K128" i="11"/>
  <c r="K132" i="11"/>
  <c r="K136" i="11"/>
  <c r="K140" i="11"/>
  <c r="K144" i="11"/>
  <c r="K148" i="11"/>
  <c r="K152" i="11"/>
  <c r="I73" i="11"/>
  <c r="I11" i="11"/>
  <c r="I19" i="11"/>
  <c r="I27" i="11"/>
  <c r="I35" i="11"/>
  <c r="I72" i="11"/>
  <c r="I77" i="11"/>
  <c r="K119" i="11"/>
  <c r="K123" i="11"/>
  <c r="K127" i="11"/>
  <c r="K131" i="11"/>
  <c r="K135" i="11"/>
  <c r="K139" i="11"/>
  <c r="K143" i="11"/>
  <c r="K147" i="11"/>
  <c r="K151" i="11"/>
  <c r="I49" i="11"/>
  <c r="I61" i="11"/>
  <c r="H79" i="11"/>
  <c r="I10" i="11"/>
  <c r="I18" i="11"/>
  <c r="I26" i="11"/>
  <c r="I34" i="11"/>
  <c r="I56" i="11"/>
  <c r="I66" i="11"/>
  <c r="I9" i="11"/>
  <c r="I17" i="11"/>
  <c r="I25" i="11"/>
  <c r="K118" i="11"/>
  <c r="K122" i="11"/>
  <c r="K126" i="11"/>
  <c r="K130" i="11"/>
  <c r="K134" i="11"/>
  <c r="K138" i="11"/>
  <c r="K142" i="11"/>
  <c r="K146" i="11"/>
  <c r="P12" i="10"/>
  <c r="Q36" i="10"/>
  <c r="P9" i="10"/>
  <c r="Q33" i="10"/>
  <c r="M62" i="10"/>
  <c r="Q9" i="10"/>
  <c r="Q12" i="10"/>
  <c r="Q18" i="10"/>
  <c r="P37" i="10"/>
  <c r="K51" i="10"/>
  <c r="K56" i="10"/>
  <c r="K71" i="10"/>
  <c r="K74" i="10"/>
  <c r="P13" i="10"/>
  <c r="Q15" i="10"/>
  <c r="P15" i="10"/>
  <c r="P19" i="10"/>
  <c r="P25" i="10"/>
  <c r="P28" i="10"/>
  <c r="Q51" i="10"/>
  <c r="Q74" i="10"/>
  <c r="Q56" i="10"/>
  <c r="K60" i="10"/>
  <c r="K77" i="10"/>
  <c r="K72" i="10"/>
  <c r="K67" i="10"/>
  <c r="K57" i="10"/>
  <c r="K62" i="10"/>
  <c r="K50" i="10"/>
  <c r="K68" i="10"/>
  <c r="K58" i="10"/>
  <c r="K65" i="10"/>
  <c r="K64" i="10"/>
  <c r="K54" i="10"/>
  <c r="K45" i="10"/>
  <c r="K55" i="10"/>
  <c r="Q25" i="10"/>
  <c r="Q28" i="10"/>
  <c r="Q34" i="10"/>
  <c r="Q46" i="10"/>
  <c r="E54" i="10"/>
  <c r="E69" i="10"/>
  <c r="K63" i="10"/>
  <c r="K66" i="10"/>
  <c r="K75" i="10"/>
  <c r="Q10" i="10"/>
  <c r="Q19" i="10"/>
  <c r="P29" i="10"/>
  <c r="Q31" i="10"/>
  <c r="P31" i="10"/>
  <c r="P35" i="10"/>
  <c r="E65" i="10"/>
  <c r="E46" i="10"/>
  <c r="E76" i="10"/>
  <c r="E71" i="10"/>
  <c r="D79" i="10"/>
  <c r="E61" i="10"/>
  <c r="E49" i="10"/>
  <c r="E67" i="10"/>
  <c r="E57" i="10"/>
  <c r="E73" i="10"/>
  <c r="E58" i="10"/>
  <c r="E74" i="10"/>
  <c r="Q75" i="10"/>
  <c r="P11" i="10"/>
  <c r="P17" i="10"/>
  <c r="P20" i="10"/>
  <c r="K17" i="10"/>
  <c r="K26" i="10"/>
  <c r="Q17" i="10"/>
  <c r="Q20" i="10"/>
  <c r="Q26" i="10"/>
  <c r="K36" i="10"/>
  <c r="K28" i="10"/>
  <c r="K20" i="10"/>
  <c r="K12" i="10"/>
  <c r="K31" i="10"/>
  <c r="K23" i="10"/>
  <c r="K15" i="10"/>
  <c r="K32" i="10"/>
  <c r="K16" i="10"/>
  <c r="K8" i="10"/>
  <c r="K61" i="10"/>
  <c r="K70" i="10"/>
  <c r="K73" i="10"/>
  <c r="K76" i="10"/>
  <c r="M37" i="10"/>
  <c r="M29" i="10"/>
  <c r="M21" i="10"/>
  <c r="M13" i="10"/>
  <c r="M32" i="10"/>
  <c r="M16" i="10"/>
  <c r="M8" i="10"/>
  <c r="M33" i="10"/>
  <c r="M25" i="10"/>
  <c r="M17" i="10"/>
  <c r="M9" i="10"/>
  <c r="Q11" i="10"/>
  <c r="P21" i="10"/>
  <c r="Q23" i="10"/>
  <c r="P23" i="10"/>
  <c r="P27" i="10"/>
  <c r="P33" i="10"/>
  <c r="P36" i="10"/>
  <c r="F8" i="10"/>
  <c r="I9" i="10"/>
  <c r="Q13" i="10"/>
  <c r="F16" i="10"/>
  <c r="Q16" i="10" s="1"/>
  <c r="I17" i="10"/>
  <c r="Q21" i="10"/>
  <c r="I25" i="10"/>
  <c r="Q29" i="10"/>
  <c r="F32" i="10"/>
  <c r="I33" i="10"/>
  <c r="Q37" i="10"/>
  <c r="N49" i="10"/>
  <c r="F27" i="13" s="1"/>
  <c r="F54" i="10"/>
  <c r="I60" i="10"/>
  <c r="N61" i="10"/>
  <c r="F64" i="10"/>
  <c r="I70" i="10"/>
  <c r="I75" i="10"/>
  <c r="N48" i="10"/>
  <c r="N53" i="10"/>
  <c r="N90" i="10"/>
  <c r="N94" i="10"/>
  <c r="N98" i="10"/>
  <c r="N102" i="10"/>
  <c r="F117" i="10"/>
  <c r="L12" i="13" s="1"/>
  <c r="F121" i="10"/>
  <c r="F125" i="10"/>
  <c r="F129" i="10"/>
  <c r="F133" i="10"/>
  <c r="F137" i="10"/>
  <c r="F141" i="10"/>
  <c r="F145" i="10"/>
  <c r="F149" i="10"/>
  <c r="F153" i="10"/>
  <c r="L157" i="10"/>
  <c r="M10" i="10"/>
  <c r="I16" i="10"/>
  <c r="M18" i="10"/>
  <c r="M26" i="10"/>
  <c r="I32" i="10"/>
  <c r="M34" i="10"/>
  <c r="E44" i="10"/>
  <c r="E51" i="10"/>
  <c r="I54" i="10"/>
  <c r="E63" i="10"/>
  <c r="I64" i="10"/>
  <c r="I125" i="10"/>
  <c r="I129" i="10"/>
  <c r="I133" i="10"/>
  <c r="I137" i="10"/>
  <c r="I141" i="10"/>
  <c r="I145" i="10"/>
  <c r="I149" i="10"/>
  <c r="I153" i="10"/>
  <c r="F44" i="10"/>
  <c r="E120" i="10"/>
  <c r="E124" i="10"/>
  <c r="E128" i="10"/>
  <c r="E132" i="10"/>
  <c r="E136" i="10"/>
  <c r="E140" i="10"/>
  <c r="E144" i="10"/>
  <c r="E148" i="10"/>
  <c r="E152" i="10"/>
  <c r="J38" i="10"/>
  <c r="J39" i="10" s="1"/>
  <c r="P10" i="10"/>
  <c r="P18" i="10"/>
  <c r="P26" i="10"/>
  <c r="P34" i="10"/>
  <c r="L38" i="10"/>
  <c r="L39" i="10" s="1"/>
  <c r="E50" i="10"/>
  <c r="K59" i="10"/>
  <c r="E62" i="10"/>
  <c r="J78" i="10"/>
  <c r="J79" i="10" s="1"/>
  <c r="D7" i="10"/>
  <c r="E24" i="10" s="1"/>
  <c r="N45" i="10"/>
  <c r="L78" i="10"/>
  <c r="F85" i="10"/>
  <c r="F87" i="10"/>
  <c r="F91" i="10"/>
  <c r="F95" i="10"/>
  <c r="F99" i="10"/>
  <c r="F103" i="10"/>
  <c r="N117" i="10"/>
  <c r="L27" i="13" s="1"/>
  <c r="N8" i="10"/>
  <c r="E72" i="10"/>
  <c r="I73" i="10"/>
  <c r="E119" i="10"/>
  <c r="K120" i="10"/>
  <c r="E123" i="10"/>
  <c r="K124" i="10"/>
  <c r="E127" i="10"/>
  <c r="K128" i="10"/>
  <c r="E131" i="10"/>
  <c r="K132" i="10"/>
  <c r="E135" i="10"/>
  <c r="K136" i="10"/>
  <c r="E139" i="10"/>
  <c r="K140" i="10"/>
  <c r="E143" i="10"/>
  <c r="K144" i="10"/>
  <c r="E147" i="10"/>
  <c r="K148" i="10"/>
  <c r="E151" i="10"/>
  <c r="K152" i="10"/>
  <c r="I13" i="10"/>
  <c r="M15" i="10"/>
  <c r="I21" i="10"/>
  <c r="M23" i="10"/>
  <c r="I29" i="10"/>
  <c r="I37" i="10"/>
  <c r="I50" i="10"/>
  <c r="I62" i="10"/>
  <c r="H39" i="10"/>
  <c r="E56" i="10"/>
  <c r="I57" i="10"/>
  <c r="E66" i="10"/>
  <c r="I67" i="10"/>
  <c r="I12" i="10"/>
  <c r="I20" i="10"/>
  <c r="I28" i="10"/>
  <c r="I72" i="10"/>
  <c r="I77" i="10"/>
  <c r="I119" i="10"/>
  <c r="I123" i="10"/>
  <c r="I127" i="10"/>
  <c r="I131" i="10"/>
  <c r="I135" i="10"/>
  <c r="I139" i="10"/>
  <c r="I143" i="10"/>
  <c r="I147" i="10"/>
  <c r="I49" i="10"/>
  <c r="I61" i="10"/>
  <c r="K119" i="10"/>
  <c r="K123" i="10"/>
  <c r="K127" i="10"/>
  <c r="K131" i="10"/>
  <c r="K135" i="10"/>
  <c r="K139" i="10"/>
  <c r="K143" i="10"/>
  <c r="K147" i="10"/>
  <c r="P14" i="10"/>
  <c r="P22" i="10"/>
  <c r="P30" i="10"/>
  <c r="E60" i="10"/>
  <c r="E70" i="10"/>
  <c r="M12" i="10"/>
  <c r="M20" i="10"/>
  <c r="M28" i="10"/>
  <c r="M36" i="10"/>
  <c r="E45" i="10"/>
  <c r="F16" i="9"/>
  <c r="M64" i="9"/>
  <c r="M45" i="9"/>
  <c r="M65" i="9"/>
  <c r="M60" i="9"/>
  <c r="M55" i="9"/>
  <c r="Q63" i="9"/>
  <c r="Q23" i="9"/>
  <c r="M68" i="9"/>
  <c r="N105" i="9"/>
  <c r="Q15" i="9"/>
  <c r="F32" i="9"/>
  <c r="Q32" i="9" s="1"/>
  <c r="P37" i="9"/>
  <c r="Q37" i="9"/>
  <c r="N47" i="9"/>
  <c r="N93" i="9"/>
  <c r="F120" i="9"/>
  <c r="F128" i="9"/>
  <c r="I36" i="9"/>
  <c r="I28" i="9"/>
  <c r="I20" i="9"/>
  <c r="I12" i="9"/>
  <c r="I37" i="9"/>
  <c r="I29" i="9"/>
  <c r="I21" i="9"/>
  <c r="I13" i="9"/>
  <c r="I30" i="9"/>
  <c r="I22" i="9"/>
  <c r="I14" i="9"/>
  <c r="I31" i="9"/>
  <c r="I23" i="9"/>
  <c r="I15" i="9"/>
  <c r="I32" i="9"/>
  <c r="I16" i="9"/>
  <c r="I8" i="9"/>
  <c r="I33" i="9"/>
  <c r="I25" i="9"/>
  <c r="I17" i="9"/>
  <c r="I9" i="9"/>
  <c r="I35" i="9"/>
  <c r="I27" i="9"/>
  <c r="I19" i="9"/>
  <c r="I11" i="9"/>
  <c r="Q29" i="9"/>
  <c r="P29" i="9"/>
  <c r="Q71" i="9"/>
  <c r="Q74" i="9"/>
  <c r="O133" i="9"/>
  <c r="J38" i="9"/>
  <c r="Q16" i="9"/>
  <c r="J78" i="9"/>
  <c r="J43" i="9"/>
  <c r="K74" i="9" s="1"/>
  <c r="Q35" i="9"/>
  <c r="N97" i="9"/>
  <c r="F140" i="9"/>
  <c r="F69" i="9"/>
  <c r="P13" i="9"/>
  <c r="F148" i="9"/>
  <c r="Q27" i="9"/>
  <c r="P33" i="9"/>
  <c r="D43" i="9"/>
  <c r="E64" i="9" s="1"/>
  <c r="M61" i="9"/>
  <c r="N52" i="9"/>
  <c r="Q19" i="9"/>
  <c r="P25" i="9"/>
  <c r="P36" i="9"/>
  <c r="F132" i="9"/>
  <c r="O140" i="9"/>
  <c r="N7" i="9"/>
  <c r="O24" i="9" s="1"/>
  <c r="M30" i="9"/>
  <c r="M22" i="9"/>
  <c r="M14" i="9"/>
  <c r="M33" i="9"/>
  <c r="M34" i="9"/>
  <c r="M26" i="9"/>
  <c r="M18" i="9"/>
  <c r="M10" i="9"/>
  <c r="P17" i="9"/>
  <c r="P28" i="9"/>
  <c r="P30" i="9"/>
  <c r="F59" i="9"/>
  <c r="M67" i="9"/>
  <c r="N66" i="9"/>
  <c r="P9" i="9"/>
  <c r="P20" i="9"/>
  <c r="P22" i="9"/>
  <c r="M25" i="9"/>
  <c r="Q30" i="9"/>
  <c r="Q33" i="9"/>
  <c r="Q36" i="9"/>
  <c r="M56" i="9"/>
  <c r="N56" i="9"/>
  <c r="O118" i="9"/>
  <c r="F124" i="9"/>
  <c r="J7" i="9"/>
  <c r="K24" i="9" s="1"/>
  <c r="P12" i="9"/>
  <c r="P14" i="9"/>
  <c r="M17" i="9"/>
  <c r="Q22" i="9"/>
  <c r="Q25" i="9"/>
  <c r="Q28" i="9"/>
  <c r="M36" i="9"/>
  <c r="N101" i="9"/>
  <c r="F152" i="9"/>
  <c r="M9" i="9"/>
  <c r="Q14" i="9"/>
  <c r="Q17" i="9"/>
  <c r="Q20" i="9"/>
  <c r="M28" i="9"/>
  <c r="Q70" i="9"/>
  <c r="N89" i="9"/>
  <c r="D7" i="9"/>
  <c r="E24" i="9" s="1"/>
  <c r="F8" i="9"/>
  <c r="O139" i="9"/>
  <c r="Q9" i="9"/>
  <c r="Q12" i="9"/>
  <c r="M20" i="9"/>
  <c r="M49" i="9"/>
  <c r="F144" i="9"/>
  <c r="O152" i="9"/>
  <c r="M12" i="9"/>
  <c r="P23" i="9"/>
  <c r="I34" i="9"/>
  <c r="P15" i="9"/>
  <c r="I26" i="9"/>
  <c r="Q31" i="9"/>
  <c r="M57" i="9"/>
  <c r="F136" i="9"/>
  <c r="F10" i="9"/>
  <c r="Q10" i="9" s="1"/>
  <c r="F18" i="9"/>
  <c r="Q18" i="9" s="1"/>
  <c r="F26" i="9"/>
  <c r="Q26" i="9" s="1"/>
  <c r="F34" i="9"/>
  <c r="Q34" i="9" s="1"/>
  <c r="N50" i="9"/>
  <c r="F55" i="9"/>
  <c r="Q55" i="9" s="1"/>
  <c r="Q58" i="9"/>
  <c r="N62" i="9"/>
  <c r="F65" i="9"/>
  <c r="I71" i="9"/>
  <c r="I76" i="9"/>
  <c r="P79" i="9"/>
  <c r="N48" i="9"/>
  <c r="N53" i="9"/>
  <c r="N90" i="9"/>
  <c r="N94" i="9"/>
  <c r="N98" i="9"/>
  <c r="N102" i="9"/>
  <c r="F117" i="9"/>
  <c r="L11" i="13" s="1"/>
  <c r="F121" i="9"/>
  <c r="F125" i="9"/>
  <c r="F129" i="9"/>
  <c r="F133" i="9"/>
  <c r="F137" i="9"/>
  <c r="F141" i="9"/>
  <c r="F145" i="9"/>
  <c r="F149" i="9"/>
  <c r="F153" i="9"/>
  <c r="M11" i="9"/>
  <c r="M19" i="9"/>
  <c r="M27" i="9"/>
  <c r="M35" i="9"/>
  <c r="I45" i="9"/>
  <c r="M76" i="9"/>
  <c r="N11" i="9"/>
  <c r="I54" i="9"/>
  <c r="I64" i="9"/>
  <c r="F84" i="9"/>
  <c r="F112" i="9" s="1"/>
  <c r="M129" i="9"/>
  <c r="M137" i="9"/>
  <c r="M149" i="9"/>
  <c r="H158" i="9"/>
  <c r="I59" i="9"/>
  <c r="I69" i="9"/>
  <c r="I74" i="9"/>
  <c r="D116" i="9"/>
  <c r="E144" i="9" s="1"/>
  <c r="J158" i="9"/>
  <c r="P19" i="9"/>
  <c r="P27" i="9"/>
  <c r="P35" i="9"/>
  <c r="F44" i="9"/>
  <c r="M75" i="9"/>
  <c r="L78" i="9"/>
  <c r="O117" i="9"/>
  <c r="K120" i="9"/>
  <c r="K124" i="9"/>
  <c r="K128" i="9"/>
  <c r="K132" i="9"/>
  <c r="K136" i="9"/>
  <c r="K140" i="9"/>
  <c r="K144" i="9"/>
  <c r="K148" i="9"/>
  <c r="K152" i="9"/>
  <c r="I51" i="9"/>
  <c r="I63" i="9"/>
  <c r="L38" i="9"/>
  <c r="M8" i="9"/>
  <c r="M16" i="9"/>
  <c r="M32" i="9"/>
  <c r="I73" i="9"/>
  <c r="I127" i="9"/>
  <c r="I131" i="9"/>
  <c r="I135" i="9"/>
  <c r="I139" i="9"/>
  <c r="I143" i="9"/>
  <c r="I147" i="9"/>
  <c r="I50" i="9"/>
  <c r="I62" i="9"/>
  <c r="K119" i="9"/>
  <c r="K123" i="9"/>
  <c r="K127" i="9"/>
  <c r="K131" i="9"/>
  <c r="K135" i="9"/>
  <c r="K139" i="9"/>
  <c r="K143" i="9"/>
  <c r="K147" i="9"/>
  <c r="K151" i="9"/>
  <c r="M15" i="9"/>
  <c r="M23" i="9"/>
  <c r="M31" i="9"/>
  <c r="M51" i="9"/>
  <c r="I57" i="9"/>
  <c r="I67" i="9"/>
  <c r="I77" i="9"/>
  <c r="H79" i="9"/>
  <c r="I72" i="9"/>
  <c r="I56" i="9"/>
  <c r="K118" i="9"/>
  <c r="K122" i="9"/>
  <c r="K126" i="9"/>
  <c r="K130" i="9"/>
  <c r="K134" i="9"/>
  <c r="K138" i="9"/>
  <c r="K142" i="9"/>
  <c r="K146" i="9"/>
  <c r="Q23" i="8"/>
  <c r="Q26" i="8"/>
  <c r="P29" i="8"/>
  <c r="P32" i="8"/>
  <c r="Q15" i="8"/>
  <c r="P27" i="8"/>
  <c r="Q29" i="8"/>
  <c r="P21" i="8"/>
  <c r="Q32" i="8"/>
  <c r="N10" i="8"/>
  <c r="P10" i="8" s="1"/>
  <c r="P13" i="8"/>
  <c r="P30" i="8"/>
  <c r="N18" i="8"/>
  <c r="P18" i="8" s="1"/>
  <c r="E23" i="8"/>
  <c r="E18" i="8"/>
  <c r="D159" i="8"/>
  <c r="E20" i="8"/>
  <c r="E12" i="8"/>
  <c r="P19" i="8"/>
  <c r="Q21" i="8"/>
  <c r="Q33" i="8"/>
  <c r="P33" i="8"/>
  <c r="K61" i="8"/>
  <c r="K50" i="8"/>
  <c r="K69" i="8"/>
  <c r="K71" i="8"/>
  <c r="Q70" i="8"/>
  <c r="Q13" i="8"/>
  <c r="Q64" i="8"/>
  <c r="P22" i="8"/>
  <c r="Q30" i="8"/>
  <c r="P14" i="8"/>
  <c r="Q25" i="8"/>
  <c r="P25" i="8"/>
  <c r="K35" i="8"/>
  <c r="K27" i="8"/>
  <c r="K19" i="8"/>
  <c r="K36" i="8"/>
  <c r="K28" i="8"/>
  <c r="K20" i="8"/>
  <c r="K12" i="8"/>
  <c r="K37" i="8"/>
  <c r="K29" i="8"/>
  <c r="K21" i="8"/>
  <c r="K13" i="8"/>
  <c r="K30" i="8"/>
  <c r="K22" i="8"/>
  <c r="K14" i="8"/>
  <c r="K32" i="8"/>
  <c r="K16" i="8"/>
  <c r="K8" i="8"/>
  <c r="K34" i="8"/>
  <c r="K26" i="8"/>
  <c r="K18" i="8"/>
  <c r="K10" i="8"/>
  <c r="Q16" i="8"/>
  <c r="Q19" i="8"/>
  <c r="K25" i="8"/>
  <c r="P11" i="8"/>
  <c r="L7" i="8"/>
  <c r="Q11" i="8"/>
  <c r="Q22" i="8"/>
  <c r="M64" i="8"/>
  <c r="Q14" i="8"/>
  <c r="Q17" i="8"/>
  <c r="P17" i="8"/>
  <c r="Q9" i="8"/>
  <c r="P9" i="8"/>
  <c r="M122" i="8"/>
  <c r="M118" i="8"/>
  <c r="J38" i="8"/>
  <c r="K9" i="8"/>
  <c r="P23" i="8"/>
  <c r="Q31" i="8"/>
  <c r="Q34" i="8"/>
  <c r="P37" i="8"/>
  <c r="E15" i="8"/>
  <c r="P15" i="8"/>
  <c r="K23" i="8"/>
  <c r="P35" i="8"/>
  <c r="Q37" i="8"/>
  <c r="Q69" i="8"/>
  <c r="I9" i="8"/>
  <c r="I17" i="8"/>
  <c r="I25" i="8"/>
  <c r="I33" i="8"/>
  <c r="I76" i="8"/>
  <c r="L157" i="8"/>
  <c r="Q353" i="13" s="1"/>
  <c r="M56" i="8"/>
  <c r="E30" i="8"/>
  <c r="I45" i="8"/>
  <c r="I75" i="8"/>
  <c r="K117" i="8"/>
  <c r="K121" i="8"/>
  <c r="K125" i="8"/>
  <c r="K129" i="8"/>
  <c r="K133" i="8"/>
  <c r="K137" i="8"/>
  <c r="K141" i="8"/>
  <c r="K145" i="8"/>
  <c r="K149" i="8"/>
  <c r="K153" i="8"/>
  <c r="F120" i="8"/>
  <c r="F124" i="8"/>
  <c r="F128" i="8"/>
  <c r="F132" i="8"/>
  <c r="F136" i="8"/>
  <c r="F140" i="8"/>
  <c r="F144" i="8"/>
  <c r="F148" i="8"/>
  <c r="F152" i="8"/>
  <c r="P26" i="8"/>
  <c r="E29" i="8"/>
  <c r="P34" i="8"/>
  <c r="E37" i="8"/>
  <c r="L38" i="8"/>
  <c r="I69" i="8"/>
  <c r="M117" i="8"/>
  <c r="M133" i="8"/>
  <c r="M149" i="8"/>
  <c r="H158" i="8"/>
  <c r="I14" i="8"/>
  <c r="I22" i="8"/>
  <c r="I30" i="8"/>
  <c r="I74" i="8"/>
  <c r="F84" i="8"/>
  <c r="G92" i="8" s="1"/>
  <c r="D116" i="8"/>
  <c r="E142" i="8" s="1"/>
  <c r="N117" i="8"/>
  <c r="L26" i="13" s="1"/>
  <c r="I120" i="8"/>
  <c r="I124" i="8"/>
  <c r="I128" i="8"/>
  <c r="I132" i="8"/>
  <c r="I136" i="8"/>
  <c r="I140" i="8"/>
  <c r="I144" i="8"/>
  <c r="I148" i="8"/>
  <c r="I152" i="8"/>
  <c r="J158" i="8"/>
  <c r="F7" i="8"/>
  <c r="G24" i="8" s="1"/>
  <c r="N8" i="8"/>
  <c r="P8" i="8" s="1"/>
  <c r="I63" i="8"/>
  <c r="K120" i="8"/>
  <c r="K124" i="8"/>
  <c r="K128" i="8"/>
  <c r="K132" i="8"/>
  <c r="K136" i="8"/>
  <c r="K140" i="8"/>
  <c r="K144" i="8"/>
  <c r="K148" i="8"/>
  <c r="K152" i="8"/>
  <c r="I13" i="8"/>
  <c r="I21" i="8"/>
  <c r="I29" i="8"/>
  <c r="I37" i="8"/>
  <c r="J78" i="8"/>
  <c r="E27" i="8"/>
  <c r="E35" i="8"/>
  <c r="M59" i="8"/>
  <c r="I73" i="8"/>
  <c r="L78" i="8"/>
  <c r="M120" i="8"/>
  <c r="M140" i="8"/>
  <c r="I12" i="8"/>
  <c r="I20" i="8"/>
  <c r="I28" i="8"/>
  <c r="I36" i="8"/>
  <c r="H39" i="8"/>
  <c r="I62" i="8"/>
  <c r="I119" i="8"/>
  <c r="I123" i="8"/>
  <c r="I127" i="8"/>
  <c r="I131" i="8"/>
  <c r="I135" i="8"/>
  <c r="I139" i="8"/>
  <c r="I143" i="8"/>
  <c r="I147" i="8"/>
  <c r="I151" i="8"/>
  <c r="D43" i="8"/>
  <c r="E70" i="8" s="1"/>
  <c r="I57" i="8"/>
  <c r="I67" i="8"/>
  <c r="K119" i="8"/>
  <c r="K123" i="8"/>
  <c r="K127" i="8"/>
  <c r="K131" i="8"/>
  <c r="K135" i="8"/>
  <c r="K139" i="8"/>
  <c r="K143" i="8"/>
  <c r="K147" i="8"/>
  <c r="K151" i="8"/>
  <c r="E9" i="8"/>
  <c r="E17" i="8"/>
  <c r="E33" i="8"/>
  <c r="I49" i="8"/>
  <c r="I61" i="8"/>
  <c r="I77" i="8"/>
  <c r="H79" i="8"/>
  <c r="M119" i="8"/>
  <c r="M135" i="8"/>
  <c r="M151" i="8"/>
  <c r="I10" i="8"/>
  <c r="I18" i="8"/>
  <c r="I26" i="8"/>
  <c r="I56" i="8"/>
  <c r="I66" i="8"/>
  <c r="I118" i="8"/>
  <c r="I122" i="8"/>
  <c r="I126" i="8"/>
  <c r="I130" i="8"/>
  <c r="I134" i="8"/>
  <c r="I138" i="8"/>
  <c r="I142" i="8"/>
  <c r="I146" i="8"/>
  <c r="K118" i="8"/>
  <c r="K122" i="8"/>
  <c r="K126" i="8"/>
  <c r="K130" i="8"/>
  <c r="K134" i="8"/>
  <c r="K138" i="8"/>
  <c r="K142" i="8"/>
  <c r="K146" i="8"/>
  <c r="Q23" i="7"/>
  <c r="M61" i="7"/>
  <c r="M56" i="7"/>
  <c r="M71" i="7"/>
  <c r="M68" i="7"/>
  <c r="M76" i="7"/>
  <c r="Q57" i="7"/>
  <c r="P36" i="7"/>
  <c r="Q69" i="7"/>
  <c r="P18" i="7"/>
  <c r="Q30" i="7"/>
  <c r="M58" i="7"/>
  <c r="M67" i="7"/>
  <c r="P10" i="7"/>
  <c r="P21" i="7"/>
  <c r="P13" i="7"/>
  <c r="Q15" i="7"/>
  <c r="Q21" i="7"/>
  <c r="Q27" i="7"/>
  <c r="Q36" i="7"/>
  <c r="K76" i="7"/>
  <c r="K71" i="7"/>
  <c r="K46" i="7"/>
  <c r="K66" i="7"/>
  <c r="K61" i="7"/>
  <c r="K56" i="7"/>
  <c r="K62" i="7"/>
  <c r="K57" i="7"/>
  <c r="K68" i="7"/>
  <c r="K51" i="7"/>
  <c r="K74" i="7"/>
  <c r="K69" i="7"/>
  <c r="K44" i="7"/>
  <c r="K54" i="7"/>
  <c r="K65" i="7"/>
  <c r="K60" i="7"/>
  <c r="K73" i="7"/>
  <c r="P34" i="7"/>
  <c r="Q45" i="7"/>
  <c r="Q76" i="7"/>
  <c r="Q10" i="7"/>
  <c r="Q13" i="7"/>
  <c r="P16" i="7"/>
  <c r="P28" i="7"/>
  <c r="P31" i="7"/>
  <c r="P37" i="7"/>
  <c r="F7" i="7"/>
  <c r="G24" i="7" s="1"/>
  <c r="P22" i="7"/>
  <c r="Q37" i="7"/>
  <c r="Q51" i="7"/>
  <c r="Q16" i="7"/>
  <c r="Q22" i="7"/>
  <c r="Q31" i="7"/>
  <c r="Q62" i="7"/>
  <c r="M34" i="7"/>
  <c r="M18" i="7"/>
  <c r="M37" i="7"/>
  <c r="M14" i="7"/>
  <c r="P19" i="7"/>
  <c r="Q19" i="7"/>
  <c r="Q28" i="7"/>
  <c r="Q46" i="7"/>
  <c r="Q68" i="7"/>
  <c r="Q74" i="7"/>
  <c r="P26" i="7"/>
  <c r="P32" i="7"/>
  <c r="E45" i="7"/>
  <c r="E76" i="7"/>
  <c r="E71" i="7"/>
  <c r="E46" i="7"/>
  <c r="D79" i="7"/>
  <c r="E67" i="7"/>
  <c r="E62" i="7"/>
  <c r="Q71" i="7"/>
  <c r="P11" i="7"/>
  <c r="Q11" i="7"/>
  <c r="P20" i="7"/>
  <c r="P23" i="7"/>
  <c r="P29" i="7"/>
  <c r="P35" i="7"/>
  <c r="K63" i="7"/>
  <c r="E69" i="7"/>
  <c r="Q32" i="7"/>
  <c r="P12" i="7"/>
  <c r="Q29" i="7"/>
  <c r="Q35" i="7"/>
  <c r="J38" i="7"/>
  <c r="E44" i="7"/>
  <c r="D7" i="7"/>
  <c r="E24" i="7" s="1"/>
  <c r="I22" i="7"/>
  <c r="I30" i="7"/>
  <c r="K45" i="7"/>
  <c r="E58" i="7"/>
  <c r="M60" i="7"/>
  <c r="H80" i="7"/>
  <c r="I80" i="7" s="1"/>
  <c r="I121" i="7"/>
  <c r="I125" i="7"/>
  <c r="I129" i="7"/>
  <c r="I133" i="7"/>
  <c r="I137" i="7"/>
  <c r="I141" i="7"/>
  <c r="I145" i="7"/>
  <c r="I149" i="7"/>
  <c r="I153" i="7"/>
  <c r="N8" i="7"/>
  <c r="P9" i="7"/>
  <c r="P25" i="7"/>
  <c r="I13" i="7"/>
  <c r="I21" i="7"/>
  <c r="I29" i="7"/>
  <c r="I37" i="7"/>
  <c r="I51" i="7"/>
  <c r="M70" i="7"/>
  <c r="E73" i="7"/>
  <c r="N47" i="7"/>
  <c r="J25" i="13" s="1"/>
  <c r="F120" i="7"/>
  <c r="F124" i="7"/>
  <c r="F128" i="7"/>
  <c r="F132" i="7"/>
  <c r="F136" i="7"/>
  <c r="F140" i="7"/>
  <c r="F144" i="7"/>
  <c r="F148" i="7"/>
  <c r="F152" i="7"/>
  <c r="I58" i="7"/>
  <c r="I63" i="7"/>
  <c r="M117" i="7"/>
  <c r="M121" i="7"/>
  <c r="M125" i="7"/>
  <c r="M129" i="7"/>
  <c r="M133" i="7"/>
  <c r="M137" i="7"/>
  <c r="M141" i="7"/>
  <c r="H158" i="7"/>
  <c r="L38" i="7"/>
  <c r="H39" i="7"/>
  <c r="L78" i="7"/>
  <c r="D116" i="7"/>
  <c r="E143" i="7" s="1"/>
  <c r="M44" i="7"/>
  <c r="I50" i="7"/>
  <c r="I73" i="7"/>
  <c r="M74" i="7"/>
  <c r="E77" i="7"/>
  <c r="K120" i="7"/>
  <c r="K124" i="7"/>
  <c r="K128" i="7"/>
  <c r="K132" i="7"/>
  <c r="K136" i="7"/>
  <c r="K140" i="7"/>
  <c r="K144" i="7"/>
  <c r="K148" i="7"/>
  <c r="K152" i="7"/>
  <c r="I19" i="7"/>
  <c r="I27" i="7"/>
  <c r="I35" i="7"/>
  <c r="N44" i="7"/>
  <c r="I57" i="7"/>
  <c r="I62" i="7"/>
  <c r="I67" i="7"/>
  <c r="M120" i="7"/>
  <c r="M124" i="7"/>
  <c r="M128" i="7"/>
  <c r="M132" i="7"/>
  <c r="M136" i="7"/>
  <c r="M140" i="7"/>
  <c r="M50" i="7"/>
  <c r="H79" i="7"/>
  <c r="K119" i="7"/>
  <c r="K123" i="7"/>
  <c r="K127" i="7"/>
  <c r="K131" i="7"/>
  <c r="K135" i="7"/>
  <c r="K139" i="7"/>
  <c r="K143" i="7"/>
  <c r="K147" i="7"/>
  <c r="I9" i="7"/>
  <c r="I17" i="7"/>
  <c r="I25" i="7"/>
  <c r="I33" i="7"/>
  <c r="M57" i="7"/>
  <c r="E60" i="7"/>
  <c r="I66" i="7"/>
  <c r="I46" i="7"/>
  <c r="I71" i="7"/>
  <c r="M119" i="7"/>
  <c r="M123" i="7"/>
  <c r="M127" i="7"/>
  <c r="M131" i="7"/>
  <c r="M139" i="7"/>
  <c r="M143" i="7"/>
  <c r="M147" i="7"/>
  <c r="M151" i="7"/>
  <c r="I118" i="7"/>
  <c r="I122" i="7"/>
  <c r="I126" i="7"/>
  <c r="I130" i="7"/>
  <c r="I134" i="7"/>
  <c r="I138" i="7"/>
  <c r="I142" i="7"/>
  <c r="I146" i="7"/>
  <c r="M35" i="6"/>
  <c r="M27" i="6"/>
  <c r="M19" i="6"/>
  <c r="M11" i="6"/>
  <c r="P12" i="6"/>
  <c r="Q12" i="6"/>
  <c r="P34" i="6"/>
  <c r="P22" i="6"/>
  <c r="P10" i="6"/>
  <c r="Q34" i="6"/>
  <c r="Q31" i="6"/>
  <c r="Q37" i="6"/>
  <c r="Q65" i="6"/>
  <c r="Q10" i="6"/>
  <c r="Q22" i="6"/>
  <c r="Q25" i="6"/>
  <c r="P25" i="6"/>
  <c r="P28" i="6"/>
  <c r="Q28" i="6"/>
  <c r="K70" i="6"/>
  <c r="P13" i="6"/>
  <c r="Q13" i="6"/>
  <c r="Q16" i="6"/>
  <c r="F80" i="6"/>
  <c r="M56" i="6"/>
  <c r="M72" i="6"/>
  <c r="M57" i="6"/>
  <c r="M67" i="6"/>
  <c r="M68" i="6"/>
  <c r="M51" i="6"/>
  <c r="M44" i="6"/>
  <c r="M45" i="6"/>
  <c r="M65" i="6"/>
  <c r="M60" i="6"/>
  <c r="M46" i="6"/>
  <c r="M71" i="6"/>
  <c r="M49" i="6"/>
  <c r="Q70" i="6"/>
  <c r="P26" i="6"/>
  <c r="E60" i="6"/>
  <c r="E71" i="6"/>
  <c r="E74" i="6"/>
  <c r="E50" i="6"/>
  <c r="E51" i="6"/>
  <c r="K55" i="6"/>
  <c r="M63" i="6"/>
  <c r="P14" i="6"/>
  <c r="K71" i="6"/>
  <c r="K56" i="6"/>
  <c r="K66" i="6"/>
  <c r="K49" i="6"/>
  <c r="K77" i="6"/>
  <c r="K61" i="6"/>
  <c r="K60" i="6"/>
  <c r="K62" i="6"/>
  <c r="K68" i="6"/>
  <c r="K51" i="6"/>
  <c r="K44" i="6"/>
  <c r="K63" i="6"/>
  <c r="K74" i="6"/>
  <c r="K59" i="6"/>
  <c r="K69" i="6"/>
  <c r="K54" i="6"/>
  <c r="K65" i="6"/>
  <c r="K75" i="6"/>
  <c r="K76" i="6"/>
  <c r="K46" i="6"/>
  <c r="Q61" i="6"/>
  <c r="Q63" i="6"/>
  <c r="P8" i="6"/>
  <c r="Q26" i="6"/>
  <c r="K73" i="6"/>
  <c r="Q23" i="6"/>
  <c r="Q29" i="6"/>
  <c r="Q32" i="6"/>
  <c r="Q73" i="6"/>
  <c r="Q17" i="6"/>
  <c r="P17" i="6"/>
  <c r="Q20" i="6"/>
  <c r="P20" i="6"/>
  <c r="Q59" i="6"/>
  <c r="Q8" i="6"/>
  <c r="P30" i="6"/>
  <c r="P18" i="6"/>
  <c r="K64" i="6"/>
  <c r="Q76" i="6"/>
  <c r="Q18" i="6"/>
  <c r="Q30" i="6"/>
  <c r="Q33" i="6"/>
  <c r="P33" i="6"/>
  <c r="P36" i="6"/>
  <c r="Q36" i="6"/>
  <c r="K45" i="6"/>
  <c r="Q77" i="6"/>
  <c r="Q15" i="6"/>
  <c r="Q21" i="6"/>
  <c r="K67" i="6"/>
  <c r="I9" i="6"/>
  <c r="I17" i="6"/>
  <c r="I25" i="6"/>
  <c r="I33" i="6"/>
  <c r="L157" i="6"/>
  <c r="M353" i="13" s="1"/>
  <c r="M76" i="6"/>
  <c r="P11" i="6"/>
  <c r="P19" i="6"/>
  <c r="P27" i="6"/>
  <c r="P35" i="6"/>
  <c r="H80" i="6"/>
  <c r="I80" i="6" s="1"/>
  <c r="M9" i="6"/>
  <c r="I15" i="6"/>
  <c r="I23" i="6"/>
  <c r="I31" i="6"/>
  <c r="J38" i="6"/>
  <c r="N46" i="6"/>
  <c r="M55" i="6"/>
  <c r="E58" i="6"/>
  <c r="M70" i="6"/>
  <c r="F120" i="6"/>
  <c r="F124" i="6"/>
  <c r="F128" i="6"/>
  <c r="F132" i="6"/>
  <c r="F136" i="6"/>
  <c r="F140" i="6"/>
  <c r="F144" i="6"/>
  <c r="F148" i="6"/>
  <c r="F152" i="6"/>
  <c r="N9" i="6"/>
  <c r="L38" i="6"/>
  <c r="F44" i="6"/>
  <c r="D84" i="6"/>
  <c r="E102" i="6" s="1"/>
  <c r="Q102" i="6" s="1"/>
  <c r="N47" i="6"/>
  <c r="J24" i="13" s="1"/>
  <c r="M121" i="6"/>
  <c r="H158" i="6"/>
  <c r="D7" i="6"/>
  <c r="E24" i="6" s="1"/>
  <c r="I14" i="6"/>
  <c r="M16" i="6"/>
  <c r="I22" i="6"/>
  <c r="I30" i="6"/>
  <c r="J78" i="6"/>
  <c r="D116" i="6"/>
  <c r="D158" i="6" s="1"/>
  <c r="I120" i="6"/>
  <c r="I124" i="6"/>
  <c r="I128" i="6"/>
  <c r="I132" i="6"/>
  <c r="I136" i="6"/>
  <c r="I140" i="6"/>
  <c r="I144" i="6"/>
  <c r="I148" i="6"/>
  <c r="I152" i="6"/>
  <c r="J158" i="6"/>
  <c r="F7" i="6"/>
  <c r="G24" i="6" s="1"/>
  <c r="K120" i="6"/>
  <c r="K124" i="6"/>
  <c r="K128" i="6"/>
  <c r="K132" i="6"/>
  <c r="K136" i="6"/>
  <c r="K140" i="6"/>
  <c r="K144" i="6"/>
  <c r="K148" i="6"/>
  <c r="K152" i="6"/>
  <c r="I13" i="6"/>
  <c r="I21" i="6"/>
  <c r="I29" i="6"/>
  <c r="I37" i="6"/>
  <c r="E118" i="6"/>
  <c r="Q118" i="6" s="1"/>
  <c r="E122" i="6"/>
  <c r="Q122" i="6" s="1"/>
  <c r="E126" i="6"/>
  <c r="Q126" i="6" s="1"/>
  <c r="E130" i="6"/>
  <c r="Q130" i="6" s="1"/>
  <c r="E134" i="6"/>
  <c r="Q134" i="6" s="1"/>
  <c r="E138" i="6"/>
  <c r="Q138" i="6" s="1"/>
  <c r="E142" i="6"/>
  <c r="Q142" i="6" s="1"/>
  <c r="E146" i="6"/>
  <c r="Q146" i="6" s="1"/>
  <c r="E150" i="6"/>
  <c r="Q150" i="6" s="1"/>
  <c r="I11" i="6"/>
  <c r="I19" i="6"/>
  <c r="M21" i="6"/>
  <c r="I27" i="6"/>
  <c r="M29" i="6"/>
  <c r="I35" i="6"/>
  <c r="E46" i="6"/>
  <c r="M62" i="6"/>
  <c r="I10" i="6"/>
  <c r="I18" i="6"/>
  <c r="M20" i="6"/>
  <c r="I26" i="6"/>
  <c r="M28" i="6"/>
  <c r="M36" i="6"/>
  <c r="I118" i="6"/>
  <c r="I122" i="6"/>
  <c r="I126" i="6"/>
  <c r="I130" i="6"/>
  <c r="I134" i="6"/>
  <c r="I138" i="6"/>
  <c r="I142" i="6"/>
  <c r="I146" i="6"/>
  <c r="K118" i="6"/>
  <c r="K122" i="6"/>
  <c r="K126" i="6"/>
  <c r="K130" i="6"/>
  <c r="K134" i="6"/>
  <c r="K138" i="6"/>
  <c r="K142" i="6"/>
  <c r="K146" i="6"/>
  <c r="Q34" i="5"/>
  <c r="P34" i="5"/>
  <c r="P10" i="5"/>
  <c r="N19" i="5"/>
  <c r="P19" i="5" s="1"/>
  <c r="Q22" i="5"/>
  <c r="P32" i="5"/>
  <c r="Q16" i="5"/>
  <c r="M68" i="5"/>
  <c r="M65" i="5"/>
  <c r="Q56" i="5"/>
  <c r="Q59" i="5"/>
  <c r="J7" i="5"/>
  <c r="K24" i="5" s="1"/>
  <c r="P20" i="5"/>
  <c r="P23" i="5"/>
  <c r="Q10" i="5"/>
  <c r="P26" i="5"/>
  <c r="Q32" i="5"/>
  <c r="N35" i="5"/>
  <c r="F57" i="5"/>
  <c r="Q57" i="5" s="1"/>
  <c r="E33" i="5"/>
  <c r="E18" i="5"/>
  <c r="E19" i="5"/>
  <c r="E37" i="5"/>
  <c r="E31" i="5"/>
  <c r="E69" i="5"/>
  <c r="E8" i="5"/>
  <c r="P14" i="5"/>
  <c r="Q20" i="5"/>
  <c r="Q23" i="5"/>
  <c r="Q26" i="5"/>
  <c r="P36" i="5"/>
  <c r="J38" i="5"/>
  <c r="Q54" i="5"/>
  <c r="L7" i="5"/>
  <c r="M24" i="5" s="1"/>
  <c r="N11" i="5"/>
  <c r="Q14" i="5"/>
  <c r="P30" i="5"/>
  <c r="Q36" i="5"/>
  <c r="P12" i="5"/>
  <c r="P15" i="5"/>
  <c r="N27" i="5"/>
  <c r="Q30" i="5"/>
  <c r="F45" i="5"/>
  <c r="P18" i="5"/>
  <c r="P28" i="5"/>
  <c r="P31" i="5"/>
  <c r="Q58" i="5"/>
  <c r="Q12" i="5"/>
  <c r="Q15" i="5"/>
  <c r="Q18" i="5"/>
  <c r="Q50" i="5"/>
  <c r="P16" i="5"/>
  <c r="P22" i="5"/>
  <c r="Q28" i="5"/>
  <c r="Q31" i="5"/>
  <c r="F51" i="5"/>
  <c r="M127" i="5"/>
  <c r="M119" i="5"/>
  <c r="M148" i="5"/>
  <c r="M144" i="5"/>
  <c r="M140" i="5"/>
  <c r="M136" i="5"/>
  <c r="M128" i="5"/>
  <c r="M124" i="5"/>
  <c r="M120" i="5"/>
  <c r="M117" i="5"/>
  <c r="M146" i="5"/>
  <c r="M142" i="5"/>
  <c r="M138" i="5"/>
  <c r="M134" i="5"/>
  <c r="M130" i="5"/>
  <c r="M122" i="5"/>
  <c r="M118" i="5"/>
  <c r="I18" i="5"/>
  <c r="I26" i="5"/>
  <c r="I34" i="5"/>
  <c r="I62" i="5"/>
  <c r="I66" i="5"/>
  <c r="I70" i="5"/>
  <c r="L157" i="5"/>
  <c r="F8" i="5"/>
  <c r="I9" i="5"/>
  <c r="I17" i="5"/>
  <c r="I25" i="5"/>
  <c r="I33" i="5"/>
  <c r="Q37" i="5"/>
  <c r="K117" i="5"/>
  <c r="K121" i="5"/>
  <c r="K125" i="5"/>
  <c r="K129" i="5"/>
  <c r="K133" i="5"/>
  <c r="K137" i="5"/>
  <c r="K141" i="5"/>
  <c r="K145" i="5"/>
  <c r="K149" i="5"/>
  <c r="K153" i="5"/>
  <c r="M70" i="5"/>
  <c r="I77" i="5"/>
  <c r="H79" i="5"/>
  <c r="F120" i="5"/>
  <c r="F124" i="5"/>
  <c r="F128" i="5"/>
  <c r="F132" i="5"/>
  <c r="F136" i="5"/>
  <c r="F140" i="5"/>
  <c r="F144" i="5"/>
  <c r="F148" i="5"/>
  <c r="F152" i="5"/>
  <c r="I8" i="5"/>
  <c r="I16" i="5"/>
  <c r="I32" i="5"/>
  <c r="I61" i="5"/>
  <c r="I65" i="5"/>
  <c r="I69" i="5"/>
  <c r="I73" i="5"/>
  <c r="E30" i="5"/>
  <c r="I45" i="5"/>
  <c r="I51" i="5"/>
  <c r="I57" i="5"/>
  <c r="F52" i="5"/>
  <c r="F89" i="5"/>
  <c r="F93" i="5"/>
  <c r="F97" i="5"/>
  <c r="F101" i="5"/>
  <c r="F105" i="5"/>
  <c r="D116" i="5"/>
  <c r="E146" i="5" s="1"/>
  <c r="N117" i="5"/>
  <c r="L23" i="13" s="1"/>
  <c r="I120" i="5"/>
  <c r="I124" i="5"/>
  <c r="I128" i="5"/>
  <c r="I132" i="5"/>
  <c r="I136" i="5"/>
  <c r="I140" i="5"/>
  <c r="I144" i="5"/>
  <c r="I148" i="5"/>
  <c r="I152" i="5"/>
  <c r="H158" i="5"/>
  <c r="I15" i="5"/>
  <c r="I23" i="5"/>
  <c r="I31" i="5"/>
  <c r="F47" i="5"/>
  <c r="J7" i="13" s="1"/>
  <c r="K120" i="5"/>
  <c r="K124" i="5"/>
  <c r="K128" i="5"/>
  <c r="K132" i="5"/>
  <c r="K136" i="5"/>
  <c r="K140" i="5"/>
  <c r="K144" i="5"/>
  <c r="K148" i="5"/>
  <c r="K152" i="5"/>
  <c r="J158" i="5"/>
  <c r="L38" i="5"/>
  <c r="I76" i="5"/>
  <c r="I14" i="5"/>
  <c r="I22" i="5"/>
  <c r="I30" i="5"/>
  <c r="I64" i="5"/>
  <c r="I68" i="5"/>
  <c r="I72" i="5"/>
  <c r="N8" i="5"/>
  <c r="E28" i="5"/>
  <c r="I44" i="5"/>
  <c r="I50" i="5"/>
  <c r="I56" i="5"/>
  <c r="I60" i="5"/>
  <c r="I119" i="5"/>
  <c r="I123" i="5"/>
  <c r="I127" i="5"/>
  <c r="I131" i="5"/>
  <c r="I135" i="5"/>
  <c r="I139" i="5"/>
  <c r="I143" i="5"/>
  <c r="I147" i="5"/>
  <c r="I151" i="5"/>
  <c r="I13" i="5"/>
  <c r="I21" i="5"/>
  <c r="I29" i="5"/>
  <c r="I37" i="5"/>
  <c r="K119" i="5"/>
  <c r="K123" i="5"/>
  <c r="K127" i="5"/>
  <c r="K131" i="5"/>
  <c r="K135" i="5"/>
  <c r="K139" i="5"/>
  <c r="K143" i="5"/>
  <c r="K147" i="5"/>
  <c r="K151" i="5"/>
  <c r="I75" i="5"/>
  <c r="I12" i="5"/>
  <c r="I20" i="5"/>
  <c r="I28" i="5"/>
  <c r="I36" i="5"/>
  <c r="H39" i="5"/>
  <c r="M56" i="5"/>
  <c r="I63" i="5"/>
  <c r="I67" i="5"/>
  <c r="I71" i="5"/>
  <c r="N47" i="5"/>
  <c r="J23" i="13" s="1"/>
  <c r="M139" i="5"/>
  <c r="M143" i="5"/>
  <c r="N44" i="5"/>
  <c r="I49" i="5"/>
  <c r="I55" i="5"/>
  <c r="I59" i="5"/>
  <c r="I118" i="5"/>
  <c r="I122" i="5"/>
  <c r="I126" i="5"/>
  <c r="I130" i="5"/>
  <c r="I134" i="5"/>
  <c r="I138" i="5"/>
  <c r="I142" i="5"/>
  <c r="I146" i="5"/>
  <c r="I11" i="5"/>
  <c r="I19" i="5"/>
  <c r="I27" i="5"/>
  <c r="K118" i="5"/>
  <c r="K122" i="5"/>
  <c r="K126" i="5"/>
  <c r="K130" i="5"/>
  <c r="K134" i="5"/>
  <c r="K138" i="5"/>
  <c r="K142" i="5"/>
  <c r="K146" i="5"/>
  <c r="F80" i="4"/>
  <c r="Q56" i="4"/>
  <c r="Q13" i="4"/>
  <c r="Q28" i="4"/>
  <c r="P31" i="4"/>
  <c r="Q31" i="4"/>
  <c r="Q66" i="4"/>
  <c r="Q10" i="4"/>
  <c r="P10" i="4"/>
  <c r="Q16" i="4"/>
  <c r="Q19" i="4"/>
  <c r="P29" i="4"/>
  <c r="P32" i="4"/>
  <c r="P17" i="4"/>
  <c r="P20" i="4"/>
  <c r="P8" i="4"/>
  <c r="P11" i="4"/>
  <c r="Q29" i="4"/>
  <c r="Q32" i="4"/>
  <c r="Q77" i="4"/>
  <c r="K25" i="4"/>
  <c r="K17" i="4"/>
  <c r="Q17" i="4"/>
  <c r="Q20" i="4"/>
  <c r="P23" i="4"/>
  <c r="Q23" i="4"/>
  <c r="P33" i="4"/>
  <c r="P36" i="4"/>
  <c r="N38" i="4"/>
  <c r="Q8" i="4"/>
  <c r="Q11" i="4"/>
  <c r="Q64" i="4"/>
  <c r="P21" i="4"/>
  <c r="P27" i="4"/>
  <c r="Q26" i="4"/>
  <c r="P26" i="4"/>
  <c r="E19" i="4"/>
  <c r="E11" i="4"/>
  <c r="E10" i="4"/>
  <c r="D39" i="4"/>
  <c r="E18" i="4"/>
  <c r="E36" i="4"/>
  <c r="E28" i="4"/>
  <c r="E20" i="4"/>
  <c r="E12" i="4"/>
  <c r="E34" i="4"/>
  <c r="D159" i="4"/>
  <c r="E31" i="4"/>
  <c r="E23" i="4"/>
  <c r="E15" i="4"/>
  <c r="E32" i="4"/>
  <c r="E16" i="4"/>
  <c r="E8" i="4"/>
  <c r="E26" i="4"/>
  <c r="P12" i="4"/>
  <c r="Q33" i="4"/>
  <c r="Q36" i="4"/>
  <c r="Q55" i="4"/>
  <c r="Q21" i="4"/>
  <c r="Q75" i="4"/>
  <c r="Q27" i="4"/>
  <c r="Q59" i="4"/>
  <c r="Q65" i="4"/>
  <c r="Q18" i="4"/>
  <c r="P18" i="4"/>
  <c r="P37" i="4"/>
  <c r="Q12" i="4"/>
  <c r="P15" i="4"/>
  <c r="Q15" i="4"/>
  <c r="E22" i="4"/>
  <c r="Q72" i="4"/>
  <c r="P25" i="4"/>
  <c r="P28" i="4"/>
  <c r="Q37" i="4"/>
  <c r="P13" i="4"/>
  <c r="P16" i="4"/>
  <c r="P19" i="4"/>
  <c r="Q34" i="4"/>
  <c r="P34" i="4"/>
  <c r="L7" i="4"/>
  <c r="M24" i="4" s="1"/>
  <c r="E49" i="4"/>
  <c r="I50" i="4"/>
  <c r="I62" i="4"/>
  <c r="L157" i="4"/>
  <c r="I72" i="4"/>
  <c r="I77" i="4"/>
  <c r="E52" i="4"/>
  <c r="E101" i="4"/>
  <c r="E9" i="4"/>
  <c r="E17" i="4"/>
  <c r="P22" i="4"/>
  <c r="E25" i="4"/>
  <c r="E33" i="4"/>
  <c r="E46" i="4"/>
  <c r="I49" i="4"/>
  <c r="I61" i="4"/>
  <c r="H79" i="4"/>
  <c r="F52" i="4"/>
  <c r="E88" i="4"/>
  <c r="F101" i="4"/>
  <c r="E104" i="4"/>
  <c r="F9" i="4"/>
  <c r="I10" i="4"/>
  <c r="I18" i="4"/>
  <c r="I26" i="4"/>
  <c r="I34" i="4"/>
  <c r="J43" i="4"/>
  <c r="K45" i="4" s="1"/>
  <c r="I56" i="4"/>
  <c r="E65" i="4"/>
  <c r="I66" i="4"/>
  <c r="F88" i="4"/>
  <c r="E91" i="4"/>
  <c r="F104" i="4"/>
  <c r="F120" i="4"/>
  <c r="F124" i="4"/>
  <c r="F128" i="4"/>
  <c r="F132" i="4"/>
  <c r="F136" i="4"/>
  <c r="F140" i="4"/>
  <c r="F144" i="4"/>
  <c r="F148" i="4"/>
  <c r="F152" i="4"/>
  <c r="L43" i="4"/>
  <c r="M76" i="4" s="1"/>
  <c r="I71" i="4"/>
  <c r="E75" i="4"/>
  <c r="I76" i="4"/>
  <c r="F91" i="4"/>
  <c r="M133" i="4"/>
  <c r="I9" i="4"/>
  <c r="I17" i="4"/>
  <c r="I25" i="4"/>
  <c r="I33" i="4"/>
  <c r="I46" i="4"/>
  <c r="F47" i="4"/>
  <c r="J6" i="13" s="1"/>
  <c r="E97" i="4"/>
  <c r="D116" i="4"/>
  <c r="E147" i="4" s="1"/>
  <c r="I120" i="4"/>
  <c r="I124" i="4"/>
  <c r="I128" i="4"/>
  <c r="I132" i="4"/>
  <c r="I136" i="4"/>
  <c r="I140" i="4"/>
  <c r="I144" i="4"/>
  <c r="I148" i="4"/>
  <c r="I152" i="4"/>
  <c r="J158" i="4"/>
  <c r="I55" i="4"/>
  <c r="E64" i="4"/>
  <c r="I65" i="4"/>
  <c r="F97" i="4"/>
  <c r="E100" i="4"/>
  <c r="K120" i="4"/>
  <c r="K124" i="4"/>
  <c r="K128" i="4"/>
  <c r="K132" i="4"/>
  <c r="K136" i="4"/>
  <c r="K140" i="4"/>
  <c r="K144" i="4"/>
  <c r="K148" i="4"/>
  <c r="K152" i="4"/>
  <c r="I32" i="4"/>
  <c r="I60" i="4"/>
  <c r="E69" i="4"/>
  <c r="I70" i="4"/>
  <c r="I75" i="4"/>
  <c r="I45" i="4"/>
  <c r="E51" i="4"/>
  <c r="E13" i="4"/>
  <c r="E21" i="4"/>
  <c r="E29" i="4"/>
  <c r="E37" i="4"/>
  <c r="L38" i="4"/>
  <c r="E58" i="4"/>
  <c r="I59" i="4"/>
  <c r="I69" i="4"/>
  <c r="I74" i="4"/>
  <c r="E96" i="4"/>
  <c r="I14" i="4"/>
  <c r="I22" i="4"/>
  <c r="I30" i="4"/>
  <c r="E85" i="4"/>
  <c r="E99" i="4"/>
  <c r="I44" i="4"/>
  <c r="I51" i="4"/>
  <c r="I63" i="4"/>
  <c r="M147" i="4"/>
  <c r="I13" i="4"/>
  <c r="I21" i="4"/>
  <c r="I29" i="4"/>
  <c r="I58" i="4"/>
  <c r="I68" i="4"/>
  <c r="E89" i="4"/>
  <c r="E105" i="4"/>
  <c r="I118" i="4"/>
  <c r="I122" i="4"/>
  <c r="I126" i="4"/>
  <c r="I130" i="4"/>
  <c r="I134" i="4"/>
  <c r="I138" i="4"/>
  <c r="I142" i="4"/>
  <c r="I146" i="4"/>
  <c r="K118" i="4"/>
  <c r="K122" i="4"/>
  <c r="K126" i="4"/>
  <c r="K130" i="4"/>
  <c r="K134" i="4"/>
  <c r="K138" i="4"/>
  <c r="K142" i="4"/>
  <c r="K146" i="4"/>
  <c r="P37" i="3"/>
  <c r="Q16" i="3"/>
  <c r="Q25" i="3"/>
  <c r="Q58" i="3"/>
  <c r="Q28" i="3"/>
  <c r="P17" i="3"/>
  <c r="D39" i="3"/>
  <c r="K37" i="3"/>
  <c r="K29" i="3"/>
  <c r="P29" i="3"/>
  <c r="P35" i="3"/>
  <c r="Q35" i="3"/>
  <c r="Q62" i="3"/>
  <c r="P11" i="3"/>
  <c r="Q11" i="3"/>
  <c r="Q46" i="3"/>
  <c r="M11" i="3"/>
  <c r="M30" i="3"/>
  <c r="P20" i="3"/>
  <c r="P43" i="3"/>
  <c r="P78" i="3"/>
  <c r="Q51" i="3"/>
  <c r="Q17" i="3"/>
  <c r="P9" i="3"/>
  <c r="Q20" i="3"/>
  <c r="Q32" i="3"/>
  <c r="M72" i="3"/>
  <c r="M68" i="3"/>
  <c r="M76" i="3"/>
  <c r="Q56" i="3"/>
  <c r="P21" i="3"/>
  <c r="P27" i="3"/>
  <c r="Q27" i="3"/>
  <c r="P33" i="3"/>
  <c r="Q12" i="3"/>
  <c r="P36" i="3"/>
  <c r="G65" i="3"/>
  <c r="G64" i="3"/>
  <c r="G60" i="3"/>
  <c r="F79" i="3"/>
  <c r="F84" i="3" s="1"/>
  <c r="F112" i="3" s="1"/>
  <c r="G61" i="3"/>
  <c r="G57" i="3"/>
  <c r="G77" i="3"/>
  <c r="G72" i="3"/>
  <c r="G50" i="3"/>
  <c r="G67" i="3"/>
  <c r="G73" i="3"/>
  <c r="G51" i="3"/>
  <c r="G68" i="3"/>
  <c r="G55" i="3"/>
  <c r="G69" i="3"/>
  <c r="G75" i="3"/>
  <c r="Q60" i="3"/>
  <c r="Q21" i="3"/>
  <c r="Q33" i="3"/>
  <c r="P13" i="3"/>
  <c r="Q36" i="3"/>
  <c r="Q45" i="3"/>
  <c r="Q69" i="3"/>
  <c r="Q9" i="3"/>
  <c r="P19" i="3"/>
  <c r="Q19" i="3"/>
  <c r="P25" i="3"/>
  <c r="I8" i="3"/>
  <c r="F15" i="3"/>
  <c r="I16" i="3"/>
  <c r="F23" i="3"/>
  <c r="F31" i="3"/>
  <c r="I32" i="3"/>
  <c r="I46" i="3"/>
  <c r="N57" i="3"/>
  <c r="N61" i="3"/>
  <c r="I70" i="3"/>
  <c r="I75" i="3"/>
  <c r="N48" i="3"/>
  <c r="N53" i="3"/>
  <c r="N90" i="3"/>
  <c r="N94" i="3"/>
  <c r="N98" i="3"/>
  <c r="N102" i="3"/>
  <c r="F117" i="3"/>
  <c r="L5" i="13" s="1"/>
  <c r="F121" i="3"/>
  <c r="F125" i="3"/>
  <c r="F129" i="3"/>
  <c r="F133" i="3"/>
  <c r="F137" i="3"/>
  <c r="F141" i="3"/>
  <c r="F145" i="3"/>
  <c r="F149" i="3"/>
  <c r="F153" i="3"/>
  <c r="J38" i="3"/>
  <c r="G45" i="3"/>
  <c r="M56" i="3"/>
  <c r="I64" i="3"/>
  <c r="H80" i="3"/>
  <c r="P10" i="3"/>
  <c r="P18" i="3"/>
  <c r="P26" i="3"/>
  <c r="P34" i="3"/>
  <c r="L38" i="3"/>
  <c r="I45" i="3"/>
  <c r="I69" i="3"/>
  <c r="I74" i="3"/>
  <c r="I14" i="3"/>
  <c r="I22" i="3"/>
  <c r="I30" i="3"/>
  <c r="G44" i="3"/>
  <c r="N47" i="3"/>
  <c r="J21" i="13" s="1"/>
  <c r="F120" i="3"/>
  <c r="F124" i="3"/>
  <c r="F128" i="3"/>
  <c r="F132" i="3"/>
  <c r="F136" i="3"/>
  <c r="F140" i="3"/>
  <c r="F144" i="3"/>
  <c r="F148" i="3"/>
  <c r="F152" i="3"/>
  <c r="N8" i="3"/>
  <c r="I44" i="3"/>
  <c r="I59" i="3"/>
  <c r="I63" i="3"/>
  <c r="J78" i="3"/>
  <c r="M117" i="3"/>
  <c r="M121" i="3"/>
  <c r="M125" i="3"/>
  <c r="M129" i="3"/>
  <c r="M133" i="3"/>
  <c r="M137" i="3"/>
  <c r="M153" i="3"/>
  <c r="H158" i="3"/>
  <c r="I13" i="3"/>
  <c r="I21" i="3"/>
  <c r="I29" i="3"/>
  <c r="I37" i="3"/>
  <c r="I68" i="3"/>
  <c r="L78" i="3"/>
  <c r="D116" i="3"/>
  <c r="E142" i="3" s="1"/>
  <c r="I128" i="3"/>
  <c r="I132" i="3"/>
  <c r="I136" i="3"/>
  <c r="I140" i="3"/>
  <c r="I144" i="3"/>
  <c r="I148" i="3"/>
  <c r="J158" i="3"/>
  <c r="P16" i="3"/>
  <c r="P32" i="3"/>
  <c r="I51" i="3"/>
  <c r="I73" i="3"/>
  <c r="K120" i="3"/>
  <c r="K124" i="3"/>
  <c r="K128" i="3"/>
  <c r="K132" i="3"/>
  <c r="K136" i="3"/>
  <c r="K140" i="3"/>
  <c r="K144" i="3"/>
  <c r="K148" i="3"/>
  <c r="K152" i="3"/>
  <c r="I12" i="3"/>
  <c r="I20" i="3"/>
  <c r="I28" i="3"/>
  <c r="I36" i="3"/>
  <c r="H39" i="3"/>
  <c r="I58" i="3"/>
  <c r="I62" i="3"/>
  <c r="I67" i="3"/>
  <c r="M120" i="3"/>
  <c r="M124" i="3"/>
  <c r="M128" i="3"/>
  <c r="M132" i="3"/>
  <c r="M136" i="3"/>
  <c r="M140" i="3"/>
  <c r="M144" i="3"/>
  <c r="M148" i="3"/>
  <c r="M152" i="3"/>
  <c r="I72" i="3"/>
  <c r="I77" i="3"/>
  <c r="E17" i="3"/>
  <c r="I57" i="3"/>
  <c r="I61" i="3"/>
  <c r="M73" i="3"/>
  <c r="H79" i="3"/>
  <c r="I10" i="3"/>
  <c r="I18" i="3"/>
  <c r="I26" i="3"/>
  <c r="I34" i="3"/>
  <c r="I66" i="3"/>
  <c r="Q44" i="3"/>
  <c r="I49" i="3"/>
  <c r="I71" i="3"/>
  <c r="I76" i="3"/>
  <c r="M119" i="3"/>
  <c r="M123" i="3"/>
  <c r="M127" i="3"/>
  <c r="M131" i="3"/>
  <c r="M135" i="3"/>
  <c r="M139" i="3"/>
  <c r="M143" i="3"/>
  <c r="M147" i="3"/>
  <c r="I56" i="3"/>
  <c r="I60" i="3"/>
  <c r="K118" i="3"/>
  <c r="K122" i="3"/>
  <c r="K126" i="3"/>
  <c r="K130" i="3"/>
  <c r="K134" i="3"/>
  <c r="K138" i="3"/>
  <c r="K142" i="3"/>
  <c r="K146" i="3"/>
  <c r="O185" i="13" l="1"/>
  <c r="P29" i="12"/>
  <c r="Q44" i="12"/>
  <c r="Q56" i="12"/>
  <c r="K61" i="12"/>
  <c r="Q61" i="12"/>
  <c r="Q54" i="12"/>
  <c r="Q63" i="12"/>
  <c r="K54" i="12"/>
  <c r="K45" i="11"/>
  <c r="Q61" i="11"/>
  <c r="M67" i="10"/>
  <c r="M46" i="10"/>
  <c r="M66" i="10"/>
  <c r="M70" i="10"/>
  <c r="Q59" i="10"/>
  <c r="M64" i="10"/>
  <c r="O134" i="9"/>
  <c r="Q61" i="9"/>
  <c r="O130" i="9"/>
  <c r="O127" i="9"/>
  <c r="Q21" i="9"/>
  <c r="Q75" i="9"/>
  <c r="Q73" i="8"/>
  <c r="Q57" i="8"/>
  <c r="M147" i="8"/>
  <c r="M131" i="8"/>
  <c r="M152" i="8"/>
  <c r="M132" i="8"/>
  <c r="M145" i="8"/>
  <c r="M129" i="8"/>
  <c r="K54" i="8"/>
  <c r="M134" i="8"/>
  <c r="M146" i="8"/>
  <c r="K65" i="8"/>
  <c r="K64" i="8"/>
  <c r="K60" i="8"/>
  <c r="K74" i="8"/>
  <c r="K62" i="8"/>
  <c r="Q77" i="8"/>
  <c r="Q62" i="8"/>
  <c r="K46" i="8"/>
  <c r="M143" i="8"/>
  <c r="M127" i="8"/>
  <c r="M148" i="8"/>
  <c r="M128" i="8"/>
  <c r="K44" i="8"/>
  <c r="M141" i="8"/>
  <c r="M125" i="8"/>
  <c r="M126" i="8"/>
  <c r="M150" i="8"/>
  <c r="K77" i="8"/>
  <c r="K56" i="8"/>
  <c r="K70" i="8"/>
  <c r="K58" i="8"/>
  <c r="K72" i="8"/>
  <c r="K73" i="8"/>
  <c r="Q71" i="8"/>
  <c r="M139" i="8"/>
  <c r="M123" i="8"/>
  <c r="M144" i="8"/>
  <c r="M124" i="8"/>
  <c r="M153" i="8"/>
  <c r="M137" i="8"/>
  <c r="M121" i="8"/>
  <c r="K63" i="8"/>
  <c r="K45" i="8"/>
  <c r="K66" i="8"/>
  <c r="K59" i="8"/>
  <c r="K68" i="8"/>
  <c r="K49" i="8"/>
  <c r="K67" i="8"/>
  <c r="Q59" i="8"/>
  <c r="Q73" i="7"/>
  <c r="Q70" i="7"/>
  <c r="Q55" i="7"/>
  <c r="M13" i="7"/>
  <c r="L79" i="7"/>
  <c r="M75" i="7"/>
  <c r="M45" i="7"/>
  <c r="M15" i="7"/>
  <c r="M20" i="7"/>
  <c r="M25" i="7"/>
  <c r="M59" i="7"/>
  <c r="M72" i="7"/>
  <c r="Q58" i="7"/>
  <c r="M62" i="7"/>
  <c r="M73" i="7"/>
  <c r="M55" i="7"/>
  <c r="M16" i="7"/>
  <c r="M36" i="7"/>
  <c r="K21" i="7"/>
  <c r="M51" i="7"/>
  <c r="M77" i="7"/>
  <c r="Q67" i="7"/>
  <c r="Q54" i="7"/>
  <c r="Q49" i="7"/>
  <c r="Q74" i="6"/>
  <c r="F84" i="6"/>
  <c r="G90" i="6" s="1"/>
  <c r="M117" i="6"/>
  <c r="K14" i="6"/>
  <c r="K32" i="6"/>
  <c r="E68" i="6"/>
  <c r="E61" i="6"/>
  <c r="E75" i="6"/>
  <c r="M127" i="6"/>
  <c r="E73" i="6"/>
  <c r="E54" i="6"/>
  <c r="E59" i="6"/>
  <c r="E57" i="6"/>
  <c r="E77" i="6"/>
  <c r="E55" i="6"/>
  <c r="E45" i="6"/>
  <c r="Q50" i="6"/>
  <c r="Q54" i="6"/>
  <c r="M131" i="6"/>
  <c r="E76" i="6"/>
  <c r="E67" i="6"/>
  <c r="D79" i="6"/>
  <c r="E66" i="6"/>
  <c r="Q56" i="6"/>
  <c r="E65" i="6"/>
  <c r="M137" i="6"/>
  <c r="M133" i="6"/>
  <c r="E44" i="6"/>
  <c r="E63" i="6"/>
  <c r="E64" i="6"/>
  <c r="E69" i="6"/>
  <c r="E62" i="6"/>
  <c r="E72" i="6"/>
  <c r="E56" i="6"/>
  <c r="E70" i="6"/>
  <c r="Q72" i="6"/>
  <c r="Q69" i="6"/>
  <c r="Q49" i="5"/>
  <c r="E26" i="5"/>
  <c r="E20" i="5"/>
  <c r="M57" i="5"/>
  <c r="E34" i="5"/>
  <c r="E13" i="5"/>
  <c r="D39" i="5"/>
  <c r="E27" i="5"/>
  <c r="E9" i="5"/>
  <c r="M69" i="5"/>
  <c r="M72" i="5"/>
  <c r="E12" i="5"/>
  <c r="M45" i="5"/>
  <c r="E14" i="5"/>
  <c r="E15" i="5"/>
  <c r="E21" i="5"/>
  <c r="D159" i="5"/>
  <c r="E35" i="5"/>
  <c r="E17" i="5"/>
  <c r="M55" i="5"/>
  <c r="M76" i="5"/>
  <c r="M75" i="5"/>
  <c r="Q72" i="5"/>
  <c r="Q70" i="5"/>
  <c r="M50" i="5"/>
  <c r="E22" i="5"/>
  <c r="M58" i="5"/>
  <c r="M60" i="5"/>
  <c r="E36" i="5"/>
  <c r="L80" i="5"/>
  <c r="E23" i="5"/>
  <c r="E29" i="5"/>
  <c r="E11" i="5"/>
  <c r="E10" i="5"/>
  <c r="E25" i="5"/>
  <c r="M61" i="5"/>
  <c r="M64" i="5"/>
  <c r="M67" i="5"/>
  <c r="E16" i="5"/>
  <c r="Q67" i="5"/>
  <c r="M143" i="4"/>
  <c r="L158" i="4"/>
  <c r="M125" i="4"/>
  <c r="Q54" i="4"/>
  <c r="M149" i="4"/>
  <c r="M121" i="4"/>
  <c r="Q61" i="4"/>
  <c r="M139" i="4"/>
  <c r="M135" i="4"/>
  <c r="M141" i="4"/>
  <c r="M117" i="4"/>
  <c r="P14" i="4"/>
  <c r="Q62" i="4"/>
  <c r="E57" i="4"/>
  <c r="E68" i="4"/>
  <c r="L80" i="4"/>
  <c r="E44" i="4"/>
  <c r="E71" i="4"/>
  <c r="E77" i="4"/>
  <c r="E73" i="4"/>
  <c r="M65" i="4"/>
  <c r="E66" i="4"/>
  <c r="E74" i="4"/>
  <c r="E59" i="4"/>
  <c r="E54" i="4"/>
  <c r="E70" i="4"/>
  <c r="E55" i="4"/>
  <c r="E61" i="4"/>
  <c r="D79" i="4"/>
  <c r="E72" i="4"/>
  <c r="E67" i="4"/>
  <c r="E50" i="4"/>
  <c r="E63" i="4"/>
  <c r="E45" i="4"/>
  <c r="E60" i="4"/>
  <c r="E76" i="4"/>
  <c r="J80" i="4"/>
  <c r="M28" i="3"/>
  <c r="M12" i="3"/>
  <c r="M74" i="3"/>
  <c r="M45" i="3"/>
  <c r="M75" i="3"/>
  <c r="M64" i="3"/>
  <c r="M49" i="3"/>
  <c r="M77" i="3"/>
  <c r="M26" i="3"/>
  <c r="M13" i="3"/>
  <c r="M19" i="3"/>
  <c r="M10" i="3"/>
  <c r="Q49" i="3"/>
  <c r="M62" i="3"/>
  <c r="J79" i="3"/>
  <c r="M70" i="3"/>
  <c r="M65" i="3"/>
  <c r="M44" i="3"/>
  <c r="M71" i="3"/>
  <c r="M21" i="3"/>
  <c r="M27" i="3"/>
  <c r="M58" i="3"/>
  <c r="M20" i="3"/>
  <c r="M51" i="3"/>
  <c r="M69" i="3"/>
  <c r="M46" i="3"/>
  <c r="M60" i="3"/>
  <c r="M17" i="3"/>
  <c r="M57" i="3"/>
  <c r="M66" i="3"/>
  <c r="M63" i="3"/>
  <c r="M50" i="3"/>
  <c r="M14" i="3"/>
  <c r="M29" i="3"/>
  <c r="M35" i="3"/>
  <c r="M67" i="3"/>
  <c r="M54" i="3"/>
  <c r="E73" i="3"/>
  <c r="E54" i="3"/>
  <c r="K55" i="3"/>
  <c r="K54" i="3"/>
  <c r="G59" i="3"/>
  <c r="G54" i="3"/>
  <c r="E26" i="3"/>
  <c r="E70" i="3"/>
  <c r="E35" i="3"/>
  <c r="E16" i="3"/>
  <c r="E28" i="3"/>
  <c r="E9" i="3"/>
  <c r="E11" i="3"/>
  <c r="E29" i="3"/>
  <c r="E13" i="3"/>
  <c r="E14" i="3"/>
  <c r="E22" i="3"/>
  <c r="E34" i="3"/>
  <c r="E32" i="3"/>
  <c r="E33" i="3"/>
  <c r="E27" i="3"/>
  <c r="E15" i="3"/>
  <c r="E61" i="3"/>
  <c r="E23" i="3"/>
  <c r="E12" i="3"/>
  <c r="E10" i="3"/>
  <c r="D159" i="3"/>
  <c r="E30" i="3"/>
  <c r="G56" i="3"/>
  <c r="E25" i="3"/>
  <c r="E19" i="3"/>
  <c r="E37" i="3"/>
  <c r="E21" i="3"/>
  <c r="E36" i="3"/>
  <c r="E20" i="3"/>
  <c r="E18" i="3"/>
  <c r="E8" i="3"/>
  <c r="E31" i="3"/>
  <c r="J15" i="13"/>
  <c r="J14" i="13"/>
  <c r="L30" i="13"/>
  <c r="L31" i="13"/>
  <c r="L29" i="13"/>
  <c r="Q49" i="12"/>
  <c r="F30" i="13"/>
  <c r="F29" i="13"/>
  <c r="F31" i="13"/>
  <c r="Q74" i="12"/>
  <c r="K27" i="12"/>
  <c r="E69" i="12"/>
  <c r="L14" i="13"/>
  <c r="L15" i="13"/>
  <c r="Q77" i="12"/>
  <c r="J29" i="13"/>
  <c r="J31" i="13"/>
  <c r="J30" i="13"/>
  <c r="K64" i="12"/>
  <c r="M27" i="12"/>
  <c r="M141" i="11"/>
  <c r="M124" i="11"/>
  <c r="M128" i="11"/>
  <c r="M126" i="11"/>
  <c r="M135" i="11"/>
  <c r="M151" i="11"/>
  <c r="Q57" i="11"/>
  <c r="M122" i="11"/>
  <c r="K72" i="11"/>
  <c r="M149" i="11"/>
  <c r="M121" i="10"/>
  <c r="M74" i="10"/>
  <c r="Q77" i="10"/>
  <c r="M134" i="10"/>
  <c r="M65" i="10"/>
  <c r="M58" i="10"/>
  <c r="M151" i="10"/>
  <c r="M143" i="10"/>
  <c r="M135" i="10"/>
  <c r="Q58" i="10"/>
  <c r="Q57" i="9"/>
  <c r="Q49" i="9"/>
  <c r="Q46" i="9"/>
  <c r="M138" i="9"/>
  <c r="K46" i="9"/>
  <c r="O120" i="9"/>
  <c r="E25" i="8"/>
  <c r="E10" i="8"/>
  <c r="Q51" i="8"/>
  <c r="E19" i="8"/>
  <c r="E21" i="8"/>
  <c r="E8" i="8"/>
  <c r="K76" i="8"/>
  <c r="E11" i="8"/>
  <c r="E13" i="8"/>
  <c r="E16" i="8"/>
  <c r="E32" i="8"/>
  <c r="E26" i="8"/>
  <c r="E22" i="8"/>
  <c r="E34" i="8"/>
  <c r="E28" i="8"/>
  <c r="E14" i="8"/>
  <c r="E36" i="8"/>
  <c r="K57" i="8"/>
  <c r="D39" i="8"/>
  <c r="Q49" i="8"/>
  <c r="F26" i="13"/>
  <c r="C26" i="13"/>
  <c r="M24" i="8"/>
  <c r="E31" i="8"/>
  <c r="E66" i="8"/>
  <c r="Q64" i="7"/>
  <c r="K64" i="7"/>
  <c r="Q75" i="7"/>
  <c r="C25" i="13"/>
  <c r="M24" i="7"/>
  <c r="K59" i="7"/>
  <c r="P33" i="7"/>
  <c r="C24" i="13"/>
  <c r="M24" i="6"/>
  <c r="M61" i="6"/>
  <c r="Q62" i="6"/>
  <c r="Q49" i="6"/>
  <c r="F24" i="13"/>
  <c r="Q58" i="6"/>
  <c r="L80" i="6"/>
  <c r="Q61" i="5"/>
  <c r="Q68" i="5"/>
  <c r="E35" i="4"/>
  <c r="Q51" i="4"/>
  <c r="Q49" i="4"/>
  <c r="F22" i="13"/>
  <c r="M141" i="3"/>
  <c r="M138" i="3"/>
  <c r="M17" i="12"/>
  <c r="K13" i="7"/>
  <c r="J39" i="7"/>
  <c r="K31" i="7"/>
  <c r="K8" i="7"/>
  <c r="K16" i="7"/>
  <c r="K37" i="7"/>
  <c r="K29" i="7"/>
  <c r="K22" i="7"/>
  <c r="K23" i="7"/>
  <c r="K28" i="7"/>
  <c r="K20" i="7"/>
  <c r="K34" i="7"/>
  <c r="K11" i="7"/>
  <c r="K19" i="7"/>
  <c r="K18" i="7"/>
  <c r="K26" i="7"/>
  <c r="K27" i="7"/>
  <c r="K15" i="7"/>
  <c r="K36" i="7"/>
  <c r="K35" i="7"/>
  <c r="K9" i="7"/>
  <c r="K17" i="7"/>
  <c r="K10" i="7"/>
  <c r="K32" i="7"/>
  <c r="K14" i="7"/>
  <c r="K25" i="7"/>
  <c r="K33" i="7"/>
  <c r="G35" i="7"/>
  <c r="M10" i="12"/>
  <c r="K26" i="12"/>
  <c r="G35" i="12"/>
  <c r="G19" i="12"/>
  <c r="E29" i="12"/>
  <c r="M14" i="11"/>
  <c r="M29" i="11"/>
  <c r="M27" i="11"/>
  <c r="K13" i="11"/>
  <c r="E13" i="11"/>
  <c r="E10" i="11"/>
  <c r="O12" i="9"/>
  <c r="M13" i="9"/>
  <c r="E8" i="9"/>
  <c r="M32" i="8"/>
  <c r="K31" i="8"/>
  <c r="K15" i="8"/>
  <c r="G25" i="8"/>
  <c r="M26" i="7"/>
  <c r="K12" i="7"/>
  <c r="E8" i="7"/>
  <c r="G37" i="7"/>
  <c r="N7" i="6"/>
  <c r="O24" i="6" s="1"/>
  <c r="K34" i="6"/>
  <c r="E19" i="6"/>
  <c r="G22" i="6"/>
  <c r="M11" i="5"/>
  <c r="K33" i="5"/>
  <c r="E32" i="5"/>
  <c r="M19" i="4"/>
  <c r="K14" i="4"/>
  <c r="E30" i="4"/>
  <c r="N7" i="3"/>
  <c r="O24" i="3" s="1"/>
  <c r="K16" i="3"/>
  <c r="M14" i="12"/>
  <c r="M8" i="12"/>
  <c r="M23" i="12"/>
  <c r="M28" i="12"/>
  <c r="M25" i="12"/>
  <c r="M30" i="12"/>
  <c r="M32" i="12"/>
  <c r="M34" i="12"/>
  <c r="M37" i="11"/>
  <c r="M23" i="11"/>
  <c r="M11" i="11"/>
  <c r="M8" i="11"/>
  <c r="M10" i="11"/>
  <c r="M35" i="11"/>
  <c r="M9" i="11"/>
  <c r="K11" i="11"/>
  <c r="K26" i="11"/>
  <c r="K20" i="11"/>
  <c r="E26" i="11"/>
  <c r="E36" i="11"/>
  <c r="K19" i="9"/>
  <c r="K14" i="9"/>
  <c r="G16" i="7"/>
  <c r="G11" i="7"/>
  <c r="K30" i="6"/>
  <c r="K13" i="6"/>
  <c r="K21" i="6"/>
  <c r="K35" i="6"/>
  <c r="K29" i="6"/>
  <c r="K8" i="6"/>
  <c r="K37" i="6"/>
  <c r="K28" i="6"/>
  <c r="K15" i="6"/>
  <c r="K25" i="6"/>
  <c r="K33" i="6"/>
  <c r="K31" i="6"/>
  <c r="K22" i="6"/>
  <c r="K16" i="6"/>
  <c r="K23" i="6"/>
  <c r="K11" i="6"/>
  <c r="K36" i="6"/>
  <c r="K19" i="6"/>
  <c r="K10" i="6"/>
  <c r="K20" i="6"/>
  <c r="K12" i="6"/>
  <c r="K27" i="6"/>
  <c r="K18" i="6"/>
  <c r="K17" i="6"/>
  <c r="K9" i="6"/>
  <c r="K26" i="6"/>
  <c r="O19" i="3"/>
  <c r="O34" i="3"/>
  <c r="O15" i="3"/>
  <c r="O20" i="3"/>
  <c r="E119" i="4"/>
  <c r="K14" i="11"/>
  <c r="Q68" i="6"/>
  <c r="G49" i="3"/>
  <c r="Q50" i="8"/>
  <c r="M123" i="6"/>
  <c r="M37" i="6"/>
  <c r="M129" i="6"/>
  <c r="E55" i="7"/>
  <c r="P17" i="7"/>
  <c r="E56" i="7"/>
  <c r="E49" i="9"/>
  <c r="M145" i="11"/>
  <c r="M133" i="11"/>
  <c r="M139" i="11"/>
  <c r="E122" i="11"/>
  <c r="M33" i="12"/>
  <c r="M37" i="3"/>
  <c r="M147" i="5"/>
  <c r="M44" i="5"/>
  <c r="M126" i="5"/>
  <c r="M132" i="5"/>
  <c r="M73" i="5"/>
  <c r="M119" i="6"/>
  <c r="M32" i="6"/>
  <c r="M125" i="6"/>
  <c r="M66" i="6"/>
  <c r="M50" i="6"/>
  <c r="E61" i="7"/>
  <c r="M49" i="7"/>
  <c r="L80" i="9"/>
  <c r="E60" i="9"/>
  <c r="M66" i="9"/>
  <c r="E68" i="10"/>
  <c r="M55" i="10"/>
  <c r="K28" i="11"/>
  <c r="M13" i="11"/>
  <c r="M137" i="11"/>
  <c r="M143" i="11"/>
  <c r="K23" i="11"/>
  <c r="K12" i="11"/>
  <c r="M132" i="12"/>
  <c r="M22" i="12"/>
  <c r="M31" i="12"/>
  <c r="M117" i="12"/>
  <c r="G31" i="12"/>
  <c r="K30" i="7"/>
  <c r="G58" i="3"/>
  <c r="Q50" i="7"/>
  <c r="E123" i="9"/>
  <c r="E75" i="9"/>
  <c r="N38" i="11"/>
  <c r="Q71" i="6"/>
  <c r="E119" i="9"/>
  <c r="E69" i="9"/>
  <c r="K15" i="11"/>
  <c r="M132" i="11"/>
  <c r="K36" i="11"/>
  <c r="M77" i="6"/>
  <c r="Q50" i="4"/>
  <c r="M136" i="11"/>
  <c r="M136" i="6"/>
  <c r="E150" i="3"/>
  <c r="K10" i="11"/>
  <c r="K22" i="11"/>
  <c r="K34" i="11"/>
  <c r="O149" i="9"/>
  <c r="E146" i="3"/>
  <c r="E135" i="3"/>
  <c r="M32" i="3"/>
  <c r="M18" i="3"/>
  <c r="M51" i="5"/>
  <c r="M150" i="5"/>
  <c r="M123" i="5"/>
  <c r="M49" i="5"/>
  <c r="M63" i="5"/>
  <c r="M13" i="6"/>
  <c r="M8" i="6"/>
  <c r="M34" i="6"/>
  <c r="M75" i="6"/>
  <c r="M15" i="6"/>
  <c r="E50" i="7"/>
  <c r="E70" i="7"/>
  <c r="E124" i="8"/>
  <c r="M74" i="9"/>
  <c r="L79" i="9"/>
  <c r="O143" i="9"/>
  <c r="M50" i="9"/>
  <c r="M54" i="9"/>
  <c r="M71" i="10"/>
  <c r="M140" i="11"/>
  <c r="M130" i="11"/>
  <c r="M36" i="12"/>
  <c r="O136" i="9"/>
  <c r="E64" i="10"/>
  <c r="K17" i="8"/>
  <c r="E122" i="3"/>
  <c r="M12" i="6"/>
  <c r="M33" i="6"/>
  <c r="M26" i="6"/>
  <c r="M144" i="11"/>
  <c r="M15" i="3"/>
  <c r="E126" i="4"/>
  <c r="M32" i="5"/>
  <c r="M54" i="5"/>
  <c r="M121" i="5"/>
  <c r="M131" i="5"/>
  <c r="M59" i="5"/>
  <c r="M71" i="5"/>
  <c r="M73" i="6"/>
  <c r="M18" i="6"/>
  <c r="M64" i="6"/>
  <c r="M31" i="6"/>
  <c r="M69" i="7"/>
  <c r="M63" i="7"/>
  <c r="E66" i="7"/>
  <c r="E54" i="7"/>
  <c r="M65" i="7"/>
  <c r="E72" i="9"/>
  <c r="M70" i="9"/>
  <c r="M71" i="9"/>
  <c r="O126" i="9"/>
  <c r="M58" i="9"/>
  <c r="M44" i="9"/>
  <c r="M44" i="10"/>
  <c r="M49" i="10"/>
  <c r="L158" i="11"/>
  <c r="M134" i="11"/>
  <c r="M148" i="11"/>
  <c r="N116" i="6"/>
  <c r="O140" i="6" s="1"/>
  <c r="Q77" i="5"/>
  <c r="M23" i="6"/>
  <c r="E75" i="7"/>
  <c r="E118" i="4"/>
  <c r="M153" i="5"/>
  <c r="M46" i="5"/>
  <c r="M125" i="5"/>
  <c r="M135" i="5"/>
  <c r="M62" i="5"/>
  <c r="M151" i="6"/>
  <c r="M58" i="6"/>
  <c r="M153" i="6"/>
  <c r="M25" i="6"/>
  <c r="M10" i="6"/>
  <c r="M54" i="6"/>
  <c r="M14" i="6"/>
  <c r="E74" i="7"/>
  <c r="E59" i="7"/>
  <c r="M46" i="7"/>
  <c r="M131" i="9"/>
  <c r="M69" i="9"/>
  <c r="L158" i="9"/>
  <c r="M77" i="9"/>
  <c r="E71" i="9"/>
  <c r="M46" i="9"/>
  <c r="M73" i="9"/>
  <c r="M28" i="11"/>
  <c r="E117" i="11"/>
  <c r="M72" i="11"/>
  <c r="M152" i="11"/>
  <c r="L6" i="12"/>
  <c r="Q73" i="4"/>
  <c r="M33" i="3"/>
  <c r="M23" i="3"/>
  <c r="M16" i="3"/>
  <c r="M25" i="3"/>
  <c r="M31" i="3"/>
  <c r="M149" i="5"/>
  <c r="M34" i="5"/>
  <c r="M129" i="5"/>
  <c r="M151" i="5"/>
  <c r="M66" i="5"/>
  <c r="M147" i="6"/>
  <c r="M149" i="6"/>
  <c r="M69" i="6"/>
  <c r="M22" i="6"/>
  <c r="E49" i="7"/>
  <c r="E68" i="7"/>
  <c r="E64" i="7"/>
  <c r="M54" i="7"/>
  <c r="G18" i="8"/>
  <c r="M127" i="9"/>
  <c r="E66" i="9"/>
  <c r="M59" i="9"/>
  <c r="O146" i="9"/>
  <c r="M62" i="9"/>
  <c r="E76" i="9"/>
  <c r="O122" i="9"/>
  <c r="E55" i="10"/>
  <c r="M15" i="11"/>
  <c r="M119" i="11"/>
  <c r="M138" i="11"/>
  <c r="M22" i="11"/>
  <c r="M139" i="12"/>
  <c r="M130" i="12"/>
  <c r="M63" i="12"/>
  <c r="Q64" i="10"/>
  <c r="M18" i="12"/>
  <c r="Q63" i="5"/>
  <c r="E138" i="7"/>
  <c r="E72" i="7"/>
  <c r="O129" i="9"/>
  <c r="M145" i="5"/>
  <c r="M74" i="5"/>
  <c r="M133" i="5"/>
  <c r="M139" i="6"/>
  <c r="M145" i="6"/>
  <c r="M17" i="6"/>
  <c r="M30" i="6"/>
  <c r="E51" i="7"/>
  <c r="M63" i="9"/>
  <c r="E54" i="9"/>
  <c r="O125" i="9"/>
  <c r="M77" i="10"/>
  <c r="M117" i="11"/>
  <c r="M123" i="11"/>
  <c r="M150" i="11"/>
  <c r="K35" i="11"/>
  <c r="G66" i="3"/>
  <c r="Q66" i="5"/>
  <c r="Q56" i="8"/>
  <c r="Q59" i="7"/>
  <c r="M152" i="5"/>
  <c r="L79" i="5"/>
  <c r="M59" i="6"/>
  <c r="M36" i="3"/>
  <c r="M8" i="3"/>
  <c r="M9" i="3"/>
  <c r="M141" i="5"/>
  <c r="M26" i="5"/>
  <c r="M135" i="6"/>
  <c r="M141" i="6"/>
  <c r="E65" i="7"/>
  <c r="E63" i="7"/>
  <c r="M64" i="7"/>
  <c r="O25" i="9"/>
  <c r="M72" i="10"/>
  <c r="E75" i="10"/>
  <c r="E77" i="10"/>
  <c r="M121" i="11"/>
  <c r="M127" i="11"/>
  <c r="M61" i="11"/>
  <c r="M131" i="12"/>
  <c r="M148" i="12"/>
  <c r="M9" i="12"/>
  <c r="M73" i="12"/>
  <c r="G76" i="3"/>
  <c r="M148" i="6"/>
  <c r="Q54" i="8"/>
  <c r="K12" i="5"/>
  <c r="E68" i="8"/>
  <c r="G22" i="8"/>
  <c r="E56" i="9"/>
  <c r="E61" i="9"/>
  <c r="N157" i="9"/>
  <c r="M153" i="11"/>
  <c r="M125" i="11"/>
  <c r="M70" i="11"/>
  <c r="F43" i="4"/>
  <c r="G60" i="4" s="1"/>
  <c r="G17" i="12"/>
  <c r="K34" i="12"/>
  <c r="K31" i="12"/>
  <c r="J39" i="12"/>
  <c r="K8" i="12"/>
  <c r="K9" i="12"/>
  <c r="G29" i="12"/>
  <c r="K16" i="12"/>
  <c r="K15" i="12"/>
  <c r="M76" i="12"/>
  <c r="K13" i="12"/>
  <c r="G25" i="12"/>
  <c r="K12" i="12"/>
  <c r="K20" i="12"/>
  <c r="K28" i="12"/>
  <c r="K21" i="12"/>
  <c r="K17" i="12"/>
  <c r="K14" i="12"/>
  <c r="F43" i="12"/>
  <c r="F79" i="12" s="1"/>
  <c r="F84" i="12" s="1"/>
  <c r="K37" i="12"/>
  <c r="K25" i="12"/>
  <c r="K35" i="12"/>
  <c r="K10" i="12"/>
  <c r="K19" i="12"/>
  <c r="K33" i="12"/>
  <c r="M57" i="11"/>
  <c r="K66" i="11"/>
  <c r="K50" i="11"/>
  <c r="M75" i="11"/>
  <c r="M77" i="11"/>
  <c r="K59" i="11"/>
  <c r="K65" i="11"/>
  <c r="M71" i="11"/>
  <c r="M12" i="11"/>
  <c r="M54" i="11"/>
  <c r="L79" i="11"/>
  <c r="E55" i="11"/>
  <c r="M59" i="11"/>
  <c r="E134" i="11"/>
  <c r="M74" i="11"/>
  <c r="M73" i="11"/>
  <c r="E131" i="11"/>
  <c r="E125" i="11"/>
  <c r="N116" i="11"/>
  <c r="O124" i="11" s="1"/>
  <c r="E62" i="11"/>
  <c r="K77" i="11"/>
  <c r="M20" i="11"/>
  <c r="M21" i="11"/>
  <c r="M56" i="11"/>
  <c r="K9" i="11"/>
  <c r="Q49" i="11"/>
  <c r="M68" i="11"/>
  <c r="M60" i="11"/>
  <c r="M19" i="11"/>
  <c r="M67" i="11"/>
  <c r="M45" i="11"/>
  <c r="M76" i="11"/>
  <c r="M51" i="11"/>
  <c r="M46" i="11"/>
  <c r="M44" i="11"/>
  <c r="Q76" i="11"/>
  <c r="M62" i="11"/>
  <c r="M66" i="11"/>
  <c r="Q64" i="11"/>
  <c r="M146" i="10"/>
  <c r="M69" i="10"/>
  <c r="M75" i="10"/>
  <c r="M63" i="10"/>
  <c r="M59" i="10"/>
  <c r="M54" i="10"/>
  <c r="M51" i="10"/>
  <c r="M68" i="10"/>
  <c r="M73" i="10"/>
  <c r="M50" i="10"/>
  <c r="M45" i="10"/>
  <c r="M57" i="10"/>
  <c r="M56" i="10"/>
  <c r="G104" i="9"/>
  <c r="Q65" i="9"/>
  <c r="O9" i="9"/>
  <c r="O34" i="9"/>
  <c r="O20" i="9"/>
  <c r="O28" i="9"/>
  <c r="I18" i="9"/>
  <c r="I10" i="9"/>
  <c r="O22" i="9"/>
  <c r="G97" i="9"/>
  <c r="O121" i="9"/>
  <c r="E149" i="9"/>
  <c r="G101" i="9"/>
  <c r="M144" i="9"/>
  <c r="O33" i="9"/>
  <c r="G98" i="9"/>
  <c r="M132" i="9"/>
  <c r="M69" i="8"/>
  <c r="M66" i="8"/>
  <c r="M54" i="8"/>
  <c r="F43" i="8"/>
  <c r="G67" i="8" s="1"/>
  <c r="E129" i="8"/>
  <c r="M74" i="8"/>
  <c r="M58" i="8"/>
  <c r="M51" i="8"/>
  <c r="M65" i="8"/>
  <c r="M68" i="8"/>
  <c r="M60" i="8"/>
  <c r="M50" i="8"/>
  <c r="M55" i="8"/>
  <c r="E56" i="8"/>
  <c r="M62" i="8"/>
  <c r="E126" i="8"/>
  <c r="M72" i="8"/>
  <c r="M57" i="8"/>
  <c r="G21" i="8"/>
  <c r="Q152" i="13"/>
  <c r="Q185" i="13" s="1"/>
  <c r="M49" i="8"/>
  <c r="E73" i="8"/>
  <c r="E139" i="8"/>
  <c r="M71" i="8"/>
  <c r="E122" i="8"/>
  <c r="M76" i="8"/>
  <c r="J79" i="8"/>
  <c r="K55" i="8"/>
  <c r="M70" i="8"/>
  <c r="M46" i="8"/>
  <c r="M73" i="8"/>
  <c r="M61" i="8"/>
  <c r="M67" i="8"/>
  <c r="Q61" i="8"/>
  <c r="E125" i="8"/>
  <c r="M77" i="8"/>
  <c r="G11" i="8"/>
  <c r="K75" i="8"/>
  <c r="M63" i="8"/>
  <c r="M45" i="8"/>
  <c r="M44" i="8"/>
  <c r="E132" i="8"/>
  <c r="E127" i="7"/>
  <c r="G13" i="7"/>
  <c r="N116" i="7"/>
  <c r="O144" i="7" s="1"/>
  <c r="E123" i="7"/>
  <c r="E34" i="7"/>
  <c r="G19" i="7"/>
  <c r="E26" i="7"/>
  <c r="E25" i="7"/>
  <c r="E18" i="7"/>
  <c r="J79" i="7"/>
  <c r="E17" i="7"/>
  <c r="K58" i="7"/>
  <c r="K72" i="7"/>
  <c r="F43" i="7"/>
  <c r="G69" i="7" s="1"/>
  <c r="K50" i="7"/>
  <c r="E32" i="7"/>
  <c r="K75" i="7"/>
  <c r="K77" i="7"/>
  <c r="E10" i="7"/>
  <c r="E16" i="7"/>
  <c r="E139" i="7"/>
  <c r="K70" i="7"/>
  <c r="K55" i="7"/>
  <c r="O147" i="6"/>
  <c r="E48" i="6"/>
  <c r="Q48" i="6" s="1"/>
  <c r="G35" i="6"/>
  <c r="G87" i="6"/>
  <c r="N43" i="6"/>
  <c r="O68" i="6" s="1"/>
  <c r="G105" i="6"/>
  <c r="L158" i="6"/>
  <c r="J79" i="6"/>
  <c r="E10" i="6"/>
  <c r="Q57" i="6"/>
  <c r="G12" i="6"/>
  <c r="E44" i="5"/>
  <c r="E61" i="5"/>
  <c r="E50" i="5"/>
  <c r="E45" i="5"/>
  <c r="E56" i="5"/>
  <c r="E66" i="5"/>
  <c r="E75" i="5"/>
  <c r="F43" i="5"/>
  <c r="G74" i="5" s="1"/>
  <c r="E60" i="5"/>
  <c r="E57" i="5"/>
  <c r="E73" i="5"/>
  <c r="E49" i="5"/>
  <c r="E72" i="5"/>
  <c r="E55" i="5"/>
  <c r="E68" i="5"/>
  <c r="E59" i="5"/>
  <c r="E133" i="5"/>
  <c r="E64" i="5"/>
  <c r="E74" i="5"/>
  <c r="E63" i="5"/>
  <c r="E65" i="5"/>
  <c r="E46" i="5"/>
  <c r="E71" i="5"/>
  <c r="E77" i="5"/>
  <c r="E76" i="5"/>
  <c r="E148" i="5"/>
  <c r="E62" i="5"/>
  <c r="E54" i="5"/>
  <c r="D79" i="5"/>
  <c r="E67" i="5"/>
  <c r="E51" i="5"/>
  <c r="E70" i="5"/>
  <c r="Q71" i="5"/>
  <c r="E100" i="14"/>
  <c r="K9" i="4"/>
  <c r="N78" i="4"/>
  <c r="K33" i="4"/>
  <c r="K18" i="4"/>
  <c r="K12" i="4"/>
  <c r="K8" i="4"/>
  <c r="K15" i="4"/>
  <c r="E134" i="4"/>
  <c r="K11" i="4"/>
  <c r="K16" i="4"/>
  <c r="K19" i="4"/>
  <c r="K27" i="4"/>
  <c r="F7" i="4"/>
  <c r="G24" i="4" s="1"/>
  <c r="K32" i="4"/>
  <c r="K10" i="4"/>
  <c r="K31" i="4"/>
  <c r="Q57" i="4"/>
  <c r="K35" i="4"/>
  <c r="K28" i="4"/>
  <c r="E14" i="4"/>
  <c r="K36" i="4"/>
  <c r="K22" i="4"/>
  <c r="K30" i="4"/>
  <c r="K13" i="4"/>
  <c r="Q35" i="4"/>
  <c r="K21" i="4"/>
  <c r="K23" i="4"/>
  <c r="E27" i="4"/>
  <c r="N43" i="4"/>
  <c r="O50" i="4" s="1"/>
  <c r="K29" i="4"/>
  <c r="K20" i="4"/>
  <c r="K37" i="4"/>
  <c r="K26" i="4"/>
  <c r="J39" i="4"/>
  <c r="K8" i="3"/>
  <c r="K35" i="3"/>
  <c r="E77" i="3"/>
  <c r="E57" i="3"/>
  <c r="K30" i="3"/>
  <c r="E66" i="3"/>
  <c r="K12" i="3"/>
  <c r="F7" i="3"/>
  <c r="G24" i="3" s="1"/>
  <c r="E64" i="3"/>
  <c r="E125" i="3"/>
  <c r="D79" i="3"/>
  <c r="K20" i="3"/>
  <c r="E46" i="3"/>
  <c r="K31" i="3"/>
  <c r="E49" i="3"/>
  <c r="K28" i="3"/>
  <c r="K9" i="3"/>
  <c r="E75" i="3"/>
  <c r="K17" i="3"/>
  <c r="E63" i="3"/>
  <c r="E131" i="3"/>
  <c r="E58" i="3"/>
  <c r="E71" i="3"/>
  <c r="K36" i="3"/>
  <c r="K32" i="3"/>
  <c r="E76" i="3"/>
  <c r="K10" i="3"/>
  <c r="E72" i="3"/>
  <c r="E68" i="3"/>
  <c r="E55" i="3"/>
  <c r="K18" i="3"/>
  <c r="E44" i="3"/>
  <c r="K26" i="3"/>
  <c r="E60" i="3"/>
  <c r="K23" i="3"/>
  <c r="K13" i="3"/>
  <c r="E56" i="3"/>
  <c r="K34" i="3"/>
  <c r="E45" i="3"/>
  <c r="N116" i="3"/>
  <c r="O135" i="3" s="1"/>
  <c r="E136" i="3"/>
  <c r="E69" i="3"/>
  <c r="E50" i="3"/>
  <c r="E132" i="3"/>
  <c r="N43" i="3"/>
  <c r="E74" i="3"/>
  <c r="K11" i="3"/>
  <c r="K25" i="3"/>
  <c r="K21" i="3"/>
  <c r="E128" i="3"/>
  <c r="K33" i="3"/>
  <c r="E62" i="3"/>
  <c r="K14" i="3"/>
  <c r="E141" i="3"/>
  <c r="K19" i="3"/>
  <c r="K15" i="3"/>
  <c r="P8" i="3"/>
  <c r="K27" i="3"/>
  <c r="E67" i="3"/>
  <c r="K22" i="3"/>
  <c r="N157" i="3"/>
  <c r="K231" i="13"/>
  <c r="M152" i="13"/>
  <c r="M185" i="13" s="1"/>
  <c r="U231" i="13"/>
  <c r="K152" i="13"/>
  <c r="K185" i="13" s="1"/>
  <c r="W271" i="13"/>
  <c r="Y231" i="13"/>
  <c r="W152" i="13"/>
  <c r="W185" i="13" s="1"/>
  <c r="Y152" i="13"/>
  <c r="Y185" i="13" s="1"/>
  <c r="I152" i="13"/>
  <c r="S152" i="13"/>
  <c r="S185" i="13" s="1"/>
  <c r="U152" i="13"/>
  <c r="O128" i="11"/>
  <c r="O117" i="11"/>
  <c r="O144" i="11"/>
  <c r="O136" i="7"/>
  <c r="O139" i="7"/>
  <c r="O147" i="7"/>
  <c r="O149" i="7"/>
  <c r="O120" i="7"/>
  <c r="O135" i="7"/>
  <c r="O118" i="7"/>
  <c r="O134" i="7"/>
  <c r="G44" i="12"/>
  <c r="G57" i="12"/>
  <c r="G59" i="12"/>
  <c r="G67" i="12"/>
  <c r="G50" i="12"/>
  <c r="G49" i="12"/>
  <c r="G45" i="12"/>
  <c r="K70" i="3"/>
  <c r="M136" i="10"/>
  <c r="E130" i="4"/>
  <c r="M145" i="4"/>
  <c r="E133" i="4"/>
  <c r="M30" i="5"/>
  <c r="E143" i="5"/>
  <c r="M13" i="5"/>
  <c r="F116" i="6"/>
  <c r="G129" i="6" s="1"/>
  <c r="O131" i="6"/>
  <c r="M11" i="7"/>
  <c r="E118" i="7"/>
  <c r="L39" i="7"/>
  <c r="M28" i="7"/>
  <c r="G15" i="8"/>
  <c r="G12" i="8"/>
  <c r="G9" i="8"/>
  <c r="G33" i="8"/>
  <c r="M133" i="9"/>
  <c r="E136" i="9"/>
  <c r="M125" i="10"/>
  <c r="M144" i="10"/>
  <c r="E138" i="11"/>
  <c r="E143" i="11"/>
  <c r="E139" i="11"/>
  <c r="E147" i="11"/>
  <c r="E75" i="12"/>
  <c r="E55" i="12"/>
  <c r="G18" i="12"/>
  <c r="U271" i="13"/>
  <c r="M132" i="6"/>
  <c r="E56" i="12"/>
  <c r="E68" i="12"/>
  <c r="E54" i="12"/>
  <c r="O16" i="3"/>
  <c r="E122" i="4"/>
  <c r="M137" i="4"/>
  <c r="N157" i="4"/>
  <c r="M22" i="5"/>
  <c r="M16" i="5"/>
  <c r="E139" i="5"/>
  <c r="K15" i="5"/>
  <c r="K10" i="5"/>
  <c r="O151" i="6"/>
  <c r="O133" i="6"/>
  <c r="O152" i="6"/>
  <c r="E150" i="7"/>
  <c r="M10" i="7"/>
  <c r="E69" i="8"/>
  <c r="E30" i="9"/>
  <c r="M125" i="9"/>
  <c r="E27" i="9"/>
  <c r="M147" i="10"/>
  <c r="M117" i="10"/>
  <c r="M126" i="10"/>
  <c r="E135" i="11"/>
  <c r="E21" i="11"/>
  <c r="M11" i="12"/>
  <c r="M16" i="12"/>
  <c r="Q12" i="12"/>
  <c r="M147" i="9"/>
  <c r="Q57" i="12"/>
  <c r="M152" i="9"/>
  <c r="K29" i="12"/>
  <c r="I185" i="13"/>
  <c r="M152" i="4"/>
  <c r="O231" i="13"/>
  <c r="Q55" i="12"/>
  <c r="G55" i="12"/>
  <c r="M129" i="4"/>
  <c r="N116" i="4"/>
  <c r="O128" i="4" s="1"/>
  <c r="M14" i="5"/>
  <c r="M8" i="5"/>
  <c r="O137" i="6"/>
  <c r="O153" i="6"/>
  <c r="N157" i="6"/>
  <c r="N158" i="6" s="1"/>
  <c r="E146" i="7"/>
  <c r="M32" i="7"/>
  <c r="E46" i="8"/>
  <c r="L79" i="8"/>
  <c r="Q271" i="13"/>
  <c r="E59" i="8"/>
  <c r="M26" i="8"/>
  <c r="E22" i="9"/>
  <c r="E134" i="9"/>
  <c r="M139" i="10"/>
  <c r="M119" i="10"/>
  <c r="E145" i="11"/>
  <c r="E126" i="11"/>
  <c r="E71" i="11"/>
  <c r="E50" i="12"/>
  <c r="L80" i="12"/>
  <c r="E51" i="12"/>
  <c r="E127" i="12"/>
  <c r="M15" i="12"/>
  <c r="M12" i="12"/>
  <c r="M21" i="12"/>
  <c r="M19" i="12"/>
  <c r="M135" i="9"/>
  <c r="M146" i="9"/>
  <c r="Y271" i="13"/>
  <c r="M143" i="9"/>
  <c r="M20" i="12"/>
  <c r="M122" i="4"/>
  <c r="M124" i="9"/>
  <c r="G231" i="13"/>
  <c r="E74" i="12"/>
  <c r="E59" i="12"/>
  <c r="S231" i="13"/>
  <c r="M151" i="4"/>
  <c r="M150" i="4"/>
  <c r="M134" i="4"/>
  <c r="M142" i="4"/>
  <c r="M126" i="4"/>
  <c r="M148" i="4"/>
  <c r="M124" i="4"/>
  <c r="M118" i="4"/>
  <c r="M140" i="4"/>
  <c r="M146" i="4"/>
  <c r="M128" i="4"/>
  <c r="M132" i="4"/>
  <c r="M9" i="7"/>
  <c r="M29" i="7"/>
  <c r="G62" i="3"/>
  <c r="K31" i="5"/>
  <c r="O139" i="6"/>
  <c r="O121" i="6"/>
  <c r="E142" i="7"/>
  <c r="E72" i="8"/>
  <c r="F116" i="8"/>
  <c r="G134" i="8" s="1"/>
  <c r="E36" i="9"/>
  <c r="K8" i="9"/>
  <c r="E14" i="9"/>
  <c r="M131" i="10"/>
  <c r="M122" i="10"/>
  <c r="M138" i="10"/>
  <c r="E57" i="12"/>
  <c r="M142" i="8"/>
  <c r="M138" i="8"/>
  <c r="M136" i="8"/>
  <c r="Q66" i="7"/>
  <c r="L158" i="10"/>
  <c r="U353" i="13"/>
  <c r="M123" i="10"/>
  <c r="G102" i="3"/>
  <c r="K75" i="3"/>
  <c r="K63" i="3"/>
  <c r="K67" i="3"/>
  <c r="E144" i="5"/>
  <c r="E119" i="7"/>
  <c r="E28" i="9"/>
  <c r="K34" i="9"/>
  <c r="N78" i="10"/>
  <c r="M130" i="10"/>
  <c r="E37" i="11"/>
  <c r="E62" i="12"/>
  <c r="G10" i="12"/>
  <c r="W307" i="13"/>
  <c r="M126" i="9"/>
  <c r="K307" i="13"/>
  <c r="E32" i="10"/>
  <c r="E9" i="10"/>
  <c r="M150" i="10"/>
  <c r="N78" i="12"/>
  <c r="E120" i="12"/>
  <c r="E61" i="12"/>
  <c r="E135" i="12"/>
  <c r="M138" i="4"/>
  <c r="M22" i="3"/>
  <c r="M34" i="3"/>
  <c r="Q231" i="13"/>
  <c r="E20" i="9"/>
  <c r="D158" i="9"/>
  <c r="E153" i="9"/>
  <c r="E150" i="9"/>
  <c r="E118" i="3"/>
  <c r="K44" i="3"/>
  <c r="E149" i="3"/>
  <c r="M131" i="4"/>
  <c r="E140" i="4"/>
  <c r="E135" i="4"/>
  <c r="E140" i="5"/>
  <c r="G27" i="7"/>
  <c r="M31" i="7"/>
  <c r="M8" i="7"/>
  <c r="M22" i="7"/>
  <c r="N157" i="7"/>
  <c r="N158" i="7" s="1"/>
  <c r="G35" i="8"/>
  <c r="L158" i="8"/>
  <c r="E149" i="8"/>
  <c r="M123" i="9"/>
  <c r="E126" i="9"/>
  <c r="E12" i="9"/>
  <c r="O17" i="9"/>
  <c r="E151" i="9"/>
  <c r="O31" i="9"/>
  <c r="E26" i="9"/>
  <c r="E65" i="9"/>
  <c r="E73" i="9"/>
  <c r="O37" i="9"/>
  <c r="M153" i="10"/>
  <c r="M55" i="11"/>
  <c r="E68" i="11"/>
  <c r="M50" i="11"/>
  <c r="M58" i="11"/>
  <c r="E65" i="11"/>
  <c r="M36" i="11"/>
  <c r="M16" i="11"/>
  <c r="L5" i="12"/>
  <c r="K32" i="12"/>
  <c r="E77" i="12"/>
  <c r="O353" i="13"/>
  <c r="Q65" i="10"/>
  <c r="M153" i="9"/>
  <c r="M30" i="10"/>
  <c r="M31" i="10"/>
  <c r="O132" i="6"/>
  <c r="M140" i="10"/>
  <c r="M127" i="10"/>
  <c r="M35" i="7"/>
  <c r="E134" i="7"/>
  <c r="F116" i="7"/>
  <c r="G126" i="7" s="1"/>
  <c r="G32" i="7"/>
  <c r="M30" i="7"/>
  <c r="M8" i="8"/>
  <c r="E74" i="8"/>
  <c r="M18" i="8"/>
  <c r="G29" i="8"/>
  <c r="O8" i="9"/>
  <c r="M149" i="10"/>
  <c r="M142" i="10"/>
  <c r="E50" i="11"/>
  <c r="E150" i="11"/>
  <c r="E67" i="12"/>
  <c r="E76" i="12"/>
  <c r="M13" i="12"/>
  <c r="E66" i="12"/>
  <c r="G26" i="12"/>
  <c r="M76" i="10"/>
  <c r="M61" i="10"/>
  <c r="W353" i="13"/>
  <c r="M17" i="7"/>
  <c r="K9" i="5"/>
  <c r="K21" i="5"/>
  <c r="K45" i="3"/>
  <c r="G93" i="3"/>
  <c r="E133" i="3"/>
  <c r="M123" i="4"/>
  <c r="E150" i="4"/>
  <c r="E128" i="4"/>
  <c r="E121" i="4"/>
  <c r="K34" i="5"/>
  <c r="O14" i="6"/>
  <c r="N78" i="6"/>
  <c r="O149" i="6"/>
  <c r="E151" i="7"/>
  <c r="M23" i="7"/>
  <c r="G12" i="7"/>
  <c r="N43" i="8"/>
  <c r="O68" i="8" s="1"/>
  <c r="E147" i="9"/>
  <c r="K23" i="9"/>
  <c r="K12" i="9"/>
  <c r="L39" i="9"/>
  <c r="E128" i="9"/>
  <c r="M145" i="10"/>
  <c r="M120" i="10"/>
  <c r="E66" i="11"/>
  <c r="E70" i="12"/>
  <c r="E72" i="12"/>
  <c r="M29" i="12"/>
  <c r="D79" i="12"/>
  <c r="M63" i="11"/>
  <c r="M65" i="11"/>
  <c r="K23" i="12"/>
  <c r="K22" i="12"/>
  <c r="K18" i="12"/>
  <c r="K30" i="12"/>
  <c r="N157" i="11"/>
  <c r="N158" i="11" s="1"/>
  <c r="I271" i="13"/>
  <c r="S307" i="13"/>
  <c r="M136" i="4"/>
  <c r="M130" i="4"/>
  <c r="Y353" i="13"/>
  <c r="M127" i="4"/>
  <c r="E132" i="4"/>
  <c r="G105" i="3"/>
  <c r="K77" i="3"/>
  <c r="O28" i="3"/>
  <c r="M119" i="4"/>
  <c r="E146" i="4"/>
  <c r="E124" i="4"/>
  <c r="E151" i="4"/>
  <c r="E141" i="4"/>
  <c r="K8" i="5"/>
  <c r="E132" i="5"/>
  <c r="K11" i="5"/>
  <c r="O128" i="6"/>
  <c r="O148" i="6"/>
  <c r="O123" i="6"/>
  <c r="M27" i="7"/>
  <c r="G26" i="7"/>
  <c r="M21" i="7"/>
  <c r="M12" i="8"/>
  <c r="E131" i="8"/>
  <c r="E123" i="8"/>
  <c r="E118" i="9"/>
  <c r="E20" i="10"/>
  <c r="M141" i="10"/>
  <c r="M124" i="10"/>
  <c r="E123" i="11"/>
  <c r="E67" i="11"/>
  <c r="E153" i="11"/>
  <c r="E71" i="12"/>
  <c r="M37" i="12"/>
  <c r="D6" i="12"/>
  <c r="D5" i="12" s="1"/>
  <c r="S271" i="13"/>
  <c r="K72" i="3"/>
  <c r="E120" i="4"/>
  <c r="L158" i="5"/>
  <c r="K353" i="13"/>
  <c r="E143" i="9"/>
  <c r="E148" i="9"/>
  <c r="K26" i="9"/>
  <c r="M152" i="10"/>
  <c r="M137" i="10"/>
  <c r="M128" i="10"/>
  <c r="E14" i="11"/>
  <c r="E28" i="11"/>
  <c r="E45" i="12"/>
  <c r="E49" i="12"/>
  <c r="E60" i="12"/>
  <c r="M151" i="9"/>
  <c r="M118" i="9"/>
  <c r="M121" i="9"/>
  <c r="M130" i="9"/>
  <c r="M117" i="9"/>
  <c r="M136" i="9"/>
  <c r="M142" i="9"/>
  <c r="M148" i="9"/>
  <c r="M140" i="9"/>
  <c r="M134" i="9"/>
  <c r="M128" i="9"/>
  <c r="M150" i="9"/>
  <c r="M139" i="9"/>
  <c r="M120" i="9"/>
  <c r="M122" i="9"/>
  <c r="M145" i="9"/>
  <c r="U185" i="13"/>
  <c r="G74" i="3"/>
  <c r="G46" i="3"/>
  <c r="G63" i="3"/>
  <c r="G71" i="3"/>
  <c r="M142" i="11"/>
  <c r="M118" i="11"/>
  <c r="M147" i="11"/>
  <c r="M120" i="11"/>
  <c r="E142" i="4"/>
  <c r="O125" i="6"/>
  <c r="O145" i="6"/>
  <c r="O141" i="6"/>
  <c r="K76" i="3"/>
  <c r="E138" i="4"/>
  <c r="M153" i="4"/>
  <c r="E117" i="4"/>
  <c r="O73" i="4"/>
  <c r="E153" i="5"/>
  <c r="E147" i="5"/>
  <c r="M19" i="7"/>
  <c r="E122" i="7"/>
  <c r="M12" i="7"/>
  <c r="E76" i="8"/>
  <c r="G23" i="8"/>
  <c r="M141" i="9"/>
  <c r="K28" i="9"/>
  <c r="E132" i="9"/>
  <c r="O18" i="9"/>
  <c r="M148" i="10"/>
  <c r="M133" i="10"/>
  <c r="M132" i="10"/>
  <c r="E20" i="11"/>
  <c r="E129" i="11"/>
  <c r="E146" i="11"/>
  <c r="F7" i="11"/>
  <c r="G24" i="11" s="1"/>
  <c r="E142" i="11"/>
  <c r="M35" i="12"/>
  <c r="K36" i="12"/>
  <c r="E65" i="12"/>
  <c r="M26" i="12"/>
  <c r="E64" i="12"/>
  <c r="K11" i="12"/>
  <c r="Y307" i="13"/>
  <c r="M143" i="6"/>
  <c r="M122" i="6"/>
  <c r="M130" i="6"/>
  <c r="M126" i="6"/>
  <c r="M146" i="6"/>
  <c r="M134" i="6"/>
  <c r="M142" i="6"/>
  <c r="M128" i="6"/>
  <c r="M150" i="6"/>
  <c r="M140" i="6"/>
  <c r="M124" i="6"/>
  <c r="M138" i="6"/>
  <c r="M120" i="6"/>
  <c r="M144" i="6"/>
  <c r="M118" i="6"/>
  <c r="I231" i="13"/>
  <c r="O124" i="6"/>
  <c r="E131" i="4"/>
  <c r="E149" i="4"/>
  <c r="E139" i="4"/>
  <c r="K20" i="9"/>
  <c r="M129" i="10"/>
  <c r="E46" i="12"/>
  <c r="E58" i="12"/>
  <c r="M144" i="4"/>
  <c r="Q54" i="10"/>
  <c r="M307" i="13"/>
  <c r="Q76" i="10"/>
  <c r="E51" i="3"/>
  <c r="K271" i="13"/>
  <c r="E65" i="3"/>
  <c r="Q64" i="6"/>
  <c r="M55" i="3"/>
  <c r="Q46" i="8"/>
  <c r="M151" i="3"/>
  <c r="M122" i="3"/>
  <c r="M130" i="3"/>
  <c r="G307" i="13"/>
  <c r="O123" i="3"/>
  <c r="M271" i="13"/>
  <c r="Q46" i="4"/>
  <c r="G353" i="13"/>
  <c r="Q45" i="6"/>
  <c r="E59" i="3"/>
  <c r="M231" i="13"/>
  <c r="I353" i="13"/>
  <c r="M126" i="3"/>
  <c r="Q66" i="6"/>
  <c r="G271" i="13"/>
  <c r="E30" i="12"/>
  <c r="E13" i="12"/>
  <c r="O307" i="13"/>
  <c r="Q71" i="4"/>
  <c r="O271" i="13"/>
  <c r="Q51" i="6"/>
  <c r="G36" i="12"/>
  <c r="E147" i="12"/>
  <c r="G13" i="12"/>
  <c r="E140" i="12"/>
  <c r="E117" i="12"/>
  <c r="E145" i="12"/>
  <c r="N116" i="12"/>
  <c r="O117" i="12" s="1"/>
  <c r="N157" i="12"/>
  <c r="L39" i="12"/>
  <c r="L158" i="12"/>
  <c r="E150" i="12"/>
  <c r="E146" i="12"/>
  <c r="E142" i="12"/>
  <c r="E138" i="12"/>
  <c r="E134" i="12"/>
  <c r="E130" i="12"/>
  <c r="E126" i="12"/>
  <c r="E122" i="12"/>
  <c r="E118" i="12"/>
  <c r="D158" i="12"/>
  <c r="N43" i="12"/>
  <c r="Q45" i="12"/>
  <c r="E136" i="12"/>
  <c r="E141" i="12"/>
  <c r="E137" i="12"/>
  <c r="N7" i="12"/>
  <c r="O24" i="12" s="1"/>
  <c r="Q8" i="12"/>
  <c r="N38" i="12"/>
  <c r="N80" i="12" s="1"/>
  <c r="E132" i="12"/>
  <c r="F159" i="12"/>
  <c r="G30" i="12"/>
  <c r="G22" i="12"/>
  <c r="G14" i="12"/>
  <c r="F39" i="12"/>
  <c r="F5" i="12"/>
  <c r="G21" i="12"/>
  <c r="G124" i="12"/>
  <c r="E123" i="12"/>
  <c r="G11" i="12"/>
  <c r="E119" i="12"/>
  <c r="E139" i="12"/>
  <c r="E128" i="12"/>
  <c r="J6" i="12"/>
  <c r="J80" i="12"/>
  <c r="G33" i="12"/>
  <c r="G15" i="12"/>
  <c r="G8" i="12"/>
  <c r="G27" i="12"/>
  <c r="E143" i="12"/>
  <c r="E125" i="12"/>
  <c r="G23" i="12"/>
  <c r="G34" i="12"/>
  <c r="E124" i="12"/>
  <c r="G12" i="12"/>
  <c r="E129" i="12"/>
  <c r="G20" i="12"/>
  <c r="G28" i="12"/>
  <c r="E149" i="12"/>
  <c r="E148" i="12"/>
  <c r="G16" i="12"/>
  <c r="E121" i="12"/>
  <c r="F116" i="12"/>
  <c r="G148" i="12" s="1"/>
  <c r="P8" i="12"/>
  <c r="G37" i="12"/>
  <c r="E144" i="12"/>
  <c r="G32" i="12"/>
  <c r="E131" i="12"/>
  <c r="G9" i="12"/>
  <c r="Q55" i="11"/>
  <c r="F116" i="11"/>
  <c r="G125" i="11" s="1"/>
  <c r="Q68" i="11"/>
  <c r="P13" i="11"/>
  <c r="E22" i="11"/>
  <c r="Q72" i="11"/>
  <c r="E133" i="11"/>
  <c r="O146" i="11"/>
  <c r="O134" i="11"/>
  <c r="O142" i="11"/>
  <c r="O126" i="11"/>
  <c r="O130" i="11"/>
  <c r="E151" i="11"/>
  <c r="O121" i="11"/>
  <c r="O132" i="11"/>
  <c r="K30" i="11"/>
  <c r="K32" i="11"/>
  <c r="J39" i="11"/>
  <c r="K25" i="11"/>
  <c r="K29" i="11"/>
  <c r="K33" i="11"/>
  <c r="K21" i="11"/>
  <c r="K17" i="11"/>
  <c r="K37" i="11"/>
  <c r="J79" i="11"/>
  <c r="K67" i="11"/>
  <c r="K57" i="11"/>
  <c r="K63" i="11"/>
  <c r="K51" i="11"/>
  <c r="K44" i="11"/>
  <c r="K64" i="11"/>
  <c r="K54" i="11"/>
  <c r="K60" i="11"/>
  <c r="K76" i="11"/>
  <c r="K71" i="11"/>
  <c r="K70" i="11"/>
  <c r="K68" i="11"/>
  <c r="K61" i="11"/>
  <c r="K46" i="11"/>
  <c r="K75" i="11"/>
  <c r="K58" i="11"/>
  <c r="K49" i="11"/>
  <c r="K73" i="11"/>
  <c r="F43" i="11"/>
  <c r="G76" i="11" s="1"/>
  <c r="Q45" i="11"/>
  <c r="Q21" i="11"/>
  <c r="E121" i="11"/>
  <c r="O152" i="11"/>
  <c r="O122" i="11"/>
  <c r="P37" i="11"/>
  <c r="O129" i="11"/>
  <c r="O133" i="11"/>
  <c r="E46" i="11"/>
  <c r="E77" i="11"/>
  <c r="E72" i="11"/>
  <c r="E57" i="11"/>
  <c r="E73" i="11"/>
  <c r="E64" i="11"/>
  <c r="E54" i="11"/>
  <c r="E49" i="11"/>
  <c r="E75" i="11"/>
  <c r="E51" i="11"/>
  <c r="E44" i="11"/>
  <c r="E70" i="11"/>
  <c r="E59" i="11"/>
  <c r="E61" i="11"/>
  <c r="E63" i="11"/>
  <c r="D79" i="11"/>
  <c r="E74" i="11"/>
  <c r="E69" i="11"/>
  <c r="E60" i="11"/>
  <c r="E58" i="11"/>
  <c r="E141" i="11"/>
  <c r="Q71" i="11"/>
  <c r="O119" i="11"/>
  <c r="K74" i="11"/>
  <c r="O127" i="11"/>
  <c r="Q27" i="11"/>
  <c r="K62" i="11"/>
  <c r="Q10" i="11"/>
  <c r="Q58" i="11"/>
  <c r="Q29" i="11"/>
  <c r="K69" i="11"/>
  <c r="Q12" i="11"/>
  <c r="K56" i="11"/>
  <c r="E56" i="11"/>
  <c r="O120" i="11"/>
  <c r="O138" i="11"/>
  <c r="P21" i="11"/>
  <c r="Q11" i="11"/>
  <c r="Q65" i="11"/>
  <c r="Q13" i="11"/>
  <c r="O148" i="11"/>
  <c r="E33" i="11"/>
  <c r="E25" i="11"/>
  <c r="D159" i="11"/>
  <c r="E35" i="11"/>
  <c r="E27" i="11"/>
  <c r="D39" i="11"/>
  <c r="E12" i="11"/>
  <c r="E31" i="11"/>
  <c r="E19" i="11"/>
  <c r="E17" i="11"/>
  <c r="E32" i="11"/>
  <c r="E15" i="11"/>
  <c r="E8" i="11"/>
  <c r="E18" i="11"/>
  <c r="E11" i="11"/>
  <c r="E16" i="11"/>
  <c r="E9" i="11"/>
  <c r="E23" i="11"/>
  <c r="E34" i="11"/>
  <c r="K18" i="11"/>
  <c r="J80" i="11"/>
  <c r="K19" i="11"/>
  <c r="Q35" i="11"/>
  <c r="K31" i="11"/>
  <c r="E118" i="11"/>
  <c r="Q77" i="11"/>
  <c r="L80" i="11"/>
  <c r="E137" i="11"/>
  <c r="P10" i="11"/>
  <c r="E119" i="11"/>
  <c r="K27" i="11"/>
  <c r="O141" i="11"/>
  <c r="E29" i="11"/>
  <c r="K16" i="11"/>
  <c r="O149" i="11"/>
  <c r="O137" i="11"/>
  <c r="Q37" i="11"/>
  <c r="O145" i="11"/>
  <c r="O135" i="11"/>
  <c r="P29" i="11"/>
  <c r="O150" i="11"/>
  <c r="O143" i="11"/>
  <c r="O131" i="11"/>
  <c r="N43" i="11"/>
  <c r="O68" i="11" s="1"/>
  <c r="N78" i="11"/>
  <c r="E149" i="11"/>
  <c r="O139" i="11"/>
  <c r="E30" i="11"/>
  <c r="O153" i="11"/>
  <c r="O118" i="11"/>
  <c r="P12" i="11"/>
  <c r="D158" i="11"/>
  <c r="E152" i="11"/>
  <c r="E120" i="11"/>
  <c r="E140" i="11"/>
  <c r="E128" i="11"/>
  <c r="E148" i="11"/>
  <c r="E136" i="11"/>
  <c r="E124" i="11"/>
  <c r="E144" i="11"/>
  <c r="E132" i="11"/>
  <c r="O147" i="11"/>
  <c r="E76" i="11"/>
  <c r="E130" i="11"/>
  <c r="L39" i="11"/>
  <c r="M31" i="11"/>
  <c r="M32" i="11"/>
  <c r="M26" i="11"/>
  <c r="M30" i="11"/>
  <c r="M34" i="11"/>
  <c r="M25" i="11"/>
  <c r="M18" i="11"/>
  <c r="M33" i="11"/>
  <c r="N7" i="11"/>
  <c r="O24" i="11" s="1"/>
  <c r="M17" i="11"/>
  <c r="K8" i="11"/>
  <c r="E28" i="10"/>
  <c r="E37" i="10"/>
  <c r="E12" i="10"/>
  <c r="Q45" i="10"/>
  <c r="N43" i="10"/>
  <c r="O49" i="10" s="1"/>
  <c r="N7" i="10"/>
  <c r="O24" i="10" s="1"/>
  <c r="Q8" i="10"/>
  <c r="N38" i="10"/>
  <c r="E34" i="10"/>
  <c r="E26" i="10"/>
  <c r="E18" i="10"/>
  <c r="E10" i="10"/>
  <c r="D159" i="10"/>
  <c r="E15" i="10"/>
  <c r="E11" i="10"/>
  <c r="D39" i="10"/>
  <c r="E23" i="10"/>
  <c r="E30" i="10"/>
  <c r="E22" i="10"/>
  <c r="E14" i="10"/>
  <c r="E31" i="10"/>
  <c r="E29" i="10"/>
  <c r="N111" i="10"/>
  <c r="E33" i="10"/>
  <c r="N116" i="10"/>
  <c r="O117" i="10" s="1"/>
  <c r="N157" i="10"/>
  <c r="P16" i="10"/>
  <c r="E25" i="10"/>
  <c r="E35" i="10"/>
  <c r="E21" i="10"/>
  <c r="F116" i="10"/>
  <c r="G137" i="10" s="1"/>
  <c r="Q137" i="10" s="1"/>
  <c r="E8" i="10"/>
  <c r="L79" i="10"/>
  <c r="E27" i="10"/>
  <c r="F43" i="10"/>
  <c r="G44" i="10" s="1"/>
  <c r="P8" i="10"/>
  <c r="F7" i="10"/>
  <c r="G24" i="10" s="1"/>
  <c r="E17" i="10"/>
  <c r="E19" i="10"/>
  <c r="Q61" i="10"/>
  <c r="E13" i="10"/>
  <c r="Q49" i="10"/>
  <c r="J80" i="10"/>
  <c r="J111" i="10" s="1"/>
  <c r="J159" i="10" s="1"/>
  <c r="N84" i="10"/>
  <c r="O102" i="10" s="1"/>
  <c r="F84" i="10"/>
  <c r="G95" i="10" s="1"/>
  <c r="P32" i="10"/>
  <c r="Q32" i="10"/>
  <c r="E36" i="10"/>
  <c r="L80" i="10"/>
  <c r="E16" i="10"/>
  <c r="K77" i="9"/>
  <c r="K67" i="9"/>
  <c r="K57" i="9"/>
  <c r="J79" i="9"/>
  <c r="K73" i="9"/>
  <c r="K44" i="9"/>
  <c r="K69" i="9"/>
  <c r="K59" i="9"/>
  <c r="K45" i="9"/>
  <c r="K75" i="9"/>
  <c r="K70" i="9"/>
  <c r="K60" i="9"/>
  <c r="K66" i="9"/>
  <c r="K56" i="9"/>
  <c r="K71" i="9"/>
  <c r="Q11" i="9"/>
  <c r="O11" i="9"/>
  <c r="E137" i="9"/>
  <c r="O137" i="9"/>
  <c r="O29" i="9"/>
  <c r="K64" i="9"/>
  <c r="G88" i="9"/>
  <c r="O150" i="9"/>
  <c r="E142" i="9"/>
  <c r="O15" i="9"/>
  <c r="E122" i="9"/>
  <c r="O119" i="9"/>
  <c r="O124" i="9"/>
  <c r="G89" i="9"/>
  <c r="O14" i="9"/>
  <c r="O145" i="9"/>
  <c r="E46" i="9"/>
  <c r="D79" i="9"/>
  <c r="E77" i="9"/>
  <c r="E67" i="9"/>
  <c r="E57" i="9"/>
  <c r="E74" i="9"/>
  <c r="E62" i="9"/>
  <c r="E50" i="9"/>
  <c r="E68" i="9"/>
  <c r="E58" i="9"/>
  <c r="E44" i="9"/>
  <c r="E45" i="9"/>
  <c r="O148" i="9"/>
  <c r="E51" i="9"/>
  <c r="G100" i="9"/>
  <c r="O141" i="9"/>
  <c r="O23" i="9"/>
  <c r="P16" i="9"/>
  <c r="E117" i="9"/>
  <c r="O135" i="9"/>
  <c r="O32" i="9"/>
  <c r="G92" i="9"/>
  <c r="G53" i="9"/>
  <c r="O123" i="9"/>
  <c r="O142" i="9"/>
  <c r="E140" i="9"/>
  <c r="K10" i="9"/>
  <c r="E55" i="9"/>
  <c r="O138" i="9"/>
  <c r="E16" i="9"/>
  <c r="Q62" i="9"/>
  <c r="G99" i="9"/>
  <c r="G105" i="9"/>
  <c r="E133" i="9"/>
  <c r="G85" i="9"/>
  <c r="O35" i="9"/>
  <c r="G91" i="9"/>
  <c r="O16" i="9"/>
  <c r="K50" i="9"/>
  <c r="E125" i="9"/>
  <c r="K15" i="9"/>
  <c r="O13" i="9"/>
  <c r="E139" i="9"/>
  <c r="G102" i="9"/>
  <c r="E130" i="9"/>
  <c r="Q66" i="9"/>
  <c r="E121" i="9"/>
  <c r="O27" i="9"/>
  <c r="G52" i="9"/>
  <c r="E120" i="9"/>
  <c r="G94" i="9"/>
  <c r="F116" i="9"/>
  <c r="G141" i="9" s="1"/>
  <c r="P11" i="9"/>
  <c r="G93" i="9"/>
  <c r="K65" i="9"/>
  <c r="P8" i="9"/>
  <c r="F7" i="9"/>
  <c r="G24" i="9" s="1"/>
  <c r="J39" i="9"/>
  <c r="K37" i="9"/>
  <c r="K29" i="9"/>
  <c r="K21" i="9"/>
  <c r="K13" i="9"/>
  <c r="K33" i="9"/>
  <c r="K25" i="9"/>
  <c r="K17" i="9"/>
  <c r="K9" i="9"/>
  <c r="E59" i="9"/>
  <c r="K51" i="9"/>
  <c r="O131" i="9"/>
  <c r="K30" i="9"/>
  <c r="J80" i="9"/>
  <c r="K76" i="9"/>
  <c r="E135" i="9"/>
  <c r="N43" i="9"/>
  <c r="O66" i="9" s="1"/>
  <c r="Q50" i="9"/>
  <c r="G90" i="9"/>
  <c r="E10" i="9"/>
  <c r="K62" i="9"/>
  <c r="Q56" i="9"/>
  <c r="K16" i="9"/>
  <c r="K22" i="9"/>
  <c r="E129" i="9"/>
  <c r="K72" i="9"/>
  <c r="G48" i="9"/>
  <c r="P32" i="9"/>
  <c r="G96" i="9"/>
  <c r="K35" i="9"/>
  <c r="P34" i="9"/>
  <c r="G47" i="9"/>
  <c r="N158" i="9"/>
  <c r="E19" i="9"/>
  <c r="E11" i="9"/>
  <c r="D39" i="9"/>
  <c r="D159" i="9"/>
  <c r="E37" i="9"/>
  <c r="E29" i="9"/>
  <c r="E21" i="9"/>
  <c r="E13" i="9"/>
  <c r="E31" i="9"/>
  <c r="E23" i="9"/>
  <c r="E15" i="9"/>
  <c r="E9" i="9"/>
  <c r="E17" i="9"/>
  <c r="E25" i="9"/>
  <c r="E33" i="9"/>
  <c r="E34" i="9"/>
  <c r="E152" i="9"/>
  <c r="O128" i="9"/>
  <c r="K63" i="9"/>
  <c r="E32" i="9"/>
  <c r="O21" i="9"/>
  <c r="G95" i="9"/>
  <c r="E131" i="9"/>
  <c r="P26" i="9"/>
  <c r="G103" i="9"/>
  <c r="K31" i="9"/>
  <c r="Q59" i="9"/>
  <c r="O36" i="9"/>
  <c r="O151" i="9"/>
  <c r="O30" i="9"/>
  <c r="N38" i="9"/>
  <c r="N80" i="9" s="1"/>
  <c r="Q69" i="9"/>
  <c r="O10" i="9"/>
  <c r="O26" i="9"/>
  <c r="G87" i="9"/>
  <c r="K27" i="9"/>
  <c r="P18" i="9"/>
  <c r="G86" i="9"/>
  <c r="E127" i="9"/>
  <c r="P10" i="9"/>
  <c r="K68" i="9"/>
  <c r="K55" i="9"/>
  <c r="E18" i="9"/>
  <c r="E141" i="9"/>
  <c r="K49" i="9"/>
  <c r="G124" i="9"/>
  <c r="E146" i="9"/>
  <c r="E70" i="9"/>
  <c r="Q8" i="9"/>
  <c r="K61" i="9"/>
  <c r="O147" i="9"/>
  <c r="E35" i="9"/>
  <c r="K18" i="9"/>
  <c r="K11" i="9"/>
  <c r="F43" i="9"/>
  <c r="G59" i="9" s="1"/>
  <c r="O144" i="9"/>
  <c r="K54" i="9"/>
  <c r="E138" i="9"/>
  <c r="E124" i="9"/>
  <c r="K36" i="9"/>
  <c r="O19" i="9"/>
  <c r="O153" i="9"/>
  <c r="K58" i="9"/>
  <c r="E145" i="9"/>
  <c r="K32" i="9"/>
  <c r="N84" i="9"/>
  <c r="O47" i="9" s="1"/>
  <c r="N111" i="9"/>
  <c r="N6" i="9" s="1"/>
  <c r="N5" i="9" s="1"/>
  <c r="E63" i="9"/>
  <c r="G123" i="8"/>
  <c r="P7" i="8"/>
  <c r="P38" i="8"/>
  <c r="E152" i="8"/>
  <c r="E120" i="8"/>
  <c r="G20" i="8"/>
  <c r="G88" i="8"/>
  <c r="E117" i="8"/>
  <c r="E135" i="8"/>
  <c r="G104" i="8"/>
  <c r="E127" i="8"/>
  <c r="G59" i="8"/>
  <c r="G10" i="8"/>
  <c r="G91" i="8"/>
  <c r="G87" i="8"/>
  <c r="G85" i="8"/>
  <c r="F112" i="8"/>
  <c r="G47" i="8"/>
  <c r="G97" i="8"/>
  <c r="G77" i="8"/>
  <c r="G61" i="8"/>
  <c r="G49" i="8"/>
  <c r="G70" i="8"/>
  <c r="G65" i="8"/>
  <c r="G60" i="8"/>
  <c r="G93" i="8"/>
  <c r="G101" i="8"/>
  <c r="G51" i="8"/>
  <c r="G86" i="8"/>
  <c r="E148" i="8"/>
  <c r="G26" i="8"/>
  <c r="G37" i="8"/>
  <c r="G62" i="8"/>
  <c r="G96" i="8"/>
  <c r="G30" i="8"/>
  <c r="E145" i="8"/>
  <c r="G72" i="8"/>
  <c r="G52" i="8"/>
  <c r="E144" i="8"/>
  <c r="O67" i="8"/>
  <c r="O50" i="8"/>
  <c r="G48" i="8"/>
  <c r="Q18" i="8"/>
  <c r="G13" i="8"/>
  <c r="E130" i="8"/>
  <c r="G100" i="8"/>
  <c r="E137" i="8"/>
  <c r="E147" i="8"/>
  <c r="G68" i="8"/>
  <c r="O64" i="8"/>
  <c r="G98" i="8"/>
  <c r="E153" i="8"/>
  <c r="E140" i="8"/>
  <c r="G36" i="8"/>
  <c r="M36" i="8"/>
  <c r="M28" i="8"/>
  <c r="M20" i="8"/>
  <c r="L39" i="8"/>
  <c r="M37" i="8"/>
  <c r="M29" i="8"/>
  <c r="M21" i="8"/>
  <c r="M13" i="8"/>
  <c r="M30" i="8"/>
  <c r="M22" i="8"/>
  <c r="M14" i="8"/>
  <c r="M31" i="8"/>
  <c r="M23" i="8"/>
  <c r="M15" i="8"/>
  <c r="M33" i="8"/>
  <c r="M25" i="8"/>
  <c r="M17" i="8"/>
  <c r="M9" i="8"/>
  <c r="M35" i="8"/>
  <c r="M27" i="8"/>
  <c r="M19" i="8"/>
  <c r="M11" i="8"/>
  <c r="M10" i="8"/>
  <c r="G64" i="8"/>
  <c r="G89" i="8"/>
  <c r="G90" i="8"/>
  <c r="N116" i="8"/>
  <c r="O117" i="8" s="1"/>
  <c r="N157" i="8"/>
  <c r="E118" i="8"/>
  <c r="E133" i="8"/>
  <c r="E150" i="8"/>
  <c r="G19" i="8"/>
  <c r="Q10" i="8"/>
  <c r="G103" i="8"/>
  <c r="G76" i="8"/>
  <c r="E151" i="8"/>
  <c r="D158" i="8"/>
  <c r="E136" i="8"/>
  <c r="G66" i="8"/>
  <c r="G57" i="8"/>
  <c r="E143" i="8"/>
  <c r="G28" i="8"/>
  <c r="G58" i="8"/>
  <c r="G71" i="8"/>
  <c r="G46" i="8"/>
  <c r="G94" i="8"/>
  <c r="G45" i="8"/>
  <c r="N7" i="8"/>
  <c r="O24" i="8" s="1"/>
  <c r="Q8" i="8"/>
  <c r="N38" i="8"/>
  <c r="N80" i="8" s="1"/>
  <c r="M16" i="8"/>
  <c r="E58" i="8"/>
  <c r="G105" i="8"/>
  <c r="G102" i="8"/>
  <c r="G34" i="8"/>
  <c r="G74" i="8"/>
  <c r="E134" i="8"/>
  <c r="F159" i="8"/>
  <c r="F39" i="8"/>
  <c r="F5" i="8"/>
  <c r="G32" i="8"/>
  <c r="G16" i="8"/>
  <c r="G8" i="8"/>
  <c r="G128" i="8"/>
  <c r="E128" i="8"/>
  <c r="M34" i="8"/>
  <c r="E141" i="8"/>
  <c r="G53" i="8"/>
  <c r="J80" i="8"/>
  <c r="G99" i="8"/>
  <c r="E121" i="8"/>
  <c r="G14" i="8"/>
  <c r="E146" i="8"/>
  <c r="E138" i="8"/>
  <c r="G73" i="8"/>
  <c r="L80" i="8"/>
  <c r="J39" i="8"/>
  <c r="G95" i="8"/>
  <c r="G27" i="8"/>
  <c r="G69" i="8"/>
  <c r="E60" i="8"/>
  <c r="E65" i="8"/>
  <c r="E55" i="8"/>
  <c r="E71" i="8"/>
  <c r="D79" i="8"/>
  <c r="E77" i="8"/>
  <c r="E61" i="8"/>
  <c r="E49" i="8"/>
  <c r="E67" i="8"/>
  <c r="E57" i="8"/>
  <c r="E62" i="8"/>
  <c r="E50" i="8"/>
  <c r="E64" i="8"/>
  <c r="E63" i="8"/>
  <c r="E51" i="8"/>
  <c r="E44" i="8"/>
  <c r="E54" i="8"/>
  <c r="E75" i="8"/>
  <c r="E45" i="8"/>
  <c r="G31" i="8"/>
  <c r="G50" i="8"/>
  <c r="G17" i="8"/>
  <c r="E119" i="8"/>
  <c r="G131" i="7"/>
  <c r="E147" i="7"/>
  <c r="E30" i="7"/>
  <c r="E22" i="7"/>
  <c r="E14" i="7"/>
  <c r="E29" i="7"/>
  <c r="E31" i="7"/>
  <c r="E23" i="7"/>
  <c r="E15" i="7"/>
  <c r="D159" i="7"/>
  <c r="E9" i="7"/>
  <c r="E37" i="7"/>
  <c r="E21" i="7"/>
  <c r="E35" i="7"/>
  <c r="E27" i="7"/>
  <c r="E19" i="7"/>
  <c r="E11" i="7"/>
  <c r="D39" i="7"/>
  <c r="E36" i="7"/>
  <c r="E28" i="7"/>
  <c r="E20" i="7"/>
  <c r="E12" i="7"/>
  <c r="E13" i="7"/>
  <c r="G66" i="7"/>
  <c r="O127" i="7"/>
  <c r="O146" i="7"/>
  <c r="O152" i="7"/>
  <c r="O123" i="7"/>
  <c r="G36" i="7"/>
  <c r="O141" i="7"/>
  <c r="O133" i="7"/>
  <c r="O138" i="7"/>
  <c r="O130" i="7"/>
  <c r="G33" i="7"/>
  <c r="J80" i="7"/>
  <c r="O145" i="7"/>
  <c r="N7" i="7"/>
  <c r="O24" i="7" s="1"/>
  <c r="Q8" i="7"/>
  <c r="N38" i="7"/>
  <c r="O140" i="7"/>
  <c r="O142" i="7"/>
  <c r="E153" i="7"/>
  <c r="E149" i="7"/>
  <c r="E145" i="7"/>
  <c r="E141" i="7"/>
  <c r="E137" i="7"/>
  <c r="E133" i="7"/>
  <c r="E129" i="7"/>
  <c r="E125" i="7"/>
  <c r="E121" i="7"/>
  <c r="E117" i="7"/>
  <c r="D158" i="7"/>
  <c r="E152" i="7"/>
  <c r="E148" i="7"/>
  <c r="E144" i="7"/>
  <c r="E140" i="7"/>
  <c r="E136" i="7"/>
  <c r="E132" i="7"/>
  <c r="E128" i="7"/>
  <c r="E124" i="7"/>
  <c r="E120" i="7"/>
  <c r="F79" i="7"/>
  <c r="F84" i="7" s="1"/>
  <c r="G97" i="7" s="1"/>
  <c r="G59" i="7"/>
  <c r="O128" i="7"/>
  <c r="G74" i="7"/>
  <c r="G65" i="7"/>
  <c r="O129" i="7"/>
  <c r="E135" i="7"/>
  <c r="O124" i="7"/>
  <c r="O126" i="7"/>
  <c r="N43" i="7"/>
  <c r="O44" i="7" s="1"/>
  <c r="Q44" i="7"/>
  <c r="N78" i="7"/>
  <c r="G51" i="7"/>
  <c r="E131" i="7"/>
  <c r="L80" i="7"/>
  <c r="G9" i="7"/>
  <c r="G29" i="7"/>
  <c r="O148" i="7"/>
  <c r="O151" i="7"/>
  <c r="O153" i="7"/>
  <c r="G31" i="7"/>
  <c r="G23" i="7"/>
  <c r="G15" i="7"/>
  <c r="G14" i="7"/>
  <c r="F159" i="7"/>
  <c r="F39" i="7"/>
  <c r="F5" i="7"/>
  <c r="G30" i="7"/>
  <c r="G22" i="7"/>
  <c r="P8" i="7"/>
  <c r="E130" i="7"/>
  <c r="O132" i="7"/>
  <c r="O119" i="7"/>
  <c r="G20" i="7"/>
  <c r="O131" i="7"/>
  <c r="O137" i="7"/>
  <c r="G8" i="7"/>
  <c r="G28" i="7"/>
  <c r="G21" i="7"/>
  <c r="E33" i="7"/>
  <c r="E126" i="7"/>
  <c r="G17" i="7"/>
  <c r="O121" i="7"/>
  <c r="G25" i="7"/>
  <c r="G34" i="7"/>
  <c r="G10" i="7"/>
  <c r="G18" i="7"/>
  <c r="G141" i="6"/>
  <c r="G149" i="6"/>
  <c r="F158" i="6"/>
  <c r="G137" i="6"/>
  <c r="G119" i="6"/>
  <c r="G122" i="6"/>
  <c r="G143" i="6"/>
  <c r="G146" i="6"/>
  <c r="O17" i="6"/>
  <c r="E35" i="6"/>
  <c r="G85" i="6"/>
  <c r="F112" i="6"/>
  <c r="G104" i="6"/>
  <c r="G100" i="6"/>
  <c r="G96" i="6"/>
  <c r="G92" i="6"/>
  <c r="G88" i="6"/>
  <c r="G86" i="6"/>
  <c r="G47" i="6"/>
  <c r="Q9" i="6"/>
  <c r="P9" i="6"/>
  <c r="P7" i="6" s="1"/>
  <c r="O9" i="6"/>
  <c r="J80" i="6"/>
  <c r="G91" i="6"/>
  <c r="O64" i="6"/>
  <c r="G52" i="6"/>
  <c r="G94" i="6"/>
  <c r="O23" i="6"/>
  <c r="O16" i="6"/>
  <c r="G93" i="6"/>
  <c r="O36" i="6"/>
  <c r="E98" i="6"/>
  <c r="Q98" i="6" s="1"/>
  <c r="G36" i="6"/>
  <c r="G10" i="6"/>
  <c r="G33" i="6"/>
  <c r="G25" i="6"/>
  <c r="G17" i="6"/>
  <c r="G9" i="6"/>
  <c r="G16" i="6"/>
  <c r="F159" i="6"/>
  <c r="F39" i="6"/>
  <c r="F5" i="6"/>
  <c r="G8" i="6"/>
  <c r="G32" i="6"/>
  <c r="G37" i="6"/>
  <c r="G29" i="6"/>
  <c r="G21" i="6"/>
  <c r="G13" i="6"/>
  <c r="G31" i="6"/>
  <c r="G23" i="6"/>
  <c r="G15" i="6"/>
  <c r="G28" i="6"/>
  <c r="O21" i="6"/>
  <c r="G30" i="6"/>
  <c r="G97" i="6"/>
  <c r="G20" i="6"/>
  <c r="E34" i="6"/>
  <c r="G14" i="6"/>
  <c r="G19" i="6"/>
  <c r="E26" i="6"/>
  <c r="O33" i="6"/>
  <c r="G48" i="6"/>
  <c r="G27" i="6"/>
  <c r="E53" i="6"/>
  <c r="Q53" i="6" s="1"/>
  <c r="O143" i="6"/>
  <c r="E18" i="6"/>
  <c r="O19" i="6"/>
  <c r="G18" i="6"/>
  <c r="N38" i="6"/>
  <c r="G11" i="6"/>
  <c r="D6" i="6"/>
  <c r="D5" i="6" s="1"/>
  <c r="O135" i="6"/>
  <c r="O150" i="6"/>
  <c r="O146" i="6"/>
  <c r="O142" i="6"/>
  <c r="O138" i="6"/>
  <c r="O134" i="6"/>
  <c r="O130" i="6"/>
  <c r="O126" i="6"/>
  <c r="O122" i="6"/>
  <c r="O118" i="6"/>
  <c r="G95" i="6"/>
  <c r="E27" i="6"/>
  <c r="G103" i="6"/>
  <c r="O44" i="6"/>
  <c r="G26" i="6"/>
  <c r="G34" i="6"/>
  <c r="G102" i="6"/>
  <c r="E47" i="6"/>
  <c r="E105" i="6"/>
  <c r="Q105" i="6" s="1"/>
  <c r="E101" i="6"/>
  <c r="Q101" i="6" s="1"/>
  <c r="E97" i="6"/>
  <c r="Q97" i="6" s="1"/>
  <c r="E93" i="6"/>
  <c r="Q93" i="6" s="1"/>
  <c r="E89" i="6"/>
  <c r="Q89" i="6" s="1"/>
  <c r="E52" i="6"/>
  <c r="Q52" i="6" s="1"/>
  <c r="E96" i="6"/>
  <c r="Q96" i="6" s="1"/>
  <c r="E100" i="6"/>
  <c r="Q100" i="6" s="1"/>
  <c r="E88" i="6"/>
  <c r="Q88" i="6" s="1"/>
  <c r="E103" i="6"/>
  <c r="Q103" i="6" s="1"/>
  <c r="E99" i="6"/>
  <c r="Q99" i="6" s="1"/>
  <c r="E95" i="6"/>
  <c r="Q95" i="6" s="1"/>
  <c r="E91" i="6"/>
  <c r="Q91" i="6" s="1"/>
  <c r="E87" i="6"/>
  <c r="Q87" i="6" s="1"/>
  <c r="E85" i="6"/>
  <c r="Q85" i="6" s="1"/>
  <c r="E104" i="6"/>
  <c r="Q104" i="6" s="1"/>
  <c r="E92" i="6"/>
  <c r="Q92" i="6" s="1"/>
  <c r="E86" i="6"/>
  <c r="Q86" i="6" s="1"/>
  <c r="D112" i="6"/>
  <c r="G128" i="6"/>
  <c r="J39" i="6"/>
  <c r="E90" i="6"/>
  <c r="Q90" i="6" s="1"/>
  <c r="E11" i="6"/>
  <c r="G99" i="6"/>
  <c r="G53" i="6"/>
  <c r="G89" i="6"/>
  <c r="L39" i="6"/>
  <c r="E32" i="6"/>
  <c r="E16" i="6"/>
  <c r="E8" i="6"/>
  <c r="E23" i="6"/>
  <c r="E33" i="6"/>
  <c r="E25" i="6"/>
  <c r="E17" i="6"/>
  <c r="E9" i="6"/>
  <c r="D159" i="6"/>
  <c r="D39" i="6"/>
  <c r="E36" i="6"/>
  <c r="E28" i="6"/>
  <c r="E20" i="6"/>
  <c r="E12" i="6"/>
  <c r="E37" i="6"/>
  <c r="E29" i="6"/>
  <c r="E21" i="6"/>
  <c r="E13" i="6"/>
  <c r="E30" i="6"/>
  <c r="E22" i="6"/>
  <c r="E14" i="6"/>
  <c r="E31" i="6"/>
  <c r="E15" i="6"/>
  <c r="G132" i="6"/>
  <c r="F43" i="6"/>
  <c r="G44" i="6" s="1"/>
  <c r="Q46" i="6"/>
  <c r="G98" i="6"/>
  <c r="G101" i="6"/>
  <c r="E94" i="6"/>
  <c r="Q94" i="6" s="1"/>
  <c r="O26" i="6"/>
  <c r="O144" i="6"/>
  <c r="G66" i="5"/>
  <c r="G62" i="5"/>
  <c r="G58" i="5"/>
  <c r="G54" i="5"/>
  <c r="G72" i="5"/>
  <c r="G64" i="5"/>
  <c r="G67" i="5"/>
  <c r="G69" i="5"/>
  <c r="G73" i="5"/>
  <c r="G71" i="5"/>
  <c r="G63" i="5"/>
  <c r="G60" i="5"/>
  <c r="G76" i="5"/>
  <c r="G75" i="5"/>
  <c r="Q11" i="5"/>
  <c r="E134" i="5"/>
  <c r="L39" i="5"/>
  <c r="M37" i="5"/>
  <c r="M29" i="5"/>
  <c r="N7" i="5"/>
  <c r="O24" i="5" s="1"/>
  <c r="M31" i="5"/>
  <c r="M23" i="5"/>
  <c r="M33" i="5"/>
  <c r="M36" i="5"/>
  <c r="M28" i="5"/>
  <c r="M20" i="5"/>
  <c r="K36" i="5"/>
  <c r="K28" i="5"/>
  <c r="J39" i="5"/>
  <c r="K30" i="5"/>
  <c r="K22" i="5"/>
  <c r="K35" i="5"/>
  <c r="K27" i="5"/>
  <c r="E121" i="5"/>
  <c r="M27" i="5"/>
  <c r="E145" i="5"/>
  <c r="F116" i="5"/>
  <c r="G132" i="5" s="1"/>
  <c r="Q132" i="5" s="1"/>
  <c r="Q45" i="5"/>
  <c r="E135" i="5"/>
  <c r="Q27" i="5"/>
  <c r="E142" i="5"/>
  <c r="K17" i="5"/>
  <c r="K26" i="5"/>
  <c r="M25" i="5"/>
  <c r="E136" i="5"/>
  <c r="G51" i="5"/>
  <c r="E125" i="5"/>
  <c r="K14" i="5"/>
  <c r="G57" i="5"/>
  <c r="E141" i="5"/>
  <c r="N78" i="5"/>
  <c r="N43" i="5"/>
  <c r="Q8" i="5"/>
  <c r="N38" i="5"/>
  <c r="N80" i="5" s="1"/>
  <c r="M35" i="5"/>
  <c r="E123" i="5"/>
  <c r="J80" i="5"/>
  <c r="Q35" i="5"/>
  <c r="M19" i="5"/>
  <c r="N116" i="5"/>
  <c r="O117" i="5" s="1"/>
  <c r="N157" i="5"/>
  <c r="M18" i="5"/>
  <c r="P27" i="5"/>
  <c r="Q19" i="5"/>
  <c r="E150" i="5"/>
  <c r="E130" i="5"/>
  <c r="E126" i="5"/>
  <c r="E122" i="5"/>
  <c r="E118" i="5"/>
  <c r="D158" i="5"/>
  <c r="E128" i="5"/>
  <c r="E137" i="5"/>
  <c r="P35" i="5"/>
  <c r="K16" i="5"/>
  <c r="M10" i="5"/>
  <c r="K18" i="5"/>
  <c r="E149" i="5"/>
  <c r="K32" i="5"/>
  <c r="K13" i="5"/>
  <c r="K25" i="5"/>
  <c r="E124" i="5"/>
  <c r="M15" i="5"/>
  <c r="E127" i="5"/>
  <c r="E138" i="5"/>
  <c r="K29" i="5"/>
  <c r="K19" i="5"/>
  <c r="P8" i="5"/>
  <c r="F7" i="5"/>
  <c r="G24" i="5" s="1"/>
  <c r="E117" i="5"/>
  <c r="M12" i="5"/>
  <c r="M21" i="5"/>
  <c r="M17" i="5"/>
  <c r="K23" i="5"/>
  <c r="E151" i="5"/>
  <c r="E152" i="5"/>
  <c r="E120" i="5"/>
  <c r="M9" i="5"/>
  <c r="E131" i="5"/>
  <c r="K20" i="5"/>
  <c r="E129" i="5"/>
  <c r="K37" i="5"/>
  <c r="Q51" i="5"/>
  <c r="E119" i="5"/>
  <c r="P11" i="5"/>
  <c r="M27" i="4"/>
  <c r="K55" i="4"/>
  <c r="K57" i="4"/>
  <c r="M68" i="4"/>
  <c r="M8" i="4"/>
  <c r="O44" i="4"/>
  <c r="M58" i="4"/>
  <c r="K51" i="4"/>
  <c r="G18" i="4"/>
  <c r="O49" i="4"/>
  <c r="O77" i="4"/>
  <c r="M74" i="4"/>
  <c r="M77" i="4"/>
  <c r="K65" i="4"/>
  <c r="K67" i="4"/>
  <c r="M55" i="4"/>
  <c r="M72" i="4"/>
  <c r="M28" i="4"/>
  <c r="M29" i="4"/>
  <c r="O62" i="4"/>
  <c r="K62" i="4"/>
  <c r="O66" i="4"/>
  <c r="F116" i="4"/>
  <c r="G136" i="4" s="1"/>
  <c r="M70" i="4"/>
  <c r="K54" i="4"/>
  <c r="M64" i="4"/>
  <c r="M32" i="4"/>
  <c r="M20" i="4"/>
  <c r="M21" i="4"/>
  <c r="E125" i="4"/>
  <c r="E137" i="4"/>
  <c r="O45" i="4"/>
  <c r="E145" i="4"/>
  <c r="K44" i="4"/>
  <c r="E129" i="4"/>
  <c r="E153" i="4"/>
  <c r="M71" i="4"/>
  <c r="M36" i="4"/>
  <c r="M37" i="4"/>
  <c r="O59" i="4"/>
  <c r="N79" i="4"/>
  <c r="O74" i="4"/>
  <c r="O69" i="4"/>
  <c r="E143" i="4"/>
  <c r="O67" i="4"/>
  <c r="M45" i="4"/>
  <c r="M51" i="4"/>
  <c r="M46" i="4"/>
  <c r="M66" i="4"/>
  <c r="M56" i="4"/>
  <c r="M61" i="4"/>
  <c r="M49" i="4"/>
  <c r="M44" i="4"/>
  <c r="L79" i="4"/>
  <c r="M67" i="4"/>
  <c r="M57" i="4"/>
  <c r="M63" i="4"/>
  <c r="K74" i="4"/>
  <c r="K69" i="4"/>
  <c r="K59" i="4"/>
  <c r="K73" i="4"/>
  <c r="K75" i="4"/>
  <c r="K70" i="4"/>
  <c r="K60" i="4"/>
  <c r="K46" i="4"/>
  <c r="K76" i="4"/>
  <c r="K71" i="4"/>
  <c r="K61" i="4"/>
  <c r="K49" i="4"/>
  <c r="J79" i="4"/>
  <c r="K68" i="4"/>
  <c r="K58" i="4"/>
  <c r="K72" i="4"/>
  <c r="K64" i="4"/>
  <c r="M35" i="4"/>
  <c r="M12" i="4"/>
  <c r="M13" i="4"/>
  <c r="N80" i="4"/>
  <c r="K66" i="4"/>
  <c r="M54" i="4"/>
  <c r="D158" i="4"/>
  <c r="E152" i="4"/>
  <c r="E148" i="4"/>
  <c r="M73" i="4"/>
  <c r="O54" i="4"/>
  <c r="K77" i="4"/>
  <c r="K63" i="4"/>
  <c r="M50" i="4"/>
  <c r="M60" i="4"/>
  <c r="M31" i="4"/>
  <c r="P9" i="4"/>
  <c r="P38" i="4" s="1"/>
  <c r="K56" i="4"/>
  <c r="K50" i="4"/>
  <c r="M23" i="4"/>
  <c r="M16" i="4"/>
  <c r="E144" i="4"/>
  <c r="O51" i="4"/>
  <c r="E127" i="4"/>
  <c r="E123" i="4"/>
  <c r="O146" i="4"/>
  <c r="N7" i="4"/>
  <c r="O24" i="4" s="1"/>
  <c r="M33" i="4"/>
  <c r="M25" i="4"/>
  <c r="M17" i="4"/>
  <c r="M9" i="4"/>
  <c r="M34" i="4"/>
  <c r="M26" i="4"/>
  <c r="M18" i="4"/>
  <c r="M10" i="4"/>
  <c r="L39" i="4"/>
  <c r="M30" i="4"/>
  <c r="M22" i="4"/>
  <c r="M14" i="4"/>
  <c r="M75" i="4"/>
  <c r="G63" i="4"/>
  <c r="M62" i="4"/>
  <c r="M69" i="4"/>
  <c r="M15" i="4"/>
  <c r="M11" i="4"/>
  <c r="E136" i="4"/>
  <c r="M59" i="4"/>
  <c r="Q9" i="4"/>
  <c r="O64" i="4"/>
  <c r="O70" i="4"/>
  <c r="O152" i="4"/>
  <c r="O73" i="3"/>
  <c r="O49" i="3"/>
  <c r="G52" i="3"/>
  <c r="E126" i="3"/>
  <c r="N78" i="3"/>
  <c r="E140" i="3"/>
  <c r="O10" i="3"/>
  <c r="Q61" i="3"/>
  <c r="G53" i="3"/>
  <c r="G100" i="3"/>
  <c r="L79" i="3"/>
  <c r="J39" i="3"/>
  <c r="O30" i="3"/>
  <c r="O22" i="3"/>
  <c r="O14" i="3"/>
  <c r="O21" i="3"/>
  <c r="E124" i="3"/>
  <c r="G31" i="3"/>
  <c r="P31" i="3"/>
  <c r="G19" i="3"/>
  <c r="G94" i="3"/>
  <c r="G97" i="3"/>
  <c r="K74" i="3"/>
  <c r="K71" i="3"/>
  <c r="G35" i="3"/>
  <c r="E153" i="3"/>
  <c r="E129" i="3"/>
  <c r="G48" i="3"/>
  <c r="E127" i="3"/>
  <c r="E120" i="3"/>
  <c r="G87" i="3"/>
  <c r="O35" i="3"/>
  <c r="O32" i="3"/>
  <c r="L80" i="3"/>
  <c r="P23" i="3"/>
  <c r="G23" i="3"/>
  <c r="O9" i="3"/>
  <c r="G96" i="3"/>
  <c r="G11" i="3"/>
  <c r="G29" i="3"/>
  <c r="O13" i="3"/>
  <c r="Q8" i="3"/>
  <c r="O8" i="3"/>
  <c r="N38" i="3"/>
  <c r="G95" i="3"/>
  <c r="O23" i="3"/>
  <c r="K49" i="3"/>
  <c r="G89" i="3"/>
  <c r="G104" i="3"/>
  <c r="E123" i="3"/>
  <c r="F159" i="3"/>
  <c r="F39" i="3"/>
  <c r="F5" i="3"/>
  <c r="Q15" i="3"/>
  <c r="G15" i="3"/>
  <c r="P15" i="3"/>
  <c r="E137" i="3"/>
  <c r="O12" i="3"/>
  <c r="Q23" i="3"/>
  <c r="G26" i="3"/>
  <c r="G88" i="3"/>
  <c r="G86" i="3"/>
  <c r="Q57" i="3"/>
  <c r="E151" i="3"/>
  <c r="E119" i="3"/>
  <c r="G30" i="3"/>
  <c r="K66" i="3"/>
  <c r="K61" i="3"/>
  <c r="K57" i="3"/>
  <c r="K62" i="3"/>
  <c r="K58" i="3"/>
  <c r="K73" i="3"/>
  <c r="K51" i="3"/>
  <c r="K65" i="3"/>
  <c r="K68" i="3"/>
  <c r="K69" i="3"/>
  <c r="J80" i="3"/>
  <c r="K60" i="3"/>
  <c r="K56" i="3"/>
  <c r="K50" i="3"/>
  <c r="G27" i="3"/>
  <c r="L39" i="3"/>
  <c r="G92" i="3"/>
  <c r="G47" i="3"/>
  <c r="G99" i="3"/>
  <c r="P79" i="3"/>
  <c r="G22" i="3"/>
  <c r="O26" i="3"/>
  <c r="G91" i="3"/>
  <c r="O33" i="3"/>
  <c r="G85" i="3"/>
  <c r="G9" i="3"/>
  <c r="G32" i="3"/>
  <c r="G34" i="3"/>
  <c r="D158" i="3"/>
  <c r="E152" i="3"/>
  <c r="G90" i="3"/>
  <c r="E138" i="3"/>
  <c r="E143" i="3"/>
  <c r="O36" i="3"/>
  <c r="E117" i="3"/>
  <c r="O11" i="3"/>
  <c r="G17" i="3"/>
  <c r="G98" i="3"/>
  <c r="O37" i="3"/>
  <c r="E134" i="3"/>
  <c r="G20" i="3"/>
  <c r="E148" i="3"/>
  <c r="O18" i="3"/>
  <c r="F116" i="3"/>
  <c r="G133" i="3" s="1"/>
  <c r="K64" i="3"/>
  <c r="O27" i="3"/>
  <c r="G101" i="3"/>
  <c r="O31" i="3"/>
  <c r="G8" i="3"/>
  <c r="K46" i="3"/>
  <c r="G103" i="3"/>
  <c r="E147" i="3"/>
  <c r="E145" i="3"/>
  <c r="O17" i="3"/>
  <c r="E130" i="3"/>
  <c r="E139" i="3"/>
  <c r="E144" i="3"/>
  <c r="G14" i="3"/>
  <c r="G13" i="3"/>
  <c r="G18" i="3"/>
  <c r="E121" i="3"/>
  <c r="Q31" i="3"/>
  <c r="O25" i="3"/>
  <c r="G16" i="3"/>
  <c r="G144" i="12" l="1"/>
  <c r="G48" i="12"/>
  <c r="G101" i="12"/>
  <c r="G47" i="12"/>
  <c r="G93" i="12"/>
  <c r="G85" i="12"/>
  <c r="G89" i="12"/>
  <c r="G105" i="12"/>
  <c r="G88" i="12"/>
  <c r="G66" i="12"/>
  <c r="G77" i="12"/>
  <c r="G62" i="12"/>
  <c r="G51" i="12"/>
  <c r="G72" i="12"/>
  <c r="G69" i="12"/>
  <c r="G63" i="12"/>
  <c r="G64" i="12"/>
  <c r="G65" i="12"/>
  <c r="G68" i="12"/>
  <c r="G54" i="12"/>
  <c r="G56" i="12"/>
  <c r="G71" i="12"/>
  <c r="G61" i="12"/>
  <c r="G73" i="12"/>
  <c r="G60" i="12"/>
  <c r="G74" i="12"/>
  <c r="G70" i="12"/>
  <c r="G46" i="12"/>
  <c r="G76" i="12"/>
  <c r="G58" i="12"/>
  <c r="J84" i="10"/>
  <c r="J84" i="9"/>
  <c r="K102" i="9"/>
  <c r="K97" i="9"/>
  <c r="K87" i="9"/>
  <c r="K52" i="9"/>
  <c r="K86" i="9"/>
  <c r="K105" i="9"/>
  <c r="K95" i="9"/>
  <c r="K89" i="9"/>
  <c r="K85" i="9"/>
  <c r="K91" i="9"/>
  <c r="K93" i="9"/>
  <c r="K88" i="9"/>
  <c r="K104" i="9"/>
  <c r="K48" i="9"/>
  <c r="K98" i="9"/>
  <c r="K99" i="9"/>
  <c r="K101" i="9"/>
  <c r="K92" i="9"/>
  <c r="K53" i="9"/>
  <c r="K103" i="9"/>
  <c r="K96" i="9"/>
  <c r="K90" i="9"/>
  <c r="J112" i="9"/>
  <c r="K47" i="9"/>
  <c r="K100" i="9"/>
  <c r="K94" i="9"/>
  <c r="J6" i="9"/>
  <c r="J5" i="9" s="1"/>
  <c r="J111" i="9"/>
  <c r="J159" i="9" s="1"/>
  <c r="G142" i="8"/>
  <c r="Q142" i="8" s="1"/>
  <c r="G146" i="8"/>
  <c r="G93" i="7"/>
  <c r="G105" i="7"/>
  <c r="G134" i="7"/>
  <c r="Q134" i="7" s="1"/>
  <c r="G95" i="7"/>
  <c r="G48" i="7"/>
  <c r="G89" i="7"/>
  <c r="G101" i="7"/>
  <c r="G58" i="7"/>
  <c r="G142" i="7"/>
  <c r="Q142" i="7" s="1"/>
  <c r="G94" i="7"/>
  <c r="G87" i="7"/>
  <c r="G90" i="7"/>
  <c r="G100" i="7"/>
  <c r="G96" i="7"/>
  <c r="G88" i="7"/>
  <c r="G86" i="7"/>
  <c r="G99" i="7"/>
  <c r="G52" i="7"/>
  <c r="G53" i="7"/>
  <c r="G98" i="7"/>
  <c r="G104" i="7"/>
  <c r="G85" i="7"/>
  <c r="G91" i="7"/>
  <c r="F112" i="7"/>
  <c r="G102" i="7"/>
  <c r="G92" i="7"/>
  <c r="G103" i="7"/>
  <c r="G47" i="7"/>
  <c r="O117" i="6"/>
  <c r="O120" i="6"/>
  <c r="O129" i="6"/>
  <c r="O127" i="6"/>
  <c r="O119" i="6"/>
  <c r="N80" i="6"/>
  <c r="G61" i="5"/>
  <c r="G49" i="5"/>
  <c r="G44" i="5"/>
  <c r="G77" i="5"/>
  <c r="G55" i="5"/>
  <c r="F79" i="5"/>
  <c r="F84" i="5" s="1"/>
  <c r="G52" i="5" s="1"/>
  <c r="G70" i="5"/>
  <c r="G45" i="5"/>
  <c r="G68" i="5"/>
  <c r="G59" i="5"/>
  <c r="G56" i="5"/>
  <c r="G50" i="5"/>
  <c r="G65" i="5"/>
  <c r="G46" i="5"/>
  <c r="G152" i="4"/>
  <c r="G10" i="4"/>
  <c r="G56" i="4"/>
  <c r="G46" i="4"/>
  <c r="O77" i="3"/>
  <c r="O54" i="3"/>
  <c r="O56" i="3"/>
  <c r="O72" i="3"/>
  <c r="O59" i="3"/>
  <c r="O29" i="3"/>
  <c r="O70" i="3"/>
  <c r="O71" i="3"/>
  <c r="O74" i="3"/>
  <c r="O65" i="3"/>
  <c r="O62" i="3"/>
  <c r="O58" i="3"/>
  <c r="O63" i="3"/>
  <c r="O64" i="3"/>
  <c r="O66" i="3"/>
  <c r="O67" i="3"/>
  <c r="O46" i="3"/>
  <c r="O51" i="3"/>
  <c r="O68" i="3"/>
  <c r="O44" i="3"/>
  <c r="O57" i="3"/>
  <c r="O61" i="3"/>
  <c r="O55" i="3"/>
  <c r="O75" i="3"/>
  <c r="O69" i="3"/>
  <c r="O45" i="3"/>
  <c r="O76" i="3"/>
  <c r="O50" i="3"/>
  <c r="O125" i="11"/>
  <c r="G26" i="13"/>
  <c r="N26" i="13"/>
  <c r="G25" i="13"/>
  <c r="N25" i="13"/>
  <c r="O74" i="6"/>
  <c r="O30" i="6"/>
  <c r="O29" i="6"/>
  <c r="O12" i="6"/>
  <c r="O60" i="6"/>
  <c r="O77" i="6"/>
  <c r="O28" i="6"/>
  <c r="O67" i="6"/>
  <c r="O31" i="6"/>
  <c r="O57" i="6"/>
  <c r="O10" i="6"/>
  <c r="O22" i="6"/>
  <c r="O13" i="6"/>
  <c r="O72" i="6"/>
  <c r="O51" i="6"/>
  <c r="O70" i="6"/>
  <c r="O8" i="6"/>
  <c r="O59" i="6"/>
  <c r="O75" i="6"/>
  <c r="O56" i="6"/>
  <c r="O55" i="6"/>
  <c r="O71" i="6"/>
  <c r="O58" i="6"/>
  <c r="O45" i="6"/>
  <c r="O62" i="6"/>
  <c r="Q24" i="13"/>
  <c r="O20" i="6"/>
  <c r="O15" i="6"/>
  <c r="O35" i="6"/>
  <c r="O61" i="6"/>
  <c r="O18" i="6"/>
  <c r="O27" i="6"/>
  <c r="O63" i="6"/>
  <c r="O50" i="6"/>
  <c r="O46" i="6"/>
  <c r="O37" i="6"/>
  <c r="N79" i="6"/>
  <c r="O34" i="6"/>
  <c r="O11" i="6"/>
  <c r="O32" i="6"/>
  <c r="O25" i="6"/>
  <c r="O65" i="6"/>
  <c r="O136" i="6"/>
  <c r="N24" i="13"/>
  <c r="P24" i="13" s="1"/>
  <c r="G24" i="13"/>
  <c r="G144" i="5"/>
  <c r="Q144" i="5" s="1"/>
  <c r="G152" i="5"/>
  <c r="G124" i="5"/>
  <c r="O76" i="4"/>
  <c r="G140" i="4"/>
  <c r="Q140" i="4" s="1"/>
  <c r="O139" i="3"/>
  <c r="O128" i="3"/>
  <c r="O151" i="3"/>
  <c r="O132" i="3"/>
  <c r="O117" i="3"/>
  <c r="O129" i="3"/>
  <c r="O37" i="11"/>
  <c r="G36" i="3"/>
  <c r="O8" i="12"/>
  <c r="O27" i="11"/>
  <c r="G11" i="11"/>
  <c r="O8" i="8"/>
  <c r="O8" i="7"/>
  <c r="O8" i="5"/>
  <c r="G8" i="5"/>
  <c r="G17" i="4"/>
  <c r="G37" i="3"/>
  <c r="O8" i="10"/>
  <c r="P39" i="8"/>
  <c r="G21" i="3"/>
  <c r="G28" i="3"/>
  <c r="G33" i="3"/>
  <c r="O148" i="4"/>
  <c r="G71" i="4"/>
  <c r="G130" i="6"/>
  <c r="G153" i="6"/>
  <c r="G148" i="7"/>
  <c r="G151" i="7"/>
  <c r="Q151" i="7" s="1"/>
  <c r="O66" i="8"/>
  <c r="O62" i="8"/>
  <c r="G131" i="8"/>
  <c r="Q131" i="8" s="1"/>
  <c r="G118" i="8"/>
  <c r="Q118" i="8" s="1"/>
  <c r="G49" i="4"/>
  <c r="N158" i="3"/>
  <c r="G94" i="12"/>
  <c r="O153" i="4"/>
  <c r="G66" i="4"/>
  <c r="G136" i="6"/>
  <c r="G127" i="6"/>
  <c r="G125" i="6"/>
  <c r="G122" i="7"/>
  <c r="Q122" i="7" s="1"/>
  <c r="G148" i="8"/>
  <c r="O74" i="8"/>
  <c r="G122" i="8"/>
  <c r="Q122" i="8" s="1"/>
  <c r="G149" i="8"/>
  <c r="Q149" i="8" s="1"/>
  <c r="G91" i="12"/>
  <c r="G99" i="12"/>
  <c r="G103" i="12"/>
  <c r="O141" i="3"/>
  <c r="F112" i="12"/>
  <c r="O143" i="4"/>
  <c r="F79" i="4"/>
  <c r="F84" i="4" s="1"/>
  <c r="G47" i="4" s="1"/>
  <c r="Q47" i="4" s="1"/>
  <c r="G121" i="7"/>
  <c r="Q121" i="7" s="1"/>
  <c r="O70" i="8"/>
  <c r="O57" i="8"/>
  <c r="G151" i="8"/>
  <c r="Q151" i="8" s="1"/>
  <c r="G125" i="8"/>
  <c r="Q125" i="8" s="1"/>
  <c r="G97" i="12"/>
  <c r="G104" i="12"/>
  <c r="G86" i="12"/>
  <c r="G67" i="4"/>
  <c r="G126" i="8"/>
  <c r="Q126" i="8" s="1"/>
  <c r="G54" i="4"/>
  <c r="O135" i="4"/>
  <c r="G74" i="4"/>
  <c r="G144" i="6"/>
  <c r="G120" i="6"/>
  <c r="G142" i="6"/>
  <c r="G117" i="6"/>
  <c r="F158" i="7"/>
  <c r="G120" i="8"/>
  <c r="G56" i="8"/>
  <c r="G152" i="8"/>
  <c r="O72" i="8"/>
  <c r="G55" i="8"/>
  <c r="G143" i="8"/>
  <c r="Q143" i="8" s="1"/>
  <c r="G133" i="8"/>
  <c r="Q133" i="8" s="1"/>
  <c r="G102" i="12"/>
  <c r="G92" i="12"/>
  <c r="O143" i="7"/>
  <c r="O136" i="11"/>
  <c r="O145" i="4"/>
  <c r="G45" i="4"/>
  <c r="G58" i="4"/>
  <c r="G72" i="4"/>
  <c r="G70" i="4"/>
  <c r="G148" i="6"/>
  <c r="G152" i="6"/>
  <c r="G139" i="6"/>
  <c r="G145" i="6"/>
  <c r="G145" i="7"/>
  <c r="G144" i="8"/>
  <c r="G127" i="8"/>
  <c r="Q127" i="8" s="1"/>
  <c r="G153" i="8"/>
  <c r="Q153" i="8" s="1"/>
  <c r="N80" i="10"/>
  <c r="Q125" i="11"/>
  <c r="G53" i="12"/>
  <c r="G77" i="4"/>
  <c r="G153" i="7"/>
  <c r="Q153" i="7" s="1"/>
  <c r="G138" i="8"/>
  <c r="Q138" i="8" s="1"/>
  <c r="G145" i="8"/>
  <c r="Q145" i="8" s="1"/>
  <c r="G95" i="12"/>
  <c r="G96" i="12"/>
  <c r="G126" i="6"/>
  <c r="G150" i="8"/>
  <c r="G100" i="12"/>
  <c r="O119" i="4"/>
  <c r="G150" i="6"/>
  <c r="G133" i="6"/>
  <c r="O55" i="8"/>
  <c r="G136" i="8"/>
  <c r="Q136" i="8" s="1"/>
  <c r="F158" i="8"/>
  <c r="Q133" i="3"/>
  <c r="G61" i="4"/>
  <c r="G50" i="4"/>
  <c r="G135" i="6"/>
  <c r="O65" i="8"/>
  <c r="O59" i="8"/>
  <c r="G135" i="8"/>
  <c r="Q135" i="8" s="1"/>
  <c r="G117" i="8"/>
  <c r="G90" i="12"/>
  <c r="G57" i="7"/>
  <c r="O122" i="3"/>
  <c r="O140" i="11"/>
  <c r="G57" i="4"/>
  <c r="G63" i="7"/>
  <c r="O127" i="3"/>
  <c r="O151" i="11"/>
  <c r="G129" i="8"/>
  <c r="Q129" i="8" s="1"/>
  <c r="G147" i="6"/>
  <c r="O150" i="4"/>
  <c r="G69" i="4"/>
  <c r="O126" i="3"/>
  <c r="O58" i="8"/>
  <c r="G44" i="7"/>
  <c r="O125" i="7"/>
  <c r="O121" i="3"/>
  <c r="O123" i="11"/>
  <c r="O134" i="4"/>
  <c r="G76" i="4"/>
  <c r="G140" i="6"/>
  <c r="G124" i="6"/>
  <c r="O56" i="8"/>
  <c r="G119" i="8"/>
  <c r="G141" i="8"/>
  <c r="Q141" i="8" s="1"/>
  <c r="G87" i="12"/>
  <c r="O131" i="4"/>
  <c r="G134" i="6"/>
  <c r="G63" i="8"/>
  <c r="O49" i="8"/>
  <c r="G44" i="8"/>
  <c r="G75" i="8"/>
  <c r="F79" i="8"/>
  <c r="G139" i="8"/>
  <c r="Q139" i="8" s="1"/>
  <c r="G137" i="8"/>
  <c r="Q137" i="8" s="1"/>
  <c r="O60" i="3"/>
  <c r="G44" i="4"/>
  <c r="G73" i="4"/>
  <c r="N158" i="4"/>
  <c r="G138" i="6"/>
  <c r="G118" i="6"/>
  <c r="G152" i="7"/>
  <c r="G124" i="8"/>
  <c r="Q124" i="8" s="1"/>
  <c r="G54" i="8"/>
  <c r="G130" i="8"/>
  <c r="Q130" i="8" s="1"/>
  <c r="G121" i="8"/>
  <c r="G120" i="12"/>
  <c r="Q120" i="12" s="1"/>
  <c r="O134" i="3"/>
  <c r="O122" i="7"/>
  <c r="O142" i="3"/>
  <c r="G132" i="8"/>
  <c r="Q132" i="8" s="1"/>
  <c r="O71" i="8"/>
  <c r="O150" i="7"/>
  <c r="O144" i="3"/>
  <c r="G98" i="12"/>
  <c r="O138" i="4"/>
  <c r="G121" i="6"/>
  <c r="O126" i="4"/>
  <c r="G62" i="4"/>
  <c r="G64" i="4"/>
  <c r="G55" i="4"/>
  <c r="G151" i="6"/>
  <c r="G131" i="6"/>
  <c r="G124" i="7"/>
  <c r="Q124" i="7" s="1"/>
  <c r="O61" i="8"/>
  <c r="G147" i="8"/>
  <c r="Q147" i="8" s="1"/>
  <c r="G52" i="12"/>
  <c r="G68" i="4"/>
  <c r="G75" i="4"/>
  <c r="G51" i="4"/>
  <c r="G59" i="4"/>
  <c r="G65" i="4"/>
  <c r="G123" i="6"/>
  <c r="G150" i="7"/>
  <c r="Q150" i="7" s="1"/>
  <c r="O75" i="8"/>
  <c r="G140" i="8"/>
  <c r="Q140" i="8" s="1"/>
  <c r="O73" i="8"/>
  <c r="G128" i="12"/>
  <c r="Q128" i="12" s="1"/>
  <c r="O117" i="7"/>
  <c r="O125" i="3"/>
  <c r="G152" i="12"/>
  <c r="Q152" i="12" s="1"/>
  <c r="G132" i="12"/>
  <c r="Q132" i="12" s="1"/>
  <c r="G75" i="12"/>
  <c r="G20" i="11"/>
  <c r="G121" i="11"/>
  <c r="G29" i="11"/>
  <c r="G141" i="11"/>
  <c r="Q141" i="11" s="1"/>
  <c r="G136" i="11"/>
  <c r="Q136" i="11" s="1"/>
  <c r="O35" i="11"/>
  <c r="O29" i="11"/>
  <c r="G16" i="11"/>
  <c r="O21" i="11"/>
  <c r="G8" i="11"/>
  <c r="G31" i="11"/>
  <c r="G19" i="11"/>
  <c r="G14" i="11"/>
  <c r="G146" i="11"/>
  <c r="Q146" i="11" s="1"/>
  <c r="G22" i="11"/>
  <c r="G9" i="11"/>
  <c r="O10" i="11"/>
  <c r="G28" i="11"/>
  <c r="G13" i="11"/>
  <c r="G23" i="11"/>
  <c r="F5" i="11"/>
  <c r="G32" i="10"/>
  <c r="G91" i="10"/>
  <c r="G85" i="10"/>
  <c r="G121" i="10"/>
  <c r="Q121" i="10" s="1"/>
  <c r="O90" i="10"/>
  <c r="G145" i="10"/>
  <c r="Q145" i="10" s="1"/>
  <c r="O90" i="9"/>
  <c r="Q121" i="8"/>
  <c r="Q126" i="7"/>
  <c r="G132" i="7"/>
  <c r="Q132" i="7" s="1"/>
  <c r="G146" i="7"/>
  <c r="Q146" i="7" s="1"/>
  <c r="G147" i="7"/>
  <c r="Q147" i="7" s="1"/>
  <c r="G64" i="7"/>
  <c r="G130" i="7"/>
  <c r="Q130" i="7" s="1"/>
  <c r="G137" i="7"/>
  <c r="G68" i="7"/>
  <c r="G71" i="7"/>
  <c r="G45" i="7"/>
  <c r="G72" i="7"/>
  <c r="G118" i="7"/>
  <c r="Q118" i="7" s="1"/>
  <c r="G125" i="7"/>
  <c r="Q125" i="7" s="1"/>
  <c r="G55" i="7"/>
  <c r="G70" i="7"/>
  <c r="G143" i="7"/>
  <c r="Q143" i="7" s="1"/>
  <c r="G149" i="7"/>
  <c r="Q149" i="7" s="1"/>
  <c r="G49" i="7"/>
  <c r="G135" i="7"/>
  <c r="G133" i="7"/>
  <c r="G61" i="7"/>
  <c r="G54" i="7"/>
  <c r="G127" i="7"/>
  <c r="Q127" i="7" s="1"/>
  <c r="G141" i="7"/>
  <c r="G50" i="7"/>
  <c r="G56" i="7"/>
  <c r="G136" i="7"/>
  <c r="Q136" i="7" s="1"/>
  <c r="G139" i="7"/>
  <c r="Q139" i="7" s="1"/>
  <c r="G117" i="7"/>
  <c r="Q117" i="7" s="1"/>
  <c r="G73" i="7"/>
  <c r="G62" i="7"/>
  <c r="G119" i="7"/>
  <c r="Q119" i="7" s="1"/>
  <c r="G129" i="7"/>
  <c r="Q129" i="7" s="1"/>
  <c r="G60" i="7"/>
  <c r="G128" i="7"/>
  <c r="G46" i="7"/>
  <c r="G138" i="7"/>
  <c r="Q138" i="7" s="1"/>
  <c r="G120" i="7"/>
  <c r="Q120" i="7" s="1"/>
  <c r="G67" i="7"/>
  <c r="G123" i="7"/>
  <c r="Q123" i="7" s="1"/>
  <c r="G140" i="7"/>
  <c r="Q140" i="7" s="1"/>
  <c r="G144" i="7"/>
  <c r="Q144" i="7" s="1"/>
  <c r="P38" i="6"/>
  <c r="P80" i="6" s="1"/>
  <c r="O66" i="6"/>
  <c r="O76" i="6"/>
  <c r="O49" i="6"/>
  <c r="O54" i="6"/>
  <c r="O69" i="6"/>
  <c r="O73" i="6"/>
  <c r="G31" i="4"/>
  <c r="G20" i="4"/>
  <c r="G132" i="4"/>
  <c r="Q132" i="4" s="1"/>
  <c r="G9" i="4"/>
  <c r="G11" i="4"/>
  <c r="G37" i="4"/>
  <c r="G23" i="4"/>
  <c r="G35" i="4"/>
  <c r="G34" i="4"/>
  <c r="G144" i="4"/>
  <c r="G21" i="4"/>
  <c r="G30" i="4"/>
  <c r="G19" i="4"/>
  <c r="G16" i="4"/>
  <c r="F159" i="4"/>
  <c r="G15" i="4"/>
  <c r="F5" i="4"/>
  <c r="G29" i="4"/>
  <c r="G32" i="4"/>
  <c r="G8" i="4"/>
  <c r="F39" i="4"/>
  <c r="G33" i="4"/>
  <c r="G14" i="4"/>
  <c r="G28" i="4"/>
  <c r="G22" i="4"/>
  <c r="G13" i="4"/>
  <c r="G120" i="4"/>
  <c r="Q120" i="4" s="1"/>
  <c r="G26" i="4"/>
  <c r="G36" i="4"/>
  <c r="G27" i="4"/>
  <c r="G12" i="4"/>
  <c r="G25" i="4"/>
  <c r="O58" i="4"/>
  <c r="O61" i="4"/>
  <c r="O65" i="4"/>
  <c r="O63" i="4"/>
  <c r="O55" i="4"/>
  <c r="O57" i="4"/>
  <c r="O68" i="4"/>
  <c r="O60" i="4"/>
  <c r="O46" i="4"/>
  <c r="O56" i="4"/>
  <c r="O75" i="4"/>
  <c r="O72" i="4"/>
  <c r="O71" i="4"/>
  <c r="N80" i="3"/>
  <c r="O148" i="3"/>
  <c r="O133" i="3"/>
  <c r="O118" i="3"/>
  <c r="O152" i="3"/>
  <c r="O120" i="3"/>
  <c r="O150" i="3"/>
  <c r="O131" i="3"/>
  <c r="O138" i="3"/>
  <c r="O136" i="3"/>
  <c r="O140" i="3"/>
  <c r="O143" i="3"/>
  <c r="O130" i="3"/>
  <c r="O146" i="3"/>
  <c r="O147" i="3"/>
  <c r="O149" i="3"/>
  <c r="G12" i="3"/>
  <c r="G140" i="3"/>
  <c r="Q140" i="3" s="1"/>
  <c r="O137" i="3"/>
  <c r="G10" i="3"/>
  <c r="O124" i="3"/>
  <c r="O153" i="3"/>
  <c r="O119" i="3"/>
  <c r="G25" i="3"/>
  <c r="O145" i="3"/>
  <c r="G141" i="3"/>
  <c r="Q141" i="3" s="1"/>
  <c r="G136" i="3"/>
  <c r="Q136" i="3" s="1"/>
  <c r="G47" i="5"/>
  <c r="G118" i="11"/>
  <c r="Q118" i="11" s="1"/>
  <c r="G152" i="11"/>
  <c r="Q152" i="11" s="1"/>
  <c r="G21" i="11"/>
  <c r="G26" i="11"/>
  <c r="G18" i="11"/>
  <c r="G124" i="3"/>
  <c r="Q124" i="3" s="1"/>
  <c r="Q131" i="7"/>
  <c r="G152" i="9"/>
  <c r="G8" i="10"/>
  <c r="G133" i="11"/>
  <c r="Q133" i="11" s="1"/>
  <c r="G58" i="11"/>
  <c r="G36" i="11"/>
  <c r="G15" i="11"/>
  <c r="G140" i="9"/>
  <c r="G140" i="11"/>
  <c r="Q140" i="11" s="1"/>
  <c r="G149" i="11"/>
  <c r="Q149" i="11" s="1"/>
  <c r="G68" i="11"/>
  <c r="G128" i="4"/>
  <c r="Q128" i="4" s="1"/>
  <c r="G136" i="5"/>
  <c r="G140" i="5"/>
  <c r="Q140" i="5" s="1"/>
  <c r="N6" i="10"/>
  <c r="N5" i="10" s="1"/>
  <c r="O12" i="11"/>
  <c r="G34" i="11"/>
  <c r="G33" i="11"/>
  <c r="O122" i="4"/>
  <c r="O120" i="4"/>
  <c r="O118" i="4"/>
  <c r="O125" i="4"/>
  <c r="O129" i="4"/>
  <c r="O121" i="4"/>
  <c r="O140" i="4"/>
  <c r="O142" i="4"/>
  <c r="O149" i="4"/>
  <c r="O144" i="4"/>
  <c r="O124" i="4"/>
  <c r="O117" i="4"/>
  <c r="O127" i="4"/>
  <c r="O141" i="4"/>
  <c r="O123" i="4"/>
  <c r="O132" i="4"/>
  <c r="O147" i="4"/>
  <c r="O136" i="4"/>
  <c r="O130" i="4"/>
  <c r="O133" i="4"/>
  <c r="O151" i="4"/>
  <c r="O139" i="4"/>
  <c r="O137" i="4"/>
  <c r="P38" i="3"/>
  <c r="P80" i="3" s="1"/>
  <c r="G129" i="3"/>
  <c r="Q129" i="3" s="1"/>
  <c r="G44" i="9"/>
  <c r="G64" i="10"/>
  <c r="O48" i="10"/>
  <c r="G129" i="11"/>
  <c r="Q129" i="11" s="1"/>
  <c r="G10" i="11"/>
  <c r="G122" i="11"/>
  <c r="Q122" i="11" s="1"/>
  <c r="G37" i="11"/>
  <c r="G12" i="11"/>
  <c r="G35" i="11"/>
  <c r="O69" i="8"/>
  <c r="O45" i="8"/>
  <c r="O46" i="8"/>
  <c r="O54" i="8"/>
  <c r="O60" i="8"/>
  <c r="O77" i="8"/>
  <c r="O51" i="8"/>
  <c r="O76" i="8"/>
  <c r="O63" i="8"/>
  <c r="G117" i="3"/>
  <c r="Q148" i="8"/>
  <c r="G152" i="3"/>
  <c r="Q152" i="3" s="1"/>
  <c r="Q152" i="5"/>
  <c r="Q150" i="8"/>
  <c r="G153" i="9"/>
  <c r="Q153" i="9" s="1"/>
  <c r="G137" i="9"/>
  <c r="G45" i="11"/>
  <c r="G30" i="11"/>
  <c r="G17" i="11"/>
  <c r="G120" i="3"/>
  <c r="Q120" i="3" s="1"/>
  <c r="G145" i="3"/>
  <c r="G148" i="5"/>
  <c r="Q148" i="5" s="1"/>
  <c r="G129" i="9"/>
  <c r="G136" i="9"/>
  <c r="Q136" i="9" s="1"/>
  <c r="O77" i="11"/>
  <c r="G27" i="11"/>
  <c r="F39" i="11"/>
  <c r="O98" i="10"/>
  <c r="G71" i="11"/>
  <c r="G138" i="11"/>
  <c r="Q138" i="11" s="1"/>
  <c r="G25" i="11"/>
  <c r="F159" i="11"/>
  <c r="Q123" i="8"/>
  <c r="G137" i="11"/>
  <c r="Q137" i="11" s="1"/>
  <c r="G128" i="11"/>
  <c r="Q128" i="11" s="1"/>
  <c r="G105" i="5"/>
  <c r="Q146" i="8"/>
  <c r="G148" i="11"/>
  <c r="Q148" i="11" s="1"/>
  <c r="G91" i="4"/>
  <c r="Q91" i="4" s="1"/>
  <c r="Q144" i="4"/>
  <c r="P7" i="4"/>
  <c r="P39" i="4" s="1"/>
  <c r="N80" i="7"/>
  <c r="O44" i="8"/>
  <c r="G144" i="11"/>
  <c r="Q144" i="11" s="1"/>
  <c r="G130" i="11"/>
  <c r="Q130" i="11" s="1"/>
  <c r="G32" i="11"/>
  <c r="G137" i="3"/>
  <c r="Q137" i="3" s="1"/>
  <c r="P7" i="3"/>
  <c r="G128" i="5"/>
  <c r="Q128" i="5" s="1"/>
  <c r="Q148" i="7"/>
  <c r="O44" i="11"/>
  <c r="G145" i="11"/>
  <c r="Q145" i="11" s="1"/>
  <c r="G136" i="12"/>
  <c r="Q136" i="12" s="1"/>
  <c r="N79" i="12"/>
  <c r="O69" i="12"/>
  <c r="O44" i="12"/>
  <c r="O66" i="12"/>
  <c r="O77" i="12"/>
  <c r="O61" i="12"/>
  <c r="O56" i="12"/>
  <c r="O51" i="12"/>
  <c r="O72" i="12"/>
  <c r="O59" i="12"/>
  <c r="O49" i="12"/>
  <c r="O74" i="12"/>
  <c r="O68" i="12"/>
  <c r="O75" i="12"/>
  <c r="O46" i="12"/>
  <c r="O55" i="12"/>
  <c r="O60" i="12"/>
  <c r="O65" i="12"/>
  <c r="O57" i="12"/>
  <c r="O71" i="12"/>
  <c r="O62" i="12"/>
  <c r="O50" i="12"/>
  <c r="O63" i="12"/>
  <c r="O76" i="12"/>
  <c r="O54" i="12"/>
  <c r="O58" i="12"/>
  <c r="O64" i="12"/>
  <c r="O73" i="12"/>
  <c r="O70" i="12"/>
  <c r="O67" i="12"/>
  <c r="N158" i="12"/>
  <c r="O141" i="12"/>
  <c r="O150" i="12"/>
  <c r="O134" i="12"/>
  <c r="O119" i="12"/>
  <c r="O124" i="12"/>
  <c r="O129" i="12"/>
  <c r="O152" i="12"/>
  <c r="O127" i="12"/>
  <c r="O137" i="12"/>
  <c r="O138" i="12"/>
  <c r="O143" i="12"/>
  <c r="O145" i="12"/>
  <c r="O132" i="12"/>
  <c r="O151" i="12"/>
  <c r="O131" i="12"/>
  <c r="O121" i="12"/>
  <c r="O128" i="12"/>
  <c r="O146" i="12"/>
  <c r="O133" i="12"/>
  <c r="O149" i="12"/>
  <c r="O135" i="12"/>
  <c r="O142" i="12"/>
  <c r="O122" i="12"/>
  <c r="O147" i="12"/>
  <c r="O126" i="12"/>
  <c r="O153" i="12"/>
  <c r="O125" i="12"/>
  <c r="O118" i="12"/>
  <c r="O130" i="12"/>
  <c r="O139" i="12"/>
  <c r="O140" i="12"/>
  <c r="O144" i="12"/>
  <c r="O123" i="12"/>
  <c r="O136" i="12"/>
  <c r="O148" i="12"/>
  <c r="O120" i="12"/>
  <c r="Q148" i="12"/>
  <c r="N39" i="12"/>
  <c r="O34" i="12"/>
  <c r="O26" i="12"/>
  <c r="O18" i="12"/>
  <c r="O10" i="12"/>
  <c r="O11" i="12"/>
  <c r="O17" i="12"/>
  <c r="O12" i="12"/>
  <c r="O19" i="12"/>
  <c r="O35" i="12"/>
  <c r="O25" i="12"/>
  <c r="O20" i="12"/>
  <c r="O22" i="12"/>
  <c r="O14" i="12"/>
  <c r="O30" i="12"/>
  <c r="O33" i="12"/>
  <c r="O21" i="12"/>
  <c r="O28" i="12"/>
  <c r="O36" i="12"/>
  <c r="O37" i="12"/>
  <c r="O13" i="12"/>
  <c r="O16" i="12"/>
  <c r="O31" i="12"/>
  <c r="O15" i="12"/>
  <c r="O29" i="12"/>
  <c r="O27" i="12"/>
  <c r="O23" i="12"/>
  <c r="O32" i="12"/>
  <c r="O9" i="12"/>
  <c r="P7" i="12"/>
  <c r="P38" i="12"/>
  <c r="Q144" i="12"/>
  <c r="G137" i="12"/>
  <c r="Q137" i="12" s="1"/>
  <c r="G133" i="12"/>
  <c r="Q133" i="12" s="1"/>
  <c r="G141" i="12"/>
  <c r="Q141" i="12" s="1"/>
  <c r="G121" i="12"/>
  <c r="Q121" i="12" s="1"/>
  <c r="G145" i="12"/>
  <c r="Q145" i="12" s="1"/>
  <c r="G125" i="12"/>
  <c r="Q125" i="12" s="1"/>
  <c r="G117" i="12"/>
  <c r="Q117" i="12" s="1"/>
  <c r="G149" i="12"/>
  <c r="Q149" i="12" s="1"/>
  <c r="G129" i="12"/>
  <c r="Q129" i="12" s="1"/>
  <c r="F158" i="12"/>
  <c r="G153" i="12"/>
  <c r="Q153" i="12" s="1"/>
  <c r="G138" i="12"/>
  <c r="Q138" i="12" s="1"/>
  <c r="G123" i="12"/>
  <c r="Q123" i="12" s="1"/>
  <c r="G118" i="12"/>
  <c r="Q118" i="12" s="1"/>
  <c r="G131" i="12"/>
  <c r="Q131" i="12" s="1"/>
  <c r="G142" i="12"/>
  <c r="Q142" i="12" s="1"/>
  <c r="G147" i="12"/>
  <c r="Q147" i="12" s="1"/>
  <c r="G119" i="12"/>
  <c r="Q119" i="12" s="1"/>
  <c r="G135" i="12"/>
  <c r="Q135" i="12" s="1"/>
  <c r="G150" i="12"/>
  <c r="Q150" i="12" s="1"/>
  <c r="G139" i="12"/>
  <c r="Q139" i="12" s="1"/>
  <c r="G146" i="12"/>
  <c r="Q146" i="12" s="1"/>
  <c r="G126" i="12"/>
  <c r="Q126" i="12" s="1"/>
  <c r="G151" i="12"/>
  <c r="Q151" i="12" s="1"/>
  <c r="G130" i="12"/>
  <c r="Q130" i="12" s="1"/>
  <c r="G122" i="12"/>
  <c r="Q122" i="12" s="1"/>
  <c r="G134" i="12"/>
  <c r="Q134" i="12" s="1"/>
  <c r="G143" i="12"/>
  <c r="Q143" i="12" s="1"/>
  <c r="G127" i="12"/>
  <c r="Q127" i="12" s="1"/>
  <c r="Q124" i="12"/>
  <c r="O45" i="12"/>
  <c r="G140" i="12"/>
  <c r="Q140" i="12" s="1"/>
  <c r="N80" i="11"/>
  <c r="Q121" i="11"/>
  <c r="O60" i="11"/>
  <c r="N79" i="11"/>
  <c r="O75" i="11"/>
  <c r="O67" i="11"/>
  <c r="O57" i="11"/>
  <c r="O66" i="11"/>
  <c r="O54" i="11"/>
  <c r="O56" i="11"/>
  <c r="O73" i="11"/>
  <c r="O64" i="11"/>
  <c r="O59" i="11"/>
  <c r="O51" i="11"/>
  <c r="O45" i="11"/>
  <c r="O70" i="11"/>
  <c r="O49" i="11"/>
  <c r="O62" i="11"/>
  <c r="O46" i="11"/>
  <c r="O50" i="11"/>
  <c r="O61" i="11"/>
  <c r="O63" i="11"/>
  <c r="O74" i="11"/>
  <c r="O69" i="11"/>
  <c r="O76" i="11"/>
  <c r="O13" i="11"/>
  <c r="F79" i="11"/>
  <c r="F84" i="11" s="1"/>
  <c r="G73" i="11"/>
  <c r="G60" i="11"/>
  <c r="G57" i="11"/>
  <c r="G72" i="11"/>
  <c r="G74" i="11"/>
  <c r="G67" i="11"/>
  <c r="G69" i="11"/>
  <c r="G62" i="11"/>
  <c r="G54" i="11"/>
  <c r="G51" i="11"/>
  <c r="G46" i="11"/>
  <c r="G55" i="11"/>
  <c r="G64" i="11"/>
  <c r="G63" i="11"/>
  <c r="G65" i="11"/>
  <c r="G61" i="11"/>
  <c r="G75" i="11"/>
  <c r="G56" i="11"/>
  <c r="G59" i="11"/>
  <c r="G44" i="11"/>
  <c r="G50" i="11"/>
  <c r="G66" i="11"/>
  <c r="G70" i="11"/>
  <c r="G77" i="11"/>
  <c r="G49" i="11"/>
  <c r="O72" i="11"/>
  <c r="G117" i="11"/>
  <c r="Q117" i="11" s="1"/>
  <c r="G151" i="11"/>
  <c r="Q151" i="11" s="1"/>
  <c r="G147" i="11"/>
  <c r="Q147" i="11" s="1"/>
  <c r="G143" i="11"/>
  <c r="Q143" i="11" s="1"/>
  <c r="G139" i="11"/>
  <c r="Q139" i="11" s="1"/>
  <c r="G135" i="11"/>
  <c r="Q135" i="11" s="1"/>
  <c r="G131" i="11"/>
  <c r="Q131" i="11" s="1"/>
  <c r="G127" i="11"/>
  <c r="Q127" i="11" s="1"/>
  <c r="G123" i="11"/>
  <c r="Q123" i="11" s="1"/>
  <c r="G119" i="11"/>
  <c r="Q119" i="11" s="1"/>
  <c r="F158" i="11"/>
  <c r="G132" i="11"/>
  <c r="Q132" i="11" s="1"/>
  <c r="O58" i="11"/>
  <c r="G124" i="11"/>
  <c r="Q124" i="11" s="1"/>
  <c r="N39" i="11"/>
  <c r="O34" i="11"/>
  <c r="O26" i="11"/>
  <c r="O31" i="11"/>
  <c r="O33" i="11"/>
  <c r="O25" i="11"/>
  <c r="O32" i="11"/>
  <c r="O16" i="11"/>
  <c r="O36" i="11"/>
  <c r="O15" i="11"/>
  <c r="O8" i="11"/>
  <c r="O23" i="11"/>
  <c r="O9" i="11"/>
  <c r="O19" i="11"/>
  <c r="O20" i="11"/>
  <c r="O22" i="11"/>
  <c r="O18" i="11"/>
  <c r="O28" i="11"/>
  <c r="O14" i="11"/>
  <c r="O17" i="11"/>
  <c r="O30" i="11"/>
  <c r="O65" i="11"/>
  <c r="O71" i="11"/>
  <c r="G120" i="11"/>
  <c r="Q120" i="11" s="1"/>
  <c r="P7" i="11"/>
  <c r="P38" i="11"/>
  <c r="G134" i="11"/>
  <c r="Q134" i="11" s="1"/>
  <c r="O11" i="11"/>
  <c r="G153" i="11"/>
  <c r="Q153" i="11" s="1"/>
  <c r="G150" i="11"/>
  <c r="Q150" i="11" s="1"/>
  <c r="G126" i="11"/>
  <c r="Q126" i="11" s="1"/>
  <c r="G142" i="11"/>
  <c r="Q142" i="11" s="1"/>
  <c r="O55" i="11"/>
  <c r="F112" i="10"/>
  <c r="G104" i="10"/>
  <c r="G100" i="10"/>
  <c r="G96" i="10"/>
  <c r="G92" i="10"/>
  <c r="G88" i="10"/>
  <c r="G86" i="10"/>
  <c r="G94" i="10"/>
  <c r="G47" i="10"/>
  <c r="G97" i="10"/>
  <c r="G98" i="10"/>
  <c r="G102" i="10"/>
  <c r="G48" i="10"/>
  <c r="G53" i="10"/>
  <c r="G90" i="10"/>
  <c r="G52" i="10"/>
  <c r="G89" i="10"/>
  <c r="G93" i="10"/>
  <c r="G105" i="10"/>
  <c r="G101" i="10"/>
  <c r="N112" i="10"/>
  <c r="O97" i="10"/>
  <c r="O93" i="10"/>
  <c r="O105" i="10"/>
  <c r="O86" i="10"/>
  <c r="O89" i="10"/>
  <c r="O92" i="10"/>
  <c r="O87" i="10"/>
  <c r="O95" i="10"/>
  <c r="O104" i="10"/>
  <c r="O88" i="10"/>
  <c r="O52" i="10"/>
  <c r="O103" i="10"/>
  <c r="O85" i="10"/>
  <c r="O101" i="10"/>
  <c r="O47" i="10"/>
  <c r="O96" i="10"/>
  <c r="O100" i="10"/>
  <c r="O91" i="10"/>
  <c r="O99" i="10"/>
  <c r="N158" i="10"/>
  <c r="O122" i="10"/>
  <c r="O118" i="10"/>
  <c r="O121" i="10"/>
  <c r="O145" i="10"/>
  <c r="O135" i="10"/>
  <c r="O137" i="10"/>
  <c r="O152" i="10"/>
  <c r="O139" i="10"/>
  <c r="O146" i="10"/>
  <c r="O129" i="10"/>
  <c r="O144" i="10"/>
  <c r="O125" i="10"/>
  <c r="O136" i="10"/>
  <c r="O127" i="10"/>
  <c r="O120" i="10"/>
  <c r="O124" i="10"/>
  <c r="O150" i="10"/>
  <c r="O119" i="10"/>
  <c r="O123" i="10"/>
  <c r="O153" i="10"/>
  <c r="O133" i="10"/>
  <c r="O130" i="10"/>
  <c r="O131" i="10"/>
  <c r="O147" i="10"/>
  <c r="O140" i="10"/>
  <c r="O138" i="10"/>
  <c r="O128" i="10"/>
  <c r="O141" i="10"/>
  <c r="O143" i="10"/>
  <c r="O148" i="10"/>
  <c r="O149" i="10"/>
  <c r="O142" i="10"/>
  <c r="O151" i="10"/>
  <c r="O134" i="10"/>
  <c r="O132" i="10"/>
  <c r="O126" i="10"/>
  <c r="F158" i="10"/>
  <c r="G136" i="10"/>
  <c r="Q136" i="10" s="1"/>
  <c r="G119" i="10"/>
  <c r="Q119" i="10" s="1"/>
  <c r="G143" i="10"/>
  <c r="Q143" i="10" s="1"/>
  <c r="G146" i="10"/>
  <c r="Q146" i="10" s="1"/>
  <c r="G150" i="10"/>
  <c r="Q150" i="10" s="1"/>
  <c r="G148" i="10"/>
  <c r="Q148" i="10" s="1"/>
  <c r="G140" i="10"/>
  <c r="Q140" i="10" s="1"/>
  <c r="G131" i="10"/>
  <c r="Q131" i="10" s="1"/>
  <c r="G123" i="10"/>
  <c r="Q123" i="10" s="1"/>
  <c r="G138" i="10"/>
  <c r="Q138" i="10" s="1"/>
  <c r="G118" i="10"/>
  <c r="Q118" i="10" s="1"/>
  <c r="G147" i="10"/>
  <c r="Q147" i="10" s="1"/>
  <c r="G127" i="10"/>
  <c r="Q127" i="10" s="1"/>
  <c r="G128" i="10"/>
  <c r="Q128" i="10" s="1"/>
  <c r="G126" i="10"/>
  <c r="Q126" i="10" s="1"/>
  <c r="G134" i="10"/>
  <c r="Q134" i="10" s="1"/>
  <c r="G135" i="10"/>
  <c r="Q135" i="10" s="1"/>
  <c r="G142" i="10"/>
  <c r="Q142" i="10" s="1"/>
  <c r="G144" i="10"/>
  <c r="Q144" i="10" s="1"/>
  <c r="G132" i="10"/>
  <c r="Q132" i="10" s="1"/>
  <c r="G151" i="10"/>
  <c r="Q151" i="10" s="1"/>
  <c r="G139" i="10"/>
  <c r="Q139" i="10" s="1"/>
  <c r="G130" i="10"/>
  <c r="Q130" i="10" s="1"/>
  <c r="G152" i="10"/>
  <c r="Q152" i="10" s="1"/>
  <c r="G124" i="10"/>
  <c r="Q124" i="10" s="1"/>
  <c r="G122" i="10"/>
  <c r="Q122" i="10" s="1"/>
  <c r="G120" i="10"/>
  <c r="Q120" i="10" s="1"/>
  <c r="G129" i="10"/>
  <c r="Q129" i="10" s="1"/>
  <c r="G117" i="10"/>
  <c r="Q117" i="10" s="1"/>
  <c r="O61" i="10"/>
  <c r="G149" i="10"/>
  <c r="Q149" i="10" s="1"/>
  <c r="G99" i="10"/>
  <c r="G103" i="10"/>
  <c r="N159" i="10"/>
  <c r="N39" i="10"/>
  <c r="O30" i="10"/>
  <c r="O22" i="10"/>
  <c r="O14" i="10"/>
  <c r="O36" i="10"/>
  <c r="O18" i="10"/>
  <c r="O15" i="10"/>
  <c r="O26" i="10"/>
  <c r="O12" i="10"/>
  <c r="O19" i="10"/>
  <c r="O25" i="10"/>
  <c r="O32" i="10"/>
  <c r="O37" i="10"/>
  <c r="O28" i="10"/>
  <c r="O13" i="10"/>
  <c r="O10" i="10"/>
  <c r="O27" i="10"/>
  <c r="O11" i="10"/>
  <c r="O21" i="10"/>
  <c r="O34" i="10"/>
  <c r="O16" i="10"/>
  <c r="O33" i="10"/>
  <c r="O35" i="10"/>
  <c r="O23" i="10"/>
  <c r="O9" i="10"/>
  <c r="O31" i="10"/>
  <c r="O29" i="10"/>
  <c r="O17" i="10"/>
  <c r="O20" i="10"/>
  <c r="N79" i="10"/>
  <c r="O68" i="10"/>
  <c r="O58" i="10"/>
  <c r="O76" i="10"/>
  <c r="O71" i="10"/>
  <c r="O54" i="10"/>
  <c r="O73" i="10"/>
  <c r="O69" i="10"/>
  <c r="O70" i="10"/>
  <c r="O63" i="10"/>
  <c r="O72" i="10"/>
  <c r="O55" i="10"/>
  <c r="O44" i="10"/>
  <c r="O50" i="10"/>
  <c r="O64" i="10"/>
  <c r="O62" i="10"/>
  <c r="O75" i="10"/>
  <c r="O65" i="10"/>
  <c r="O51" i="10"/>
  <c r="O46" i="10"/>
  <c r="O74" i="10"/>
  <c r="O59" i="10"/>
  <c r="O57" i="10"/>
  <c r="O67" i="10"/>
  <c r="O56" i="10"/>
  <c r="O77" i="10"/>
  <c r="O60" i="10"/>
  <c r="O66" i="10"/>
  <c r="O53" i="10"/>
  <c r="F159" i="10"/>
  <c r="F5" i="10"/>
  <c r="F39" i="10"/>
  <c r="G31" i="10"/>
  <c r="G23" i="10"/>
  <c r="G15" i="10"/>
  <c r="G18" i="10"/>
  <c r="G19" i="10"/>
  <c r="G9" i="10"/>
  <c r="G25" i="10"/>
  <c r="G10" i="10"/>
  <c r="G37" i="10"/>
  <c r="G36" i="10"/>
  <c r="G28" i="10"/>
  <c r="G21" i="10"/>
  <c r="G11" i="10"/>
  <c r="G14" i="10"/>
  <c r="G29" i="10"/>
  <c r="G17" i="10"/>
  <c r="G34" i="10"/>
  <c r="G27" i="10"/>
  <c r="G22" i="10"/>
  <c r="G26" i="10"/>
  <c r="G20" i="10"/>
  <c r="G33" i="10"/>
  <c r="G12" i="10"/>
  <c r="G13" i="10"/>
  <c r="G35" i="10"/>
  <c r="G30" i="10"/>
  <c r="G16" i="10"/>
  <c r="G133" i="10"/>
  <c r="Q133" i="10" s="1"/>
  <c r="P7" i="10"/>
  <c r="G125" i="10"/>
  <c r="Q125" i="10" s="1"/>
  <c r="G87" i="10"/>
  <c r="G54" i="10"/>
  <c r="G153" i="10"/>
  <c r="Q153" i="10" s="1"/>
  <c r="O45" i="10"/>
  <c r="O94" i="10"/>
  <c r="G141" i="10"/>
  <c r="Q141" i="10" s="1"/>
  <c r="G76" i="10"/>
  <c r="G71" i="10"/>
  <c r="F79" i="10"/>
  <c r="G55" i="10"/>
  <c r="G62" i="10"/>
  <c r="G60" i="10"/>
  <c r="G67" i="10"/>
  <c r="G59" i="10"/>
  <c r="G65" i="10"/>
  <c r="G50" i="10"/>
  <c r="G49" i="10"/>
  <c r="G61" i="10"/>
  <c r="G58" i="10"/>
  <c r="G77" i="10"/>
  <c r="G63" i="10"/>
  <c r="G57" i="10"/>
  <c r="G72" i="10"/>
  <c r="G66" i="10"/>
  <c r="G51" i="10"/>
  <c r="G70" i="10"/>
  <c r="G56" i="10"/>
  <c r="G69" i="10"/>
  <c r="G73" i="10"/>
  <c r="G68" i="10"/>
  <c r="G74" i="10"/>
  <c r="G45" i="10"/>
  <c r="G46" i="10"/>
  <c r="G75" i="10"/>
  <c r="G18" i="9"/>
  <c r="G8" i="9"/>
  <c r="Q140" i="9"/>
  <c r="Q137" i="9"/>
  <c r="Q141" i="9"/>
  <c r="G26" i="9"/>
  <c r="P7" i="9"/>
  <c r="O48" i="9"/>
  <c r="G34" i="9"/>
  <c r="G125" i="9"/>
  <c r="F79" i="9"/>
  <c r="G74" i="9"/>
  <c r="G60" i="9"/>
  <c r="G70" i="9"/>
  <c r="G67" i="9"/>
  <c r="G66" i="9"/>
  <c r="G57" i="9"/>
  <c r="G46" i="9"/>
  <c r="G75" i="9"/>
  <c r="G64" i="9"/>
  <c r="G54" i="9"/>
  <c r="G71" i="9"/>
  <c r="G49" i="9"/>
  <c r="G68" i="9"/>
  <c r="G56" i="9"/>
  <c r="G58" i="9"/>
  <c r="G61" i="9"/>
  <c r="G63" i="9"/>
  <c r="G76" i="9"/>
  <c r="G62" i="9"/>
  <c r="G51" i="9"/>
  <c r="G73" i="9"/>
  <c r="G72" i="9"/>
  <c r="G77" i="9"/>
  <c r="G45" i="9"/>
  <c r="G50" i="9"/>
  <c r="G133" i="9"/>
  <c r="Q133" i="9" s="1"/>
  <c r="G55" i="9"/>
  <c r="Q130" i="9"/>
  <c r="G149" i="9"/>
  <c r="Q149" i="9" s="1"/>
  <c r="N112" i="9"/>
  <c r="O95" i="9"/>
  <c r="O100" i="9"/>
  <c r="O103" i="9"/>
  <c r="O104" i="9"/>
  <c r="O85" i="9"/>
  <c r="O87" i="9"/>
  <c r="O96" i="9"/>
  <c r="O88" i="9"/>
  <c r="O99" i="9"/>
  <c r="O91" i="9"/>
  <c r="O86" i="9"/>
  <c r="O92" i="9"/>
  <c r="G10" i="9"/>
  <c r="N79" i="9"/>
  <c r="O67" i="9"/>
  <c r="O57" i="9"/>
  <c r="O77" i="9"/>
  <c r="O65" i="9"/>
  <c r="O44" i="9"/>
  <c r="O46" i="9"/>
  <c r="O64" i="9"/>
  <c r="O68" i="9"/>
  <c r="O54" i="9"/>
  <c r="O76" i="9"/>
  <c r="O61" i="9"/>
  <c r="O58" i="9"/>
  <c r="O69" i="9"/>
  <c r="O59" i="9"/>
  <c r="O73" i="9"/>
  <c r="O51" i="9"/>
  <c r="O75" i="9"/>
  <c r="O45" i="9"/>
  <c r="O63" i="9"/>
  <c r="O71" i="9"/>
  <c r="O49" i="9"/>
  <c r="O72" i="9"/>
  <c r="O74" i="9"/>
  <c r="O60" i="9"/>
  <c r="O70" i="9"/>
  <c r="O55" i="9"/>
  <c r="O62" i="9"/>
  <c r="O50" i="9"/>
  <c r="O101" i="9"/>
  <c r="O98" i="9"/>
  <c r="O53" i="9"/>
  <c r="G32" i="9"/>
  <c r="O94" i="9"/>
  <c r="G117" i="9"/>
  <c r="Q117" i="9" s="1"/>
  <c r="G65" i="9"/>
  <c r="G130" i="9"/>
  <c r="F158" i="9"/>
  <c r="G143" i="9"/>
  <c r="Q143" i="9" s="1"/>
  <c r="G119" i="9"/>
  <c r="Q119" i="9" s="1"/>
  <c r="G138" i="9"/>
  <c r="G139" i="9"/>
  <c r="Q139" i="9" s="1"/>
  <c r="G146" i="9"/>
  <c r="G122" i="9"/>
  <c r="Q122" i="9" s="1"/>
  <c r="G118" i="9"/>
  <c r="Q118" i="9" s="1"/>
  <c r="G142" i="9"/>
  <c r="Q142" i="9" s="1"/>
  <c r="G131" i="9"/>
  <c r="Q131" i="9" s="1"/>
  <c r="G127" i="9"/>
  <c r="G147" i="9"/>
  <c r="Q147" i="9" s="1"/>
  <c r="G150" i="9"/>
  <c r="Q150" i="9" s="1"/>
  <c r="G123" i="9"/>
  <c r="Q123" i="9" s="1"/>
  <c r="G126" i="9"/>
  <c r="Q126" i="9" s="1"/>
  <c r="G151" i="9"/>
  <c r="Q151" i="9" s="1"/>
  <c r="G135" i="9"/>
  <c r="G134" i="9"/>
  <c r="Q134" i="9" s="1"/>
  <c r="O102" i="9"/>
  <c r="F5" i="9"/>
  <c r="F39" i="9"/>
  <c r="F159" i="9"/>
  <c r="G25" i="9"/>
  <c r="G13" i="9"/>
  <c r="G35" i="9"/>
  <c r="G28" i="9"/>
  <c r="G31" i="9"/>
  <c r="G11" i="9"/>
  <c r="G14" i="9"/>
  <c r="G36" i="9"/>
  <c r="G22" i="9"/>
  <c r="G37" i="9"/>
  <c r="G20" i="9"/>
  <c r="G23" i="9"/>
  <c r="G12" i="9"/>
  <c r="G33" i="9"/>
  <c r="G9" i="9"/>
  <c r="G15" i="9"/>
  <c r="G21" i="9"/>
  <c r="G19" i="9"/>
  <c r="G29" i="9"/>
  <c r="G30" i="9"/>
  <c r="G17" i="9"/>
  <c r="G27" i="9"/>
  <c r="Q127" i="9"/>
  <c r="G148" i="9"/>
  <c r="Q148" i="9" s="1"/>
  <c r="Q135" i="9"/>
  <c r="G69" i="9"/>
  <c r="G145" i="9"/>
  <c r="Q145" i="9" s="1"/>
  <c r="G132" i="9"/>
  <c r="Q132" i="9" s="1"/>
  <c r="O93" i="9"/>
  <c r="G128" i="9"/>
  <c r="Q128" i="9" s="1"/>
  <c r="O89" i="9"/>
  <c r="G16" i="9"/>
  <c r="Q129" i="9"/>
  <c r="G144" i="9"/>
  <c r="Q144" i="9" s="1"/>
  <c r="Q125" i="9"/>
  <c r="O97" i="9"/>
  <c r="G121" i="9"/>
  <c r="Q121" i="9" s="1"/>
  <c r="O52" i="9"/>
  <c r="O105" i="9"/>
  <c r="G120" i="9"/>
  <c r="N39" i="9"/>
  <c r="Q124" i="9"/>
  <c r="Q120" i="9"/>
  <c r="N159" i="9"/>
  <c r="Q138" i="9"/>
  <c r="Q146" i="9"/>
  <c r="Q152" i="9"/>
  <c r="O56" i="9"/>
  <c r="Q134" i="8"/>
  <c r="Q128" i="8"/>
  <c r="O10" i="8"/>
  <c r="O18" i="8"/>
  <c r="Q117" i="8"/>
  <c r="Q144" i="8"/>
  <c r="Q120" i="8"/>
  <c r="Q152" i="8"/>
  <c r="N158" i="8"/>
  <c r="O148" i="8"/>
  <c r="O134" i="8"/>
  <c r="O124" i="8"/>
  <c r="O126" i="8"/>
  <c r="O153" i="8"/>
  <c r="O143" i="8"/>
  <c r="O122" i="8"/>
  <c r="O138" i="8"/>
  <c r="O120" i="8"/>
  <c r="O135" i="8"/>
  <c r="O129" i="8"/>
  <c r="O149" i="8"/>
  <c r="O131" i="8"/>
  <c r="O146" i="8"/>
  <c r="O128" i="8"/>
  <c r="O144" i="8"/>
  <c r="O141" i="8"/>
  <c r="O130" i="8"/>
  <c r="O139" i="8"/>
  <c r="O151" i="8"/>
  <c r="O152" i="8"/>
  <c r="O142" i="8"/>
  <c r="O132" i="8"/>
  <c r="O121" i="8"/>
  <c r="O118" i="8"/>
  <c r="O145" i="8"/>
  <c r="O123" i="8"/>
  <c r="O140" i="8"/>
  <c r="O125" i="8"/>
  <c r="O147" i="8"/>
  <c r="O150" i="8"/>
  <c r="O137" i="8"/>
  <c r="O119" i="8"/>
  <c r="O127" i="8"/>
  <c r="O133" i="8"/>
  <c r="O136" i="8"/>
  <c r="N39" i="8"/>
  <c r="O30" i="8"/>
  <c r="O22" i="8"/>
  <c r="O14" i="8"/>
  <c r="O36" i="8"/>
  <c r="O28" i="8"/>
  <c r="O20" i="8"/>
  <c r="O12" i="8"/>
  <c r="O23" i="8"/>
  <c r="O15" i="8"/>
  <c r="O27" i="8"/>
  <c r="O26" i="8"/>
  <c r="O16" i="8"/>
  <c r="O25" i="8"/>
  <c r="O37" i="8"/>
  <c r="O29" i="8"/>
  <c r="O35" i="8"/>
  <c r="O13" i="8"/>
  <c r="O19" i="8"/>
  <c r="O32" i="8"/>
  <c r="O33" i="8"/>
  <c r="O31" i="8"/>
  <c r="O21" i="8"/>
  <c r="O11" i="8"/>
  <c r="O34" i="8"/>
  <c r="O17" i="8"/>
  <c r="O9" i="8"/>
  <c r="Q119" i="8"/>
  <c r="P80" i="8"/>
  <c r="Q128" i="7"/>
  <c r="P7" i="7"/>
  <c r="P38" i="7"/>
  <c r="Q135" i="7"/>
  <c r="G75" i="7"/>
  <c r="G77" i="7"/>
  <c r="G76" i="7"/>
  <c r="Q152" i="7"/>
  <c r="N39" i="7"/>
  <c r="O23" i="7"/>
  <c r="O17" i="7"/>
  <c r="O20" i="7"/>
  <c r="O25" i="7"/>
  <c r="O9" i="7"/>
  <c r="O28" i="7"/>
  <c r="O30" i="7"/>
  <c r="O16" i="7"/>
  <c r="O19" i="7"/>
  <c r="O14" i="7"/>
  <c r="O10" i="7"/>
  <c r="O18" i="7"/>
  <c r="O33" i="7"/>
  <c r="O22" i="7"/>
  <c r="O26" i="7"/>
  <c r="O36" i="7"/>
  <c r="O32" i="7"/>
  <c r="O34" i="7"/>
  <c r="O31" i="7"/>
  <c r="O29" i="7"/>
  <c r="O15" i="7"/>
  <c r="O37" i="7"/>
  <c r="O35" i="7"/>
  <c r="O27" i="7"/>
  <c r="O11" i="7"/>
  <c r="O21" i="7"/>
  <c r="O13" i="7"/>
  <c r="O12" i="7"/>
  <c r="Q133" i="7"/>
  <c r="O67" i="7"/>
  <c r="N79" i="7"/>
  <c r="O61" i="7"/>
  <c r="O56" i="7"/>
  <c r="O74" i="7"/>
  <c r="O69" i="7"/>
  <c r="O54" i="7"/>
  <c r="O58" i="7"/>
  <c r="O63" i="7"/>
  <c r="O75" i="7"/>
  <c r="O50" i="7"/>
  <c r="O45" i="7"/>
  <c r="O57" i="7"/>
  <c r="O55" i="7"/>
  <c r="O73" i="7"/>
  <c r="O71" i="7"/>
  <c r="O72" i="7"/>
  <c r="O76" i="7"/>
  <c r="O77" i="7"/>
  <c r="O64" i="7"/>
  <c r="O46" i="7"/>
  <c r="O70" i="7"/>
  <c r="O51" i="7"/>
  <c r="O65" i="7"/>
  <c r="O60" i="7"/>
  <c r="O68" i="7"/>
  <c r="O62" i="7"/>
  <c r="O66" i="7"/>
  <c r="O59" i="7"/>
  <c r="O49" i="7"/>
  <c r="Q137" i="7"/>
  <c r="Q141" i="7"/>
  <c r="Q145" i="7"/>
  <c r="N39" i="6"/>
  <c r="G70" i="6"/>
  <c r="G55" i="6"/>
  <c r="F79" i="6"/>
  <c r="G45" i="6"/>
  <c r="G67" i="6"/>
  <c r="G50" i="6"/>
  <c r="G62" i="6"/>
  <c r="G74" i="6"/>
  <c r="G59" i="6"/>
  <c r="G75" i="6"/>
  <c r="G60" i="6"/>
  <c r="G64" i="6"/>
  <c r="G46" i="6"/>
  <c r="G68" i="6"/>
  <c r="G65" i="6"/>
  <c r="G61" i="6"/>
  <c r="G49" i="6"/>
  <c r="G58" i="6"/>
  <c r="G71" i="6"/>
  <c r="G56" i="6"/>
  <c r="G76" i="6"/>
  <c r="G54" i="6"/>
  <c r="G51" i="6"/>
  <c r="G77" i="6"/>
  <c r="G57" i="6"/>
  <c r="G63" i="6"/>
  <c r="G66" i="6"/>
  <c r="G73" i="6"/>
  <c r="G72" i="6"/>
  <c r="G69" i="6"/>
  <c r="Q136" i="5"/>
  <c r="N39" i="5"/>
  <c r="O37" i="5"/>
  <c r="O29" i="5"/>
  <c r="O21" i="5"/>
  <c r="O10" i="5"/>
  <c r="O14" i="5"/>
  <c r="O25" i="5"/>
  <c r="O16" i="5"/>
  <c r="O20" i="5"/>
  <c r="O33" i="5"/>
  <c r="O13" i="5"/>
  <c r="O32" i="5"/>
  <c r="O28" i="5"/>
  <c r="O15" i="5"/>
  <c r="O34" i="5"/>
  <c r="O26" i="5"/>
  <c r="O22" i="5"/>
  <c r="O23" i="5"/>
  <c r="O12" i="5"/>
  <c r="O9" i="5"/>
  <c r="O36" i="5"/>
  <c r="O30" i="5"/>
  <c r="O31" i="5"/>
  <c r="O18" i="5"/>
  <c r="O17" i="5"/>
  <c r="N158" i="5"/>
  <c r="O122" i="5"/>
  <c r="O123" i="5"/>
  <c r="O141" i="5"/>
  <c r="O151" i="5"/>
  <c r="O126" i="5"/>
  <c r="O136" i="5"/>
  <c r="O118" i="5"/>
  <c r="O119" i="5"/>
  <c r="O138" i="5"/>
  <c r="O137" i="5"/>
  <c r="O124" i="5"/>
  <c r="O147" i="5"/>
  <c r="O145" i="5"/>
  <c r="O134" i="5"/>
  <c r="O125" i="5"/>
  <c r="O135" i="5"/>
  <c r="O150" i="5"/>
  <c r="O129" i="5"/>
  <c r="O130" i="5"/>
  <c r="O127" i="5"/>
  <c r="O148" i="5"/>
  <c r="O133" i="5"/>
  <c r="O132" i="5"/>
  <c r="O149" i="5"/>
  <c r="O142" i="5"/>
  <c r="O120" i="5"/>
  <c r="O139" i="5"/>
  <c r="O152" i="5"/>
  <c r="O153" i="5"/>
  <c r="O128" i="5"/>
  <c r="O143" i="5"/>
  <c r="O121" i="5"/>
  <c r="O144" i="5"/>
  <c r="O131" i="5"/>
  <c r="O140" i="5"/>
  <c r="O146" i="5"/>
  <c r="Q124" i="5"/>
  <c r="O71" i="5"/>
  <c r="N79" i="5"/>
  <c r="O75" i="5"/>
  <c r="O67" i="5"/>
  <c r="O63" i="5"/>
  <c r="O66" i="5"/>
  <c r="O62" i="5"/>
  <c r="O51" i="5"/>
  <c r="O61" i="5"/>
  <c r="O50" i="5"/>
  <c r="O65" i="5"/>
  <c r="O72" i="5"/>
  <c r="O55" i="5"/>
  <c r="O69" i="5"/>
  <c r="O76" i="5"/>
  <c r="O70" i="5"/>
  <c r="O73" i="5"/>
  <c r="O74" i="5"/>
  <c r="O49" i="5"/>
  <c r="O46" i="5"/>
  <c r="O45" i="5"/>
  <c r="O68" i="5"/>
  <c r="O57" i="5"/>
  <c r="O54" i="5"/>
  <c r="O56" i="5"/>
  <c r="O60" i="5"/>
  <c r="O58" i="5"/>
  <c r="O77" i="5"/>
  <c r="O59" i="5"/>
  <c r="O64" i="5"/>
  <c r="O44" i="5"/>
  <c r="O27" i="5"/>
  <c r="O35" i="5"/>
  <c r="G34" i="5"/>
  <c r="F159" i="5"/>
  <c r="F39" i="5"/>
  <c r="F5" i="5"/>
  <c r="G25" i="5"/>
  <c r="G9" i="5"/>
  <c r="G33" i="5"/>
  <c r="G17" i="5"/>
  <c r="G18" i="5"/>
  <c r="G16" i="5"/>
  <c r="G13" i="5"/>
  <c r="G19" i="5"/>
  <c r="G10" i="5"/>
  <c r="G23" i="5"/>
  <c r="G14" i="5"/>
  <c r="G29" i="5"/>
  <c r="G26" i="5"/>
  <c r="G35" i="5"/>
  <c r="G12" i="5"/>
  <c r="G22" i="5"/>
  <c r="G27" i="5"/>
  <c r="G28" i="5"/>
  <c r="G15" i="5"/>
  <c r="G36" i="5"/>
  <c r="G30" i="5"/>
  <c r="G21" i="5"/>
  <c r="G31" i="5"/>
  <c r="G37" i="5"/>
  <c r="G32" i="5"/>
  <c r="G20" i="5"/>
  <c r="G11" i="5"/>
  <c r="F112" i="5"/>
  <c r="G95" i="5"/>
  <c r="G99" i="5"/>
  <c r="G100" i="5"/>
  <c r="G102" i="5"/>
  <c r="G130" i="5"/>
  <c r="Q130" i="5" s="1"/>
  <c r="G126" i="5"/>
  <c r="Q126" i="5" s="1"/>
  <c r="G122" i="5"/>
  <c r="Q122" i="5" s="1"/>
  <c r="G118" i="5"/>
  <c r="Q118" i="5" s="1"/>
  <c r="G143" i="5"/>
  <c r="Q143" i="5" s="1"/>
  <c r="G139" i="5"/>
  <c r="Q139" i="5" s="1"/>
  <c r="G135" i="5"/>
  <c r="Q135" i="5" s="1"/>
  <c r="G131" i="5"/>
  <c r="Q131" i="5" s="1"/>
  <c r="G127" i="5"/>
  <c r="Q127" i="5" s="1"/>
  <c r="G123" i="5"/>
  <c r="Q123" i="5" s="1"/>
  <c r="G119" i="5"/>
  <c r="Q119" i="5" s="1"/>
  <c r="F158" i="5"/>
  <c r="G149" i="5"/>
  <c r="Q149" i="5" s="1"/>
  <c r="G145" i="5"/>
  <c r="Q145" i="5" s="1"/>
  <c r="G141" i="5"/>
  <c r="Q141" i="5" s="1"/>
  <c r="G137" i="5"/>
  <c r="Q137" i="5" s="1"/>
  <c r="G133" i="5"/>
  <c r="Q133" i="5" s="1"/>
  <c r="G129" i="5"/>
  <c r="Q129" i="5" s="1"/>
  <c r="G125" i="5"/>
  <c r="Q125" i="5" s="1"/>
  <c r="G121" i="5"/>
  <c r="Q121" i="5" s="1"/>
  <c r="G117" i="5"/>
  <c r="Q117" i="5" s="1"/>
  <c r="G134" i="5"/>
  <c r="Q134" i="5" s="1"/>
  <c r="G146" i="5"/>
  <c r="Q146" i="5" s="1"/>
  <c r="G151" i="5"/>
  <c r="Q151" i="5" s="1"/>
  <c r="G142" i="5"/>
  <c r="Q142" i="5" s="1"/>
  <c r="G153" i="5"/>
  <c r="Q153" i="5" s="1"/>
  <c r="G138" i="5"/>
  <c r="Q138" i="5" s="1"/>
  <c r="G150" i="5"/>
  <c r="Q150" i="5" s="1"/>
  <c r="G147" i="5"/>
  <c r="Q147" i="5" s="1"/>
  <c r="G93" i="5"/>
  <c r="P7" i="5"/>
  <c r="P38" i="5"/>
  <c r="O19" i="5"/>
  <c r="O11" i="5"/>
  <c r="G120" i="5"/>
  <c r="Q120" i="5" s="1"/>
  <c r="P80" i="4"/>
  <c r="Q152" i="4"/>
  <c r="Q136" i="4"/>
  <c r="N39" i="4"/>
  <c r="O9" i="4"/>
  <c r="O18" i="4"/>
  <c r="O13" i="4"/>
  <c r="O36" i="4"/>
  <c r="O12" i="4"/>
  <c r="O34" i="4"/>
  <c r="O29" i="4"/>
  <c r="O20" i="4"/>
  <c r="O26" i="4"/>
  <c r="O8" i="4"/>
  <c r="O15" i="4"/>
  <c r="O10" i="4"/>
  <c r="O23" i="4"/>
  <c r="O25" i="4"/>
  <c r="O31" i="4"/>
  <c r="O16" i="4"/>
  <c r="O35" i="4"/>
  <c r="O21" i="4"/>
  <c r="O27" i="4"/>
  <c r="O14" i="4"/>
  <c r="O22" i="4"/>
  <c r="O33" i="4"/>
  <c r="O11" i="4"/>
  <c r="O19" i="4"/>
  <c r="O30" i="4"/>
  <c r="O17" i="4"/>
  <c r="O28" i="4"/>
  <c r="O32" i="4"/>
  <c r="O37" i="4"/>
  <c r="G92" i="4"/>
  <c r="Q92" i="4" s="1"/>
  <c r="G105" i="4"/>
  <c r="Q105" i="4" s="1"/>
  <c r="G86" i="4"/>
  <c r="Q86" i="4" s="1"/>
  <c r="G89" i="4"/>
  <c r="Q89" i="4" s="1"/>
  <c r="G95" i="4"/>
  <c r="Q95" i="4" s="1"/>
  <c r="G137" i="4"/>
  <c r="Q137" i="4" s="1"/>
  <c r="G141" i="4"/>
  <c r="Q141" i="4" s="1"/>
  <c r="G133" i="4"/>
  <c r="Q133" i="4" s="1"/>
  <c r="G117" i="4"/>
  <c r="Q117" i="4" s="1"/>
  <c r="G145" i="4"/>
  <c r="Q145" i="4" s="1"/>
  <c r="G129" i="4"/>
  <c r="Q129" i="4" s="1"/>
  <c r="G125" i="4"/>
  <c r="Q125" i="4" s="1"/>
  <c r="G149" i="4"/>
  <c r="Q149" i="4" s="1"/>
  <c r="F158" i="4"/>
  <c r="G153" i="4"/>
  <c r="Q153" i="4" s="1"/>
  <c r="G121" i="4"/>
  <c r="Q121" i="4" s="1"/>
  <c r="G119" i="4"/>
  <c r="Q119" i="4" s="1"/>
  <c r="G151" i="4"/>
  <c r="Q151" i="4" s="1"/>
  <c r="G118" i="4"/>
  <c r="Q118" i="4" s="1"/>
  <c r="G126" i="4"/>
  <c r="Q126" i="4" s="1"/>
  <c r="G130" i="4"/>
  <c r="Q130" i="4" s="1"/>
  <c r="G142" i="4"/>
  <c r="Q142" i="4" s="1"/>
  <c r="G135" i="4"/>
  <c r="Q135" i="4" s="1"/>
  <c r="G139" i="4"/>
  <c r="Q139" i="4" s="1"/>
  <c r="G146" i="4"/>
  <c r="Q146" i="4" s="1"/>
  <c r="G122" i="4"/>
  <c r="Q122" i="4" s="1"/>
  <c r="G150" i="4"/>
  <c r="Q150" i="4" s="1"/>
  <c r="G123" i="4"/>
  <c r="Q123" i="4" s="1"/>
  <c r="G138" i="4"/>
  <c r="Q138" i="4" s="1"/>
  <c r="G134" i="4"/>
  <c r="Q134" i="4" s="1"/>
  <c r="G143" i="4"/>
  <c r="Q143" i="4" s="1"/>
  <c r="G131" i="4"/>
  <c r="Q131" i="4" s="1"/>
  <c r="G127" i="4"/>
  <c r="Q127" i="4" s="1"/>
  <c r="G147" i="4"/>
  <c r="Q147" i="4" s="1"/>
  <c r="G124" i="4"/>
  <c r="Q124" i="4" s="1"/>
  <c r="G148" i="4"/>
  <c r="Q148" i="4" s="1"/>
  <c r="G153" i="3"/>
  <c r="Q153" i="3" s="1"/>
  <c r="G132" i="3"/>
  <c r="Q132" i="3" s="1"/>
  <c r="N79" i="3"/>
  <c r="G121" i="3"/>
  <c r="Q121" i="3" s="1"/>
  <c r="F158" i="3"/>
  <c r="G119" i="3"/>
  <c r="Q119" i="3" s="1"/>
  <c r="G146" i="3"/>
  <c r="Q146" i="3" s="1"/>
  <c r="G123" i="3"/>
  <c r="Q123" i="3" s="1"/>
  <c r="G139" i="3"/>
  <c r="Q139" i="3" s="1"/>
  <c r="G122" i="3"/>
  <c r="Q122" i="3" s="1"/>
  <c r="G142" i="3"/>
  <c r="Q142" i="3" s="1"/>
  <c r="G143" i="3"/>
  <c r="Q143" i="3" s="1"/>
  <c r="G134" i="3"/>
  <c r="Q134" i="3" s="1"/>
  <c r="G118" i="3"/>
  <c r="Q118" i="3" s="1"/>
  <c r="G147" i="3"/>
  <c r="Q147" i="3" s="1"/>
  <c r="G130" i="3"/>
  <c r="Q130" i="3" s="1"/>
  <c r="G126" i="3"/>
  <c r="Q126" i="3" s="1"/>
  <c r="G150" i="3"/>
  <c r="Q150" i="3" s="1"/>
  <c r="G135" i="3"/>
  <c r="Q135" i="3" s="1"/>
  <c r="G127" i="3"/>
  <c r="Q127" i="3" s="1"/>
  <c r="G138" i="3"/>
  <c r="Q138" i="3" s="1"/>
  <c r="G151" i="3"/>
  <c r="Q151" i="3" s="1"/>
  <c r="G131" i="3"/>
  <c r="Q131" i="3" s="1"/>
  <c r="Q117" i="3"/>
  <c r="N39" i="3"/>
  <c r="G144" i="3"/>
  <c r="Q144" i="3" s="1"/>
  <c r="Q145" i="3"/>
  <c r="G125" i="3"/>
  <c r="Q125" i="3" s="1"/>
  <c r="G128" i="3"/>
  <c r="Q128" i="3" s="1"/>
  <c r="G148" i="3"/>
  <c r="Q148" i="3" s="1"/>
  <c r="G149" i="3"/>
  <c r="Q149" i="3" s="1"/>
  <c r="G94" i="11" l="1"/>
  <c r="G101" i="11"/>
  <c r="G87" i="11"/>
  <c r="G88" i="11"/>
  <c r="G91" i="11"/>
  <c r="G90" i="11"/>
  <c r="G95" i="11"/>
  <c r="G92" i="11"/>
  <c r="G48" i="11"/>
  <c r="G86" i="11"/>
  <c r="G96" i="11"/>
  <c r="G102" i="11"/>
  <c r="G93" i="11"/>
  <c r="G89" i="11"/>
  <c r="G53" i="11"/>
  <c r="G104" i="11"/>
  <c r="G47" i="11"/>
  <c r="G103" i="11"/>
  <c r="G97" i="11"/>
  <c r="G98" i="11"/>
  <c r="F112" i="11"/>
  <c r="G105" i="11"/>
  <c r="G99" i="11"/>
  <c r="G52" i="11"/>
  <c r="G85" i="11"/>
  <c r="G100" i="11"/>
  <c r="K103" i="10"/>
  <c r="K47" i="10"/>
  <c r="K98" i="10"/>
  <c r="K48" i="10"/>
  <c r="K102" i="10"/>
  <c r="K53" i="10"/>
  <c r="K87" i="10"/>
  <c r="K95" i="10"/>
  <c r="K88" i="10"/>
  <c r="K86" i="10"/>
  <c r="K97" i="10"/>
  <c r="K104" i="10"/>
  <c r="K94" i="10"/>
  <c r="K100" i="10"/>
  <c r="K89" i="10"/>
  <c r="K92" i="10"/>
  <c r="K90" i="10"/>
  <c r="J112" i="10"/>
  <c r="K96" i="10"/>
  <c r="K101" i="10"/>
  <c r="K52" i="10"/>
  <c r="K85" i="10"/>
  <c r="K91" i="10"/>
  <c r="K99" i="10"/>
  <c r="K105" i="10"/>
  <c r="K93" i="10"/>
  <c r="J6" i="10"/>
  <c r="J5" i="10" s="1"/>
  <c r="G103" i="5"/>
  <c r="G86" i="5"/>
  <c r="G85" i="5"/>
  <c r="G101" i="5"/>
  <c r="G98" i="5"/>
  <c r="G97" i="5"/>
  <c r="G91" i="5"/>
  <c r="G104" i="5"/>
  <c r="G87" i="5"/>
  <c r="G53" i="5"/>
  <c r="G88" i="5"/>
  <c r="G48" i="5"/>
  <c r="G94" i="5"/>
  <c r="G96" i="5"/>
  <c r="G92" i="5"/>
  <c r="G90" i="5"/>
  <c r="G89" i="5"/>
  <c r="G97" i="4"/>
  <c r="Q97" i="4" s="1"/>
  <c r="G101" i="4"/>
  <c r="Q101" i="4" s="1"/>
  <c r="G102" i="4"/>
  <c r="Q102" i="4" s="1"/>
  <c r="G94" i="4"/>
  <c r="Q94" i="4" s="1"/>
  <c r="G98" i="4"/>
  <c r="Q98" i="4" s="1"/>
  <c r="F112" i="4"/>
  <c r="G52" i="4"/>
  <c r="Q52" i="4" s="1"/>
  <c r="G48" i="4"/>
  <c r="Q48" i="4" s="1"/>
  <c r="G93" i="4"/>
  <c r="Q93" i="4" s="1"/>
  <c r="G88" i="4"/>
  <c r="Q88" i="4" s="1"/>
  <c r="G90" i="4"/>
  <c r="Q90" i="4" s="1"/>
  <c r="G53" i="4"/>
  <c r="Q53" i="4" s="1"/>
  <c r="G87" i="4"/>
  <c r="Q87" i="4" s="1"/>
  <c r="G104" i="4"/>
  <c r="Q104" i="4" s="1"/>
  <c r="G96" i="4"/>
  <c r="Q96" i="4" s="1"/>
  <c r="G100" i="4"/>
  <c r="Q100" i="4" s="1"/>
  <c r="G85" i="4"/>
  <c r="Q85" i="4" s="1"/>
  <c r="G99" i="4"/>
  <c r="Q99" i="4" s="1"/>
  <c r="G103" i="4"/>
  <c r="Q103" i="4" s="1"/>
  <c r="P39" i="6"/>
  <c r="P39" i="3"/>
  <c r="P39" i="5"/>
  <c r="P39" i="12"/>
  <c r="P6" i="12"/>
  <c r="P5" i="12" s="1"/>
  <c r="P80" i="12"/>
  <c r="P80" i="11"/>
  <c r="P39" i="11"/>
  <c r="P80" i="7"/>
  <c r="P39" i="7"/>
  <c r="P80" i="5"/>
  <c r="G100" i="13" l="1"/>
  <c r="I100" i="13"/>
  <c r="K100" i="13"/>
  <c r="M100" i="13"/>
  <c r="O100" i="13"/>
  <c r="Q100" i="13"/>
  <c r="S100" i="13"/>
  <c r="U100" i="13"/>
  <c r="W100" i="13"/>
  <c r="Y100" i="13"/>
  <c r="G101" i="13"/>
  <c r="I101" i="13"/>
  <c r="K101" i="13"/>
  <c r="M101" i="13"/>
  <c r="O101" i="13"/>
  <c r="Q101" i="13"/>
  <c r="S101" i="13"/>
  <c r="U101" i="13"/>
  <c r="W101" i="13"/>
  <c r="Y101" i="13"/>
  <c r="G102" i="13"/>
  <c r="I102" i="13"/>
  <c r="K102" i="13"/>
  <c r="M102" i="13"/>
  <c r="O102" i="13"/>
  <c r="Q102" i="13"/>
  <c r="S102" i="13"/>
  <c r="U102" i="13"/>
  <c r="W102" i="13"/>
  <c r="Y102" i="13"/>
  <c r="G103" i="13"/>
  <c r="I103" i="13"/>
  <c r="K103" i="13"/>
  <c r="M103" i="13"/>
  <c r="O103" i="13"/>
  <c r="Q103" i="13"/>
  <c r="S103" i="13"/>
  <c r="U103" i="13"/>
  <c r="W103" i="13"/>
  <c r="Y103" i="13"/>
  <c r="G104" i="13"/>
  <c r="I104" i="13"/>
  <c r="K104" i="13"/>
  <c r="M104" i="13"/>
  <c r="O104" i="13"/>
  <c r="Q104" i="13"/>
  <c r="S104" i="13"/>
  <c r="U104" i="13"/>
  <c r="W104" i="13"/>
  <c r="Y104" i="13"/>
  <c r="G105" i="13"/>
  <c r="I105" i="13"/>
  <c r="K105" i="13"/>
  <c r="M105" i="13"/>
  <c r="O105" i="13"/>
  <c r="Q105" i="13"/>
  <c r="S105" i="13"/>
  <c r="U105" i="13"/>
  <c r="W105" i="13"/>
  <c r="Y105" i="13"/>
  <c r="G106" i="13"/>
  <c r="I106" i="13"/>
  <c r="K106" i="13"/>
  <c r="M106" i="13"/>
  <c r="O106" i="13"/>
  <c r="Q106" i="13"/>
  <c r="S106" i="13"/>
  <c r="U106" i="13"/>
  <c r="W106" i="13"/>
  <c r="Y106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K68" i="13"/>
  <c r="L68" i="13"/>
  <c r="M68" i="13"/>
  <c r="N68" i="13"/>
  <c r="O68" i="13"/>
  <c r="P68" i="13"/>
  <c r="Q68" i="13"/>
  <c r="R68" i="13"/>
  <c r="S68" i="13"/>
  <c r="T68" i="13"/>
  <c r="U68" i="13"/>
  <c r="V68" i="13"/>
  <c r="W68" i="13"/>
  <c r="X68" i="13"/>
  <c r="Y68" i="13"/>
  <c r="Z68" i="13"/>
  <c r="K69" i="13"/>
  <c r="L69" i="13"/>
  <c r="M69" i="13"/>
  <c r="N69" i="13"/>
  <c r="O69" i="13"/>
  <c r="P69" i="13"/>
  <c r="Q69" i="13"/>
  <c r="R69" i="13"/>
  <c r="S69" i="13"/>
  <c r="T69" i="13"/>
  <c r="U69" i="13"/>
  <c r="V69" i="13"/>
  <c r="W69" i="13"/>
  <c r="X69" i="13"/>
  <c r="Y69" i="13"/>
  <c r="Z69" i="13"/>
  <c r="K70" i="13"/>
  <c r="L70" i="13"/>
  <c r="M70" i="13"/>
  <c r="N70" i="13"/>
  <c r="O70" i="13"/>
  <c r="P70" i="13"/>
  <c r="Q70" i="13"/>
  <c r="R70" i="13"/>
  <c r="S70" i="13"/>
  <c r="T70" i="13"/>
  <c r="U70" i="13"/>
  <c r="V70" i="13"/>
  <c r="W70" i="13"/>
  <c r="X70" i="13"/>
  <c r="Y70" i="13"/>
  <c r="Z70" i="13"/>
  <c r="J65" i="13"/>
  <c r="J66" i="13"/>
  <c r="J67" i="13"/>
  <c r="J68" i="13"/>
  <c r="J69" i="13"/>
  <c r="J70" i="13"/>
  <c r="I65" i="13"/>
  <c r="I66" i="13"/>
  <c r="I67" i="13"/>
  <c r="I68" i="13"/>
  <c r="I69" i="13"/>
  <c r="I70" i="13"/>
  <c r="H65" i="13"/>
  <c r="H66" i="13"/>
  <c r="H67" i="13"/>
  <c r="H68" i="13"/>
  <c r="H69" i="13"/>
  <c r="H70" i="13"/>
  <c r="G65" i="13"/>
  <c r="G66" i="13"/>
  <c r="G67" i="13"/>
  <c r="G68" i="13"/>
  <c r="G69" i="13"/>
  <c r="G70" i="13"/>
  <c r="P157" i="17" l="1"/>
  <c r="J157" i="17"/>
  <c r="H157" i="17"/>
  <c r="F157" i="17"/>
  <c r="D157" i="17"/>
  <c r="C156" i="17"/>
  <c r="C155" i="17"/>
  <c r="C154" i="17"/>
  <c r="L153" i="17"/>
  <c r="D153" i="17"/>
  <c r="C153" i="17"/>
  <c r="L152" i="17"/>
  <c r="D152" i="17"/>
  <c r="E226" i="13" s="1"/>
  <c r="C152" i="17"/>
  <c r="L151" i="17"/>
  <c r="D151" i="17"/>
  <c r="C151" i="17"/>
  <c r="L150" i="17"/>
  <c r="E346" i="13" s="1"/>
  <c r="D150" i="17"/>
  <c r="C150" i="17"/>
  <c r="L149" i="17"/>
  <c r="D149" i="17"/>
  <c r="C149" i="17"/>
  <c r="L148" i="17"/>
  <c r="D148" i="17"/>
  <c r="E222" i="13" s="1"/>
  <c r="C148" i="17"/>
  <c r="L147" i="17"/>
  <c r="D147" i="17"/>
  <c r="E221" i="13" s="1"/>
  <c r="C147" i="17"/>
  <c r="L146" i="17"/>
  <c r="E342" i="13" s="1"/>
  <c r="D146" i="17"/>
  <c r="C146" i="17"/>
  <c r="L145" i="17"/>
  <c r="D145" i="17"/>
  <c r="C145" i="17"/>
  <c r="L144" i="17"/>
  <c r="D144" i="17"/>
  <c r="E218" i="13" s="1"/>
  <c r="C144" i="17"/>
  <c r="L143" i="17"/>
  <c r="D143" i="17"/>
  <c r="E217" i="13" s="1"/>
  <c r="C143" i="17"/>
  <c r="L142" i="17"/>
  <c r="E338" i="13" s="1"/>
  <c r="D142" i="17"/>
  <c r="C142" i="17"/>
  <c r="L141" i="17"/>
  <c r="D141" i="17"/>
  <c r="E215" i="13" s="1"/>
  <c r="C141" i="17"/>
  <c r="L140" i="17"/>
  <c r="D140" i="17"/>
  <c r="E214" i="13" s="1"/>
  <c r="C140" i="17"/>
  <c r="L139" i="17"/>
  <c r="D139" i="17"/>
  <c r="E213" i="13" s="1"/>
  <c r="C139" i="17"/>
  <c r="L138" i="17"/>
  <c r="E334" i="13" s="1"/>
  <c r="D138" i="17"/>
  <c r="C138" i="17"/>
  <c r="L137" i="17"/>
  <c r="D137" i="17"/>
  <c r="E211" i="13" s="1"/>
  <c r="C137" i="17"/>
  <c r="L136" i="17"/>
  <c r="D136" i="17"/>
  <c r="E210" i="13" s="1"/>
  <c r="C136" i="17"/>
  <c r="L135" i="17"/>
  <c r="D135" i="17"/>
  <c r="C135" i="17"/>
  <c r="L134" i="17"/>
  <c r="E330" i="13" s="1"/>
  <c r="D134" i="17"/>
  <c r="C134" i="17"/>
  <c r="L133" i="17"/>
  <c r="D133" i="17"/>
  <c r="C133" i="17"/>
  <c r="L132" i="17"/>
  <c r="D132" i="17"/>
  <c r="E206" i="13" s="1"/>
  <c r="C132" i="17"/>
  <c r="L131" i="17"/>
  <c r="D131" i="17"/>
  <c r="E205" i="13" s="1"/>
  <c r="C131" i="17"/>
  <c r="L130" i="17"/>
  <c r="E326" i="13" s="1"/>
  <c r="D130" i="17"/>
  <c r="C130" i="17"/>
  <c r="L129" i="17"/>
  <c r="D129" i="17"/>
  <c r="C129" i="17"/>
  <c r="L128" i="17"/>
  <c r="D128" i="17"/>
  <c r="E202" i="13" s="1"/>
  <c r="C128" i="17"/>
  <c r="L127" i="17"/>
  <c r="D127" i="17"/>
  <c r="E201" i="13" s="1"/>
  <c r="C127" i="17"/>
  <c r="L126" i="17"/>
  <c r="E322" i="13" s="1"/>
  <c r="D126" i="17"/>
  <c r="E200" i="13" s="1"/>
  <c r="C126" i="17"/>
  <c r="L125" i="17"/>
  <c r="D125" i="17"/>
  <c r="E199" i="13" s="1"/>
  <c r="C125" i="17"/>
  <c r="L124" i="17"/>
  <c r="D124" i="17"/>
  <c r="E198" i="13" s="1"/>
  <c r="C124" i="17"/>
  <c r="L123" i="17"/>
  <c r="D123" i="17"/>
  <c r="E197" i="13" s="1"/>
  <c r="C123" i="17"/>
  <c r="L122" i="17"/>
  <c r="E318" i="13" s="1"/>
  <c r="D122" i="17"/>
  <c r="C122" i="17"/>
  <c r="L121" i="17"/>
  <c r="D121" i="17"/>
  <c r="C121" i="17"/>
  <c r="L120" i="17"/>
  <c r="D120" i="17"/>
  <c r="E194" i="13" s="1"/>
  <c r="C120" i="17"/>
  <c r="L119" i="17"/>
  <c r="D119" i="17"/>
  <c r="C119" i="17"/>
  <c r="L118" i="17"/>
  <c r="E314" i="13" s="1"/>
  <c r="D118" i="17"/>
  <c r="C118" i="17"/>
  <c r="L117" i="17"/>
  <c r="D117" i="17"/>
  <c r="K4" i="13" s="1"/>
  <c r="C117" i="17"/>
  <c r="P116" i="17"/>
  <c r="P158" i="17" s="1"/>
  <c r="J116" i="17"/>
  <c r="K150" i="17" s="1"/>
  <c r="H116" i="17"/>
  <c r="I150" i="17" s="1"/>
  <c r="O114" i="17"/>
  <c r="L114" i="17"/>
  <c r="K114" i="17"/>
  <c r="H114" i="17"/>
  <c r="G114" i="17"/>
  <c r="D114" i="17"/>
  <c r="Q113" i="17"/>
  <c r="P113" i="17"/>
  <c r="O113" i="17"/>
  <c r="L113" i="17"/>
  <c r="H113" i="17"/>
  <c r="D113" i="17"/>
  <c r="F111" i="17"/>
  <c r="D111" i="17"/>
  <c r="E105" i="17" s="1"/>
  <c r="C110" i="17"/>
  <c r="C109" i="17"/>
  <c r="C108" i="17"/>
  <c r="C107" i="17"/>
  <c r="C106" i="17"/>
  <c r="L105" i="17"/>
  <c r="D105" i="17"/>
  <c r="C105" i="17"/>
  <c r="L104" i="17"/>
  <c r="E300" i="13" s="1"/>
  <c r="D104" i="17"/>
  <c r="E178" i="13" s="1"/>
  <c r="C104" i="17"/>
  <c r="L103" i="17"/>
  <c r="D103" i="17"/>
  <c r="E177" i="13" s="1"/>
  <c r="C103" i="17"/>
  <c r="L102" i="17"/>
  <c r="E298" i="13" s="1"/>
  <c r="D102" i="17"/>
  <c r="C102" i="17"/>
  <c r="L101" i="17"/>
  <c r="D101" i="17"/>
  <c r="C101" i="17"/>
  <c r="L100" i="17"/>
  <c r="D100" i="17"/>
  <c r="E174" i="13" s="1"/>
  <c r="C100" i="17"/>
  <c r="L99" i="17"/>
  <c r="D99" i="17"/>
  <c r="E173" i="13" s="1"/>
  <c r="C99" i="17"/>
  <c r="L98" i="17"/>
  <c r="E294" i="13" s="1"/>
  <c r="D98" i="17"/>
  <c r="C98" i="17"/>
  <c r="L97" i="17"/>
  <c r="D97" i="17"/>
  <c r="C97" i="17"/>
  <c r="L96" i="17"/>
  <c r="D96" i="17"/>
  <c r="E170" i="13" s="1"/>
  <c r="C96" i="17"/>
  <c r="L95" i="17"/>
  <c r="D95" i="17"/>
  <c r="E169" i="13" s="1"/>
  <c r="C95" i="17"/>
  <c r="L94" i="17"/>
  <c r="E290" i="13" s="1"/>
  <c r="D94" i="17"/>
  <c r="C94" i="17"/>
  <c r="L93" i="17"/>
  <c r="D93" i="17"/>
  <c r="C93" i="17"/>
  <c r="L92" i="17"/>
  <c r="E288" i="13" s="1"/>
  <c r="D92" i="17"/>
  <c r="E166" i="13" s="1"/>
  <c r="C92" i="17"/>
  <c r="L91" i="17"/>
  <c r="E287" i="13" s="1"/>
  <c r="D91" i="17"/>
  <c r="C91" i="17"/>
  <c r="L90" i="17"/>
  <c r="D90" i="17"/>
  <c r="C90" i="17"/>
  <c r="L89" i="17"/>
  <c r="D89" i="17"/>
  <c r="C89" i="17"/>
  <c r="L88" i="17"/>
  <c r="D88" i="17"/>
  <c r="E162" i="13" s="1"/>
  <c r="C88" i="17"/>
  <c r="L87" i="17"/>
  <c r="D87" i="17"/>
  <c r="E161" i="13" s="1"/>
  <c r="C87" i="17"/>
  <c r="L53" i="17"/>
  <c r="D53" i="17"/>
  <c r="C53" i="17"/>
  <c r="L52" i="17"/>
  <c r="D52" i="17"/>
  <c r="C52" i="17"/>
  <c r="L86" i="17"/>
  <c r="D86" i="17"/>
  <c r="E160" i="13" s="1"/>
  <c r="C86" i="17"/>
  <c r="L85" i="17"/>
  <c r="E279" i="13" s="1"/>
  <c r="D85" i="17"/>
  <c r="E159" i="13" s="1"/>
  <c r="C85" i="17"/>
  <c r="L48" i="17"/>
  <c r="D48" i="17"/>
  <c r="C48" i="17"/>
  <c r="L47" i="17"/>
  <c r="D47" i="17"/>
  <c r="C47" i="17"/>
  <c r="O82" i="17"/>
  <c r="L82" i="17"/>
  <c r="K82" i="17"/>
  <c r="H82" i="17"/>
  <c r="G82" i="17"/>
  <c r="D82" i="17"/>
  <c r="Q81" i="17"/>
  <c r="P81" i="17"/>
  <c r="O81" i="17"/>
  <c r="L81" i="17"/>
  <c r="H81" i="17"/>
  <c r="D81" i="17"/>
  <c r="I80" i="17"/>
  <c r="H78" i="17"/>
  <c r="F78" i="17"/>
  <c r="D78" i="17"/>
  <c r="L77" i="17"/>
  <c r="J77" i="17"/>
  <c r="D77" i="17"/>
  <c r="C77" i="17"/>
  <c r="L76" i="17"/>
  <c r="J76" i="17"/>
  <c r="D76" i="17"/>
  <c r="C76" i="17"/>
  <c r="L75" i="17"/>
  <c r="E268" i="13" s="1"/>
  <c r="J75" i="17"/>
  <c r="D75" i="17"/>
  <c r="C75" i="17"/>
  <c r="L74" i="17"/>
  <c r="J74" i="17"/>
  <c r="F74" i="17"/>
  <c r="C74" i="17"/>
  <c r="L73" i="17"/>
  <c r="J73" i="17"/>
  <c r="D73" i="17"/>
  <c r="C73" i="17"/>
  <c r="L72" i="17"/>
  <c r="J72" i="17"/>
  <c r="D72" i="17"/>
  <c r="E146" i="13" s="1"/>
  <c r="C72" i="17"/>
  <c r="L71" i="17"/>
  <c r="J71" i="17"/>
  <c r="D71" i="17"/>
  <c r="C71" i="17"/>
  <c r="L70" i="17"/>
  <c r="E263" i="13" s="1"/>
  <c r="J70" i="17"/>
  <c r="D70" i="17"/>
  <c r="C70" i="17"/>
  <c r="L69" i="17"/>
  <c r="J69" i="17"/>
  <c r="D69" i="17"/>
  <c r="F69" i="17" s="1"/>
  <c r="C69" i="17"/>
  <c r="L68" i="17"/>
  <c r="E261" i="13" s="1"/>
  <c r="J68" i="17"/>
  <c r="D68" i="17"/>
  <c r="C68" i="17"/>
  <c r="L67" i="17"/>
  <c r="E260" i="13" s="1"/>
  <c r="J67" i="17"/>
  <c r="D67" i="17"/>
  <c r="C67" i="17"/>
  <c r="L66" i="17"/>
  <c r="J66" i="17"/>
  <c r="D66" i="17"/>
  <c r="C66" i="17"/>
  <c r="L65" i="17"/>
  <c r="J65" i="17"/>
  <c r="D65" i="17"/>
  <c r="C65" i="17"/>
  <c r="L64" i="17"/>
  <c r="E257" i="13" s="1"/>
  <c r="J64" i="17"/>
  <c r="D64" i="17"/>
  <c r="E138" i="13" s="1"/>
  <c r="C64" i="17"/>
  <c r="L63" i="17"/>
  <c r="J63" i="17"/>
  <c r="D63" i="17"/>
  <c r="C63" i="17"/>
  <c r="L62" i="17"/>
  <c r="E255" i="13" s="1"/>
  <c r="J62" i="17"/>
  <c r="D62" i="17"/>
  <c r="C62" i="17"/>
  <c r="L61" i="17"/>
  <c r="J61" i="17"/>
  <c r="D61" i="17"/>
  <c r="C61" i="17"/>
  <c r="L60" i="17"/>
  <c r="J60" i="17"/>
  <c r="D60" i="17"/>
  <c r="C60" i="17"/>
  <c r="L59" i="17"/>
  <c r="D59" i="17"/>
  <c r="C59" i="17"/>
  <c r="L58" i="17"/>
  <c r="J58" i="17"/>
  <c r="D58" i="17"/>
  <c r="E132" i="13" s="1"/>
  <c r="C58" i="17"/>
  <c r="L57" i="17"/>
  <c r="E250" i="13" s="1"/>
  <c r="J57" i="17"/>
  <c r="D57" i="17"/>
  <c r="E131" i="13" s="1"/>
  <c r="C57" i="17"/>
  <c r="L56" i="17"/>
  <c r="J56" i="17"/>
  <c r="D56" i="17"/>
  <c r="C56" i="17"/>
  <c r="L55" i="17"/>
  <c r="E248" i="13" s="1"/>
  <c r="J55" i="17"/>
  <c r="D55" i="17"/>
  <c r="C55" i="17"/>
  <c r="L54" i="17"/>
  <c r="J54" i="17"/>
  <c r="D54" i="17"/>
  <c r="C54" i="17"/>
  <c r="L51" i="17"/>
  <c r="E246" i="13" s="1"/>
  <c r="J51" i="17"/>
  <c r="D51" i="17"/>
  <c r="C51" i="17"/>
  <c r="L50" i="17"/>
  <c r="J50" i="17"/>
  <c r="D50" i="17"/>
  <c r="C50" i="17"/>
  <c r="L49" i="17"/>
  <c r="E244" i="13" s="1"/>
  <c r="J49" i="17"/>
  <c r="D49" i="17"/>
  <c r="F49" i="17" s="1"/>
  <c r="C49" i="17"/>
  <c r="L46" i="17"/>
  <c r="J46" i="17"/>
  <c r="D46" i="17"/>
  <c r="C46" i="17"/>
  <c r="L45" i="17"/>
  <c r="J45" i="17"/>
  <c r="D45" i="17"/>
  <c r="C45" i="17"/>
  <c r="L44" i="17"/>
  <c r="E20" i="13" s="1"/>
  <c r="J44" i="17"/>
  <c r="D44" i="17"/>
  <c r="E4" i="13" s="1"/>
  <c r="C44" i="17"/>
  <c r="H43" i="17"/>
  <c r="I74" i="17" s="1"/>
  <c r="O41" i="17"/>
  <c r="L41" i="17"/>
  <c r="K41" i="17"/>
  <c r="H41" i="17"/>
  <c r="G41" i="17"/>
  <c r="D41" i="17"/>
  <c r="Q40" i="17"/>
  <c r="P40" i="17"/>
  <c r="O40" i="17"/>
  <c r="L40" i="17"/>
  <c r="H40" i="17"/>
  <c r="D40" i="17"/>
  <c r="H38" i="17"/>
  <c r="F38" i="17"/>
  <c r="D38" i="17"/>
  <c r="L37" i="17"/>
  <c r="J37" i="17"/>
  <c r="D37" i="17"/>
  <c r="E70" i="13" s="1"/>
  <c r="C37" i="17"/>
  <c r="L36" i="17"/>
  <c r="E105" i="13" s="1"/>
  <c r="J36" i="17"/>
  <c r="D36" i="17"/>
  <c r="C36" i="17"/>
  <c r="L35" i="17"/>
  <c r="E104" i="13" s="1"/>
  <c r="J35" i="17"/>
  <c r="D35" i="17"/>
  <c r="E68" i="13" s="1"/>
  <c r="C35" i="17"/>
  <c r="L34" i="17"/>
  <c r="J34" i="17"/>
  <c r="D34" i="17"/>
  <c r="C34" i="17"/>
  <c r="L33" i="17"/>
  <c r="J33" i="17"/>
  <c r="D33" i="17"/>
  <c r="F33" i="17" s="1"/>
  <c r="C33" i="17"/>
  <c r="L32" i="17"/>
  <c r="E101" i="13" s="1"/>
  <c r="J32" i="17"/>
  <c r="D32" i="17"/>
  <c r="C32" i="17"/>
  <c r="L31" i="17"/>
  <c r="J31" i="17"/>
  <c r="D31" i="17"/>
  <c r="E64" i="13" s="1"/>
  <c r="C31" i="17"/>
  <c r="L30" i="17"/>
  <c r="E99" i="13" s="1"/>
  <c r="J30" i="17"/>
  <c r="D30" i="17"/>
  <c r="C30" i="17"/>
  <c r="L29" i="17"/>
  <c r="J29" i="17"/>
  <c r="D29" i="17"/>
  <c r="E62" i="13" s="1"/>
  <c r="C29" i="17"/>
  <c r="L28" i="17"/>
  <c r="E97" i="13" s="1"/>
  <c r="J28" i="17"/>
  <c r="D28" i="17"/>
  <c r="C28" i="17"/>
  <c r="L27" i="17"/>
  <c r="E96" i="13" s="1"/>
  <c r="J27" i="17"/>
  <c r="D27" i="17"/>
  <c r="E60" i="13" s="1"/>
  <c r="C27" i="17"/>
  <c r="L26" i="17"/>
  <c r="J26" i="17"/>
  <c r="D26" i="17"/>
  <c r="C26" i="17"/>
  <c r="L25" i="17"/>
  <c r="J25" i="17"/>
  <c r="D25" i="17"/>
  <c r="E58" i="13" s="1"/>
  <c r="C25" i="17"/>
  <c r="E93" i="13"/>
  <c r="L23" i="17"/>
  <c r="J23" i="17"/>
  <c r="D23" i="17"/>
  <c r="E56" i="13" s="1"/>
  <c r="C23" i="17"/>
  <c r="L22" i="17"/>
  <c r="E91" i="13" s="1"/>
  <c r="J22" i="17"/>
  <c r="D22" i="17"/>
  <c r="C22" i="17"/>
  <c r="L21" i="17"/>
  <c r="J21" i="17"/>
  <c r="D21" i="17"/>
  <c r="E54" i="13" s="1"/>
  <c r="C21" i="17"/>
  <c r="L20" i="17"/>
  <c r="E89" i="13" s="1"/>
  <c r="J20" i="17"/>
  <c r="D20" i="17"/>
  <c r="C20" i="17"/>
  <c r="L19" i="17"/>
  <c r="E88" i="13" s="1"/>
  <c r="J19" i="17"/>
  <c r="D19" i="17"/>
  <c r="E52" i="13" s="1"/>
  <c r="C19" i="17"/>
  <c r="L18" i="17"/>
  <c r="J18" i="17"/>
  <c r="D18" i="17"/>
  <c r="C18" i="17"/>
  <c r="L17" i="17"/>
  <c r="J17" i="17"/>
  <c r="D17" i="17"/>
  <c r="E50" i="13" s="1"/>
  <c r="C17" i="17"/>
  <c r="L16" i="17"/>
  <c r="E85" i="13" s="1"/>
  <c r="J16" i="17"/>
  <c r="D16" i="17"/>
  <c r="C16" i="17"/>
  <c r="L15" i="17"/>
  <c r="J15" i="17"/>
  <c r="D15" i="17"/>
  <c r="E48" i="13" s="1"/>
  <c r="C15" i="17"/>
  <c r="L14" i="17"/>
  <c r="E83" i="13" s="1"/>
  <c r="J14" i="17"/>
  <c r="D14" i="17"/>
  <c r="C14" i="17"/>
  <c r="L13" i="17"/>
  <c r="J13" i="17"/>
  <c r="D13" i="17"/>
  <c r="E46" i="13" s="1"/>
  <c r="C13" i="17"/>
  <c r="L12" i="17"/>
  <c r="E81" i="13" s="1"/>
  <c r="J12" i="17"/>
  <c r="D12" i="17"/>
  <c r="C12" i="17"/>
  <c r="L11" i="17"/>
  <c r="E80" i="13" s="1"/>
  <c r="J11" i="17"/>
  <c r="D11" i="17"/>
  <c r="E44" i="13" s="1"/>
  <c r="C11" i="17"/>
  <c r="L10" i="17"/>
  <c r="E79" i="13" s="1"/>
  <c r="J10" i="17"/>
  <c r="D10" i="17"/>
  <c r="C10" i="17"/>
  <c r="L9" i="17"/>
  <c r="J9" i="17"/>
  <c r="D9" i="17"/>
  <c r="E42" i="13" s="1"/>
  <c r="C9" i="17"/>
  <c r="L8" i="17"/>
  <c r="J8" i="17"/>
  <c r="D8" i="17"/>
  <c r="E41" i="13" s="1"/>
  <c r="C8" i="17"/>
  <c r="H7" i="17"/>
  <c r="I24" i="17" s="1"/>
  <c r="O3" i="17"/>
  <c r="L3" i="17"/>
  <c r="K3" i="17"/>
  <c r="H3" i="17"/>
  <c r="G3" i="17"/>
  <c r="D3" i="17"/>
  <c r="Q2" i="17"/>
  <c r="P2" i="17"/>
  <c r="O2" i="17"/>
  <c r="L2" i="17"/>
  <c r="K2" i="17"/>
  <c r="H2" i="17"/>
  <c r="G2" i="17"/>
  <c r="D2" i="17"/>
  <c r="E55" i="17" l="1"/>
  <c r="F97" i="17"/>
  <c r="E171" i="13"/>
  <c r="N70" i="17"/>
  <c r="F93" i="17"/>
  <c r="E167" i="13"/>
  <c r="F141" i="17"/>
  <c r="E123" i="13"/>
  <c r="F4" i="13"/>
  <c r="F47" i="17"/>
  <c r="J4" i="13" s="1"/>
  <c r="I4" i="13"/>
  <c r="E121" i="13"/>
  <c r="F89" i="17"/>
  <c r="E163" i="13"/>
  <c r="F102" i="17"/>
  <c r="E176" i="13"/>
  <c r="F52" i="17"/>
  <c r="E126" i="13"/>
  <c r="E277" i="13"/>
  <c r="I20" i="13"/>
  <c r="F98" i="17"/>
  <c r="E172" i="13"/>
  <c r="F94" i="17"/>
  <c r="E168" i="13"/>
  <c r="F80" i="17"/>
  <c r="F48" i="17"/>
  <c r="E122" i="13"/>
  <c r="F90" i="17"/>
  <c r="E164" i="13"/>
  <c r="I17" i="17"/>
  <c r="D80" i="17"/>
  <c r="H80" i="17"/>
  <c r="J43" i="17"/>
  <c r="F53" i="17"/>
  <c r="E127" i="13"/>
  <c r="E313" i="13"/>
  <c r="K20" i="13"/>
  <c r="E91" i="17"/>
  <c r="E165" i="13"/>
  <c r="F105" i="17"/>
  <c r="E179" i="13"/>
  <c r="F101" i="17"/>
  <c r="E175" i="13"/>
  <c r="I35" i="17"/>
  <c r="I8" i="17"/>
  <c r="I34" i="17"/>
  <c r="I12" i="17"/>
  <c r="I16" i="17"/>
  <c r="N94" i="17"/>
  <c r="N16" i="17"/>
  <c r="N51" i="17"/>
  <c r="F6" i="17"/>
  <c r="F57" i="17"/>
  <c r="N68" i="17"/>
  <c r="N22" i="17"/>
  <c r="I9" i="17"/>
  <c r="I26" i="17"/>
  <c r="E49" i="17"/>
  <c r="F126" i="17"/>
  <c r="E57" i="17"/>
  <c r="F23" i="17"/>
  <c r="F56" i="13" s="1"/>
  <c r="I117" i="17"/>
  <c r="I44" i="17"/>
  <c r="J78" i="17"/>
  <c r="I66" i="17"/>
  <c r="E53" i="17"/>
  <c r="I10" i="17"/>
  <c r="N62" i="17"/>
  <c r="F123" i="17"/>
  <c r="F143" i="17"/>
  <c r="I50" i="17"/>
  <c r="N10" i="17"/>
  <c r="I14" i="17"/>
  <c r="I56" i="17"/>
  <c r="E87" i="17"/>
  <c r="I18" i="17"/>
  <c r="F125" i="17"/>
  <c r="N60" i="17"/>
  <c r="E253" i="13"/>
  <c r="F119" i="17"/>
  <c r="E193" i="13"/>
  <c r="F54" i="17"/>
  <c r="E128" i="13"/>
  <c r="N74" i="17"/>
  <c r="Q74" i="17" s="1"/>
  <c r="E267" i="13"/>
  <c r="N93" i="17"/>
  <c r="E289" i="13"/>
  <c r="N131" i="17"/>
  <c r="E327" i="13"/>
  <c r="F146" i="17"/>
  <c r="E220" i="13"/>
  <c r="F151" i="17"/>
  <c r="E225" i="13"/>
  <c r="F44" i="17"/>
  <c r="E118" i="13"/>
  <c r="N54" i="17"/>
  <c r="E247" i="13"/>
  <c r="E71" i="17"/>
  <c r="E145" i="13"/>
  <c r="F75" i="17"/>
  <c r="E149" i="13"/>
  <c r="F127" i="17"/>
  <c r="F137" i="17"/>
  <c r="E61" i="17"/>
  <c r="E135" i="13"/>
  <c r="F142" i="17"/>
  <c r="E216" i="13"/>
  <c r="N20" i="17"/>
  <c r="F31" i="17"/>
  <c r="F64" i="13" s="1"/>
  <c r="N49" i="17"/>
  <c r="P49" i="17" s="1"/>
  <c r="F55" i="17"/>
  <c r="E129" i="13"/>
  <c r="N57" i="17"/>
  <c r="N64" i="17"/>
  <c r="N71" i="17"/>
  <c r="E264" i="13"/>
  <c r="N86" i="17"/>
  <c r="E280" i="13"/>
  <c r="N87" i="17"/>
  <c r="E283" i="13"/>
  <c r="E98" i="17"/>
  <c r="N123" i="17"/>
  <c r="E319" i="13"/>
  <c r="F147" i="17"/>
  <c r="N152" i="17"/>
  <c r="E348" i="13"/>
  <c r="N141" i="17"/>
  <c r="E337" i="13"/>
  <c r="F68" i="17"/>
  <c r="E142" i="13"/>
  <c r="F118" i="17"/>
  <c r="E192" i="13"/>
  <c r="N61" i="17"/>
  <c r="E254" i="13"/>
  <c r="N102" i="17"/>
  <c r="F133" i="17"/>
  <c r="E207" i="13"/>
  <c r="F138" i="17"/>
  <c r="E212" i="13"/>
  <c r="N147" i="17"/>
  <c r="E343" i="13"/>
  <c r="F153" i="17"/>
  <c r="E227" i="13"/>
  <c r="N127" i="17"/>
  <c r="E323" i="13"/>
  <c r="F45" i="17"/>
  <c r="E119" i="13"/>
  <c r="F62" i="17"/>
  <c r="E136" i="13"/>
  <c r="N88" i="17"/>
  <c r="E284" i="13"/>
  <c r="N91" i="17"/>
  <c r="E95" i="17"/>
  <c r="E99" i="17"/>
  <c r="E103" i="17"/>
  <c r="N119" i="17"/>
  <c r="E315" i="13"/>
  <c r="N124" i="17"/>
  <c r="E320" i="13"/>
  <c r="N153" i="17"/>
  <c r="E349" i="13"/>
  <c r="N151" i="17"/>
  <c r="E347" i="13"/>
  <c r="N44" i="17"/>
  <c r="Q44" i="17" s="1"/>
  <c r="E241" i="13"/>
  <c r="N55" i="17"/>
  <c r="N58" i="17"/>
  <c r="E251" i="13"/>
  <c r="N65" i="17"/>
  <c r="E258" i="13"/>
  <c r="E69" i="17"/>
  <c r="E143" i="13"/>
  <c r="N72" i="17"/>
  <c r="E265" i="13"/>
  <c r="N76" i="17"/>
  <c r="E269" i="13"/>
  <c r="F129" i="17"/>
  <c r="E203" i="13"/>
  <c r="F134" i="17"/>
  <c r="E208" i="13"/>
  <c r="N143" i="17"/>
  <c r="E339" i="13"/>
  <c r="N148" i="17"/>
  <c r="E344" i="13"/>
  <c r="N90" i="17"/>
  <c r="E286" i="13"/>
  <c r="N45" i="17"/>
  <c r="E242" i="13"/>
  <c r="N50" i="17"/>
  <c r="E245" i="13"/>
  <c r="N48" i="17"/>
  <c r="E278" i="13"/>
  <c r="N52" i="17"/>
  <c r="E281" i="13"/>
  <c r="N95" i="17"/>
  <c r="E291" i="13"/>
  <c r="N99" i="17"/>
  <c r="E295" i="13"/>
  <c r="N103" i="17"/>
  <c r="E299" i="13"/>
  <c r="N129" i="17"/>
  <c r="E325" i="13"/>
  <c r="F139" i="17"/>
  <c r="N132" i="17"/>
  <c r="E328" i="13"/>
  <c r="F76" i="17"/>
  <c r="E150" i="13"/>
  <c r="N128" i="17"/>
  <c r="E324" i="13"/>
  <c r="F56" i="17"/>
  <c r="P56" i="17" s="1"/>
  <c r="E130" i="13"/>
  <c r="N120" i="17"/>
  <c r="E316" i="13"/>
  <c r="N139" i="17"/>
  <c r="E335" i="13"/>
  <c r="F149" i="17"/>
  <c r="E223" i="13"/>
  <c r="N137" i="17"/>
  <c r="E333" i="13"/>
  <c r="F59" i="17"/>
  <c r="E133" i="13"/>
  <c r="F77" i="17"/>
  <c r="E151" i="13"/>
  <c r="F29" i="17"/>
  <c r="F62" i="13" s="1"/>
  <c r="E120" i="13"/>
  <c r="F51" i="17"/>
  <c r="E125" i="13"/>
  <c r="E59" i="17"/>
  <c r="N69" i="17"/>
  <c r="P69" i="17" s="1"/>
  <c r="E262" i="13"/>
  <c r="N92" i="17"/>
  <c r="N125" i="17"/>
  <c r="E321" i="13"/>
  <c r="F130" i="17"/>
  <c r="E204" i="13"/>
  <c r="F135" i="17"/>
  <c r="E209" i="13"/>
  <c r="N144" i="17"/>
  <c r="E340" i="13"/>
  <c r="N149" i="17"/>
  <c r="E345" i="13"/>
  <c r="N101" i="17"/>
  <c r="E297" i="13"/>
  <c r="F50" i="17"/>
  <c r="Q50" i="17" s="1"/>
  <c r="E124" i="13"/>
  <c r="F65" i="17"/>
  <c r="E139" i="13"/>
  <c r="N133" i="17"/>
  <c r="E329" i="13"/>
  <c r="F66" i="17"/>
  <c r="E140" i="13"/>
  <c r="N59" i="17"/>
  <c r="E252" i="13"/>
  <c r="E63" i="17"/>
  <c r="E137" i="13"/>
  <c r="N73" i="17"/>
  <c r="E266" i="13"/>
  <c r="N77" i="17"/>
  <c r="Q77" i="17" s="1"/>
  <c r="E270" i="13"/>
  <c r="N89" i="17"/>
  <c r="E285" i="13"/>
  <c r="N96" i="17"/>
  <c r="E292" i="13"/>
  <c r="N100" i="17"/>
  <c r="E296" i="13"/>
  <c r="F121" i="17"/>
  <c r="E195" i="13"/>
  <c r="N135" i="17"/>
  <c r="E331" i="13"/>
  <c r="N105" i="17"/>
  <c r="E301" i="13"/>
  <c r="F9" i="17"/>
  <c r="F42" i="13" s="1"/>
  <c r="F73" i="17"/>
  <c r="E147" i="13"/>
  <c r="N46" i="17"/>
  <c r="E243" i="13"/>
  <c r="N56" i="17"/>
  <c r="E249" i="13"/>
  <c r="F63" i="17"/>
  <c r="N66" i="17"/>
  <c r="E259" i="13"/>
  <c r="F70" i="17"/>
  <c r="E144" i="13"/>
  <c r="N104" i="17"/>
  <c r="N121" i="17"/>
  <c r="E317" i="13"/>
  <c r="N140" i="17"/>
  <c r="E336" i="13"/>
  <c r="F145" i="17"/>
  <c r="E219" i="13"/>
  <c r="F150" i="17"/>
  <c r="E224" i="13"/>
  <c r="N97" i="17"/>
  <c r="E293" i="13"/>
  <c r="F11" i="17"/>
  <c r="F44" i="13" s="1"/>
  <c r="N12" i="17"/>
  <c r="F60" i="17"/>
  <c r="E134" i="13"/>
  <c r="N145" i="17"/>
  <c r="E341" i="13"/>
  <c r="J7" i="17"/>
  <c r="E60" i="17"/>
  <c r="N63" i="17"/>
  <c r="E256" i="13"/>
  <c r="F67" i="17"/>
  <c r="E141" i="13"/>
  <c r="N85" i="17"/>
  <c r="E282" i="13"/>
  <c r="F117" i="17"/>
  <c r="L4" i="13" s="1"/>
  <c r="E191" i="13"/>
  <c r="F122" i="17"/>
  <c r="E196" i="13"/>
  <c r="F131" i="17"/>
  <c r="N136" i="17"/>
  <c r="E332" i="13"/>
  <c r="F66" i="13"/>
  <c r="L7" i="17"/>
  <c r="M24" i="17" s="1"/>
  <c r="E77" i="13"/>
  <c r="N14" i="17"/>
  <c r="N23" i="17"/>
  <c r="E92" i="13"/>
  <c r="N26" i="17"/>
  <c r="E95" i="13"/>
  <c r="F36" i="17"/>
  <c r="F69" i="13" s="1"/>
  <c r="E69" i="13"/>
  <c r="F57" i="13"/>
  <c r="E57" i="13"/>
  <c r="E45" i="17"/>
  <c r="N53" i="17"/>
  <c r="F15" i="17"/>
  <c r="F48" i="13" s="1"/>
  <c r="F18" i="17"/>
  <c r="F51" i="13" s="1"/>
  <c r="E51" i="13"/>
  <c r="F21" i="17"/>
  <c r="F27" i="17"/>
  <c r="F60" i="13" s="1"/>
  <c r="N36" i="17"/>
  <c r="N98" i="17"/>
  <c r="N17" i="17"/>
  <c r="E86" i="13"/>
  <c r="F30" i="17"/>
  <c r="F63" i="13" s="1"/>
  <c r="E63" i="13"/>
  <c r="N9" i="17"/>
  <c r="E78" i="13"/>
  <c r="N33" i="17"/>
  <c r="P33" i="17" s="1"/>
  <c r="E102" i="13"/>
  <c r="E90" i="17"/>
  <c r="E102" i="17"/>
  <c r="N15" i="17"/>
  <c r="E84" i="13"/>
  <c r="N21" i="17"/>
  <c r="E90" i="13"/>
  <c r="N30" i="17"/>
  <c r="F10" i="17"/>
  <c r="F43" i="13" s="1"/>
  <c r="E43" i="13"/>
  <c r="N18" i="17"/>
  <c r="E87" i="13"/>
  <c r="F34" i="17"/>
  <c r="F67" i="13" s="1"/>
  <c r="E67" i="13"/>
  <c r="F37" i="17"/>
  <c r="F61" i="17"/>
  <c r="E48" i="17"/>
  <c r="F28" i="17"/>
  <c r="F61" i="13" s="1"/>
  <c r="E61" i="13"/>
  <c r="L116" i="17"/>
  <c r="Q55" i="17"/>
  <c r="L43" i="17"/>
  <c r="M74" i="17" s="1"/>
  <c r="F13" i="17"/>
  <c r="F46" i="13" s="1"/>
  <c r="F22" i="17"/>
  <c r="F55" i="13" s="1"/>
  <c r="E55" i="13"/>
  <c r="N37" i="17"/>
  <c r="E106" i="13"/>
  <c r="F19" i="17"/>
  <c r="F52" i="13" s="1"/>
  <c r="F25" i="17"/>
  <c r="N34" i="17"/>
  <c r="E103" i="13"/>
  <c r="E51" i="17"/>
  <c r="N13" i="17"/>
  <c r="E82" i="13"/>
  <c r="N28" i="17"/>
  <c r="N31" i="17"/>
  <c r="Q31" i="17" s="1"/>
  <c r="E100" i="13"/>
  <c r="E73" i="17"/>
  <c r="F12" i="17"/>
  <c r="F45" i="13" s="1"/>
  <c r="E45" i="13"/>
  <c r="E66" i="13"/>
  <c r="F16" i="17"/>
  <c r="F49" i="13" s="1"/>
  <c r="E49" i="13"/>
  <c r="N25" i="17"/>
  <c r="E94" i="13"/>
  <c r="E68" i="17"/>
  <c r="F71" i="17"/>
  <c r="F14" i="17"/>
  <c r="F47" i="13" s="1"/>
  <c r="E47" i="13"/>
  <c r="F32" i="17"/>
  <c r="E65" i="13"/>
  <c r="E71" i="13"/>
  <c r="F35" i="17"/>
  <c r="F68" i="13" s="1"/>
  <c r="E94" i="17"/>
  <c r="F26" i="17"/>
  <c r="F59" i="13" s="1"/>
  <c r="E59" i="13"/>
  <c r="Q51" i="17"/>
  <c r="F20" i="17"/>
  <c r="F53" i="13" s="1"/>
  <c r="E53" i="13"/>
  <c r="N8" i="17"/>
  <c r="F17" i="17"/>
  <c r="N29" i="17"/>
  <c r="E98" i="13"/>
  <c r="N32" i="17"/>
  <c r="M44" i="17"/>
  <c r="M45" i="17"/>
  <c r="M58" i="17"/>
  <c r="M46" i="17"/>
  <c r="P70" i="17"/>
  <c r="K13" i="17"/>
  <c r="K11" i="17"/>
  <c r="N11" i="17"/>
  <c r="E96" i="17"/>
  <c r="F96" i="17"/>
  <c r="K37" i="17"/>
  <c r="K15" i="17"/>
  <c r="K33" i="17"/>
  <c r="K25" i="17"/>
  <c r="N35" i="17"/>
  <c r="D43" i="17"/>
  <c r="F46" i="17"/>
  <c r="E46" i="17"/>
  <c r="N19" i="17"/>
  <c r="K22" i="17"/>
  <c r="N27" i="17"/>
  <c r="K34" i="17"/>
  <c r="K12" i="17"/>
  <c r="E88" i="17"/>
  <c r="F88" i="17"/>
  <c r="E100" i="17"/>
  <c r="F100" i="17"/>
  <c r="N118" i="17"/>
  <c r="N122" i="17"/>
  <c r="N126" i="17"/>
  <c r="N130" i="17"/>
  <c r="N134" i="17"/>
  <c r="N138" i="17"/>
  <c r="N142" i="17"/>
  <c r="N146" i="17"/>
  <c r="N150" i="17"/>
  <c r="E86" i="17"/>
  <c r="F86" i="17"/>
  <c r="K36" i="17"/>
  <c r="K28" i="17"/>
  <c r="F58" i="17"/>
  <c r="E58" i="17"/>
  <c r="E72" i="17"/>
  <c r="F72" i="17"/>
  <c r="Q72" i="17" s="1"/>
  <c r="M16" i="17"/>
  <c r="Q33" i="17"/>
  <c r="N75" i="17"/>
  <c r="E92" i="17"/>
  <c r="F92" i="17"/>
  <c r="D7" i="17"/>
  <c r="E24" i="17" s="1"/>
  <c r="F8" i="17"/>
  <c r="K10" i="17"/>
  <c r="E64" i="17"/>
  <c r="F64" i="17"/>
  <c r="Q69" i="17"/>
  <c r="F104" i="17"/>
  <c r="E104" i="17"/>
  <c r="L157" i="17"/>
  <c r="N67" i="17"/>
  <c r="I25" i="17"/>
  <c r="I33" i="17"/>
  <c r="I65" i="17"/>
  <c r="I73" i="17"/>
  <c r="I121" i="17"/>
  <c r="I125" i="17"/>
  <c r="I129" i="17"/>
  <c r="I133" i="17"/>
  <c r="I137" i="17"/>
  <c r="I141" i="17"/>
  <c r="I145" i="17"/>
  <c r="I149" i="17"/>
  <c r="I153" i="17"/>
  <c r="I49" i="17"/>
  <c r="I59" i="17"/>
  <c r="K117" i="17"/>
  <c r="K121" i="17"/>
  <c r="K125" i="17"/>
  <c r="K129" i="17"/>
  <c r="K133" i="17"/>
  <c r="K137" i="17"/>
  <c r="K141" i="17"/>
  <c r="K145" i="17"/>
  <c r="K149" i="17"/>
  <c r="K153" i="17"/>
  <c r="I32" i="17"/>
  <c r="I64" i="17"/>
  <c r="I72" i="17"/>
  <c r="N47" i="17"/>
  <c r="J20" i="13" s="1"/>
  <c r="F120" i="17"/>
  <c r="F124" i="17"/>
  <c r="F128" i="17"/>
  <c r="F132" i="17"/>
  <c r="F136" i="17"/>
  <c r="F140" i="17"/>
  <c r="F144" i="17"/>
  <c r="F148" i="17"/>
  <c r="F152" i="17"/>
  <c r="I46" i="17"/>
  <c r="I58" i="17"/>
  <c r="E62" i="17"/>
  <c r="E70" i="17"/>
  <c r="E85" i="17"/>
  <c r="H158" i="17"/>
  <c r="I15" i="17"/>
  <c r="I23" i="17"/>
  <c r="I31" i="17"/>
  <c r="J38" i="17"/>
  <c r="K66" i="17" s="1"/>
  <c r="E44" i="17"/>
  <c r="E56" i="17"/>
  <c r="I63" i="17"/>
  <c r="I71" i="17"/>
  <c r="E77" i="17"/>
  <c r="L78" i="17"/>
  <c r="L79" i="17" s="1"/>
  <c r="F85" i="17"/>
  <c r="F87" i="17"/>
  <c r="F91" i="17"/>
  <c r="F95" i="17"/>
  <c r="F99" i="17"/>
  <c r="F103" i="17"/>
  <c r="D116" i="17"/>
  <c r="E120" i="17" s="1"/>
  <c r="N117" i="17"/>
  <c r="L20" i="13" s="1"/>
  <c r="I120" i="17"/>
  <c r="I124" i="17"/>
  <c r="I128" i="17"/>
  <c r="I132" i="17"/>
  <c r="I136" i="17"/>
  <c r="I140" i="17"/>
  <c r="I144" i="17"/>
  <c r="I148" i="17"/>
  <c r="I152" i="17"/>
  <c r="J158" i="17"/>
  <c r="L38" i="17"/>
  <c r="I45" i="17"/>
  <c r="I57" i="17"/>
  <c r="K120" i="17"/>
  <c r="K124" i="17"/>
  <c r="K128" i="17"/>
  <c r="K132" i="17"/>
  <c r="K136" i="17"/>
  <c r="K140" i="17"/>
  <c r="K144" i="17"/>
  <c r="K148" i="17"/>
  <c r="K152" i="17"/>
  <c r="I22" i="17"/>
  <c r="I30" i="17"/>
  <c r="I62" i="17"/>
  <c r="I70" i="17"/>
  <c r="E76" i="17"/>
  <c r="I77" i="17"/>
  <c r="I13" i="17"/>
  <c r="I21" i="17"/>
  <c r="I29" i="17"/>
  <c r="I37" i="17"/>
  <c r="E54" i="17"/>
  <c r="I61" i="17"/>
  <c r="I69" i="17"/>
  <c r="E75" i="17"/>
  <c r="I119" i="17"/>
  <c r="I123" i="17"/>
  <c r="I127" i="17"/>
  <c r="I131" i="17"/>
  <c r="I135" i="17"/>
  <c r="I139" i="17"/>
  <c r="I143" i="17"/>
  <c r="I147" i="17"/>
  <c r="I151" i="17"/>
  <c r="I55" i="17"/>
  <c r="E67" i="17"/>
  <c r="I76" i="17"/>
  <c r="H79" i="17"/>
  <c r="K119" i="17"/>
  <c r="K123" i="17"/>
  <c r="K127" i="17"/>
  <c r="K131" i="17"/>
  <c r="K135" i="17"/>
  <c r="K139" i="17"/>
  <c r="K143" i="17"/>
  <c r="K147" i="17"/>
  <c r="K151" i="17"/>
  <c r="I20" i="17"/>
  <c r="I28" i="17"/>
  <c r="I36" i="17"/>
  <c r="H39" i="17"/>
  <c r="I60" i="17"/>
  <c r="I68" i="17"/>
  <c r="E74" i="17"/>
  <c r="I54" i="17"/>
  <c r="E66" i="17"/>
  <c r="I75" i="17"/>
  <c r="E47" i="17"/>
  <c r="E52" i="17"/>
  <c r="E89" i="17"/>
  <c r="E93" i="17"/>
  <c r="E97" i="17"/>
  <c r="E101" i="17"/>
  <c r="I11" i="17"/>
  <c r="I19" i="17"/>
  <c r="I27" i="17"/>
  <c r="E50" i="17"/>
  <c r="M61" i="17"/>
  <c r="I67" i="17"/>
  <c r="I118" i="17"/>
  <c r="I122" i="17"/>
  <c r="I126" i="17"/>
  <c r="I130" i="17"/>
  <c r="I134" i="17"/>
  <c r="I138" i="17"/>
  <c r="I142" i="17"/>
  <c r="I146" i="17"/>
  <c r="I51" i="17"/>
  <c r="E65" i="17"/>
  <c r="K118" i="17"/>
  <c r="K122" i="17"/>
  <c r="K126" i="17"/>
  <c r="K130" i="17"/>
  <c r="K134" i="17"/>
  <c r="K138" i="17"/>
  <c r="K142" i="17"/>
  <c r="K146" i="17"/>
  <c r="P71" i="17" l="1"/>
  <c r="Q70" i="17"/>
  <c r="P51" i="17"/>
  <c r="P77" i="17"/>
  <c r="Q76" i="17"/>
  <c r="P55" i="17"/>
  <c r="P44" i="17"/>
  <c r="P54" i="17"/>
  <c r="P62" i="17"/>
  <c r="P74" i="17"/>
  <c r="Q68" i="17"/>
  <c r="M32" i="17"/>
  <c r="P60" i="17"/>
  <c r="Q56" i="17"/>
  <c r="Q57" i="17"/>
  <c r="M21" i="17"/>
  <c r="Q14" i="17"/>
  <c r="Q54" i="17"/>
  <c r="Q64" i="17"/>
  <c r="M8" i="17"/>
  <c r="Q62" i="17"/>
  <c r="Q32" i="17"/>
  <c r="P76" i="17"/>
  <c r="Q49" i="17"/>
  <c r="F20" i="13"/>
  <c r="M73" i="17"/>
  <c r="M51" i="17"/>
  <c r="M57" i="17"/>
  <c r="Q15" i="17"/>
  <c r="K20" i="17"/>
  <c r="K24" i="17"/>
  <c r="M70" i="17"/>
  <c r="P28" i="17"/>
  <c r="P15" i="17"/>
  <c r="Q73" i="17"/>
  <c r="P22" i="17"/>
  <c r="K9" i="17"/>
  <c r="K18" i="17"/>
  <c r="K17" i="17"/>
  <c r="E145" i="17"/>
  <c r="Q25" i="17"/>
  <c r="J79" i="17"/>
  <c r="K8" i="17"/>
  <c r="K23" i="17"/>
  <c r="K21" i="17"/>
  <c r="Q37" i="17"/>
  <c r="K30" i="17"/>
  <c r="K31" i="17"/>
  <c r="K26" i="17"/>
  <c r="M20" i="17"/>
  <c r="M35" i="17"/>
  <c r="M28" i="17"/>
  <c r="K16" i="17"/>
  <c r="K14" i="17"/>
  <c r="M10" i="17"/>
  <c r="K27" i="17"/>
  <c r="K32" i="17"/>
  <c r="K35" i="17"/>
  <c r="E37" i="17"/>
  <c r="M9" i="17"/>
  <c r="M22" i="17"/>
  <c r="P57" i="17"/>
  <c r="M117" i="17"/>
  <c r="M13" i="17"/>
  <c r="P23" i="17"/>
  <c r="M30" i="17"/>
  <c r="M125" i="17"/>
  <c r="P68" i="17"/>
  <c r="Q28" i="17"/>
  <c r="M119" i="17"/>
  <c r="M27" i="17"/>
  <c r="M123" i="17"/>
  <c r="M15" i="17"/>
  <c r="M126" i="17"/>
  <c r="M151" i="17"/>
  <c r="Q66" i="17"/>
  <c r="M122" i="17"/>
  <c r="M19" i="17"/>
  <c r="M49" i="17"/>
  <c r="M153" i="17"/>
  <c r="N7" i="17"/>
  <c r="O24" i="17" s="1"/>
  <c r="M144" i="17"/>
  <c r="Q18" i="17"/>
  <c r="M118" i="17"/>
  <c r="M14" i="17"/>
  <c r="M11" i="17"/>
  <c r="M25" i="17"/>
  <c r="M18" i="17"/>
  <c r="Q17" i="17"/>
  <c r="Q61" i="17"/>
  <c r="M37" i="17"/>
  <c r="M26" i="17"/>
  <c r="M31" i="17"/>
  <c r="M137" i="17"/>
  <c r="M36" i="17"/>
  <c r="P18" i="17"/>
  <c r="M29" i="17"/>
  <c r="M17" i="17"/>
  <c r="M34" i="17"/>
  <c r="Q23" i="17"/>
  <c r="P73" i="17"/>
  <c r="E144" i="17"/>
  <c r="P31" i="17"/>
  <c r="P67" i="17"/>
  <c r="M77" i="17"/>
  <c r="M131" i="17"/>
  <c r="P32" i="17"/>
  <c r="E132" i="17"/>
  <c r="E147" i="17"/>
  <c r="M50" i="17"/>
  <c r="E131" i="17"/>
  <c r="P61" i="17"/>
  <c r="E119" i="17"/>
  <c r="P66" i="17"/>
  <c r="Q45" i="17"/>
  <c r="E140" i="17"/>
  <c r="P65" i="17"/>
  <c r="Q12" i="17"/>
  <c r="Q9" i="17"/>
  <c r="P63" i="17"/>
  <c r="E152" i="17"/>
  <c r="P50" i="17"/>
  <c r="E231" i="13"/>
  <c r="E307" i="13"/>
  <c r="E353" i="13"/>
  <c r="M69" i="17"/>
  <c r="M23" i="17"/>
  <c r="Q34" i="17"/>
  <c r="P10" i="17"/>
  <c r="K19" i="17"/>
  <c r="M139" i="17"/>
  <c r="E149" i="17"/>
  <c r="M62" i="17"/>
  <c r="E271" i="13"/>
  <c r="M56" i="17"/>
  <c r="P12" i="17"/>
  <c r="M145" i="17"/>
  <c r="Q20" i="17"/>
  <c r="Q36" i="17"/>
  <c r="E127" i="17"/>
  <c r="Q71" i="17"/>
  <c r="M120" i="17"/>
  <c r="P14" i="17"/>
  <c r="M54" i="17"/>
  <c r="P45" i="17"/>
  <c r="M148" i="17"/>
  <c r="M71" i="17"/>
  <c r="M141" i="17"/>
  <c r="M67" i="17"/>
  <c r="E123" i="17"/>
  <c r="P20" i="17"/>
  <c r="M146" i="17"/>
  <c r="Q60" i="17"/>
  <c r="M124" i="17"/>
  <c r="M68" i="17"/>
  <c r="M150" i="17"/>
  <c r="P13" i="17"/>
  <c r="M60" i="17"/>
  <c r="Q65" i="17"/>
  <c r="M75" i="17"/>
  <c r="P36" i="17"/>
  <c r="M132" i="17"/>
  <c r="M55" i="17"/>
  <c r="M152" i="17"/>
  <c r="M76" i="17"/>
  <c r="M128" i="17"/>
  <c r="M63" i="17"/>
  <c r="M66" i="17"/>
  <c r="M33" i="17"/>
  <c r="L158" i="17"/>
  <c r="K29" i="17"/>
  <c r="M136" i="17"/>
  <c r="M64" i="17"/>
  <c r="E152" i="13"/>
  <c r="E185" i="13" s="1"/>
  <c r="P26" i="17"/>
  <c r="M65" i="17"/>
  <c r="M149" i="17"/>
  <c r="E148" i="17"/>
  <c r="Q63" i="17"/>
  <c r="M140" i="17"/>
  <c r="M72" i="17"/>
  <c r="E16" i="17"/>
  <c r="C4" i="13"/>
  <c r="M142" i="17"/>
  <c r="Q16" i="17"/>
  <c r="M127" i="17"/>
  <c r="P35" i="17"/>
  <c r="E124" i="17"/>
  <c r="P34" i="17"/>
  <c r="Q30" i="17"/>
  <c r="M138" i="17"/>
  <c r="M121" i="17"/>
  <c r="M135" i="17"/>
  <c r="Q26" i="17"/>
  <c r="F71" i="13"/>
  <c r="F65" i="13"/>
  <c r="Q21" i="17"/>
  <c r="Q29" i="17"/>
  <c r="P29" i="17"/>
  <c r="Q22" i="17"/>
  <c r="M134" i="17"/>
  <c r="M129" i="17"/>
  <c r="M143" i="17"/>
  <c r="Q13" i="17"/>
  <c r="F54" i="13"/>
  <c r="P21" i="17"/>
  <c r="E107" i="13"/>
  <c r="Q8" i="17"/>
  <c r="F41" i="13"/>
  <c r="D158" i="17"/>
  <c r="M130" i="17"/>
  <c r="M133" i="17"/>
  <c r="M147" i="17"/>
  <c r="O18" i="17"/>
  <c r="P9" i="17"/>
  <c r="Q10" i="17"/>
  <c r="M12" i="17"/>
  <c r="C20" i="13"/>
  <c r="P17" i="17"/>
  <c r="F50" i="13"/>
  <c r="N38" i="17"/>
  <c r="L80" i="17"/>
  <c r="P16" i="17"/>
  <c r="F70" i="13"/>
  <c r="P37" i="17"/>
  <c r="N43" i="17"/>
  <c r="O50" i="17" s="1"/>
  <c r="K72" i="17"/>
  <c r="P30" i="17"/>
  <c r="P25" i="17"/>
  <c r="F58" i="13"/>
  <c r="E8" i="17"/>
  <c r="Q75" i="17"/>
  <c r="E118" i="17"/>
  <c r="P27" i="17"/>
  <c r="E153" i="17"/>
  <c r="K70" i="17"/>
  <c r="K58" i="17"/>
  <c r="E141" i="17"/>
  <c r="Q19" i="17"/>
  <c r="P19" i="17"/>
  <c r="E137" i="17"/>
  <c r="E33" i="17"/>
  <c r="E25" i="17"/>
  <c r="E17" i="17"/>
  <c r="E9" i="17"/>
  <c r="E34" i="17"/>
  <c r="E26" i="17"/>
  <c r="E18" i="17"/>
  <c r="E10" i="17"/>
  <c r="E35" i="17"/>
  <c r="E27" i="17"/>
  <c r="E19" i="17"/>
  <c r="E11" i="17"/>
  <c r="D159" i="17"/>
  <c r="D39" i="17"/>
  <c r="E36" i="17"/>
  <c r="E28" i="17"/>
  <c r="E20" i="17"/>
  <c r="E12" i="17"/>
  <c r="E21" i="17"/>
  <c r="E13" i="17"/>
  <c r="Q67" i="17"/>
  <c r="N78" i="17"/>
  <c r="J39" i="17"/>
  <c r="Q11" i="17"/>
  <c r="P11" i="17"/>
  <c r="E133" i="17"/>
  <c r="P72" i="17"/>
  <c r="E129" i="17"/>
  <c r="K64" i="17"/>
  <c r="E31" i="17"/>
  <c r="K76" i="17"/>
  <c r="E125" i="17"/>
  <c r="K62" i="17"/>
  <c r="K49" i="17"/>
  <c r="E150" i="17"/>
  <c r="E121" i="17"/>
  <c r="L39" i="17"/>
  <c r="E146" i="17"/>
  <c r="F116" i="17"/>
  <c r="E32" i="17"/>
  <c r="Q27" i="17"/>
  <c r="K75" i="17"/>
  <c r="K54" i="17"/>
  <c r="K55" i="17"/>
  <c r="K69" i="17"/>
  <c r="K61" i="17"/>
  <c r="K77" i="17"/>
  <c r="K56" i="17"/>
  <c r="K44" i="17"/>
  <c r="K57" i="17"/>
  <c r="K45" i="17"/>
  <c r="K71" i="17"/>
  <c r="K63" i="17"/>
  <c r="J80" i="17"/>
  <c r="K73" i="17"/>
  <c r="K65" i="17"/>
  <c r="K74" i="17"/>
  <c r="K67" i="17"/>
  <c r="E30" i="17"/>
  <c r="E136" i="17"/>
  <c r="E15" i="17"/>
  <c r="E142" i="17"/>
  <c r="E22" i="17"/>
  <c r="E23" i="17"/>
  <c r="E151" i="17"/>
  <c r="E138" i="17"/>
  <c r="E29" i="17"/>
  <c r="K68" i="17"/>
  <c r="O23" i="17"/>
  <c r="P64" i="17"/>
  <c r="P58" i="17"/>
  <c r="E134" i="17"/>
  <c r="P46" i="17"/>
  <c r="P8" i="17"/>
  <c r="F7" i="17"/>
  <c r="G24" i="17" s="1"/>
  <c r="N116" i="17"/>
  <c r="O118" i="17" s="1"/>
  <c r="N157" i="17"/>
  <c r="E14" i="17"/>
  <c r="E143" i="17"/>
  <c r="P75" i="17"/>
  <c r="Q46" i="17"/>
  <c r="E130" i="17"/>
  <c r="D79" i="17"/>
  <c r="K60" i="17"/>
  <c r="E128" i="17"/>
  <c r="E139" i="17"/>
  <c r="K46" i="17"/>
  <c r="E126" i="17"/>
  <c r="Q58" i="17"/>
  <c r="E135" i="17"/>
  <c r="F43" i="17"/>
  <c r="G64" i="17" s="1"/>
  <c r="E122" i="17"/>
  <c r="Q35" i="17"/>
  <c r="K50" i="17"/>
  <c r="E117" i="17"/>
  <c r="K51" i="17"/>
  <c r="O31" i="17" l="1"/>
  <c r="O25" i="17"/>
  <c r="O29" i="17"/>
  <c r="O19" i="17"/>
  <c r="O33" i="17"/>
  <c r="O27" i="17"/>
  <c r="O13" i="17"/>
  <c r="O34" i="17"/>
  <c r="O28" i="17"/>
  <c r="O11" i="17"/>
  <c r="O30" i="17"/>
  <c r="O17" i="17"/>
  <c r="O35" i="17"/>
  <c r="O14" i="17"/>
  <c r="O12" i="17"/>
  <c r="O37" i="17"/>
  <c r="O8" i="17"/>
  <c r="G8" i="17"/>
  <c r="N39" i="17"/>
  <c r="O32" i="17"/>
  <c r="O22" i="17"/>
  <c r="O26" i="17"/>
  <c r="O10" i="17"/>
  <c r="O20" i="17"/>
  <c r="O36" i="17"/>
  <c r="O9" i="17"/>
  <c r="O21" i="17"/>
  <c r="G140" i="17"/>
  <c r="Q140" i="17" s="1"/>
  <c r="O15" i="17"/>
  <c r="O16" i="17"/>
  <c r="O146" i="17"/>
  <c r="O130" i="17"/>
  <c r="O54" i="17"/>
  <c r="O142" i="17"/>
  <c r="O122" i="17"/>
  <c r="O63" i="17"/>
  <c r="O77" i="17"/>
  <c r="O65" i="17"/>
  <c r="G144" i="17"/>
  <c r="Q144" i="17" s="1"/>
  <c r="O55" i="17"/>
  <c r="G152" i="17"/>
  <c r="Q152" i="17" s="1"/>
  <c r="G120" i="17"/>
  <c r="Q120" i="17" s="1"/>
  <c r="O51" i="17"/>
  <c r="O62" i="17"/>
  <c r="O75" i="17"/>
  <c r="O70" i="17"/>
  <c r="O73" i="17"/>
  <c r="O61" i="17"/>
  <c r="O64" i="17"/>
  <c r="O44" i="17"/>
  <c r="O49" i="17"/>
  <c r="O67" i="17"/>
  <c r="O76" i="17"/>
  <c r="O72" i="17"/>
  <c r="O45" i="17"/>
  <c r="O60" i="17"/>
  <c r="G46" i="17"/>
  <c r="O57" i="17"/>
  <c r="O74" i="17"/>
  <c r="P78" i="17"/>
  <c r="O66" i="17"/>
  <c r="O59" i="17"/>
  <c r="O68" i="17"/>
  <c r="O69" i="17"/>
  <c r="O46" i="17"/>
  <c r="O126" i="17"/>
  <c r="G128" i="17"/>
  <c r="Q128" i="17" s="1"/>
  <c r="G58" i="17"/>
  <c r="G72" i="17"/>
  <c r="O117" i="17"/>
  <c r="O150" i="17"/>
  <c r="O56" i="17"/>
  <c r="O58" i="17"/>
  <c r="O134" i="17"/>
  <c r="O71" i="17"/>
  <c r="G85" i="17"/>
  <c r="Q85" i="17" s="1"/>
  <c r="G150" i="17"/>
  <c r="Q150" i="17" s="1"/>
  <c r="G146" i="17"/>
  <c r="Q146" i="17" s="1"/>
  <c r="G142" i="17"/>
  <c r="Q142" i="17" s="1"/>
  <c r="G138" i="17"/>
  <c r="Q138" i="17" s="1"/>
  <c r="G134" i="17"/>
  <c r="Q134" i="17" s="1"/>
  <c r="G130" i="17"/>
  <c r="Q130" i="17" s="1"/>
  <c r="G126" i="17"/>
  <c r="Q126" i="17" s="1"/>
  <c r="G122" i="17"/>
  <c r="Q122" i="17" s="1"/>
  <c r="G118" i="17"/>
  <c r="Q118" i="17" s="1"/>
  <c r="G143" i="17"/>
  <c r="Q143" i="17" s="1"/>
  <c r="G139" i="17"/>
  <c r="Q139" i="17" s="1"/>
  <c r="G135" i="17"/>
  <c r="Q135" i="17" s="1"/>
  <c r="G131" i="17"/>
  <c r="Q131" i="17" s="1"/>
  <c r="G127" i="17"/>
  <c r="Q127" i="17" s="1"/>
  <c r="G123" i="17"/>
  <c r="Q123" i="17" s="1"/>
  <c r="G119" i="17"/>
  <c r="Q119" i="17" s="1"/>
  <c r="F158" i="17"/>
  <c r="G129" i="17"/>
  <c r="Q129" i="17" s="1"/>
  <c r="G133" i="17"/>
  <c r="Q133" i="17" s="1"/>
  <c r="G121" i="17"/>
  <c r="Q121" i="17" s="1"/>
  <c r="G137" i="17"/>
  <c r="Q137" i="17" s="1"/>
  <c r="G141" i="17"/>
  <c r="Q141" i="17" s="1"/>
  <c r="G147" i="17"/>
  <c r="Q147" i="17" s="1"/>
  <c r="G145" i="17"/>
  <c r="Q145" i="17" s="1"/>
  <c r="G151" i="17"/>
  <c r="Q151" i="17" s="1"/>
  <c r="G117" i="17"/>
  <c r="Q117" i="17" s="1"/>
  <c r="G149" i="17"/>
  <c r="Q149" i="17" s="1"/>
  <c r="G153" i="17"/>
  <c r="Q153" i="17" s="1"/>
  <c r="G125" i="17"/>
  <c r="Q125" i="17" s="1"/>
  <c r="G124" i="17"/>
  <c r="Q124" i="17" s="1"/>
  <c r="G89" i="17"/>
  <c r="Q89" i="17" s="1"/>
  <c r="G94" i="17"/>
  <c r="Q94" i="17" s="1"/>
  <c r="G132" i="17"/>
  <c r="Q132" i="17" s="1"/>
  <c r="O138" i="17"/>
  <c r="G99" i="17"/>
  <c r="Q99" i="17" s="1"/>
  <c r="N80" i="17"/>
  <c r="F79" i="17"/>
  <c r="F84" i="17" s="1"/>
  <c r="G100" i="17" s="1"/>
  <c r="Q100" i="17" s="1"/>
  <c r="G69" i="17"/>
  <c r="G61" i="17"/>
  <c r="G50" i="17"/>
  <c r="G76" i="17"/>
  <c r="G51" i="17"/>
  <c r="G71" i="17"/>
  <c r="G44" i="17"/>
  <c r="G75" i="17"/>
  <c r="G73" i="17"/>
  <c r="G49" i="17"/>
  <c r="G74" i="17"/>
  <c r="G55" i="17"/>
  <c r="G70" i="17"/>
  <c r="G66" i="17"/>
  <c r="G60" i="17"/>
  <c r="G54" i="17"/>
  <c r="G45" i="17"/>
  <c r="G62" i="17"/>
  <c r="G67" i="17"/>
  <c r="G65" i="17"/>
  <c r="G77" i="17"/>
  <c r="G68" i="17"/>
  <c r="G59" i="17"/>
  <c r="G57" i="17"/>
  <c r="G63" i="17"/>
  <c r="G56" i="17"/>
  <c r="G136" i="17"/>
  <c r="Q136" i="17" s="1"/>
  <c r="N158" i="17"/>
  <c r="O131" i="17"/>
  <c r="O135" i="17"/>
  <c r="O123" i="17"/>
  <c r="O144" i="17"/>
  <c r="O121" i="17"/>
  <c r="O140" i="17"/>
  <c r="O139" i="17"/>
  <c r="O148" i="17"/>
  <c r="O125" i="17"/>
  <c r="O143" i="17"/>
  <c r="O129" i="17"/>
  <c r="O147" i="17"/>
  <c r="O133" i="17"/>
  <c r="O151" i="17"/>
  <c r="O119" i="17"/>
  <c r="O137" i="17"/>
  <c r="O141" i="17"/>
  <c r="O152" i="17"/>
  <c r="O145" i="17"/>
  <c r="O136" i="17"/>
  <c r="O132" i="17"/>
  <c r="O149" i="17"/>
  <c r="O153" i="17"/>
  <c r="O124" i="17"/>
  <c r="O120" i="17"/>
  <c r="O128" i="17"/>
  <c r="O127" i="17"/>
  <c r="N79" i="17"/>
  <c r="G35" i="17"/>
  <c r="G27" i="17"/>
  <c r="G19" i="17"/>
  <c r="G11" i="17"/>
  <c r="F159" i="17"/>
  <c r="F39" i="17"/>
  <c r="F5" i="17"/>
  <c r="G37" i="17"/>
  <c r="G29" i="17"/>
  <c r="G21" i="17"/>
  <c r="G13" i="17"/>
  <c r="G15" i="17"/>
  <c r="G33" i="17"/>
  <c r="G32" i="17"/>
  <c r="G34" i="17"/>
  <c r="G9" i="17"/>
  <c r="G23" i="17"/>
  <c r="G12" i="17"/>
  <c r="G17" i="17"/>
  <c r="G31" i="17"/>
  <c r="G20" i="17"/>
  <c r="G36" i="17"/>
  <c r="G18" i="17"/>
  <c r="G16" i="17"/>
  <c r="G22" i="17"/>
  <c r="G28" i="17"/>
  <c r="G10" i="17"/>
  <c r="G26" i="17"/>
  <c r="G30" i="17"/>
  <c r="G25" i="17"/>
  <c r="G14" i="17"/>
  <c r="P43" i="17"/>
  <c r="G148" i="17"/>
  <c r="Q148" i="17" s="1"/>
  <c r="P7" i="17"/>
  <c r="P38" i="17"/>
  <c r="G91" i="17"/>
  <c r="Q91" i="17" s="1"/>
  <c r="G48" i="17" l="1"/>
  <c r="Q48" i="17" s="1"/>
  <c r="G97" i="17"/>
  <c r="Q97" i="17" s="1"/>
  <c r="G103" i="17"/>
  <c r="Q103" i="17" s="1"/>
  <c r="G86" i="17"/>
  <c r="Q86" i="17" s="1"/>
  <c r="G102" i="17"/>
  <c r="Q102" i="17" s="1"/>
  <c r="G53" i="17"/>
  <c r="Q53" i="17" s="1"/>
  <c r="G52" i="17"/>
  <c r="Q52" i="17" s="1"/>
  <c r="F112" i="17"/>
  <c r="G96" i="17"/>
  <c r="Q96" i="17" s="1"/>
  <c r="G104" i="17"/>
  <c r="Q104" i="17" s="1"/>
  <c r="G92" i="17"/>
  <c r="Q92" i="17" s="1"/>
  <c r="G47" i="17"/>
  <c r="Q47" i="17" s="1"/>
  <c r="G101" i="17"/>
  <c r="Q101" i="17" s="1"/>
  <c r="G90" i="17"/>
  <c r="Q90" i="17" s="1"/>
  <c r="G88" i="17"/>
  <c r="Q88" i="17" s="1"/>
  <c r="G93" i="17"/>
  <c r="Q93" i="17" s="1"/>
  <c r="G105" i="17"/>
  <c r="Q105" i="17" s="1"/>
  <c r="G98" i="17"/>
  <c r="Q98" i="17" s="1"/>
  <c r="G95" i="17"/>
  <c r="Q95" i="17" s="1"/>
  <c r="G87" i="17"/>
  <c r="Q87" i="17" s="1"/>
  <c r="P79" i="17"/>
  <c r="P39" i="17"/>
  <c r="P80" i="17"/>
  <c r="P157" i="1" l="1"/>
  <c r="J157" i="1"/>
  <c r="H157" i="1"/>
  <c r="F157" i="1"/>
  <c r="D157" i="1"/>
  <c r="C156" i="1"/>
  <c r="C155" i="1"/>
  <c r="C154" i="1"/>
  <c r="L153" i="1"/>
  <c r="D153" i="1"/>
  <c r="C227" i="13" s="1"/>
  <c r="AA227" i="13" s="1"/>
  <c r="C153" i="1"/>
  <c r="L152" i="1"/>
  <c r="D152" i="1"/>
  <c r="C226" i="13" s="1"/>
  <c r="AA226" i="13" s="1"/>
  <c r="C152" i="1"/>
  <c r="L151" i="1"/>
  <c r="D151" i="1"/>
  <c r="C151" i="1"/>
  <c r="L150" i="1"/>
  <c r="D150" i="1"/>
  <c r="C150" i="1"/>
  <c r="L149" i="1"/>
  <c r="D149" i="1"/>
  <c r="C223" i="13" s="1"/>
  <c r="AA223" i="13" s="1"/>
  <c r="C149" i="1"/>
  <c r="L148" i="1"/>
  <c r="D148" i="1"/>
  <c r="C222" i="13" s="1"/>
  <c r="AA222" i="13" s="1"/>
  <c r="C148" i="1"/>
  <c r="L147" i="1"/>
  <c r="D147" i="1"/>
  <c r="C221" i="13" s="1"/>
  <c r="AA221" i="13" s="1"/>
  <c r="C147" i="1"/>
  <c r="L146" i="1"/>
  <c r="C342" i="13" s="1"/>
  <c r="D342" i="13" s="1"/>
  <c r="F342" i="13" s="1"/>
  <c r="H342" i="13" s="1"/>
  <c r="J342" i="13" s="1"/>
  <c r="L342" i="13" s="1"/>
  <c r="N342" i="13" s="1"/>
  <c r="P342" i="13" s="1"/>
  <c r="R342" i="13" s="1"/>
  <c r="T342" i="13" s="1"/>
  <c r="V342" i="13" s="1"/>
  <c r="X342" i="13" s="1"/>
  <c r="Z342" i="13" s="1"/>
  <c r="D146" i="1"/>
  <c r="C146" i="1"/>
  <c r="L145" i="1"/>
  <c r="D145" i="1"/>
  <c r="C219" i="13" s="1"/>
  <c r="AA219" i="13" s="1"/>
  <c r="C145" i="1"/>
  <c r="L144" i="1"/>
  <c r="D144" i="1"/>
  <c r="C218" i="13" s="1"/>
  <c r="AA218" i="13" s="1"/>
  <c r="C144" i="1"/>
  <c r="L143" i="1"/>
  <c r="D143" i="1"/>
  <c r="C143" i="1"/>
  <c r="L142" i="1"/>
  <c r="D142" i="1"/>
  <c r="C142" i="1"/>
  <c r="L141" i="1"/>
  <c r="D141" i="1"/>
  <c r="C141" i="1"/>
  <c r="L140" i="1"/>
  <c r="D140" i="1"/>
  <c r="C214" i="13" s="1"/>
  <c r="AA214" i="13" s="1"/>
  <c r="C140" i="1"/>
  <c r="L139" i="1"/>
  <c r="D139" i="1"/>
  <c r="C139" i="1"/>
  <c r="L138" i="1"/>
  <c r="D138" i="1"/>
  <c r="C138" i="1"/>
  <c r="L137" i="1"/>
  <c r="D137" i="1"/>
  <c r="C137" i="1"/>
  <c r="L136" i="1"/>
  <c r="D136" i="1"/>
  <c r="C210" i="13" s="1"/>
  <c r="AA210" i="13" s="1"/>
  <c r="C136" i="1"/>
  <c r="L135" i="1"/>
  <c r="D135" i="1"/>
  <c r="C135" i="1"/>
  <c r="L134" i="1"/>
  <c r="D134" i="1"/>
  <c r="C134" i="1"/>
  <c r="L133" i="1"/>
  <c r="D133" i="1"/>
  <c r="C133" i="1"/>
  <c r="L132" i="1"/>
  <c r="D132" i="1"/>
  <c r="C206" i="13" s="1"/>
  <c r="AA206" i="13" s="1"/>
  <c r="C132" i="1"/>
  <c r="L131" i="1"/>
  <c r="D131" i="1"/>
  <c r="C131" i="1"/>
  <c r="L130" i="1"/>
  <c r="D130" i="1"/>
  <c r="C130" i="1"/>
  <c r="L129" i="1"/>
  <c r="D129" i="1"/>
  <c r="C129" i="1"/>
  <c r="L128" i="1"/>
  <c r="D128" i="1"/>
  <c r="C202" i="13" s="1"/>
  <c r="AA202" i="13" s="1"/>
  <c r="C128" i="1"/>
  <c r="L127" i="1"/>
  <c r="D127" i="1"/>
  <c r="C127" i="1"/>
  <c r="L126" i="1"/>
  <c r="D126" i="1"/>
  <c r="C200" i="13" s="1"/>
  <c r="AA200" i="13" s="1"/>
  <c r="C126" i="1"/>
  <c r="L125" i="1"/>
  <c r="D125" i="1"/>
  <c r="C125" i="1"/>
  <c r="L124" i="1"/>
  <c r="D124" i="1"/>
  <c r="C198" i="13" s="1"/>
  <c r="AA198" i="13" s="1"/>
  <c r="C124" i="1"/>
  <c r="L123" i="1"/>
  <c r="D123" i="1"/>
  <c r="C123" i="1"/>
  <c r="L122" i="1"/>
  <c r="C318" i="13" s="1"/>
  <c r="D318" i="13" s="1"/>
  <c r="F318" i="13" s="1"/>
  <c r="H318" i="13" s="1"/>
  <c r="J318" i="13" s="1"/>
  <c r="L318" i="13" s="1"/>
  <c r="N318" i="13" s="1"/>
  <c r="P318" i="13" s="1"/>
  <c r="R318" i="13" s="1"/>
  <c r="T318" i="13" s="1"/>
  <c r="V318" i="13" s="1"/>
  <c r="X318" i="13" s="1"/>
  <c r="Z318" i="13" s="1"/>
  <c r="D122" i="1"/>
  <c r="C122" i="1"/>
  <c r="L121" i="1"/>
  <c r="D121" i="1"/>
  <c r="C121" i="1"/>
  <c r="L120" i="1"/>
  <c r="D120" i="1"/>
  <c r="C194" i="13" s="1"/>
  <c r="AA194" i="13" s="1"/>
  <c r="C120" i="1"/>
  <c r="L119" i="1"/>
  <c r="D119" i="1"/>
  <c r="C119" i="1"/>
  <c r="L118" i="1"/>
  <c r="D118" i="1"/>
  <c r="C118" i="1"/>
  <c r="L117" i="1"/>
  <c r="C313" i="13" s="1"/>
  <c r="D117" i="1"/>
  <c r="C117" i="1"/>
  <c r="P116" i="1"/>
  <c r="P158" i="1" s="1"/>
  <c r="J116" i="1"/>
  <c r="K150" i="1" s="1"/>
  <c r="H116" i="1"/>
  <c r="I150" i="1" s="1"/>
  <c r="O114" i="1"/>
  <c r="L114" i="1"/>
  <c r="K114" i="1"/>
  <c r="H114" i="1"/>
  <c r="G114" i="1"/>
  <c r="D114" i="1"/>
  <c r="Q113" i="1"/>
  <c r="P113" i="1"/>
  <c r="O113" i="1"/>
  <c r="L113" i="1"/>
  <c r="H113" i="1"/>
  <c r="D113" i="1"/>
  <c r="F111" i="1"/>
  <c r="D111" i="1"/>
  <c r="C110" i="1"/>
  <c r="C109" i="1"/>
  <c r="C108" i="1"/>
  <c r="C107" i="1"/>
  <c r="C106" i="1"/>
  <c r="L105" i="1"/>
  <c r="C301" i="13" s="1"/>
  <c r="AA301" i="13" s="1"/>
  <c r="D105" i="1"/>
  <c r="C105" i="1"/>
  <c r="L104" i="1"/>
  <c r="D104" i="1"/>
  <c r="C104" i="1"/>
  <c r="L103" i="1"/>
  <c r="D103" i="1"/>
  <c r="C177" i="13" s="1"/>
  <c r="AA177" i="13" s="1"/>
  <c r="C103" i="1"/>
  <c r="L102" i="1"/>
  <c r="C298" i="13" s="1"/>
  <c r="AA298" i="13" s="1"/>
  <c r="D102" i="1"/>
  <c r="C102" i="1"/>
  <c r="L101" i="1"/>
  <c r="C297" i="13" s="1"/>
  <c r="AA297" i="13" s="1"/>
  <c r="D101" i="1"/>
  <c r="C101" i="1"/>
  <c r="L100" i="1"/>
  <c r="D100" i="1"/>
  <c r="C100" i="1"/>
  <c r="L99" i="1"/>
  <c r="D99" i="1"/>
  <c r="C173" i="13" s="1"/>
  <c r="AA173" i="13" s="1"/>
  <c r="C99" i="1"/>
  <c r="L98" i="1"/>
  <c r="D98" i="1"/>
  <c r="C98" i="1"/>
  <c r="L97" i="1"/>
  <c r="C293" i="13" s="1"/>
  <c r="AA293" i="13" s="1"/>
  <c r="D97" i="1"/>
  <c r="C97" i="1"/>
  <c r="L96" i="1"/>
  <c r="D96" i="1"/>
  <c r="C96" i="1"/>
  <c r="L95" i="1"/>
  <c r="C291" i="13" s="1"/>
  <c r="AA291" i="13" s="1"/>
  <c r="D95" i="1"/>
  <c r="C169" i="13" s="1"/>
  <c r="AA169" i="13" s="1"/>
  <c r="C95" i="1"/>
  <c r="L94" i="1"/>
  <c r="D94" i="1"/>
  <c r="C94" i="1"/>
  <c r="L93" i="1"/>
  <c r="C289" i="13" s="1"/>
  <c r="AA289" i="13" s="1"/>
  <c r="D93" i="1"/>
  <c r="C93" i="1"/>
  <c r="L92" i="1"/>
  <c r="C288" i="13" s="1"/>
  <c r="AA288" i="13" s="1"/>
  <c r="D92" i="1"/>
  <c r="C92" i="1"/>
  <c r="L91" i="1"/>
  <c r="C287" i="13" s="1"/>
  <c r="AA287" i="13" s="1"/>
  <c r="D91" i="1"/>
  <c r="C165" i="13" s="1"/>
  <c r="AA165" i="13" s="1"/>
  <c r="C91" i="1"/>
  <c r="L90" i="1"/>
  <c r="D90" i="1"/>
  <c r="C90" i="1"/>
  <c r="L89" i="1"/>
  <c r="C285" i="13" s="1"/>
  <c r="AA285" i="13" s="1"/>
  <c r="D89" i="1"/>
  <c r="C89" i="1"/>
  <c r="L88" i="1"/>
  <c r="D88" i="1"/>
  <c r="C88" i="1"/>
  <c r="L87" i="1"/>
  <c r="D87" i="1"/>
  <c r="C161" i="13" s="1"/>
  <c r="AA161" i="13" s="1"/>
  <c r="C87" i="1"/>
  <c r="L53" i="1"/>
  <c r="D53" i="1"/>
  <c r="C53" i="1"/>
  <c r="L52" i="1"/>
  <c r="C281" i="13" s="1"/>
  <c r="AA281" i="13" s="1"/>
  <c r="D52" i="1"/>
  <c r="C52" i="1"/>
  <c r="L86" i="1"/>
  <c r="D86" i="1"/>
  <c r="C86" i="1"/>
  <c r="L85" i="1"/>
  <c r="D85" i="1"/>
  <c r="C159" i="13" s="1"/>
  <c r="AA159" i="13" s="1"/>
  <c r="C85" i="1"/>
  <c r="L48" i="1"/>
  <c r="D48" i="1"/>
  <c r="C48" i="1"/>
  <c r="L47" i="1"/>
  <c r="C277" i="13" s="1"/>
  <c r="D47" i="1"/>
  <c r="C121" i="13" s="1"/>
  <c r="C47" i="1"/>
  <c r="O82" i="1"/>
  <c r="L82" i="1"/>
  <c r="K82" i="1"/>
  <c r="H82" i="1"/>
  <c r="G82" i="1"/>
  <c r="D82" i="1"/>
  <c r="Q81" i="1"/>
  <c r="P81" i="1"/>
  <c r="O81" i="1"/>
  <c r="L81" i="1"/>
  <c r="H81" i="1"/>
  <c r="D81" i="1"/>
  <c r="H78" i="1"/>
  <c r="F78" i="1"/>
  <c r="D78" i="1"/>
  <c r="L77" i="1"/>
  <c r="J77" i="1"/>
  <c r="D77" i="1"/>
  <c r="C151" i="13" s="1"/>
  <c r="C77" i="1"/>
  <c r="A270" i="13" s="1"/>
  <c r="L76" i="1"/>
  <c r="J76" i="1"/>
  <c r="D76" i="1"/>
  <c r="C76" i="1"/>
  <c r="A269" i="13" s="1"/>
  <c r="L75" i="1"/>
  <c r="J75" i="1"/>
  <c r="D75" i="1"/>
  <c r="C149" i="13" s="1"/>
  <c r="AA149" i="13" s="1"/>
  <c r="C75" i="1"/>
  <c r="L74" i="1"/>
  <c r="J74" i="1"/>
  <c r="F74" i="1"/>
  <c r="C74" i="1"/>
  <c r="L73" i="1"/>
  <c r="J73" i="1"/>
  <c r="D73" i="1"/>
  <c r="C73" i="1"/>
  <c r="L72" i="1"/>
  <c r="J72" i="1"/>
  <c r="D72" i="1"/>
  <c r="C72" i="1"/>
  <c r="L71" i="1"/>
  <c r="C264" i="13" s="1"/>
  <c r="AA264" i="13" s="1"/>
  <c r="J71" i="1"/>
  <c r="D71" i="1"/>
  <c r="C71" i="1"/>
  <c r="L70" i="1"/>
  <c r="J70" i="1"/>
  <c r="D70" i="1"/>
  <c r="C144" i="13" s="1"/>
  <c r="AA144" i="13" s="1"/>
  <c r="C70" i="1"/>
  <c r="L69" i="1"/>
  <c r="C262" i="13" s="1"/>
  <c r="AA262" i="13" s="1"/>
  <c r="J69" i="1"/>
  <c r="D69" i="1"/>
  <c r="C69" i="1"/>
  <c r="L68" i="1"/>
  <c r="C261" i="13" s="1"/>
  <c r="AA261" i="13" s="1"/>
  <c r="J68" i="1"/>
  <c r="D68" i="1"/>
  <c r="C142" i="13" s="1"/>
  <c r="AA142" i="13" s="1"/>
  <c r="C68" i="1"/>
  <c r="L67" i="1"/>
  <c r="J67" i="1"/>
  <c r="D67" i="1"/>
  <c r="C67" i="1"/>
  <c r="L66" i="1"/>
  <c r="J66" i="1"/>
  <c r="D66" i="1"/>
  <c r="C140" i="13" s="1"/>
  <c r="AA140" i="13" s="1"/>
  <c r="C66" i="1"/>
  <c r="L65" i="1"/>
  <c r="J65" i="1"/>
  <c r="D65" i="1"/>
  <c r="C65" i="1"/>
  <c r="L64" i="1"/>
  <c r="J64" i="1"/>
  <c r="D64" i="1"/>
  <c r="C64" i="1"/>
  <c r="L63" i="1"/>
  <c r="C256" i="13" s="1"/>
  <c r="AA256" i="13" s="1"/>
  <c r="J63" i="1"/>
  <c r="D63" i="1"/>
  <c r="C63" i="1"/>
  <c r="L62" i="1"/>
  <c r="J62" i="1"/>
  <c r="D62" i="1"/>
  <c r="C62" i="1"/>
  <c r="L61" i="1"/>
  <c r="J61" i="1"/>
  <c r="I61" i="1"/>
  <c r="D61" i="1"/>
  <c r="C61" i="1"/>
  <c r="L60" i="1"/>
  <c r="C253" i="13" s="1"/>
  <c r="AA253" i="13" s="1"/>
  <c r="J60" i="1"/>
  <c r="D60" i="1"/>
  <c r="C60" i="1"/>
  <c r="L59" i="1"/>
  <c r="D59" i="1"/>
  <c r="C59" i="1"/>
  <c r="L58" i="1"/>
  <c r="J58" i="1"/>
  <c r="D58" i="1"/>
  <c r="C58" i="1"/>
  <c r="L57" i="1"/>
  <c r="J57" i="1"/>
  <c r="D57" i="1"/>
  <c r="C131" i="13" s="1"/>
  <c r="AA131" i="13" s="1"/>
  <c r="C57" i="1"/>
  <c r="L56" i="1"/>
  <c r="J56" i="1"/>
  <c r="D56" i="1"/>
  <c r="C56" i="1"/>
  <c r="L55" i="1"/>
  <c r="J55" i="1"/>
  <c r="D55" i="1"/>
  <c r="C55" i="1"/>
  <c r="L54" i="1"/>
  <c r="J54" i="1"/>
  <c r="D54" i="1"/>
  <c r="C54" i="1"/>
  <c r="L51" i="1"/>
  <c r="J51" i="1"/>
  <c r="D51" i="1"/>
  <c r="C51" i="1"/>
  <c r="L50" i="1"/>
  <c r="J50" i="1"/>
  <c r="D50" i="1"/>
  <c r="C124" i="13" s="1"/>
  <c r="AA124" i="13" s="1"/>
  <c r="C50" i="1"/>
  <c r="L49" i="1"/>
  <c r="J49" i="1"/>
  <c r="I49" i="1"/>
  <c r="D49" i="1"/>
  <c r="C49" i="1"/>
  <c r="L46" i="1"/>
  <c r="J46" i="1"/>
  <c r="D46" i="1"/>
  <c r="C120" i="13" s="1"/>
  <c r="AA120" i="13" s="1"/>
  <c r="C46" i="1"/>
  <c r="L45" i="1"/>
  <c r="J45" i="1"/>
  <c r="D45" i="1"/>
  <c r="C45" i="1"/>
  <c r="L44" i="1"/>
  <c r="J44" i="1"/>
  <c r="D44" i="1"/>
  <c r="C118" i="13" s="1"/>
  <c r="C44" i="1"/>
  <c r="A241" i="13" s="1"/>
  <c r="H43" i="1"/>
  <c r="I68" i="1" s="1"/>
  <c r="O41" i="1"/>
  <c r="L41" i="1"/>
  <c r="K41" i="1"/>
  <c r="H41" i="1"/>
  <c r="G41" i="1"/>
  <c r="D41" i="1"/>
  <c r="Q40" i="1"/>
  <c r="P40" i="1"/>
  <c r="O40" i="1"/>
  <c r="L40" i="1"/>
  <c r="H40" i="1"/>
  <c r="D40" i="1"/>
  <c r="H38" i="1"/>
  <c r="H80" i="1" s="1"/>
  <c r="F38" i="1"/>
  <c r="F80" i="1" s="1"/>
  <c r="D38" i="1"/>
  <c r="D80" i="1" s="1"/>
  <c r="L37" i="1"/>
  <c r="C106" i="13" s="1"/>
  <c r="J37" i="1"/>
  <c r="D37" i="1"/>
  <c r="C37" i="1"/>
  <c r="L36" i="1"/>
  <c r="J36" i="1"/>
  <c r="D36" i="1"/>
  <c r="C36" i="1"/>
  <c r="L35" i="1"/>
  <c r="C104" i="13" s="1"/>
  <c r="J35" i="1"/>
  <c r="D35" i="1"/>
  <c r="C68" i="13" s="1"/>
  <c r="AD104" i="13" s="1"/>
  <c r="C30" i="14" s="1"/>
  <c r="F30" i="14" s="1"/>
  <c r="C35" i="1"/>
  <c r="L34" i="1"/>
  <c r="C103" i="13" s="1"/>
  <c r="J34" i="1"/>
  <c r="D34" i="1"/>
  <c r="C34" i="1"/>
  <c r="L33" i="1"/>
  <c r="C102" i="13" s="1"/>
  <c r="J33" i="1"/>
  <c r="D33" i="1"/>
  <c r="C33" i="1"/>
  <c r="L32" i="1"/>
  <c r="C101" i="13" s="1"/>
  <c r="J32" i="1"/>
  <c r="D32" i="1"/>
  <c r="C32" i="1"/>
  <c r="L31" i="1"/>
  <c r="J31" i="1"/>
  <c r="D31" i="1"/>
  <c r="F31" i="1" s="1"/>
  <c r="C31" i="1"/>
  <c r="L30" i="1"/>
  <c r="N30" i="1" s="1"/>
  <c r="J30" i="1"/>
  <c r="D30" i="1"/>
  <c r="F30" i="1" s="1"/>
  <c r="C30" i="1"/>
  <c r="L29" i="1"/>
  <c r="J29" i="1"/>
  <c r="D29" i="1"/>
  <c r="F29" i="1" s="1"/>
  <c r="C29" i="1"/>
  <c r="L28" i="1"/>
  <c r="N28" i="1" s="1"/>
  <c r="J28" i="1"/>
  <c r="D28" i="1"/>
  <c r="F28" i="1" s="1"/>
  <c r="C28" i="1"/>
  <c r="L27" i="1"/>
  <c r="N27" i="1" s="1"/>
  <c r="J27" i="1"/>
  <c r="D27" i="1"/>
  <c r="C27" i="1"/>
  <c r="L26" i="1"/>
  <c r="J26" i="1"/>
  <c r="D26" i="1"/>
  <c r="F26" i="1" s="1"/>
  <c r="C26" i="1"/>
  <c r="L25" i="1"/>
  <c r="J25" i="1"/>
  <c r="D25" i="1"/>
  <c r="F25" i="1" s="1"/>
  <c r="C25" i="1"/>
  <c r="L23" i="1"/>
  <c r="N23" i="1" s="1"/>
  <c r="J23" i="1"/>
  <c r="D23" i="1"/>
  <c r="F23" i="1" s="1"/>
  <c r="C23" i="1"/>
  <c r="L22" i="1"/>
  <c r="N22" i="1" s="1"/>
  <c r="J22" i="1"/>
  <c r="D22" i="1"/>
  <c r="F22" i="1" s="1"/>
  <c r="C22" i="1"/>
  <c r="L21" i="1"/>
  <c r="J21" i="1"/>
  <c r="D21" i="1"/>
  <c r="F21" i="1" s="1"/>
  <c r="C21" i="1"/>
  <c r="L20" i="1"/>
  <c r="N20" i="1" s="1"/>
  <c r="J20" i="1"/>
  <c r="D20" i="1"/>
  <c r="F20" i="1" s="1"/>
  <c r="C20" i="1"/>
  <c r="L19" i="1"/>
  <c r="N19" i="1" s="1"/>
  <c r="J19" i="1"/>
  <c r="D19" i="1"/>
  <c r="F19" i="1" s="1"/>
  <c r="C19" i="1"/>
  <c r="L18" i="1"/>
  <c r="N18" i="1" s="1"/>
  <c r="J18" i="1"/>
  <c r="D18" i="1"/>
  <c r="F18" i="1" s="1"/>
  <c r="C18" i="1"/>
  <c r="L17" i="1"/>
  <c r="J17" i="1"/>
  <c r="D17" i="1"/>
  <c r="C17" i="1"/>
  <c r="L16" i="1"/>
  <c r="N16" i="1" s="1"/>
  <c r="J16" i="1"/>
  <c r="D16" i="1"/>
  <c r="F16" i="1" s="1"/>
  <c r="C16" i="1"/>
  <c r="L15" i="1"/>
  <c r="N15" i="1" s="1"/>
  <c r="J15" i="1"/>
  <c r="D15" i="1"/>
  <c r="F15" i="1" s="1"/>
  <c r="C15" i="1"/>
  <c r="L14" i="1"/>
  <c r="N14" i="1" s="1"/>
  <c r="J14" i="1"/>
  <c r="D14" i="1"/>
  <c r="F14" i="1" s="1"/>
  <c r="C14" i="1"/>
  <c r="L13" i="1"/>
  <c r="N13" i="1" s="1"/>
  <c r="J13" i="1"/>
  <c r="D13" i="1"/>
  <c r="F13" i="1" s="1"/>
  <c r="C13" i="1"/>
  <c r="L12" i="1"/>
  <c r="N12" i="1" s="1"/>
  <c r="J12" i="1"/>
  <c r="D12" i="1"/>
  <c r="F12" i="1" s="1"/>
  <c r="C12" i="1"/>
  <c r="L11" i="1"/>
  <c r="N11" i="1" s="1"/>
  <c r="J11" i="1"/>
  <c r="D11" i="1"/>
  <c r="F11" i="1" s="1"/>
  <c r="C11" i="1"/>
  <c r="L10" i="1"/>
  <c r="N10" i="1" s="1"/>
  <c r="J10" i="1"/>
  <c r="D10" i="1"/>
  <c r="F10" i="1" s="1"/>
  <c r="C10" i="1"/>
  <c r="L9" i="1"/>
  <c r="N9" i="1" s="1"/>
  <c r="J9" i="1"/>
  <c r="D9" i="1"/>
  <c r="F9" i="1" s="1"/>
  <c r="C9" i="1"/>
  <c r="L8" i="1"/>
  <c r="N8" i="1" s="1"/>
  <c r="J8" i="1"/>
  <c r="D8" i="1"/>
  <c r="C8" i="1"/>
  <c r="H7" i="1"/>
  <c r="O3" i="1"/>
  <c r="L3" i="1"/>
  <c r="K3" i="1"/>
  <c r="H3" i="1"/>
  <c r="G3" i="1"/>
  <c r="D3" i="1"/>
  <c r="Q2" i="1"/>
  <c r="P2" i="1"/>
  <c r="O2" i="1"/>
  <c r="L2" i="1"/>
  <c r="H2" i="1"/>
  <c r="D2" i="1"/>
  <c r="N102" i="1" l="1"/>
  <c r="I149" i="1"/>
  <c r="I54" i="1"/>
  <c r="N91" i="1"/>
  <c r="F6" i="1"/>
  <c r="F126" i="1"/>
  <c r="I33" i="1"/>
  <c r="I24" i="1"/>
  <c r="F68" i="1"/>
  <c r="I129" i="1"/>
  <c r="I58" i="1"/>
  <c r="I125" i="1"/>
  <c r="I145" i="1"/>
  <c r="I44" i="1"/>
  <c r="I121" i="1"/>
  <c r="I50" i="1"/>
  <c r="N69" i="1"/>
  <c r="I59" i="1"/>
  <c r="I141" i="1"/>
  <c r="I63" i="1"/>
  <c r="I117" i="1"/>
  <c r="I55" i="1"/>
  <c r="F66" i="1"/>
  <c r="I56" i="1"/>
  <c r="P12" i="1"/>
  <c r="Q12" i="1" s="1"/>
  <c r="I67" i="1"/>
  <c r="I74" i="1"/>
  <c r="I137" i="1"/>
  <c r="J38" i="1"/>
  <c r="K68" i="1" s="1"/>
  <c r="I46" i="1"/>
  <c r="H79" i="1"/>
  <c r="I71" i="1"/>
  <c r="I133" i="1"/>
  <c r="I153" i="1"/>
  <c r="A341" i="13"/>
  <c r="A219" i="13"/>
  <c r="A350" i="13"/>
  <c r="A228" i="13"/>
  <c r="N50" i="1"/>
  <c r="C245" i="13"/>
  <c r="F56" i="1"/>
  <c r="C130" i="13"/>
  <c r="AA130" i="13" s="1"/>
  <c r="N59" i="1"/>
  <c r="C252" i="13"/>
  <c r="AA252" i="13" s="1"/>
  <c r="A141" i="13"/>
  <c r="A260" i="13"/>
  <c r="A148" i="13"/>
  <c r="A267" i="13"/>
  <c r="A289" i="13"/>
  <c r="A167" i="13"/>
  <c r="F100" i="1"/>
  <c r="C174" i="13"/>
  <c r="AA174" i="13" s="1"/>
  <c r="A300" i="13"/>
  <c r="A178" i="13"/>
  <c r="A200" i="13"/>
  <c r="A322" i="13"/>
  <c r="N130" i="1"/>
  <c r="C326" i="13"/>
  <c r="D326" i="13" s="1"/>
  <c r="F326" i="13" s="1"/>
  <c r="H326" i="13" s="1"/>
  <c r="J326" i="13" s="1"/>
  <c r="L326" i="13" s="1"/>
  <c r="N326" i="13" s="1"/>
  <c r="P326" i="13" s="1"/>
  <c r="R326" i="13" s="1"/>
  <c r="T326" i="13" s="1"/>
  <c r="V326" i="13" s="1"/>
  <c r="X326" i="13" s="1"/>
  <c r="Z326" i="13" s="1"/>
  <c r="N135" i="1"/>
  <c r="C331" i="13"/>
  <c r="D331" i="13" s="1"/>
  <c r="F331" i="13" s="1"/>
  <c r="H331" i="13" s="1"/>
  <c r="J331" i="13" s="1"/>
  <c r="L331" i="13" s="1"/>
  <c r="N331" i="13" s="1"/>
  <c r="P331" i="13" s="1"/>
  <c r="R331" i="13" s="1"/>
  <c r="T331" i="13" s="1"/>
  <c r="V331" i="13" s="1"/>
  <c r="X331" i="13" s="1"/>
  <c r="Z331" i="13" s="1"/>
  <c r="N140" i="1"/>
  <c r="C336" i="13"/>
  <c r="D336" i="13" s="1"/>
  <c r="F336" i="13" s="1"/>
  <c r="H336" i="13" s="1"/>
  <c r="J336" i="13" s="1"/>
  <c r="L336" i="13" s="1"/>
  <c r="N336" i="13" s="1"/>
  <c r="P336" i="13" s="1"/>
  <c r="R336" i="13" s="1"/>
  <c r="T336" i="13" s="1"/>
  <c r="V336" i="13" s="1"/>
  <c r="X336" i="13" s="1"/>
  <c r="Z336" i="13" s="1"/>
  <c r="N149" i="1"/>
  <c r="C345" i="13"/>
  <c r="D345" i="13" s="1"/>
  <c r="F345" i="13" s="1"/>
  <c r="H345" i="13" s="1"/>
  <c r="J345" i="13" s="1"/>
  <c r="L345" i="13" s="1"/>
  <c r="N345" i="13" s="1"/>
  <c r="P345" i="13" s="1"/>
  <c r="R345" i="13" s="1"/>
  <c r="T345" i="13" s="1"/>
  <c r="V345" i="13" s="1"/>
  <c r="X345" i="13" s="1"/>
  <c r="Z345" i="13" s="1"/>
  <c r="A352" i="13"/>
  <c r="A230" i="13"/>
  <c r="B143" i="14" s="1"/>
  <c r="A137" i="13"/>
  <c r="A256" i="13"/>
  <c r="N48" i="1"/>
  <c r="C278" i="13"/>
  <c r="AA278" i="13" s="1"/>
  <c r="A296" i="13"/>
  <c r="A174" i="13"/>
  <c r="A125" i="13"/>
  <c r="A246" i="13"/>
  <c r="F67" i="1"/>
  <c r="C141" i="13"/>
  <c r="AA141" i="13" s="1"/>
  <c r="N77" i="1"/>
  <c r="C270" i="13"/>
  <c r="F93" i="1"/>
  <c r="C167" i="13"/>
  <c r="AA167" i="13" s="1"/>
  <c r="N96" i="1"/>
  <c r="C292" i="13"/>
  <c r="AA292" i="13" s="1"/>
  <c r="F104" i="1"/>
  <c r="C178" i="13"/>
  <c r="AA178" i="13" s="1"/>
  <c r="A313" i="13"/>
  <c r="A191" i="13"/>
  <c r="N121" i="1"/>
  <c r="C317" i="13"/>
  <c r="D317" i="13" s="1"/>
  <c r="F317" i="13" s="1"/>
  <c r="H317" i="13" s="1"/>
  <c r="J317" i="13" s="1"/>
  <c r="L317" i="13" s="1"/>
  <c r="N317" i="13" s="1"/>
  <c r="P317" i="13" s="1"/>
  <c r="R317" i="13" s="1"/>
  <c r="T317" i="13" s="1"/>
  <c r="V317" i="13" s="1"/>
  <c r="X317" i="13" s="1"/>
  <c r="Z317" i="13" s="1"/>
  <c r="A327" i="13"/>
  <c r="A205" i="13"/>
  <c r="A332" i="13"/>
  <c r="A210" i="13"/>
  <c r="A215" i="13"/>
  <c r="A337" i="13"/>
  <c r="N145" i="1"/>
  <c r="C341" i="13"/>
  <c r="D341" i="13" s="1"/>
  <c r="F341" i="13" s="1"/>
  <c r="H341" i="13" s="1"/>
  <c r="J341" i="13" s="1"/>
  <c r="L341" i="13" s="1"/>
  <c r="N341" i="13" s="1"/>
  <c r="P341" i="13" s="1"/>
  <c r="R341" i="13" s="1"/>
  <c r="T341" i="13" s="1"/>
  <c r="V341" i="13" s="1"/>
  <c r="X341" i="13" s="1"/>
  <c r="Z341" i="13" s="1"/>
  <c r="A346" i="13"/>
  <c r="A224" i="13"/>
  <c r="N55" i="1"/>
  <c r="C248" i="13"/>
  <c r="AA248" i="13" s="1"/>
  <c r="A317" i="13"/>
  <c r="A195" i="13"/>
  <c r="N66" i="1"/>
  <c r="Q66" i="1" s="1"/>
  <c r="C259" i="13"/>
  <c r="AA259" i="13" s="1"/>
  <c r="N45" i="1"/>
  <c r="C242" i="13"/>
  <c r="N70" i="1"/>
  <c r="C263" i="13"/>
  <c r="AA263" i="13" s="1"/>
  <c r="N53" i="1"/>
  <c r="C282" i="13"/>
  <c r="AA282" i="13" s="1"/>
  <c r="F90" i="1"/>
  <c r="C164" i="13"/>
  <c r="AA164" i="13" s="1"/>
  <c r="A293" i="13"/>
  <c r="A171" i="13"/>
  <c r="N100" i="1"/>
  <c r="C296" i="13"/>
  <c r="AA296" i="13" s="1"/>
  <c r="F117" i="1"/>
  <c r="C191" i="13"/>
  <c r="A318" i="13"/>
  <c r="A196" i="13"/>
  <c r="F131" i="1"/>
  <c r="C205" i="13"/>
  <c r="AA205" i="13" s="1"/>
  <c r="F141" i="1"/>
  <c r="C215" i="13"/>
  <c r="AA215" i="13" s="1"/>
  <c r="A342" i="13"/>
  <c r="A220" i="13"/>
  <c r="F150" i="1"/>
  <c r="C224" i="13"/>
  <c r="AA224" i="13" s="1"/>
  <c r="N92" i="1"/>
  <c r="A134" i="13"/>
  <c r="A253" i="13"/>
  <c r="A286" i="13"/>
  <c r="A164" i="13"/>
  <c r="P20" i="1"/>
  <c r="Q20" i="1" s="1"/>
  <c r="A120" i="13"/>
  <c r="A243" i="13"/>
  <c r="F51" i="1"/>
  <c r="C125" i="13"/>
  <c r="AA125" i="13" s="1"/>
  <c r="F60" i="1"/>
  <c r="C134" i="13"/>
  <c r="AA134" i="13" s="1"/>
  <c r="N56" i="1"/>
  <c r="Q56" i="1" s="1"/>
  <c r="C249" i="13"/>
  <c r="AA249" i="13" s="1"/>
  <c r="A138" i="13"/>
  <c r="A257" i="13"/>
  <c r="A145" i="13"/>
  <c r="A264" i="13"/>
  <c r="N85" i="1"/>
  <c r="C279" i="13"/>
  <c r="AA279" i="13" s="1"/>
  <c r="A283" i="13"/>
  <c r="A161" i="13"/>
  <c r="F97" i="1"/>
  <c r="C171" i="13"/>
  <c r="AA171" i="13" s="1"/>
  <c r="A297" i="13"/>
  <c r="A175" i="13"/>
  <c r="N104" i="1"/>
  <c r="C300" i="13"/>
  <c r="AA300" i="13" s="1"/>
  <c r="F122" i="1"/>
  <c r="C196" i="13"/>
  <c r="AA196" i="13" s="1"/>
  <c r="N126" i="1"/>
  <c r="C322" i="13"/>
  <c r="D322" i="13" s="1"/>
  <c r="F322" i="13" s="1"/>
  <c r="H322" i="13" s="1"/>
  <c r="J322" i="13" s="1"/>
  <c r="L322" i="13" s="1"/>
  <c r="N322" i="13" s="1"/>
  <c r="P322" i="13" s="1"/>
  <c r="R322" i="13" s="1"/>
  <c r="T322" i="13" s="1"/>
  <c r="V322" i="13" s="1"/>
  <c r="X322" i="13" s="1"/>
  <c r="Z322" i="13" s="1"/>
  <c r="N131" i="1"/>
  <c r="C327" i="13"/>
  <c r="D327" i="13" s="1"/>
  <c r="F327" i="13" s="1"/>
  <c r="H327" i="13" s="1"/>
  <c r="J327" i="13" s="1"/>
  <c r="L327" i="13" s="1"/>
  <c r="N327" i="13" s="1"/>
  <c r="P327" i="13" s="1"/>
  <c r="R327" i="13" s="1"/>
  <c r="T327" i="13" s="1"/>
  <c r="V327" i="13" s="1"/>
  <c r="X327" i="13" s="1"/>
  <c r="Z327" i="13" s="1"/>
  <c r="N136" i="1"/>
  <c r="C332" i="13"/>
  <c r="D332" i="13" s="1"/>
  <c r="F332" i="13" s="1"/>
  <c r="H332" i="13" s="1"/>
  <c r="J332" i="13" s="1"/>
  <c r="L332" i="13" s="1"/>
  <c r="N332" i="13" s="1"/>
  <c r="P332" i="13" s="1"/>
  <c r="R332" i="13" s="1"/>
  <c r="T332" i="13" s="1"/>
  <c r="V332" i="13" s="1"/>
  <c r="X332" i="13" s="1"/>
  <c r="Z332" i="13" s="1"/>
  <c r="F146" i="1"/>
  <c r="C220" i="13"/>
  <c r="AA220" i="13" s="1"/>
  <c r="N150" i="1"/>
  <c r="C346" i="13"/>
  <c r="D346" i="13" s="1"/>
  <c r="F346" i="13" s="1"/>
  <c r="H346" i="13" s="1"/>
  <c r="J346" i="13" s="1"/>
  <c r="L346" i="13" s="1"/>
  <c r="N346" i="13" s="1"/>
  <c r="P346" i="13" s="1"/>
  <c r="R346" i="13" s="1"/>
  <c r="T346" i="13" s="1"/>
  <c r="V346" i="13" s="1"/>
  <c r="X346" i="13" s="1"/>
  <c r="Z346" i="13" s="1"/>
  <c r="F59" i="1"/>
  <c r="P59" i="1" s="1"/>
  <c r="C133" i="13"/>
  <c r="AA133" i="13" s="1"/>
  <c r="N74" i="1"/>
  <c r="C267" i="13"/>
  <c r="AA267" i="13" s="1"/>
  <c r="A201" i="13"/>
  <c r="A323" i="13"/>
  <c r="A328" i="13"/>
  <c r="A206" i="13"/>
  <c r="A347" i="13"/>
  <c r="A225" i="13"/>
  <c r="A130" i="13"/>
  <c r="A249" i="13"/>
  <c r="N73" i="1"/>
  <c r="C266" i="13"/>
  <c r="AA266" i="13" s="1"/>
  <c r="F96" i="1"/>
  <c r="C170" i="13"/>
  <c r="AA170" i="13" s="1"/>
  <c r="F121" i="1"/>
  <c r="C195" i="13"/>
  <c r="AA195" i="13" s="1"/>
  <c r="F135" i="1"/>
  <c r="C209" i="13"/>
  <c r="AA209" i="13" s="1"/>
  <c r="N51" i="1"/>
  <c r="P51" i="1" s="1"/>
  <c r="C246" i="13"/>
  <c r="N67" i="1"/>
  <c r="C260" i="13"/>
  <c r="AA260" i="13" s="1"/>
  <c r="A290" i="13"/>
  <c r="A168" i="13"/>
  <c r="F101" i="1"/>
  <c r="C175" i="13"/>
  <c r="AA175" i="13" s="1"/>
  <c r="A301" i="13"/>
  <c r="A179" i="13"/>
  <c r="A333" i="13"/>
  <c r="A211" i="13"/>
  <c r="A128" i="13"/>
  <c r="A247" i="13"/>
  <c r="A135" i="13"/>
  <c r="A254" i="13"/>
  <c r="A142" i="13"/>
  <c r="A261" i="13"/>
  <c r="A149" i="13"/>
  <c r="A268" i="13"/>
  <c r="A277" i="13"/>
  <c r="A121" i="13"/>
  <c r="F86" i="1"/>
  <c r="C160" i="13"/>
  <c r="AA160" i="13" s="1"/>
  <c r="N90" i="1"/>
  <c r="C286" i="13"/>
  <c r="AA286" i="13" s="1"/>
  <c r="F94" i="1"/>
  <c r="C168" i="13"/>
  <c r="AA168" i="13" s="1"/>
  <c r="F105" i="1"/>
  <c r="C179" i="13"/>
  <c r="AA179" i="13" s="1"/>
  <c r="A314" i="13"/>
  <c r="A192" i="13"/>
  <c r="N122" i="1"/>
  <c r="F127" i="1"/>
  <c r="C201" i="13"/>
  <c r="AA201" i="13" s="1"/>
  <c r="F137" i="1"/>
  <c r="C211" i="13"/>
  <c r="AA211" i="13" s="1"/>
  <c r="A216" i="13"/>
  <c r="A338" i="13"/>
  <c r="N146" i="1"/>
  <c r="F151" i="1"/>
  <c r="C225" i="13"/>
  <c r="AA225" i="13" s="1"/>
  <c r="A119" i="13"/>
  <c r="A242" i="13"/>
  <c r="A282" i="13"/>
  <c r="A127" i="13"/>
  <c r="A144" i="13"/>
  <c r="A263" i="13"/>
  <c r="F71" i="1"/>
  <c r="C145" i="13"/>
  <c r="AA145" i="13" s="1"/>
  <c r="N46" i="1"/>
  <c r="F19" i="13" s="1"/>
  <c r="C243" i="13"/>
  <c r="F54" i="1"/>
  <c r="C128" i="13"/>
  <c r="AA128" i="13" s="1"/>
  <c r="F61" i="1"/>
  <c r="C135" i="13"/>
  <c r="AA135" i="13" s="1"/>
  <c r="N64" i="1"/>
  <c r="C257" i="13"/>
  <c r="AA257" i="13" s="1"/>
  <c r="N87" i="1"/>
  <c r="C283" i="13"/>
  <c r="AA283" i="13" s="1"/>
  <c r="A287" i="13"/>
  <c r="A165" i="13"/>
  <c r="A294" i="13"/>
  <c r="A172" i="13"/>
  <c r="F118" i="1"/>
  <c r="C192" i="13"/>
  <c r="AA192" i="13" s="1"/>
  <c r="A319" i="13"/>
  <c r="A197" i="13"/>
  <c r="N127" i="1"/>
  <c r="C323" i="13"/>
  <c r="D323" i="13" s="1"/>
  <c r="F323" i="13" s="1"/>
  <c r="H323" i="13" s="1"/>
  <c r="J323" i="13" s="1"/>
  <c r="L323" i="13" s="1"/>
  <c r="N323" i="13" s="1"/>
  <c r="P323" i="13" s="1"/>
  <c r="R323" i="13" s="1"/>
  <c r="T323" i="13" s="1"/>
  <c r="V323" i="13" s="1"/>
  <c r="X323" i="13" s="1"/>
  <c r="Z323" i="13" s="1"/>
  <c r="N132" i="1"/>
  <c r="C328" i="13"/>
  <c r="D328" i="13" s="1"/>
  <c r="F328" i="13" s="1"/>
  <c r="H328" i="13" s="1"/>
  <c r="J328" i="13" s="1"/>
  <c r="L328" i="13" s="1"/>
  <c r="N328" i="13" s="1"/>
  <c r="P328" i="13" s="1"/>
  <c r="R328" i="13" s="1"/>
  <c r="T328" i="13" s="1"/>
  <c r="V328" i="13" s="1"/>
  <c r="X328" i="13" s="1"/>
  <c r="Z328" i="13" s="1"/>
  <c r="F142" i="1"/>
  <c r="C216" i="13"/>
  <c r="AA216" i="13" s="1"/>
  <c r="A343" i="13"/>
  <c r="A221" i="13"/>
  <c r="N151" i="1"/>
  <c r="C347" i="13"/>
  <c r="D347" i="13" s="1"/>
  <c r="F347" i="13" s="1"/>
  <c r="H347" i="13" s="1"/>
  <c r="J347" i="13" s="1"/>
  <c r="L347" i="13" s="1"/>
  <c r="N347" i="13" s="1"/>
  <c r="P347" i="13" s="1"/>
  <c r="R347" i="13" s="1"/>
  <c r="T347" i="13" s="1"/>
  <c r="V347" i="13" s="1"/>
  <c r="X347" i="13" s="1"/>
  <c r="Z347" i="13" s="1"/>
  <c r="AD270" i="13"/>
  <c r="C64" i="14" s="1"/>
  <c r="F64" i="14" s="1"/>
  <c r="AA151" i="13"/>
  <c r="D64" i="14" s="1"/>
  <c r="N99" i="1"/>
  <c r="C295" i="13"/>
  <c r="AA295" i="13" s="1"/>
  <c r="A326" i="13"/>
  <c r="A204" i="13"/>
  <c r="F63" i="1"/>
  <c r="C137" i="13"/>
  <c r="AA137" i="13" s="1"/>
  <c r="F53" i="1"/>
  <c r="C127" i="13"/>
  <c r="AA127" i="13" s="1"/>
  <c r="N125" i="1"/>
  <c r="C321" i="13"/>
  <c r="D321" i="13" s="1"/>
  <c r="F321" i="13" s="1"/>
  <c r="H321" i="13" s="1"/>
  <c r="J321" i="13" s="1"/>
  <c r="L321" i="13" s="1"/>
  <c r="N321" i="13" s="1"/>
  <c r="P321" i="13" s="1"/>
  <c r="R321" i="13" s="1"/>
  <c r="T321" i="13" s="1"/>
  <c r="V321" i="13" s="1"/>
  <c r="X321" i="13" s="1"/>
  <c r="Z321" i="13" s="1"/>
  <c r="A131" i="13"/>
  <c r="A250" i="13"/>
  <c r="F64" i="1"/>
  <c r="C138" i="13"/>
  <c r="AA138" i="13" s="1"/>
  <c r="A280" i="13"/>
  <c r="A160" i="13"/>
  <c r="N141" i="1"/>
  <c r="C337" i="13"/>
  <c r="D337" i="13" s="1"/>
  <c r="F337" i="13" s="1"/>
  <c r="H337" i="13" s="1"/>
  <c r="J337" i="13" s="1"/>
  <c r="L337" i="13" s="1"/>
  <c r="N337" i="13" s="1"/>
  <c r="P337" i="13" s="1"/>
  <c r="R337" i="13" s="1"/>
  <c r="T337" i="13" s="1"/>
  <c r="V337" i="13" s="1"/>
  <c r="X337" i="13" s="1"/>
  <c r="Z337" i="13" s="1"/>
  <c r="A123" i="13"/>
  <c r="A244" i="13"/>
  <c r="N57" i="1"/>
  <c r="C250" i="13"/>
  <c r="AA250" i="13" s="1"/>
  <c r="A139" i="13"/>
  <c r="A258" i="13"/>
  <c r="A284" i="13"/>
  <c r="A162" i="13"/>
  <c r="F98" i="1"/>
  <c r="C172" i="13"/>
  <c r="AA172" i="13" s="1"/>
  <c r="A298" i="13"/>
  <c r="A176" i="13"/>
  <c r="N118" i="1"/>
  <c r="C314" i="13"/>
  <c r="D314" i="13" s="1"/>
  <c r="F314" i="13" s="1"/>
  <c r="H314" i="13" s="1"/>
  <c r="J314" i="13" s="1"/>
  <c r="L314" i="13" s="1"/>
  <c r="N314" i="13" s="1"/>
  <c r="P314" i="13" s="1"/>
  <c r="R314" i="13" s="1"/>
  <c r="T314" i="13" s="1"/>
  <c r="V314" i="13" s="1"/>
  <c r="X314" i="13" s="1"/>
  <c r="Z314" i="13" s="1"/>
  <c r="F123" i="1"/>
  <c r="C197" i="13"/>
  <c r="AA197" i="13" s="1"/>
  <c r="A324" i="13"/>
  <c r="A202" i="13"/>
  <c r="A329" i="13"/>
  <c r="A207" i="13"/>
  <c r="N137" i="1"/>
  <c r="C333" i="13"/>
  <c r="D333" i="13" s="1"/>
  <c r="F333" i="13" s="1"/>
  <c r="H333" i="13" s="1"/>
  <c r="J333" i="13" s="1"/>
  <c r="L333" i="13" s="1"/>
  <c r="N333" i="13" s="1"/>
  <c r="P333" i="13" s="1"/>
  <c r="R333" i="13" s="1"/>
  <c r="T333" i="13" s="1"/>
  <c r="V333" i="13" s="1"/>
  <c r="X333" i="13" s="1"/>
  <c r="Z333" i="13" s="1"/>
  <c r="N142" i="1"/>
  <c r="C338" i="13"/>
  <c r="D338" i="13" s="1"/>
  <c r="F338" i="13" s="1"/>
  <c r="H338" i="13" s="1"/>
  <c r="J338" i="13" s="1"/>
  <c r="L338" i="13" s="1"/>
  <c r="N338" i="13" s="1"/>
  <c r="P338" i="13" s="1"/>
  <c r="R338" i="13" s="1"/>
  <c r="T338" i="13" s="1"/>
  <c r="V338" i="13" s="1"/>
  <c r="X338" i="13" s="1"/>
  <c r="Z338" i="13" s="1"/>
  <c r="A348" i="13"/>
  <c r="A226" i="13"/>
  <c r="N123" i="1"/>
  <c r="C319" i="13"/>
  <c r="D319" i="13" s="1"/>
  <c r="F319" i="13" s="1"/>
  <c r="H319" i="13" s="1"/>
  <c r="J319" i="13" s="1"/>
  <c r="L319" i="13" s="1"/>
  <c r="N319" i="13" s="1"/>
  <c r="P319" i="13" s="1"/>
  <c r="R319" i="13" s="1"/>
  <c r="T319" i="13" s="1"/>
  <c r="V319" i="13" s="1"/>
  <c r="X319" i="13" s="1"/>
  <c r="Z319" i="13" s="1"/>
  <c r="F133" i="1"/>
  <c r="C207" i="13"/>
  <c r="AA207" i="13" s="1"/>
  <c r="A334" i="13"/>
  <c r="A212" i="13"/>
  <c r="A217" i="13"/>
  <c r="A339" i="13"/>
  <c r="F147" i="1"/>
  <c r="A281" i="13"/>
  <c r="A126" i="13"/>
  <c r="A291" i="13"/>
  <c r="A169" i="13"/>
  <c r="A303" i="13"/>
  <c r="A181" i="13"/>
  <c r="F119" i="1"/>
  <c r="C193" i="13"/>
  <c r="AA193" i="13" s="1"/>
  <c r="A320" i="13"/>
  <c r="A198" i="13"/>
  <c r="N128" i="1"/>
  <c r="C324" i="13"/>
  <c r="D324" i="13" s="1"/>
  <c r="F324" i="13" s="1"/>
  <c r="H324" i="13" s="1"/>
  <c r="J324" i="13" s="1"/>
  <c r="L324" i="13" s="1"/>
  <c r="N324" i="13" s="1"/>
  <c r="P324" i="13" s="1"/>
  <c r="R324" i="13" s="1"/>
  <c r="T324" i="13" s="1"/>
  <c r="V324" i="13" s="1"/>
  <c r="X324" i="13" s="1"/>
  <c r="Z324" i="13" s="1"/>
  <c r="F138" i="1"/>
  <c r="C212" i="13"/>
  <c r="AA212" i="13" s="1"/>
  <c r="F143" i="1"/>
  <c r="C217" i="13"/>
  <c r="AA217" i="13" s="1"/>
  <c r="N147" i="1"/>
  <c r="C343" i="13"/>
  <c r="D343" i="13" s="1"/>
  <c r="F343" i="13" s="1"/>
  <c r="H343" i="13" s="1"/>
  <c r="J343" i="13" s="1"/>
  <c r="L343" i="13" s="1"/>
  <c r="N343" i="13" s="1"/>
  <c r="P343" i="13" s="1"/>
  <c r="R343" i="13" s="1"/>
  <c r="T343" i="13" s="1"/>
  <c r="V343" i="13" s="1"/>
  <c r="X343" i="13" s="1"/>
  <c r="Z343" i="13" s="1"/>
  <c r="N152" i="1"/>
  <c r="C348" i="13"/>
  <c r="D348" i="13" s="1"/>
  <c r="F348" i="13" s="1"/>
  <c r="H348" i="13" s="1"/>
  <c r="J348" i="13" s="1"/>
  <c r="L348" i="13" s="1"/>
  <c r="N348" i="13" s="1"/>
  <c r="P348" i="13" s="1"/>
  <c r="R348" i="13" s="1"/>
  <c r="T348" i="13" s="1"/>
  <c r="V348" i="13" s="1"/>
  <c r="X348" i="13" s="1"/>
  <c r="Z348" i="13" s="1"/>
  <c r="A336" i="13"/>
  <c r="A214" i="13"/>
  <c r="F77" i="1"/>
  <c r="N103" i="1"/>
  <c r="C299" i="13"/>
  <c r="AA299" i="13" s="1"/>
  <c r="A351" i="13"/>
  <c r="A229" i="13"/>
  <c r="F49" i="1"/>
  <c r="C123" i="13"/>
  <c r="AA123" i="13" s="1"/>
  <c r="F102" i="1"/>
  <c r="C176" i="13"/>
  <c r="AA176" i="13" s="1"/>
  <c r="N54" i="1"/>
  <c r="C247" i="13"/>
  <c r="AA247" i="13" s="1"/>
  <c r="F58" i="1"/>
  <c r="C132" i="13"/>
  <c r="AA132" i="13" s="1"/>
  <c r="N61" i="1"/>
  <c r="C254" i="13"/>
  <c r="AA254" i="13" s="1"/>
  <c r="A129" i="13"/>
  <c r="A248" i="13"/>
  <c r="A136" i="13"/>
  <c r="A255" i="13"/>
  <c r="N65" i="1"/>
  <c r="C258" i="13"/>
  <c r="AA258" i="13" s="1"/>
  <c r="A143" i="13"/>
  <c r="A262" i="13"/>
  <c r="F76" i="1"/>
  <c r="C150" i="13"/>
  <c r="A278" i="13"/>
  <c r="A122" i="13"/>
  <c r="F52" i="1"/>
  <c r="C126" i="13"/>
  <c r="AA126" i="13" s="1"/>
  <c r="N98" i="1"/>
  <c r="C294" i="13"/>
  <c r="AA294" i="13" s="1"/>
  <c r="A304" i="13"/>
  <c r="A182" i="13"/>
  <c r="N119" i="1"/>
  <c r="C315" i="13"/>
  <c r="D315" i="13" s="1"/>
  <c r="F315" i="13" s="1"/>
  <c r="H315" i="13" s="1"/>
  <c r="J315" i="13" s="1"/>
  <c r="L315" i="13" s="1"/>
  <c r="N315" i="13" s="1"/>
  <c r="P315" i="13" s="1"/>
  <c r="R315" i="13" s="1"/>
  <c r="T315" i="13" s="1"/>
  <c r="V315" i="13" s="1"/>
  <c r="X315" i="13" s="1"/>
  <c r="Z315" i="13" s="1"/>
  <c r="A325" i="13"/>
  <c r="A203" i="13"/>
  <c r="N133" i="1"/>
  <c r="C329" i="13"/>
  <c r="D329" i="13" s="1"/>
  <c r="F329" i="13" s="1"/>
  <c r="H329" i="13" s="1"/>
  <c r="J329" i="13" s="1"/>
  <c r="L329" i="13" s="1"/>
  <c r="N329" i="13" s="1"/>
  <c r="P329" i="13" s="1"/>
  <c r="R329" i="13" s="1"/>
  <c r="T329" i="13" s="1"/>
  <c r="V329" i="13" s="1"/>
  <c r="X329" i="13" s="1"/>
  <c r="Z329" i="13" s="1"/>
  <c r="N138" i="1"/>
  <c r="C334" i="13"/>
  <c r="D334" i="13" s="1"/>
  <c r="F334" i="13" s="1"/>
  <c r="H334" i="13" s="1"/>
  <c r="J334" i="13" s="1"/>
  <c r="L334" i="13" s="1"/>
  <c r="N334" i="13" s="1"/>
  <c r="P334" i="13" s="1"/>
  <c r="R334" i="13" s="1"/>
  <c r="T334" i="13" s="1"/>
  <c r="V334" i="13" s="1"/>
  <c r="X334" i="13" s="1"/>
  <c r="Z334" i="13" s="1"/>
  <c r="N143" i="1"/>
  <c r="C339" i="13"/>
  <c r="D339" i="13" s="1"/>
  <c r="F339" i="13" s="1"/>
  <c r="H339" i="13" s="1"/>
  <c r="J339" i="13" s="1"/>
  <c r="L339" i="13" s="1"/>
  <c r="N339" i="13" s="1"/>
  <c r="P339" i="13" s="1"/>
  <c r="R339" i="13" s="1"/>
  <c r="T339" i="13" s="1"/>
  <c r="V339" i="13" s="1"/>
  <c r="X339" i="13" s="1"/>
  <c r="Z339" i="13" s="1"/>
  <c r="A344" i="13"/>
  <c r="A222" i="13"/>
  <c r="A349" i="13"/>
  <c r="A227" i="13"/>
  <c r="A132" i="13"/>
  <c r="A251" i="13"/>
  <c r="F88" i="1"/>
  <c r="C162" i="13"/>
  <c r="AA162" i="13" s="1"/>
  <c r="A302" i="13"/>
  <c r="A180" i="13"/>
  <c r="F72" i="1"/>
  <c r="C146" i="13"/>
  <c r="AA146" i="13" s="1"/>
  <c r="P30" i="1"/>
  <c r="Q30" i="1" s="1"/>
  <c r="N49" i="1"/>
  <c r="C244" i="13"/>
  <c r="F55" i="1"/>
  <c r="C129" i="13"/>
  <c r="AA129" i="13" s="1"/>
  <c r="F62" i="1"/>
  <c r="C136" i="13"/>
  <c r="AA136" i="13" s="1"/>
  <c r="A140" i="13"/>
  <c r="A259" i="13"/>
  <c r="F69" i="1"/>
  <c r="P69" i="1" s="1"/>
  <c r="C143" i="13"/>
  <c r="AA143" i="13" s="1"/>
  <c r="N72" i="1"/>
  <c r="C265" i="13"/>
  <c r="AA265" i="13" s="1"/>
  <c r="F48" i="1"/>
  <c r="C122" i="13"/>
  <c r="AA122" i="13" s="1"/>
  <c r="N88" i="1"/>
  <c r="C284" i="13"/>
  <c r="AA284" i="13" s="1"/>
  <c r="A288" i="13"/>
  <c r="A166" i="13"/>
  <c r="A295" i="13"/>
  <c r="A173" i="13"/>
  <c r="A305" i="13"/>
  <c r="A183" i="13"/>
  <c r="A316" i="13"/>
  <c r="A194" i="13"/>
  <c r="N124" i="1"/>
  <c r="C320" i="13"/>
  <c r="D320" i="13" s="1"/>
  <c r="F320" i="13" s="1"/>
  <c r="H320" i="13" s="1"/>
  <c r="J320" i="13" s="1"/>
  <c r="L320" i="13" s="1"/>
  <c r="N320" i="13" s="1"/>
  <c r="P320" i="13" s="1"/>
  <c r="R320" i="13" s="1"/>
  <c r="T320" i="13" s="1"/>
  <c r="V320" i="13" s="1"/>
  <c r="X320" i="13" s="1"/>
  <c r="Z320" i="13" s="1"/>
  <c r="F129" i="1"/>
  <c r="C203" i="13"/>
  <c r="AA203" i="13" s="1"/>
  <c r="A330" i="13"/>
  <c r="A208" i="13"/>
  <c r="A335" i="13"/>
  <c r="A213" i="13"/>
  <c r="A340" i="13"/>
  <c r="A218" i="13"/>
  <c r="A292" i="13"/>
  <c r="A170" i="13"/>
  <c r="A331" i="13"/>
  <c r="A209" i="13"/>
  <c r="F45" i="1"/>
  <c r="Q45" i="1" s="1"/>
  <c r="C119" i="13"/>
  <c r="AA119" i="13" s="1"/>
  <c r="A279" i="13"/>
  <c r="A159" i="13"/>
  <c r="F130" i="1"/>
  <c r="C204" i="13"/>
  <c r="AA204" i="13" s="1"/>
  <c r="A146" i="13"/>
  <c r="A265" i="13"/>
  <c r="N86" i="1"/>
  <c r="C280" i="13"/>
  <c r="AA280" i="13" s="1"/>
  <c r="A124" i="13"/>
  <c r="A245" i="13"/>
  <c r="N58" i="1"/>
  <c r="C251" i="13"/>
  <c r="AA251" i="13" s="1"/>
  <c r="A147" i="13"/>
  <c r="A266" i="13"/>
  <c r="N76" i="1"/>
  <c r="C269" i="13"/>
  <c r="A285" i="13"/>
  <c r="A163" i="13"/>
  <c r="F92" i="1"/>
  <c r="C166" i="13"/>
  <c r="AA166" i="13" s="1"/>
  <c r="A299" i="13"/>
  <c r="A177" i="13"/>
  <c r="A306" i="13"/>
  <c r="A184" i="13"/>
  <c r="B100" i="14" s="1"/>
  <c r="A199" i="13"/>
  <c r="A321" i="13"/>
  <c r="F134" i="1"/>
  <c r="C208" i="13"/>
  <c r="AA208" i="13" s="1"/>
  <c r="F139" i="1"/>
  <c r="C213" i="13"/>
  <c r="AA213" i="13" s="1"/>
  <c r="N148" i="1"/>
  <c r="C344" i="13"/>
  <c r="D344" i="13" s="1"/>
  <c r="F344" i="13" s="1"/>
  <c r="H344" i="13" s="1"/>
  <c r="J344" i="13" s="1"/>
  <c r="L344" i="13" s="1"/>
  <c r="N344" i="13" s="1"/>
  <c r="P344" i="13" s="1"/>
  <c r="R344" i="13" s="1"/>
  <c r="T344" i="13" s="1"/>
  <c r="V344" i="13" s="1"/>
  <c r="X344" i="13" s="1"/>
  <c r="Z344" i="13" s="1"/>
  <c r="F65" i="1"/>
  <c r="C139" i="13"/>
  <c r="AA139" i="13" s="1"/>
  <c r="N75" i="1"/>
  <c r="C268" i="13"/>
  <c r="N94" i="1"/>
  <c r="C290" i="13"/>
  <c r="AA290" i="13" s="1"/>
  <c r="A315" i="13"/>
  <c r="A193" i="13"/>
  <c r="N44" i="1"/>
  <c r="C241" i="13"/>
  <c r="A133" i="13"/>
  <c r="A252" i="13"/>
  <c r="N62" i="1"/>
  <c r="C255" i="13"/>
  <c r="AA255" i="13" s="1"/>
  <c r="F73" i="1"/>
  <c r="C147" i="13"/>
  <c r="AA147" i="13" s="1"/>
  <c r="F89" i="1"/>
  <c r="C163" i="13"/>
  <c r="AA163" i="13" s="1"/>
  <c r="N95" i="1"/>
  <c r="N120" i="1"/>
  <c r="C316" i="13"/>
  <c r="D316" i="13" s="1"/>
  <c r="F316" i="13" s="1"/>
  <c r="H316" i="13" s="1"/>
  <c r="J316" i="13" s="1"/>
  <c r="L316" i="13" s="1"/>
  <c r="N316" i="13" s="1"/>
  <c r="P316" i="13" s="1"/>
  <c r="R316" i="13" s="1"/>
  <c r="T316" i="13" s="1"/>
  <c r="V316" i="13" s="1"/>
  <c r="X316" i="13" s="1"/>
  <c r="Z316" i="13" s="1"/>
  <c r="F125" i="1"/>
  <c r="C199" i="13"/>
  <c r="AA199" i="13" s="1"/>
  <c r="N129" i="1"/>
  <c r="C325" i="13"/>
  <c r="D325" i="13" s="1"/>
  <c r="F325" i="13" s="1"/>
  <c r="H325" i="13" s="1"/>
  <c r="J325" i="13" s="1"/>
  <c r="L325" i="13" s="1"/>
  <c r="N325" i="13" s="1"/>
  <c r="P325" i="13" s="1"/>
  <c r="R325" i="13" s="1"/>
  <c r="T325" i="13" s="1"/>
  <c r="V325" i="13" s="1"/>
  <c r="X325" i="13" s="1"/>
  <c r="Z325" i="13" s="1"/>
  <c r="N134" i="1"/>
  <c r="C330" i="13"/>
  <c r="D330" i="13" s="1"/>
  <c r="F330" i="13" s="1"/>
  <c r="H330" i="13" s="1"/>
  <c r="J330" i="13" s="1"/>
  <c r="L330" i="13" s="1"/>
  <c r="N330" i="13" s="1"/>
  <c r="P330" i="13" s="1"/>
  <c r="R330" i="13" s="1"/>
  <c r="T330" i="13" s="1"/>
  <c r="V330" i="13" s="1"/>
  <c r="X330" i="13" s="1"/>
  <c r="Z330" i="13" s="1"/>
  <c r="N139" i="1"/>
  <c r="C335" i="13"/>
  <c r="D335" i="13" s="1"/>
  <c r="F335" i="13" s="1"/>
  <c r="H335" i="13" s="1"/>
  <c r="J335" i="13" s="1"/>
  <c r="L335" i="13" s="1"/>
  <c r="N335" i="13" s="1"/>
  <c r="P335" i="13" s="1"/>
  <c r="R335" i="13" s="1"/>
  <c r="T335" i="13" s="1"/>
  <c r="V335" i="13" s="1"/>
  <c r="X335" i="13" s="1"/>
  <c r="Z335" i="13" s="1"/>
  <c r="N144" i="1"/>
  <c r="C340" i="13"/>
  <c r="D340" i="13" s="1"/>
  <c r="F340" i="13" s="1"/>
  <c r="H340" i="13" s="1"/>
  <c r="J340" i="13" s="1"/>
  <c r="L340" i="13" s="1"/>
  <c r="N340" i="13" s="1"/>
  <c r="P340" i="13" s="1"/>
  <c r="R340" i="13" s="1"/>
  <c r="T340" i="13" s="1"/>
  <c r="V340" i="13" s="1"/>
  <c r="X340" i="13" s="1"/>
  <c r="Z340" i="13" s="1"/>
  <c r="A345" i="13"/>
  <c r="A223" i="13"/>
  <c r="N153" i="1"/>
  <c r="C349" i="13"/>
  <c r="D349" i="13" s="1"/>
  <c r="F349" i="13" s="1"/>
  <c r="H349" i="13" s="1"/>
  <c r="J349" i="13" s="1"/>
  <c r="L349" i="13" s="1"/>
  <c r="N349" i="13" s="1"/>
  <c r="P349" i="13" s="1"/>
  <c r="R349" i="13" s="1"/>
  <c r="T349" i="13" s="1"/>
  <c r="V349" i="13" s="1"/>
  <c r="X349" i="13" s="1"/>
  <c r="Z349" i="13" s="1"/>
  <c r="P16" i="1"/>
  <c r="Q16" i="1" s="1"/>
  <c r="D101" i="13"/>
  <c r="F101" i="13" s="1"/>
  <c r="H101" i="13" s="1"/>
  <c r="J101" i="13" s="1"/>
  <c r="L101" i="13" s="1"/>
  <c r="N101" i="13" s="1"/>
  <c r="P101" i="13" s="1"/>
  <c r="R101" i="13" s="1"/>
  <c r="T101" i="13" s="1"/>
  <c r="V101" i="13" s="1"/>
  <c r="X101" i="13" s="1"/>
  <c r="Z101" i="13" s="1"/>
  <c r="AA101" i="13"/>
  <c r="A85" i="13"/>
  <c r="A49" i="13"/>
  <c r="A90" i="13"/>
  <c r="A54" i="13"/>
  <c r="A69" i="13"/>
  <c r="B31" i="14" s="1"/>
  <c r="A105" i="13"/>
  <c r="P55" i="1"/>
  <c r="A62" i="13"/>
  <c r="A98" i="13"/>
  <c r="A91" i="13"/>
  <c r="A55" i="13"/>
  <c r="F33" i="1"/>
  <c r="C66" i="13"/>
  <c r="AD102" i="13" s="1"/>
  <c r="C28" i="14" s="1"/>
  <c r="F28" i="14" s="1"/>
  <c r="A70" i="13"/>
  <c r="A106" i="13"/>
  <c r="N36" i="1"/>
  <c r="C105" i="13"/>
  <c r="A41" i="13"/>
  <c r="A77" i="13"/>
  <c r="F8" i="1"/>
  <c r="P8" i="1" s="1"/>
  <c r="Q8" i="1" s="1"/>
  <c r="C41" i="13"/>
  <c r="A52" i="13"/>
  <c r="A88" i="13"/>
  <c r="A151" i="13"/>
  <c r="B64" i="14" s="1"/>
  <c r="A56" i="13"/>
  <c r="A92" i="13"/>
  <c r="F34" i="1"/>
  <c r="C67" i="13"/>
  <c r="AD103" i="13" s="1"/>
  <c r="C29" i="14" s="1"/>
  <c r="F29" i="14" s="1"/>
  <c r="A118" i="13"/>
  <c r="F36" i="1"/>
  <c r="C69" i="13"/>
  <c r="AD105" i="13" s="1"/>
  <c r="C31" i="14" s="1"/>
  <c r="F31" i="14" s="1"/>
  <c r="N32" i="1"/>
  <c r="A150" i="13"/>
  <c r="B63" i="14" s="1"/>
  <c r="A46" i="13"/>
  <c r="A82" i="13"/>
  <c r="F70" i="1"/>
  <c r="P70" i="1" s="1"/>
  <c r="F46" i="1"/>
  <c r="Q46" i="1" s="1"/>
  <c r="F3" i="13"/>
  <c r="A42" i="13"/>
  <c r="A78" i="13"/>
  <c r="A59" i="13"/>
  <c r="A95" i="13"/>
  <c r="A63" i="13"/>
  <c r="A99" i="13"/>
  <c r="A103" i="13"/>
  <c r="A67" i="13"/>
  <c r="B29" i="14" s="1"/>
  <c r="P23" i="1"/>
  <c r="Q23" i="1" s="1"/>
  <c r="A43" i="13"/>
  <c r="A79" i="13"/>
  <c r="A89" i="13"/>
  <c r="A53" i="13"/>
  <c r="A60" i="13"/>
  <c r="A96" i="13"/>
  <c r="A64" i="13"/>
  <c r="B26" i="14" s="1"/>
  <c r="A100" i="13"/>
  <c r="D103" i="13"/>
  <c r="F103" i="13" s="1"/>
  <c r="H103" i="13" s="1"/>
  <c r="J103" i="13" s="1"/>
  <c r="L103" i="13" s="1"/>
  <c r="N103" i="13" s="1"/>
  <c r="P103" i="13" s="1"/>
  <c r="R103" i="13" s="1"/>
  <c r="T103" i="13" s="1"/>
  <c r="V103" i="13" s="1"/>
  <c r="X103" i="13" s="1"/>
  <c r="Z103" i="13" s="1"/>
  <c r="AA103" i="13"/>
  <c r="Q54" i="1"/>
  <c r="F37" i="1"/>
  <c r="C70" i="13"/>
  <c r="AD106" i="13" s="1"/>
  <c r="D102" i="13"/>
  <c r="F102" i="13" s="1"/>
  <c r="H102" i="13" s="1"/>
  <c r="J102" i="13" s="1"/>
  <c r="L102" i="13" s="1"/>
  <c r="N102" i="13" s="1"/>
  <c r="P102" i="13" s="1"/>
  <c r="R102" i="13" s="1"/>
  <c r="T102" i="13" s="1"/>
  <c r="V102" i="13" s="1"/>
  <c r="X102" i="13" s="1"/>
  <c r="Z102" i="13" s="1"/>
  <c r="AA102" i="13"/>
  <c r="A68" i="13"/>
  <c r="B30" i="14" s="1"/>
  <c r="A104" i="13"/>
  <c r="A45" i="13"/>
  <c r="A81" i="13"/>
  <c r="A58" i="13"/>
  <c r="A94" i="13"/>
  <c r="A102" i="13"/>
  <c r="A66" i="13"/>
  <c r="B28" i="14" s="1"/>
  <c r="D106" i="13"/>
  <c r="F106" i="13" s="1"/>
  <c r="H106" i="13" s="1"/>
  <c r="J106" i="13" s="1"/>
  <c r="L106" i="13" s="1"/>
  <c r="N106" i="13" s="1"/>
  <c r="P106" i="13" s="1"/>
  <c r="R106" i="13" s="1"/>
  <c r="T106" i="13" s="1"/>
  <c r="V106" i="13" s="1"/>
  <c r="X106" i="13" s="1"/>
  <c r="Z106" i="13" s="1"/>
  <c r="AA106" i="13"/>
  <c r="P19" i="1"/>
  <c r="Q19" i="1" s="1"/>
  <c r="A86" i="13"/>
  <c r="A50" i="13"/>
  <c r="D68" i="13"/>
  <c r="AA68" i="13"/>
  <c r="D30" i="14" s="1"/>
  <c r="E30" i="14" s="1"/>
  <c r="A47" i="13"/>
  <c r="A83" i="13"/>
  <c r="A57" i="13"/>
  <c r="A93" i="13"/>
  <c r="N31" i="1"/>
  <c r="P31" i="1" s="1"/>
  <c r="Q31" i="1" s="1"/>
  <c r="C100" i="13"/>
  <c r="A48" i="13"/>
  <c r="A84" i="13"/>
  <c r="A61" i="13"/>
  <c r="A97" i="13"/>
  <c r="A101" i="13"/>
  <c r="A65" i="13"/>
  <c r="B27" i="14" s="1"/>
  <c r="D104" i="13"/>
  <c r="F104" i="13" s="1"/>
  <c r="H104" i="13" s="1"/>
  <c r="J104" i="13" s="1"/>
  <c r="L104" i="13" s="1"/>
  <c r="N104" i="13" s="1"/>
  <c r="P104" i="13" s="1"/>
  <c r="R104" i="13" s="1"/>
  <c r="T104" i="13" s="1"/>
  <c r="V104" i="13" s="1"/>
  <c r="X104" i="13" s="1"/>
  <c r="Z104" i="13" s="1"/>
  <c r="AA104" i="13"/>
  <c r="A44" i="13"/>
  <c r="A80" i="13"/>
  <c r="A87" i="13"/>
  <c r="A51" i="13"/>
  <c r="F32" i="1"/>
  <c r="P32" i="1" s="1"/>
  <c r="Q32" i="1" s="1"/>
  <c r="C65" i="13"/>
  <c r="AD101" i="13" s="1"/>
  <c r="C27" i="14" s="1"/>
  <c r="F27" i="14" s="1"/>
  <c r="N35" i="1"/>
  <c r="P14" i="1"/>
  <c r="Q14" i="1" s="1"/>
  <c r="Q70" i="1"/>
  <c r="D43" i="1"/>
  <c r="E3" i="13" s="1"/>
  <c r="Q55" i="1"/>
  <c r="P15" i="1"/>
  <c r="Q15" i="1" s="1"/>
  <c r="L116" i="1"/>
  <c r="K19" i="13" s="1"/>
  <c r="K31" i="13" s="1"/>
  <c r="D7" i="1"/>
  <c r="P9" i="1"/>
  <c r="Q9" i="1" s="1"/>
  <c r="N37" i="1"/>
  <c r="P10" i="1"/>
  <c r="Q10" i="1" s="1"/>
  <c r="K62" i="1"/>
  <c r="P67" i="1"/>
  <c r="N101" i="1"/>
  <c r="J7" i="1"/>
  <c r="K24" i="1" s="1"/>
  <c r="P11" i="1"/>
  <c r="Q11" i="1" s="1"/>
  <c r="I29" i="1"/>
  <c r="K67" i="1"/>
  <c r="N33" i="1"/>
  <c r="K60" i="1"/>
  <c r="Q67" i="1"/>
  <c r="F75" i="1"/>
  <c r="Q75" i="1" s="1"/>
  <c r="F27" i="1"/>
  <c r="F17" i="1"/>
  <c r="I25" i="1"/>
  <c r="N29" i="1"/>
  <c r="P56" i="1"/>
  <c r="K58" i="1"/>
  <c r="N60" i="1"/>
  <c r="F120" i="1"/>
  <c r="Q69" i="1"/>
  <c r="P13" i="1"/>
  <c r="Q13" i="1" s="1"/>
  <c r="I17" i="1"/>
  <c r="I19" i="1"/>
  <c r="I21" i="1"/>
  <c r="K70" i="1"/>
  <c r="K75" i="1"/>
  <c r="N89" i="1"/>
  <c r="F140" i="1"/>
  <c r="F136" i="1"/>
  <c r="I9" i="1"/>
  <c r="N25" i="1"/>
  <c r="P25" i="1" s="1"/>
  <c r="Q25" i="1" s="1"/>
  <c r="F50" i="1"/>
  <c r="Q50" i="1" s="1"/>
  <c r="K54" i="1"/>
  <c r="K56" i="1"/>
  <c r="N17" i="1"/>
  <c r="N21" i="1"/>
  <c r="N97" i="1"/>
  <c r="F124" i="1"/>
  <c r="K63" i="1"/>
  <c r="N105" i="1"/>
  <c r="P45" i="1"/>
  <c r="Q74" i="1"/>
  <c r="P74" i="1"/>
  <c r="F44" i="1"/>
  <c r="K50" i="1"/>
  <c r="K61" i="1"/>
  <c r="N63" i="1"/>
  <c r="F144" i="1"/>
  <c r="I13" i="1"/>
  <c r="K72" i="1"/>
  <c r="K64" i="1"/>
  <c r="K57" i="1"/>
  <c r="K45" i="1"/>
  <c r="K73" i="1"/>
  <c r="K65" i="1"/>
  <c r="K74" i="1"/>
  <c r="K49" i="1"/>
  <c r="K59" i="1"/>
  <c r="K76" i="1"/>
  <c r="K51" i="1"/>
  <c r="K46" i="1"/>
  <c r="N68" i="1"/>
  <c r="N52" i="1"/>
  <c r="F128" i="1"/>
  <c r="K28" i="1"/>
  <c r="J43" i="1"/>
  <c r="K44" i="1"/>
  <c r="J78" i="1"/>
  <c r="J80" i="1" s="1"/>
  <c r="F57" i="1"/>
  <c r="F47" i="1"/>
  <c r="L7" i="1"/>
  <c r="L38" i="1"/>
  <c r="I11" i="1"/>
  <c r="P18" i="1"/>
  <c r="Q18" i="1" s="1"/>
  <c r="P22" i="1"/>
  <c r="Q22" i="1" s="1"/>
  <c r="N34" i="1"/>
  <c r="P34" i="1" s="1"/>
  <c r="Q34" i="1" s="1"/>
  <c r="L78" i="1"/>
  <c r="K66" i="1"/>
  <c r="F148" i="1"/>
  <c r="I10" i="1"/>
  <c r="Q59" i="1"/>
  <c r="K71" i="1"/>
  <c r="F132" i="1"/>
  <c r="F35" i="1"/>
  <c r="K69" i="1"/>
  <c r="N71" i="1"/>
  <c r="N47" i="1"/>
  <c r="N93" i="1"/>
  <c r="I34" i="1"/>
  <c r="I26" i="1"/>
  <c r="I18" i="1"/>
  <c r="I35" i="1"/>
  <c r="I27" i="1"/>
  <c r="H39" i="1"/>
  <c r="I36" i="1"/>
  <c r="I28" i="1"/>
  <c r="I20" i="1"/>
  <c r="I12" i="1"/>
  <c r="I30" i="1"/>
  <c r="I22" i="1"/>
  <c r="I14" i="1"/>
  <c r="I31" i="1"/>
  <c r="I23" i="1"/>
  <c r="I15" i="1"/>
  <c r="I32" i="1"/>
  <c r="I16" i="1"/>
  <c r="I8" i="1"/>
  <c r="N26" i="1"/>
  <c r="P26" i="1" s="1"/>
  <c r="Q26" i="1" s="1"/>
  <c r="P28" i="1"/>
  <c r="Q28" i="1" s="1"/>
  <c r="I37" i="1"/>
  <c r="K55" i="1"/>
  <c r="F152" i="1"/>
  <c r="L43" i="1"/>
  <c r="I75" i="1"/>
  <c r="F145" i="1"/>
  <c r="F149" i="1"/>
  <c r="F153" i="1"/>
  <c r="L157" i="1"/>
  <c r="P54" i="1"/>
  <c r="I66" i="1"/>
  <c r="K117" i="1"/>
  <c r="K121" i="1"/>
  <c r="K125" i="1"/>
  <c r="K129" i="1"/>
  <c r="K133" i="1"/>
  <c r="K137" i="1"/>
  <c r="K141" i="1"/>
  <c r="K145" i="1"/>
  <c r="K149" i="1"/>
  <c r="K153" i="1"/>
  <c r="I65" i="1"/>
  <c r="I73" i="1"/>
  <c r="H158" i="1"/>
  <c r="I45" i="1"/>
  <c r="I57" i="1"/>
  <c r="F85" i="1"/>
  <c r="F87" i="1"/>
  <c r="F91" i="1"/>
  <c r="F95" i="1"/>
  <c r="F99" i="1"/>
  <c r="F103" i="1"/>
  <c r="D116" i="1"/>
  <c r="E119" i="1" s="1"/>
  <c r="N117" i="1"/>
  <c r="I120" i="1"/>
  <c r="I124" i="1"/>
  <c r="I128" i="1"/>
  <c r="I132" i="1"/>
  <c r="I136" i="1"/>
  <c r="I140" i="1"/>
  <c r="I144" i="1"/>
  <c r="I148" i="1"/>
  <c r="I152" i="1"/>
  <c r="J158" i="1"/>
  <c r="I64" i="1"/>
  <c r="I72" i="1"/>
  <c r="K120" i="1"/>
  <c r="K124" i="1"/>
  <c r="K128" i="1"/>
  <c r="K132" i="1"/>
  <c r="K136" i="1"/>
  <c r="K140" i="1"/>
  <c r="K144" i="1"/>
  <c r="K148" i="1"/>
  <c r="K152" i="1"/>
  <c r="I119" i="1"/>
  <c r="I123" i="1"/>
  <c r="I127" i="1"/>
  <c r="I131" i="1"/>
  <c r="I135" i="1"/>
  <c r="I139" i="1"/>
  <c r="I143" i="1"/>
  <c r="I147" i="1"/>
  <c r="I151" i="1"/>
  <c r="I62" i="1"/>
  <c r="I70" i="1"/>
  <c r="I77" i="1"/>
  <c r="K119" i="1"/>
  <c r="K123" i="1"/>
  <c r="K127" i="1"/>
  <c r="K131" i="1"/>
  <c r="K135" i="1"/>
  <c r="K139" i="1"/>
  <c r="K143" i="1"/>
  <c r="K147" i="1"/>
  <c r="K151" i="1"/>
  <c r="I69" i="1"/>
  <c r="I51" i="1"/>
  <c r="I76" i="1"/>
  <c r="I118" i="1"/>
  <c r="I122" i="1"/>
  <c r="I126" i="1"/>
  <c r="I130" i="1"/>
  <c r="I134" i="1"/>
  <c r="I138" i="1"/>
  <c r="I142" i="1"/>
  <c r="I146" i="1"/>
  <c r="I60" i="1"/>
  <c r="K118" i="1"/>
  <c r="K122" i="1"/>
  <c r="K126" i="1"/>
  <c r="K130" i="1"/>
  <c r="K134" i="1"/>
  <c r="K138" i="1"/>
  <c r="K142" i="1"/>
  <c r="K146" i="1"/>
  <c r="K33" i="1" l="1"/>
  <c r="P58" i="1"/>
  <c r="P72" i="1"/>
  <c r="Q65" i="1"/>
  <c r="K20" i="1"/>
  <c r="Q61" i="1"/>
  <c r="Q64" i="1"/>
  <c r="Q58" i="1"/>
  <c r="K32" i="1"/>
  <c r="Q62" i="1"/>
  <c r="K21" i="1"/>
  <c r="P36" i="1"/>
  <c r="Q36" i="1" s="1"/>
  <c r="K17" i="1"/>
  <c r="Q44" i="1"/>
  <c r="P66" i="1"/>
  <c r="P73" i="1"/>
  <c r="Q76" i="1"/>
  <c r="M120" i="1"/>
  <c r="M135" i="1"/>
  <c r="K8" i="1"/>
  <c r="M127" i="1"/>
  <c r="M141" i="1"/>
  <c r="M124" i="1"/>
  <c r="M149" i="1"/>
  <c r="M133" i="1"/>
  <c r="P76" i="1"/>
  <c r="K77" i="1"/>
  <c r="M117" i="1"/>
  <c r="Q49" i="1"/>
  <c r="P71" i="1"/>
  <c r="Q77" i="1"/>
  <c r="E34" i="1"/>
  <c r="E24" i="1"/>
  <c r="M128" i="1"/>
  <c r="M131" i="1"/>
  <c r="M145" i="1"/>
  <c r="M146" i="1"/>
  <c r="M123" i="1"/>
  <c r="M137" i="1"/>
  <c r="M125" i="1"/>
  <c r="Q73" i="1"/>
  <c r="P65" i="1"/>
  <c r="M121" i="1"/>
  <c r="M30" i="1"/>
  <c r="M24" i="1"/>
  <c r="E14" i="1"/>
  <c r="M143" i="1"/>
  <c r="K16" i="1"/>
  <c r="K9" i="1"/>
  <c r="P64" i="1"/>
  <c r="K13" i="1"/>
  <c r="K36" i="1"/>
  <c r="P49" i="1"/>
  <c r="E64" i="14"/>
  <c r="E71" i="1"/>
  <c r="E63" i="1"/>
  <c r="Q72" i="1"/>
  <c r="P77" i="1"/>
  <c r="K25" i="1"/>
  <c r="E62" i="1"/>
  <c r="Q51" i="1"/>
  <c r="K29" i="1"/>
  <c r="K37" i="1"/>
  <c r="E50" i="1"/>
  <c r="E45" i="1"/>
  <c r="AA268" i="13"/>
  <c r="D268" i="13"/>
  <c r="F268" i="13" s="1"/>
  <c r="H268" i="13" s="1"/>
  <c r="J268" i="13" s="1"/>
  <c r="L268" i="13" s="1"/>
  <c r="N268" i="13" s="1"/>
  <c r="P268" i="13" s="1"/>
  <c r="R268" i="13" s="1"/>
  <c r="T268" i="13" s="1"/>
  <c r="V268" i="13" s="1"/>
  <c r="X268" i="13" s="1"/>
  <c r="Z268" i="13" s="1"/>
  <c r="AA270" i="13"/>
  <c r="D270" i="13"/>
  <c r="F270" i="13" s="1"/>
  <c r="H270" i="13" s="1"/>
  <c r="J270" i="13" s="1"/>
  <c r="L270" i="13" s="1"/>
  <c r="N270" i="13" s="1"/>
  <c r="P270" i="13" s="1"/>
  <c r="R270" i="13" s="1"/>
  <c r="T270" i="13" s="1"/>
  <c r="V270" i="13" s="1"/>
  <c r="X270" i="13" s="1"/>
  <c r="Z270" i="13" s="1"/>
  <c r="C353" i="13"/>
  <c r="E56" i="1"/>
  <c r="E73" i="1"/>
  <c r="P37" i="1"/>
  <c r="Q37" i="1" s="1"/>
  <c r="AA269" i="13"/>
  <c r="D269" i="13"/>
  <c r="F269" i="13" s="1"/>
  <c r="H269" i="13" s="1"/>
  <c r="J269" i="13" s="1"/>
  <c r="L269" i="13" s="1"/>
  <c r="N269" i="13" s="1"/>
  <c r="P269" i="13" s="1"/>
  <c r="R269" i="13" s="1"/>
  <c r="T269" i="13" s="1"/>
  <c r="V269" i="13" s="1"/>
  <c r="X269" i="13" s="1"/>
  <c r="Z269" i="13" s="1"/>
  <c r="C152" i="13"/>
  <c r="D152" i="13" s="1"/>
  <c r="F152" i="13" s="1"/>
  <c r="E76" i="1"/>
  <c r="E46" i="1"/>
  <c r="E51" i="1"/>
  <c r="E55" i="1"/>
  <c r="M129" i="1"/>
  <c r="E57" i="1"/>
  <c r="E70" i="1"/>
  <c r="P61" i="1"/>
  <c r="P62" i="1"/>
  <c r="E77" i="1"/>
  <c r="C231" i="13"/>
  <c r="AA231" i="13" s="1"/>
  <c r="E67" i="1"/>
  <c r="D79" i="1"/>
  <c r="AD269" i="13"/>
  <c r="C63" i="14" s="1"/>
  <c r="AA150" i="13"/>
  <c r="D63" i="14" s="1"/>
  <c r="C307" i="13"/>
  <c r="D307" i="13" s="1"/>
  <c r="F307" i="13" s="1"/>
  <c r="H307" i="13" s="1"/>
  <c r="E69" i="1"/>
  <c r="E54" i="1"/>
  <c r="C271" i="13"/>
  <c r="E61" i="1"/>
  <c r="M147" i="1"/>
  <c r="E75" i="1"/>
  <c r="E49" i="1"/>
  <c r="F7" i="1"/>
  <c r="G24" i="1" s="1"/>
  <c r="D66" i="13"/>
  <c r="AA66" i="13"/>
  <c r="D28" i="14" s="1"/>
  <c r="E28" i="14" s="1"/>
  <c r="E145" i="1"/>
  <c r="P46" i="1"/>
  <c r="E129" i="1"/>
  <c r="E133" i="1"/>
  <c r="E139" i="1"/>
  <c r="E122" i="1"/>
  <c r="E136" i="1"/>
  <c r="D100" i="13"/>
  <c r="F100" i="13" s="1"/>
  <c r="H100" i="13" s="1"/>
  <c r="J100" i="13" s="1"/>
  <c r="L100" i="13" s="1"/>
  <c r="N100" i="13" s="1"/>
  <c r="P100" i="13" s="1"/>
  <c r="R100" i="13" s="1"/>
  <c r="T100" i="13" s="1"/>
  <c r="V100" i="13" s="1"/>
  <c r="X100" i="13" s="1"/>
  <c r="Z100" i="13" s="1"/>
  <c r="AA100" i="13"/>
  <c r="M72" i="1"/>
  <c r="E19" i="13"/>
  <c r="E152" i="1"/>
  <c r="M139" i="1"/>
  <c r="M150" i="1"/>
  <c r="E150" i="1"/>
  <c r="E74" i="1"/>
  <c r="D65" i="13"/>
  <c r="AA65" i="13"/>
  <c r="D27" i="14" s="1"/>
  <c r="E27" i="14" s="1"/>
  <c r="E140" i="1"/>
  <c r="E125" i="1"/>
  <c r="E151" i="1"/>
  <c r="D69" i="13"/>
  <c r="AA69" i="13"/>
  <c r="D31" i="14" s="1"/>
  <c r="E31" i="14" s="1"/>
  <c r="D105" i="13"/>
  <c r="F105" i="13" s="1"/>
  <c r="H105" i="13" s="1"/>
  <c r="J105" i="13" s="1"/>
  <c r="L105" i="13" s="1"/>
  <c r="N105" i="13" s="1"/>
  <c r="P105" i="13" s="1"/>
  <c r="R105" i="13" s="1"/>
  <c r="T105" i="13" s="1"/>
  <c r="V105" i="13" s="1"/>
  <c r="X105" i="13" s="1"/>
  <c r="Z105" i="13" s="1"/>
  <c r="AA105" i="13"/>
  <c r="M119" i="1"/>
  <c r="M22" i="1"/>
  <c r="M14" i="1"/>
  <c r="M132" i="1"/>
  <c r="E60" i="1"/>
  <c r="D70" i="13"/>
  <c r="AA70" i="13"/>
  <c r="M18" i="1"/>
  <c r="E131" i="1"/>
  <c r="M136" i="1"/>
  <c r="E65" i="1"/>
  <c r="M140" i="1"/>
  <c r="E68" i="1"/>
  <c r="D67" i="13"/>
  <c r="AA67" i="13"/>
  <c r="D29" i="14" s="1"/>
  <c r="E29" i="14" s="1"/>
  <c r="E30" i="1"/>
  <c r="E26" i="1"/>
  <c r="M13" i="1"/>
  <c r="E18" i="1"/>
  <c r="M10" i="1"/>
  <c r="E22" i="1"/>
  <c r="M130" i="1"/>
  <c r="M122" i="1"/>
  <c r="E27" i="1"/>
  <c r="E10" i="1"/>
  <c r="M138" i="1"/>
  <c r="E16" i="1"/>
  <c r="E130" i="1"/>
  <c r="E31" i="1"/>
  <c r="M134" i="1"/>
  <c r="E15" i="1"/>
  <c r="E9" i="1"/>
  <c r="E32" i="1"/>
  <c r="E11" i="1"/>
  <c r="E35" i="1"/>
  <c r="E29" i="1"/>
  <c r="E19" i="1"/>
  <c r="E20" i="1"/>
  <c r="N43" i="1"/>
  <c r="O57" i="1" s="1"/>
  <c r="E23" i="1"/>
  <c r="E28" i="1"/>
  <c r="M126" i="1"/>
  <c r="E17" i="1"/>
  <c r="E21" i="1"/>
  <c r="E142" i="1"/>
  <c r="M118" i="1"/>
  <c r="M144" i="1"/>
  <c r="E149" i="1"/>
  <c r="E58" i="1"/>
  <c r="E12" i="1"/>
  <c r="E36" i="1"/>
  <c r="M17" i="1"/>
  <c r="E13" i="1"/>
  <c r="E59" i="1"/>
  <c r="M148" i="1"/>
  <c r="E66" i="1"/>
  <c r="D39" i="1"/>
  <c r="D159" i="1"/>
  <c r="D158" i="1"/>
  <c r="K3" i="13"/>
  <c r="E25" i="1"/>
  <c r="M152" i="1"/>
  <c r="E64" i="1"/>
  <c r="E8" i="1"/>
  <c r="M142" i="1"/>
  <c r="E37" i="1"/>
  <c r="E33" i="1"/>
  <c r="L158" i="1"/>
  <c r="M151" i="1"/>
  <c r="M153" i="1"/>
  <c r="E44" i="1"/>
  <c r="E72" i="1"/>
  <c r="F159" i="1"/>
  <c r="F39" i="1"/>
  <c r="G31" i="1"/>
  <c r="G32" i="1"/>
  <c r="G8" i="1"/>
  <c r="G12" i="1"/>
  <c r="F5" i="1"/>
  <c r="G13" i="1"/>
  <c r="G23" i="1"/>
  <c r="G11" i="1"/>
  <c r="G34" i="1"/>
  <c r="G30" i="1"/>
  <c r="G9" i="1"/>
  <c r="G28" i="1"/>
  <c r="G29" i="1"/>
  <c r="G10" i="1"/>
  <c r="G15" i="1"/>
  <c r="G19" i="1"/>
  <c r="M55" i="1"/>
  <c r="P60" i="1"/>
  <c r="M36" i="1"/>
  <c r="M28" i="1"/>
  <c r="M20" i="1"/>
  <c r="M12" i="1"/>
  <c r="L39" i="1"/>
  <c r="M32" i="1"/>
  <c r="M16" i="1"/>
  <c r="M9" i="1"/>
  <c r="M19" i="1"/>
  <c r="M23" i="1"/>
  <c r="M27" i="1"/>
  <c r="M31" i="1"/>
  <c r="N7" i="1"/>
  <c r="M35" i="1"/>
  <c r="M11" i="1"/>
  <c r="M63" i="1"/>
  <c r="E147" i="1"/>
  <c r="E143" i="1"/>
  <c r="P33" i="1"/>
  <c r="Q33" i="1" s="1"/>
  <c r="M26" i="1"/>
  <c r="M68" i="1"/>
  <c r="E121" i="1"/>
  <c r="P50" i="1"/>
  <c r="E117" i="1"/>
  <c r="M29" i="1"/>
  <c r="Q68" i="1"/>
  <c r="N78" i="1"/>
  <c r="M67" i="1"/>
  <c r="P29" i="1"/>
  <c r="Q29" i="1" s="1"/>
  <c r="M8" i="1"/>
  <c r="E128" i="1"/>
  <c r="E137" i="1"/>
  <c r="E123" i="1"/>
  <c r="M15" i="1"/>
  <c r="P35" i="1"/>
  <c r="Q35" i="1" s="1"/>
  <c r="Q63" i="1"/>
  <c r="E138" i="1"/>
  <c r="E144" i="1"/>
  <c r="M25" i="1"/>
  <c r="P21" i="1"/>
  <c r="Q21" i="1" s="1"/>
  <c r="M37" i="1"/>
  <c r="M59" i="1"/>
  <c r="N38" i="1"/>
  <c r="E146" i="1"/>
  <c r="L79" i="1"/>
  <c r="M73" i="1"/>
  <c r="M65" i="1"/>
  <c r="M58" i="1"/>
  <c r="M46" i="1"/>
  <c r="M66" i="1"/>
  <c r="M75" i="1"/>
  <c r="M50" i="1"/>
  <c r="M54" i="1"/>
  <c r="M44" i="1"/>
  <c r="M61" i="1"/>
  <c r="M51" i="1"/>
  <c r="M56" i="1"/>
  <c r="M69" i="1"/>
  <c r="M71" i="1"/>
  <c r="P57" i="1"/>
  <c r="P44" i="1"/>
  <c r="F43" i="1"/>
  <c r="G44" i="1" s="1"/>
  <c r="M49" i="1"/>
  <c r="Q71" i="1"/>
  <c r="E148" i="1"/>
  <c r="E118" i="1"/>
  <c r="E141" i="1"/>
  <c r="E127" i="1"/>
  <c r="F116" i="1"/>
  <c r="G144" i="1" s="1"/>
  <c r="M60" i="1"/>
  <c r="P17" i="1"/>
  <c r="Q17" i="1" s="1"/>
  <c r="K35" i="1"/>
  <c r="K27" i="1"/>
  <c r="K19" i="1"/>
  <c r="K31" i="1"/>
  <c r="K23" i="1"/>
  <c r="K15" i="1"/>
  <c r="K22" i="1"/>
  <c r="K18" i="1"/>
  <c r="K11" i="1"/>
  <c r="K26" i="1"/>
  <c r="K30" i="1"/>
  <c r="K34" i="1"/>
  <c r="K12" i="1"/>
  <c r="J39" i="1"/>
  <c r="K10" i="1"/>
  <c r="Q60" i="1"/>
  <c r="M70" i="1"/>
  <c r="M57" i="1"/>
  <c r="M64" i="1"/>
  <c r="J79" i="1"/>
  <c r="M74" i="1"/>
  <c r="M45" i="1"/>
  <c r="E135" i="1"/>
  <c r="M34" i="1"/>
  <c r="P63" i="1"/>
  <c r="P27" i="1"/>
  <c r="Q27" i="1" s="1"/>
  <c r="G27" i="1"/>
  <c r="K14" i="1"/>
  <c r="P75" i="1"/>
  <c r="N116" i="1"/>
  <c r="N157" i="1"/>
  <c r="P68" i="1"/>
  <c r="E132" i="1"/>
  <c r="Q57" i="1"/>
  <c r="E134" i="1"/>
  <c r="M62" i="1"/>
  <c r="E153" i="1"/>
  <c r="E126" i="1"/>
  <c r="L80" i="1"/>
  <c r="E124" i="1"/>
  <c r="M21" i="1"/>
  <c r="E120" i="1"/>
  <c r="M33" i="1"/>
  <c r="C185" i="13" l="1"/>
  <c r="G21" i="1"/>
  <c r="O29" i="1"/>
  <c r="O24" i="1"/>
  <c r="G14" i="1"/>
  <c r="G36" i="1"/>
  <c r="G17" i="1"/>
  <c r="G37" i="1"/>
  <c r="G26" i="1"/>
  <c r="G35" i="1"/>
  <c r="G20" i="1"/>
  <c r="G25" i="1"/>
  <c r="G33" i="1"/>
  <c r="G18" i="1"/>
  <c r="G22" i="1"/>
  <c r="E63" i="14"/>
  <c r="F63" i="14"/>
  <c r="G148" i="1"/>
  <c r="G149" i="1"/>
  <c r="Q149" i="1" s="1"/>
  <c r="D353" i="13"/>
  <c r="F353" i="13" s="1"/>
  <c r="H353" i="13" s="1"/>
  <c r="J353" i="13" s="1"/>
  <c r="L353" i="13" s="1"/>
  <c r="N353" i="13" s="1"/>
  <c r="P353" i="13" s="1"/>
  <c r="R353" i="13" s="1"/>
  <c r="T353" i="13" s="1"/>
  <c r="V353" i="13" s="1"/>
  <c r="X353" i="13" s="1"/>
  <c r="Z353" i="13" s="1"/>
  <c r="AA353" i="13"/>
  <c r="O66" i="1"/>
  <c r="AA271" i="13"/>
  <c r="D271" i="13"/>
  <c r="F271" i="13" s="1"/>
  <c r="H271" i="13" s="1"/>
  <c r="J271" i="13" s="1"/>
  <c r="L271" i="13" s="1"/>
  <c r="N271" i="13" s="1"/>
  <c r="P271" i="13" s="1"/>
  <c r="R271" i="13" s="1"/>
  <c r="T271" i="13" s="1"/>
  <c r="V271" i="13" s="1"/>
  <c r="X271" i="13" s="1"/>
  <c r="Z271" i="13" s="1"/>
  <c r="G16" i="1"/>
  <c r="O73" i="1"/>
  <c r="O76" i="1"/>
  <c r="O59" i="1"/>
  <c r="G95" i="1"/>
  <c r="O67" i="1"/>
  <c r="O117" i="1"/>
  <c r="L19" i="13"/>
  <c r="G87" i="1"/>
  <c r="O55" i="1"/>
  <c r="O65" i="1"/>
  <c r="O69" i="1"/>
  <c r="G140" i="1"/>
  <c r="Q140" i="1" s="1"/>
  <c r="G132" i="1"/>
  <c r="Q132" i="1" s="1"/>
  <c r="G145" i="1"/>
  <c r="Q145" i="1" s="1"/>
  <c r="O60" i="1"/>
  <c r="O77" i="1"/>
  <c r="G128" i="1"/>
  <c r="Q128" i="1" s="1"/>
  <c r="O75" i="1"/>
  <c r="O51" i="1"/>
  <c r="O74" i="1"/>
  <c r="O72" i="1"/>
  <c r="O44" i="1"/>
  <c r="O33" i="1"/>
  <c r="O45" i="1"/>
  <c r="O58" i="1"/>
  <c r="G120" i="1"/>
  <c r="Q120" i="1" s="1"/>
  <c r="O50" i="1"/>
  <c r="O49" i="1"/>
  <c r="O68" i="1"/>
  <c r="O61" i="1"/>
  <c r="O62" i="1"/>
  <c r="O63" i="1"/>
  <c r="O56" i="1"/>
  <c r="O70" i="1"/>
  <c r="G153" i="1"/>
  <c r="Q153" i="1" s="1"/>
  <c r="L3" i="13"/>
  <c r="G136" i="1"/>
  <c r="Q136" i="1" s="1"/>
  <c r="O46" i="1"/>
  <c r="O54" i="1"/>
  <c r="G91" i="1"/>
  <c r="O71" i="1"/>
  <c r="O64" i="1"/>
  <c r="F79" i="1"/>
  <c r="F84" i="1" s="1"/>
  <c r="J3" i="13" s="1"/>
  <c r="G55" i="1"/>
  <c r="G74" i="1"/>
  <c r="G49" i="1"/>
  <c r="G59" i="1"/>
  <c r="G61" i="1"/>
  <c r="G58" i="1"/>
  <c r="G76" i="1"/>
  <c r="G64" i="1"/>
  <c r="G65" i="1"/>
  <c r="G54" i="1"/>
  <c r="G63" i="1"/>
  <c r="G73" i="1"/>
  <c r="G45" i="1"/>
  <c r="G51" i="1"/>
  <c r="G62" i="1"/>
  <c r="G56" i="1"/>
  <c r="G68" i="1"/>
  <c r="G72" i="1"/>
  <c r="G69" i="1"/>
  <c r="G60" i="1"/>
  <c r="G70" i="1"/>
  <c r="G67" i="1"/>
  <c r="G46" i="1"/>
  <c r="G66" i="1"/>
  <c r="G77" i="1"/>
  <c r="G71" i="1"/>
  <c r="G88" i="1"/>
  <c r="G101" i="1"/>
  <c r="G105" i="1"/>
  <c r="G89" i="1"/>
  <c r="G52" i="1"/>
  <c r="G104" i="1"/>
  <c r="G92" i="1"/>
  <c r="G86" i="1"/>
  <c r="G94" i="1"/>
  <c r="G48" i="1"/>
  <c r="G96" i="1"/>
  <c r="G90" i="1"/>
  <c r="N39" i="1"/>
  <c r="O32" i="1"/>
  <c r="O28" i="1"/>
  <c r="O20" i="1"/>
  <c r="O36" i="1"/>
  <c r="O9" i="1"/>
  <c r="O16" i="1"/>
  <c r="O35" i="1"/>
  <c r="O11" i="1"/>
  <c r="O23" i="1"/>
  <c r="O14" i="1"/>
  <c r="O19" i="1"/>
  <c r="O8" i="1"/>
  <c r="O13" i="1"/>
  <c r="O12" i="1"/>
  <c r="O15" i="1"/>
  <c r="O31" i="1"/>
  <c r="O27" i="1"/>
  <c r="O18" i="1"/>
  <c r="O22" i="1"/>
  <c r="O10" i="1"/>
  <c r="O30" i="1"/>
  <c r="P78" i="1"/>
  <c r="P43" i="1"/>
  <c r="O26" i="1"/>
  <c r="G57" i="1"/>
  <c r="G151" i="1"/>
  <c r="Q151" i="1" s="1"/>
  <c r="G147" i="1"/>
  <c r="Q147" i="1" s="1"/>
  <c r="G143" i="1"/>
  <c r="Q143" i="1" s="1"/>
  <c r="G139" i="1"/>
  <c r="Q139" i="1" s="1"/>
  <c r="G135" i="1"/>
  <c r="Q135" i="1" s="1"/>
  <c r="G131" i="1"/>
  <c r="Q131" i="1" s="1"/>
  <c r="G127" i="1"/>
  <c r="Q127" i="1" s="1"/>
  <c r="G123" i="1"/>
  <c r="Q123" i="1" s="1"/>
  <c r="G119" i="1"/>
  <c r="Q119" i="1" s="1"/>
  <c r="F158" i="1"/>
  <c r="G129" i="1"/>
  <c r="Q129" i="1" s="1"/>
  <c r="G125" i="1"/>
  <c r="Q125" i="1" s="1"/>
  <c r="G141" i="1"/>
  <c r="Q141" i="1" s="1"/>
  <c r="G121" i="1"/>
  <c r="Q121" i="1" s="1"/>
  <c r="G137" i="1"/>
  <c r="Q137" i="1" s="1"/>
  <c r="G117" i="1"/>
  <c r="Q117" i="1" s="1"/>
  <c r="G133" i="1"/>
  <c r="Q133" i="1" s="1"/>
  <c r="G146" i="1"/>
  <c r="Q146" i="1" s="1"/>
  <c r="G130" i="1"/>
  <c r="Q130" i="1" s="1"/>
  <c r="G122" i="1"/>
  <c r="Q122" i="1" s="1"/>
  <c r="G142" i="1"/>
  <c r="Q142" i="1" s="1"/>
  <c r="G138" i="1"/>
  <c r="Q138" i="1" s="1"/>
  <c r="G118" i="1"/>
  <c r="Q118" i="1" s="1"/>
  <c r="G150" i="1"/>
  <c r="Q150" i="1" s="1"/>
  <c r="G126" i="1"/>
  <c r="Q126" i="1" s="1"/>
  <c r="G134" i="1"/>
  <c r="Q134" i="1" s="1"/>
  <c r="G99" i="1"/>
  <c r="P38" i="1"/>
  <c r="N158" i="1"/>
  <c r="O149" i="1"/>
  <c r="O126" i="1"/>
  <c r="O130" i="1"/>
  <c r="O118" i="1"/>
  <c r="O121" i="1"/>
  <c r="O151" i="1"/>
  <c r="O152" i="1"/>
  <c r="O140" i="1"/>
  <c r="O125" i="1"/>
  <c r="O145" i="1"/>
  <c r="O143" i="1"/>
  <c r="O141" i="1"/>
  <c r="O148" i="1"/>
  <c r="O137" i="1"/>
  <c r="O128" i="1"/>
  <c r="O132" i="1"/>
  <c r="O119" i="1"/>
  <c r="O120" i="1"/>
  <c r="O146" i="1"/>
  <c r="O131" i="1"/>
  <c r="O135" i="1"/>
  <c r="O123" i="1"/>
  <c r="O134" i="1"/>
  <c r="O138" i="1"/>
  <c r="O147" i="1"/>
  <c r="O122" i="1"/>
  <c r="O133" i="1"/>
  <c r="O153" i="1"/>
  <c r="O150" i="1"/>
  <c r="O144" i="1"/>
  <c r="O124" i="1"/>
  <c r="O136" i="1"/>
  <c r="O127" i="1"/>
  <c r="O129" i="1"/>
  <c r="O139" i="1"/>
  <c r="O142" i="1"/>
  <c r="P7" i="1"/>
  <c r="G75" i="1"/>
  <c r="G152" i="1"/>
  <c r="Q152" i="1" s="1"/>
  <c r="O37" i="1"/>
  <c r="G50" i="1"/>
  <c r="N79" i="1"/>
  <c r="O34" i="1"/>
  <c r="O17" i="1"/>
  <c r="O21" i="1"/>
  <c r="G103" i="1"/>
  <c r="Q148" i="1"/>
  <c r="O25" i="1"/>
  <c r="Q144" i="1"/>
  <c r="G124" i="1"/>
  <c r="Q124" i="1" s="1"/>
  <c r="N80" i="1"/>
  <c r="G100" i="1" l="1"/>
  <c r="G98" i="1"/>
  <c r="F112" i="1"/>
  <c r="G47" i="1"/>
  <c r="G53" i="1"/>
  <c r="G102" i="1"/>
  <c r="G97" i="1"/>
  <c r="G93" i="1"/>
  <c r="G85" i="1"/>
  <c r="P79" i="1"/>
  <c r="P80" i="1"/>
  <c r="P39" i="1"/>
  <c r="B105" i="14" l="1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04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76" i="14"/>
  <c r="B75" i="14"/>
  <c r="B74" i="14"/>
  <c r="B73" i="14"/>
  <c r="B72" i="14"/>
  <c r="B71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35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3" i="14"/>
  <c r="D31" i="13"/>
  <c r="H31" i="13" s="1"/>
  <c r="D15" i="13"/>
  <c r="H15" i="13" l="1"/>
  <c r="D313" i="13" l="1"/>
  <c r="D283" i="13"/>
  <c r="D287" i="13"/>
  <c r="D289" i="13"/>
  <c r="F289" i="13" s="1"/>
  <c r="D290" i="13"/>
  <c r="D291" i="13"/>
  <c r="D292" i="13"/>
  <c r="D293" i="13"/>
  <c r="D294" i="13"/>
  <c r="D299" i="13"/>
  <c r="F299" i="13" s="1"/>
  <c r="H299" i="13" s="1"/>
  <c r="J299" i="13" s="1"/>
  <c r="L299" i="13" s="1"/>
  <c r="N299" i="13" s="1"/>
  <c r="D303" i="13"/>
  <c r="F303" i="13" s="1"/>
  <c r="H303" i="13" s="1"/>
  <c r="J303" i="13" s="1"/>
  <c r="L303" i="13" s="1"/>
  <c r="N303" i="13" s="1"/>
  <c r="D249" i="13"/>
  <c r="F249" i="13" s="1"/>
  <c r="D250" i="13"/>
  <c r="D251" i="13"/>
  <c r="F251" i="13" s="1"/>
  <c r="D252" i="13"/>
  <c r="D253" i="13"/>
  <c r="D262" i="13"/>
  <c r="D265" i="13"/>
  <c r="F265" i="13" s="1"/>
  <c r="H265" i="13" s="1"/>
  <c r="J265" i="13" s="1"/>
  <c r="L265" i="13" s="1"/>
  <c r="N265" i="13" s="1"/>
  <c r="P265" i="13" s="1"/>
  <c r="R265" i="13" s="1"/>
  <c r="T265" i="13" s="1"/>
  <c r="V265" i="13" s="1"/>
  <c r="X265" i="13" s="1"/>
  <c r="Z265" i="13" s="1"/>
  <c r="D266" i="13"/>
  <c r="D267" i="13"/>
  <c r="F267" i="13" s="1"/>
  <c r="H267" i="13" s="1"/>
  <c r="J267" i="13" s="1"/>
  <c r="L267" i="13" s="1"/>
  <c r="N267" i="13" s="1"/>
  <c r="P267" i="13" s="1"/>
  <c r="R267" i="13" s="1"/>
  <c r="T267" i="13" s="1"/>
  <c r="V267" i="13" s="1"/>
  <c r="X267" i="13" s="1"/>
  <c r="Z267" i="13" s="1"/>
  <c r="D191" i="13"/>
  <c r="D193" i="13"/>
  <c r="D194" i="13"/>
  <c r="D195" i="13"/>
  <c r="F195" i="13" s="1"/>
  <c r="H195" i="13" s="1"/>
  <c r="J195" i="13" s="1"/>
  <c r="D196" i="13"/>
  <c r="D197" i="13"/>
  <c r="D198" i="13"/>
  <c r="D199" i="13"/>
  <c r="D200" i="13"/>
  <c r="D201" i="13"/>
  <c r="D202" i="13"/>
  <c r="D203" i="13"/>
  <c r="F203" i="13" s="1"/>
  <c r="D204" i="13"/>
  <c r="D205" i="13"/>
  <c r="D206" i="13"/>
  <c r="D207" i="13"/>
  <c r="D209" i="13"/>
  <c r="D210" i="13"/>
  <c r="D211" i="13"/>
  <c r="F211" i="13" s="1"/>
  <c r="H211" i="13" s="1"/>
  <c r="J211" i="13" s="1"/>
  <c r="D212" i="13"/>
  <c r="D213" i="13"/>
  <c r="D215" i="13"/>
  <c r="D216" i="13"/>
  <c r="D217" i="13"/>
  <c r="D218" i="13"/>
  <c r="D219" i="13"/>
  <c r="F219" i="13" s="1"/>
  <c r="D220" i="13"/>
  <c r="D221" i="13"/>
  <c r="D222" i="13"/>
  <c r="D223" i="13"/>
  <c r="D224" i="13"/>
  <c r="D225" i="13"/>
  <c r="D226" i="13"/>
  <c r="D227" i="13"/>
  <c r="F227" i="13" s="1"/>
  <c r="H227" i="13" s="1"/>
  <c r="J227" i="13" s="1"/>
  <c r="D121" i="13"/>
  <c r="D122" i="13"/>
  <c r="D159" i="13"/>
  <c r="D170" i="13"/>
  <c r="D171" i="13"/>
  <c r="D172" i="13"/>
  <c r="D173" i="13"/>
  <c r="D120" i="13"/>
  <c r="D129" i="13"/>
  <c r="D131" i="13"/>
  <c r="F131" i="13" s="1"/>
  <c r="D132" i="13"/>
  <c r="D133" i="13"/>
  <c r="D134" i="13"/>
  <c r="D135" i="13"/>
  <c r="D140" i="13"/>
  <c r="D145" i="13"/>
  <c r="D146" i="13"/>
  <c r="F146" i="13" s="1"/>
  <c r="D147" i="13"/>
  <c r="F147" i="13" s="1"/>
  <c r="D148" i="13"/>
  <c r="F148" i="13" s="1"/>
  <c r="D149" i="13"/>
  <c r="F149" i="13" s="1"/>
  <c r="D118" i="13"/>
  <c r="I99" i="13"/>
  <c r="K97" i="13"/>
  <c r="M97" i="13"/>
  <c r="O97" i="13"/>
  <c r="Q97" i="13"/>
  <c r="S97" i="13"/>
  <c r="U97" i="13"/>
  <c r="W97" i="13"/>
  <c r="Y97" i="13"/>
  <c r="K98" i="13"/>
  <c r="M98" i="13"/>
  <c r="O98" i="13"/>
  <c r="Q98" i="13"/>
  <c r="S98" i="13"/>
  <c r="U98" i="13"/>
  <c r="W98" i="13"/>
  <c r="Y98" i="13"/>
  <c r="K99" i="13"/>
  <c r="M99" i="13"/>
  <c r="O99" i="13"/>
  <c r="Q99" i="13"/>
  <c r="S99" i="13"/>
  <c r="U99" i="13"/>
  <c r="W99" i="13"/>
  <c r="Y99" i="13"/>
  <c r="I97" i="13"/>
  <c r="I98" i="13"/>
  <c r="G97" i="13"/>
  <c r="G98" i="13"/>
  <c r="G99" i="13"/>
  <c r="C99" i="13"/>
  <c r="D99" i="13" s="1"/>
  <c r="C98" i="13"/>
  <c r="D98" i="13" s="1"/>
  <c r="C97" i="13"/>
  <c r="D97" i="13" s="1"/>
  <c r="F216" i="13" l="1"/>
  <c r="F200" i="13"/>
  <c r="F145" i="13"/>
  <c r="F129" i="13"/>
  <c r="Q306" i="13"/>
  <c r="AD293" i="13"/>
  <c r="C87" i="14" s="1"/>
  <c r="AD277" i="13"/>
  <c r="C71" i="14" s="1"/>
  <c r="AD341" i="13"/>
  <c r="C132" i="14" s="1"/>
  <c r="AD325" i="13"/>
  <c r="C116" i="14" s="1"/>
  <c r="AD268" i="13"/>
  <c r="C62" i="14" s="1"/>
  <c r="AD252" i="13"/>
  <c r="C46" i="14" s="1"/>
  <c r="AD253" i="13"/>
  <c r="C47" i="14" s="1"/>
  <c r="AD342" i="13"/>
  <c r="C133" i="14" s="1"/>
  <c r="AD326" i="13"/>
  <c r="C117" i="14" s="1"/>
  <c r="AD267" i="13"/>
  <c r="C61" i="14" s="1"/>
  <c r="AD251" i="13"/>
  <c r="C45" i="14" s="1"/>
  <c r="AD292" i="13"/>
  <c r="C86" i="14" s="1"/>
  <c r="AD340" i="13"/>
  <c r="C131" i="14" s="1"/>
  <c r="AD324" i="13"/>
  <c r="C115" i="14" s="1"/>
  <c r="AD266" i="13"/>
  <c r="C60" i="14" s="1"/>
  <c r="F60" i="14" s="1"/>
  <c r="AD250" i="13"/>
  <c r="C44" i="14" s="1"/>
  <c r="AD291" i="13"/>
  <c r="C85" i="14" s="1"/>
  <c r="AD339" i="13"/>
  <c r="C130" i="14" s="1"/>
  <c r="AD323" i="13"/>
  <c r="C114" i="14" s="1"/>
  <c r="AD265" i="13"/>
  <c r="C59" i="14" s="1"/>
  <c r="AD249" i="13"/>
  <c r="C43" i="14" s="1"/>
  <c r="AD290" i="13"/>
  <c r="C84" i="14" s="1"/>
  <c r="AD338" i="13"/>
  <c r="C129" i="14" s="1"/>
  <c r="AD322" i="13"/>
  <c r="C113" i="14" s="1"/>
  <c r="AD264" i="13"/>
  <c r="C58" i="14" s="1"/>
  <c r="F58" i="14" s="1"/>
  <c r="AD248" i="13"/>
  <c r="C42" i="14" s="1"/>
  <c r="AD305" i="13"/>
  <c r="C99" i="14" s="1"/>
  <c r="AD289" i="13"/>
  <c r="C83" i="14" s="1"/>
  <c r="AD263" i="13"/>
  <c r="C57" i="14" s="1"/>
  <c r="AD247" i="13"/>
  <c r="C41" i="14" s="1"/>
  <c r="AD304" i="13"/>
  <c r="C98" i="14" s="1"/>
  <c r="AD288" i="13"/>
  <c r="C82" i="14" s="1"/>
  <c r="AD336" i="13"/>
  <c r="C127" i="14" s="1"/>
  <c r="AD320" i="13"/>
  <c r="C111" i="14" s="1"/>
  <c r="AD262" i="13"/>
  <c r="C56" i="14" s="1"/>
  <c r="AD246" i="13"/>
  <c r="C40" i="14" s="1"/>
  <c r="AD303" i="13"/>
  <c r="C97" i="14" s="1"/>
  <c r="AD287" i="13"/>
  <c r="C81" i="14" s="1"/>
  <c r="AD351" i="13"/>
  <c r="C142" i="14" s="1"/>
  <c r="AD335" i="13"/>
  <c r="C126" i="14" s="1"/>
  <c r="AD319" i="13"/>
  <c r="C110" i="14" s="1"/>
  <c r="AD261" i="13"/>
  <c r="C55" i="14" s="1"/>
  <c r="AD245" i="13"/>
  <c r="C39" i="14" s="1"/>
  <c r="AD302" i="13"/>
  <c r="C96" i="14" s="1"/>
  <c r="AD286" i="13"/>
  <c r="C80" i="14" s="1"/>
  <c r="AD350" i="13"/>
  <c r="C141" i="14" s="1"/>
  <c r="AD334" i="13"/>
  <c r="C125" i="14" s="1"/>
  <c r="AD318" i="13"/>
  <c r="C109" i="14" s="1"/>
  <c r="AD260" i="13"/>
  <c r="C54" i="14" s="1"/>
  <c r="AD244" i="13"/>
  <c r="C38" i="14" s="1"/>
  <c r="AD301" i="13"/>
  <c r="C95" i="14" s="1"/>
  <c r="AD285" i="13"/>
  <c r="C79" i="14" s="1"/>
  <c r="F79" i="14" s="1"/>
  <c r="AD349" i="13"/>
  <c r="C140" i="14" s="1"/>
  <c r="AD333" i="13"/>
  <c r="C124" i="14" s="1"/>
  <c r="AD317" i="13"/>
  <c r="C108" i="14" s="1"/>
  <c r="AD259" i="13"/>
  <c r="C53" i="14" s="1"/>
  <c r="F53" i="14" s="1"/>
  <c r="AD243" i="13"/>
  <c r="C37" i="14" s="1"/>
  <c r="AD300" i="13"/>
  <c r="C94" i="14" s="1"/>
  <c r="AD284" i="13"/>
  <c r="C78" i="14" s="1"/>
  <c r="F78" i="14" s="1"/>
  <c r="AD348" i="13"/>
  <c r="C139" i="14" s="1"/>
  <c r="AD332" i="13"/>
  <c r="C123" i="14" s="1"/>
  <c r="AD316" i="13"/>
  <c r="C107" i="14" s="1"/>
  <c r="AD258" i="13"/>
  <c r="C52" i="14" s="1"/>
  <c r="AD242" i="13"/>
  <c r="C36" i="14" s="1"/>
  <c r="AD299" i="13"/>
  <c r="C93" i="14" s="1"/>
  <c r="AD283" i="13"/>
  <c r="C77" i="14" s="1"/>
  <c r="AD347" i="13"/>
  <c r="C138" i="14" s="1"/>
  <c r="AD331" i="13"/>
  <c r="C122" i="14" s="1"/>
  <c r="AD315" i="13"/>
  <c r="C106" i="14" s="1"/>
  <c r="AD257" i="13"/>
  <c r="C51" i="14" s="1"/>
  <c r="AD241" i="13"/>
  <c r="C35" i="14" s="1"/>
  <c r="AD298" i="13"/>
  <c r="C92" i="14" s="1"/>
  <c r="AD282" i="13"/>
  <c r="C76" i="14" s="1"/>
  <c r="AD346" i="13"/>
  <c r="C137" i="14" s="1"/>
  <c r="AD330" i="13"/>
  <c r="C121" i="14" s="1"/>
  <c r="AD314" i="13"/>
  <c r="C105" i="14" s="1"/>
  <c r="AD294" i="13"/>
  <c r="C88" i="14" s="1"/>
  <c r="AD256" i="13"/>
  <c r="C50" i="14" s="1"/>
  <c r="AD297" i="13"/>
  <c r="C91" i="14" s="1"/>
  <c r="AD281" i="13"/>
  <c r="C75" i="14" s="1"/>
  <c r="AD345" i="13"/>
  <c r="C136" i="14" s="1"/>
  <c r="AD329" i="13"/>
  <c r="C120" i="14" s="1"/>
  <c r="AD278" i="13"/>
  <c r="C72" i="14" s="1"/>
  <c r="AD255" i="13"/>
  <c r="C49" i="14" s="1"/>
  <c r="AD296" i="13"/>
  <c r="C90" i="14" s="1"/>
  <c r="AD280" i="13"/>
  <c r="C74" i="14" s="1"/>
  <c r="F74" i="14" s="1"/>
  <c r="AD344" i="13"/>
  <c r="C135" i="14" s="1"/>
  <c r="AD328" i="13"/>
  <c r="C119" i="14" s="1"/>
  <c r="AD337" i="13"/>
  <c r="C128" i="14" s="1"/>
  <c r="AD254" i="13"/>
  <c r="C48" i="14" s="1"/>
  <c r="AD295" i="13"/>
  <c r="C89" i="14" s="1"/>
  <c r="AD279" i="13"/>
  <c r="C73" i="14" s="1"/>
  <c r="AD343" i="13"/>
  <c r="C134" i="14" s="1"/>
  <c r="AD327" i="13"/>
  <c r="C118" i="14" s="1"/>
  <c r="AD321" i="13"/>
  <c r="C112" i="14" s="1"/>
  <c r="AD313" i="13"/>
  <c r="C104" i="14" s="1"/>
  <c r="F198" i="13"/>
  <c r="H198" i="13" s="1"/>
  <c r="G152" i="13"/>
  <c r="G185" i="13" s="1"/>
  <c r="AA185" i="13" s="1"/>
  <c r="F215" i="13"/>
  <c r="H215" i="13" s="1"/>
  <c r="F199" i="13"/>
  <c r="H199" i="13" s="1"/>
  <c r="P303" i="13"/>
  <c r="F287" i="13"/>
  <c r="H287" i="13" s="1"/>
  <c r="F209" i="13"/>
  <c r="H209" i="13" s="1"/>
  <c r="F99" i="13"/>
  <c r="H99" i="13" s="1"/>
  <c r="J99" i="13" s="1"/>
  <c r="L99" i="13" s="1"/>
  <c r="N99" i="13" s="1"/>
  <c r="P99" i="13" s="1"/>
  <c r="R99" i="13" s="1"/>
  <c r="T99" i="13" s="1"/>
  <c r="V99" i="13" s="1"/>
  <c r="X99" i="13" s="1"/>
  <c r="Z99" i="13" s="1"/>
  <c r="F217" i="13"/>
  <c r="H217" i="13" s="1"/>
  <c r="F201" i="13"/>
  <c r="H201" i="13" s="1"/>
  <c r="F212" i="13"/>
  <c r="H212" i="13" s="1"/>
  <c r="F196" i="13"/>
  <c r="H196" i="13" s="1"/>
  <c r="F170" i="13"/>
  <c r="H170" i="13" s="1"/>
  <c r="J170" i="13" s="1"/>
  <c r="L170" i="13" s="1"/>
  <c r="N170" i="13" s="1"/>
  <c r="P170" i="13" s="1"/>
  <c r="R170" i="13" s="1"/>
  <c r="F262" i="13"/>
  <c r="P299" i="13"/>
  <c r="F283" i="13"/>
  <c r="H283" i="13" s="1"/>
  <c r="AA244" i="13"/>
  <c r="F220" i="13"/>
  <c r="H220" i="13" s="1"/>
  <c r="F204" i="13"/>
  <c r="H204" i="13" s="1"/>
  <c r="AA243" i="13"/>
  <c r="H146" i="13"/>
  <c r="J146" i="13" s="1"/>
  <c r="L146" i="13" s="1"/>
  <c r="N146" i="13" s="1"/>
  <c r="P146" i="13" s="1"/>
  <c r="R146" i="13" s="1"/>
  <c r="T146" i="13" s="1"/>
  <c r="V146" i="13" s="1"/>
  <c r="X146" i="13" s="1"/>
  <c r="Z146" i="13" s="1"/>
  <c r="H200" i="13"/>
  <c r="H129" i="13"/>
  <c r="J129" i="13" s="1"/>
  <c r="L129" i="13" s="1"/>
  <c r="N129" i="13" s="1"/>
  <c r="P129" i="13" s="1"/>
  <c r="R129" i="13" s="1"/>
  <c r="T129" i="13" s="1"/>
  <c r="V129" i="13" s="1"/>
  <c r="X129" i="13" s="1"/>
  <c r="Z129" i="13" s="1"/>
  <c r="F290" i="13"/>
  <c r="H290" i="13" s="1"/>
  <c r="H145" i="13"/>
  <c r="J145" i="13" s="1"/>
  <c r="L145" i="13" s="1"/>
  <c r="N145" i="13" s="1"/>
  <c r="P145" i="13" s="1"/>
  <c r="R145" i="13" s="1"/>
  <c r="T145" i="13" s="1"/>
  <c r="V145" i="13" s="1"/>
  <c r="X145" i="13" s="1"/>
  <c r="Z145" i="13" s="1"/>
  <c r="F213" i="13"/>
  <c r="H213" i="13" s="1"/>
  <c r="F197" i="13"/>
  <c r="H197" i="13" s="1"/>
  <c r="F252" i="13"/>
  <c r="H252" i="13" s="1"/>
  <c r="F266" i="13"/>
  <c r="H266" i="13" s="1"/>
  <c r="J266" i="13" s="1"/>
  <c r="L266" i="13" s="1"/>
  <c r="N266" i="13" s="1"/>
  <c r="P266" i="13" s="1"/>
  <c r="R266" i="13" s="1"/>
  <c r="T266" i="13" s="1"/>
  <c r="V266" i="13" s="1"/>
  <c r="X266" i="13" s="1"/>
  <c r="Z266" i="13" s="1"/>
  <c r="F250" i="13"/>
  <c r="H250" i="13" s="1"/>
  <c r="F313" i="13"/>
  <c r="F222" i="13"/>
  <c r="H222" i="13" s="1"/>
  <c r="F206" i="13"/>
  <c r="H206" i="13" s="1"/>
  <c r="AA246" i="13"/>
  <c r="AA341" i="13"/>
  <c r="AA325" i="13"/>
  <c r="AA245" i="13"/>
  <c r="F218" i="13"/>
  <c r="H218" i="13" s="1"/>
  <c r="F202" i="13"/>
  <c r="H202" i="13" s="1"/>
  <c r="D127" i="14"/>
  <c r="P305" i="13"/>
  <c r="H289" i="13"/>
  <c r="AA339" i="13"/>
  <c r="F118" i="13"/>
  <c r="F210" i="13"/>
  <c r="H210" i="13" s="1"/>
  <c r="AA342" i="13"/>
  <c r="AA326" i="13"/>
  <c r="AA340" i="13"/>
  <c r="AA324" i="13"/>
  <c r="AA338" i="13"/>
  <c r="AA322" i="13"/>
  <c r="AA336" i="13"/>
  <c r="AA320" i="13"/>
  <c r="AA348" i="13"/>
  <c r="AA332" i="13"/>
  <c r="AA316" i="13"/>
  <c r="F194" i="13"/>
  <c r="H194" i="13" s="1"/>
  <c r="AA242" i="13"/>
  <c r="AA337" i="13"/>
  <c r="AA321" i="13"/>
  <c r="F140" i="13"/>
  <c r="H140" i="13" s="1"/>
  <c r="J140" i="13" s="1"/>
  <c r="L140" i="13" s="1"/>
  <c r="N140" i="13" s="1"/>
  <c r="P140" i="13" s="1"/>
  <c r="R140" i="13" s="1"/>
  <c r="T140" i="13" s="1"/>
  <c r="V140" i="13" s="1"/>
  <c r="X140" i="13" s="1"/>
  <c r="Z140" i="13" s="1"/>
  <c r="F193" i="13"/>
  <c r="H193" i="13" s="1"/>
  <c r="F173" i="13"/>
  <c r="H173" i="13" s="1"/>
  <c r="J173" i="13" s="1"/>
  <c r="L173" i="13" s="1"/>
  <c r="N173" i="13" s="1"/>
  <c r="P173" i="13" s="1"/>
  <c r="R173" i="13" s="1"/>
  <c r="F159" i="13"/>
  <c r="H159" i="13" s="1"/>
  <c r="J159" i="13" s="1"/>
  <c r="L159" i="13" s="1"/>
  <c r="N159" i="13" s="1"/>
  <c r="P159" i="13" s="1"/>
  <c r="R159" i="13" s="1"/>
  <c r="F191" i="13"/>
  <c r="AA241" i="13"/>
  <c r="F294" i="13"/>
  <c r="H294" i="13" s="1"/>
  <c r="D142" i="14"/>
  <c r="D90" i="14"/>
  <c r="F97" i="13"/>
  <c r="H97" i="13" s="1"/>
  <c r="J97" i="13" s="1"/>
  <c r="L97" i="13" s="1"/>
  <c r="N97" i="13" s="1"/>
  <c r="P97" i="13" s="1"/>
  <c r="R97" i="13" s="1"/>
  <c r="T97" i="13" s="1"/>
  <c r="V97" i="13" s="1"/>
  <c r="X97" i="13" s="1"/>
  <c r="Z97" i="13" s="1"/>
  <c r="F98" i="13"/>
  <c r="H98" i="13" s="1"/>
  <c r="J98" i="13" s="1"/>
  <c r="L98" i="13" s="1"/>
  <c r="N98" i="13" s="1"/>
  <c r="P98" i="13" s="1"/>
  <c r="R98" i="13" s="1"/>
  <c r="T98" i="13" s="1"/>
  <c r="V98" i="13" s="1"/>
  <c r="X98" i="13" s="1"/>
  <c r="Z98" i="13" s="1"/>
  <c r="F172" i="13"/>
  <c r="H172" i="13" s="1"/>
  <c r="J172" i="13" s="1"/>
  <c r="L172" i="13" s="1"/>
  <c r="N172" i="13" s="1"/>
  <c r="P172" i="13" s="1"/>
  <c r="R172" i="13" s="1"/>
  <c r="F122" i="13"/>
  <c r="H122" i="13" s="1"/>
  <c r="J122" i="13" s="1"/>
  <c r="L122" i="13" s="1"/>
  <c r="N122" i="13" s="1"/>
  <c r="P122" i="13" s="1"/>
  <c r="R122" i="13" s="1"/>
  <c r="F226" i="13"/>
  <c r="H226" i="13" s="1"/>
  <c r="AA277" i="13"/>
  <c r="AA335" i="13"/>
  <c r="AA319" i="13"/>
  <c r="D141" i="14"/>
  <c r="D50" i="14"/>
  <c r="F225" i="13"/>
  <c r="H225" i="13" s="1"/>
  <c r="F292" i="13"/>
  <c r="H292" i="13" s="1"/>
  <c r="AA350" i="13"/>
  <c r="AA334" i="13"/>
  <c r="AA318" i="13"/>
  <c r="D277" i="13"/>
  <c r="F120" i="13"/>
  <c r="H120" i="13" s="1"/>
  <c r="J120" i="13" s="1"/>
  <c r="L120" i="13" s="1"/>
  <c r="N120" i="13" s="1"/>
  <c r="P120" i="13" s="1"/>
  <c r="R120" i="13" s="1"/>
  <c r="T120" i="13" s="1"/>
  <c r="V120" i="13" s="1"/>
  <c r="X120" i="13" s="1"/>
  <c r="Z120" i="13" s="1"/>
  <c r="D74" i="14"/>
  <c r="D52" i="14"/>
  <c r="D86" i="14"/>
  <c r="F224" i="13"/>
  <c r="H224" i="13" s="1"/>
  <c r="D121" i="14"/>
  <c r="D105" i="14"/>
  <c r="F291" i="13"/>
  <c r="H291" i="13" s="1"/>
  <c r="D263" i="13"/>
  <c r="F263" i="13" s="1"/>
  <c r="D36" i="14"/>
  <c r="F135" i="13"/>
  <c r="H135" i="13" s="1"/>
  <c r="J135" i="13" s="1"/>
  <c r="L135" i="13" s="1"/>
  <c r="N135" i="13" s="1"/>
  <c r="P135" i="13" s="1"/>
  <c r="R135" i="13" s="1"/>
  <c r="T135" i="13" s="1"/>
  <c r="V135" i="13" s="1"/>
  <c r="X135" i="13" s="1"/>
  <c r="Z135" i="13" s="1"/>
  <c r="F223" i="13"/>
  <c r="H223" i="13" s="1"/>
  <c r="D84" i="14"/>
  <c r="F253" i="13"/>
  <c r="H253" i="13" s="1"/>
  <c r="D99" i="14"/>
  <c r="D83" i="14"/>
  <c r="F221" i="13"/>
  <c r="H221" i="13" s="1"/>
  <c r="D214" i="13"/>
  <c r="F214" i="13" s="1"/>
  <c r="H214" i="13" s="1"/>
  <c r="H251" i="13"/>
  <c r="AA346" i="13"/>
  <c r="AA330" i="13"/>
  <c r="AA314" i="13"/>
  <c r="D247" i="13"/>
  <c r="F247" i="13" s="1"/>
  <c r="H247" i="13" s="1"/>
  <c r="D246" i="13"/>
  <c r="F246" i="13" s="1"/>
  <c r="H246" i="13" s="1"/>
  <c r="H147" i="13"/>
  <c r="J147" i="13" s="1"/>
  <c r="L147" i="13" s="1"/>
  <c r="N147" i="13" s="1"/>
  <c r="P147" i="13" s="1"/>
  <c r="R147" i="13" s="1"/>
  <c r="T147" i="13" s="1"/>
  <c r="V147" i="13" s="1"/>
  <c r="X147" i="13" s="1"/>
  <c r="Z147" i="13" s="1"/>
  <c r="H131" i="13"/>
  <c r="J131" i="13" s="1"/>
  <c r="L131" i="13" s="1"/>
  <c r="N131" i="13" s="1"/>
  <c r="P131" i="13" s="1"/>
  <c r="R131" i="13" s="1"/>
  <c r="T131" i="13" s="1"/>
  <c r="V131" i="13" s="1"/>
  <c r="X131" i="13" s="1"/>
  <c r="Z131" i="13" s="1"/>
  <c r="H219" i="13"/>
  <c r="H203" i="13"/>
  <c r="H249" i="13"/>
  <c r="AA347" i="13"/>
  <c r="AA331" i="13"/>
  <c r="AA315" i="13"/>
  <c r="AA323" i="13"/>
  <c r="D43" i="14"/>
  <c r="F207" i="13"/>
  <c r="H207" i="13" s="1"/>
  <c r="AA343" i="13"/>
  <c r="AA327" i="13"/>
  <c r="D54" i="14"/>
  <c r="D38" i="14"/>
  <c r="D85" i="14"/>
  <c r="D304" i="13"/>
  <c r="F304" i="13" s="1"/>
  <c r="H304" i="13" s="1"/>
  <c r="J304" i="13" s="1"/>
  <c r="L304" i="13" s="1"/>
  <c r="N304" i="13" s="1"/>
  <c r="D288" i="13"/>
  <c r="F288" i="13" s="1"/>
  <c r="H288" i="13" s="1"/>
  <c r="D264" i="13"/>
  <c r="F264" i="13" s="1"/>
  <c r="D248" i="13"/>
  <c r="F248" i="13" s="1"/>
  <c r="H248" i="13" s="1"/>
  <c r="AA349" i="13"/>
  <c r="AA333" i="13"/>
  <c r="AA317" i="13"/>
  <c r="D110" i="14"/>
  <c r="D302" i="13"/>
  <c r="F302" i="13" s="1"/>
  <c r="H302" i="13" s="1"/>
  <c r="J302" i="13" s="1"/>
  <c r="L302" i="13" s="1"/>
  <c r="N302" i="13" s="1"/>
  <c r="D286" i="13"/>
  <c r="F286" i="13" s="1"/>
  <c r="H286" i="13" s="1"/>
  <c r="D51" i="14"/>
  <c r="D47" i="14"/>
  <c r="D82" i="14"/>
  <c r="D208" i="13"/>
  <c r="F208" i="13" s="1"/>
  <c r="H208" i="13" s="1"/>
  <c r="D192" i="13"/>
  <c r="F192" i="13" s="1"/>
  <c r="H192" i="13" s="1"/>
  <c r="D301" i="13"/>
  <c r="F301" i="13" s="1"/>
  <c r="H301" i="13" s="1"/>
  <c r="J301" i="13" s="1"/>
  <c r="L301" i="13" s="1"/>
  <c r="N301" i="13" s="1"/>
  <c r="D285" i="13"/>
  <c r="F285" i="13" s="1"/>
  <c r="H285" i="13" s="1"/>
  <c r="D261" i="13"/>
  <c r="F261" i="13" s="1"/>
  <c r="H261" i="13" s="1"/>
  <c r="D245" i="13"/>
  <c r="F245" i="13" s="1"/>
  <c r="H245" i="13" s="1"/>
  <c r="D300" i="13"/>
  <c r="F300" i="13" s="1"/>
  <c r="H300" i="13" s="1"/>
  <c r="J300" i="13" s="1"/>
  <c r="L300" i="13" s="1"/>
  <c r="N300" i="13" s="1"/>
  <c r="D284" i="13"/>
  <c r="F284" i="13" s="1"/>
  <c r="H284" i="13" s="1"/>
  <c r="D260" i="13"/>
  <c r="F260" i="13" s="1"/>
  <c r="H260" i="13" s="1"/>
  <c r="D244" i="13"/>
  <c r="F244" i="13" s="1"/>
  <c r="H244" i="13" s="1"/>
  <c r="AA345" i="13"/>
  <c r="AA329" i="13"/>
  <c r="AA313" i="13"/>
  <c r="D53" i="14"/>
  <c r="D37" i="14"/>
  <c r="D61" i="14"/>
  <c r="D45" i="14"/>
  <c r="D96" i="14"/>
  <c r="D80" i="14"/>
  <c r="D87" i="14"/>
  <c r="AA121" i="13"/>
  <c r="D71" i="14" s="1"/>
  <c r="D259" i="13"/>
  <c r="F259" i="13" s="1"/>
  <c r="H259" i="13" s="1"/>
  <c r="D243" i="13"/>
  <c r="F243" i="13" s="1"/>
  <c r="H243" i="13" s="1"/>
  <c r="AA344" i="13"/>
  <c r="AA328" i="13"/>
  <c r="D97" i="14"/>
  <c r="D95" i="14"/>
  <c r="D79" i="14"/>
  <c r="D137" i="14"/>
  <c r="D139" i="14"/>
  <c r="D298" i="13"/>
  <c r="F298" i="13" s="1"/>
  <c r="D282" i="13"/>
  <c r="F282" i="13" s="1"/>
  <c r="H282" i="13" s="1"/>
  <c r="D258" i="13"/>
  <c r="F258" i="13" s="1"/>
  <c r="H258" i="13" s="1"/>
  <c r="D242" i="13"/>
  <c r="F242" i="13" s="1"/>
  <c r="H242" i="13" s="1"/>
  <c r="F134" i="13"/>
  <c r="H134" i="13" s="1"/>
  <c r="J134" i="13" s="1"/>
  <c r="L134" i="13" s="1"/>
  <c r="N134" i="13" s="1"/>
  <c r="P134" i="13" s="1"/>
  <c r="R134" i="13" s="1"/>
  <c r="T134" i="13" s="1"/>
  <c r="V134" i="13" s="1"/>
  <c r="X134" i="13" s="1"/>
  <c r="Z134" i="13" s="1"/>
  <c r="D137" i="13"/>
  <c r="F137" i="13" s="1"/>
  <c r="H137" i="13" s="1"/>
  <c r="J137" i="13" s="1"/>
  <c r="L137" i="13" s="1"/>
  <c r="N137" i="13" s="1"/>
  <c r="P137" i="13" s="1"/>
  <c r="R137" i="13" s="1"/>
  <c r="T137" i="13" s="1"/>
  <c r="V137" i="13" s="1"/>
  <c r="X137" i="13" s="1"/>
  <c r="Z137" i="13" s="1"/>
  <c r="D94" i="14"/>
  <c r="D78" i="14"/>
  <c r="D297" i="13"/>
  <c r="F297" i="13" s="1"/>
  <c r="D281" i="13"/>
  <c r="F281" i="13" s="1"/>
  <c r="H281" i="13" s="1"/>
  <c r="D257" i="13"/>
  <c r="F257" i="13" s="1"/>
  <c r="H257" i="13" s="1"/>
  <c r="D241" i="13"/>
  <c r="H149" i="13"/>
  <c r="F133" i="13"/>
  <c r="H133" i="13" s="1"/>
  <c r="J133" i="13" s="1"/>
  <c r="L133" i="13" s="1"/>
  <c r="N133" i="13" s="1"/>
  <c r="P133" i="13" s="1"/>
  <c r="R133" i="13" s="1"/>
  <c r="T133" i="13" s="1"/>
  <c r="V133" i="13" s="1"/>
  <c r="X133" i="13" s="1"/>
  <c r="Z133" i="13" s="1"/>
  <c r="D93" i="14"/>
  <c r="D77" i="14"/>
  <c r="D126" i="14"/>
  <c r="D296" i="13"/>
  <c r="D280" i="13"/>
  <c r="F280" i="13" s="1"/>
  <c r="H280" i="13" s="1"/>
  <c r="D256" i="13"/>
  <c r="F256" i="13" s="1"/>
  <c r="H256" i="13" s="1"/>
  <c r="D229" i="13"/>
  <c r="D49" i="14"/>
  <c r="H148" i="13"/>
  <c r="J148" i="13" s="1"/>
  <c r="L148" i="13" s="1"/>
  <c r="N148" i="13" s="1"/>
  <c r="P148" i="13" s="1"/>
  <c r="R148" i="13" s="1"/>
  <c r="T148" i="13" s="1"/>
  <c r="V148" i="13" s="1"/>
  <c r="X148" i="13" s="1"/>
  <c r="Z148" i="13" s="1"/>
  <c r="F132" i="13"/>
  <c r="H132" i="13" s="1"/>
  <c r="J132" i="13" s="1"/>
  <c r="L132" i="13" s="1"/>
  <c r="N132" i="13" s="1"/>
  <c r="P132" i="13" s="1"/>
  <c r="R132" i="13" s="1"/>
  <c r="T132" i="13" s="1"/>
  <c r="V132" i="13" s="1"/>
  <c r="X132" i="13" s="1"/>
  <c r="Z132" i="13" s="1"/>
  <c r="D130" i="13"/>
  <c r="F130" i="13" s="1"/>
  <c r="H130" i="13" s="1"/>
  <c r="J130" i="13" s="1"/>
  <c r="L130" i="13" s="1"/>
  <c r="N130" i="13" s="1"/>
  <c r="P130" i="13" s="1"/>
  <c r="R130" i="13" s="1"/>
  <c r="T130" i="13" s="1"/>
  <c r="V130" i="13" s="1"/>
  <c r="X130" i="13" s="1"/>
  <c r="Z130" i="13" s="1"/>
  <c r="D92" i="14"/>
  <c r="D76" i="14"/>
  <c r="D136" i="14"/>
  <c r="D120" i="14"/>
  <c r="AA191" i="13"/>
  <c r="D295" i="13"/>
  <c r="F295" i="13" s="1"/>
  <c r="H295" i="13" s="1"/>
  <c r="D279" i="13"/>
  <c r="F279" i="13" s="1"/>
  <c r="H279" i="13" s="1"/>
  <c r="D255" i="13"/>
  <c r="F255" i="13" s="1"/>
  <c r="H255" i="13" s="1"/>
  <c r="D228" i="13"/>
  <c r="F228" i="13" s="1"/>
  <c r="H228" i="13" s="1"/>
  <c r="D81" i="14"/>
  <c r="D60" i="14"/>
  <c r="D44" i="14"/>
  <c r="D91" i="14"/>
  <c r="D75" i="14"/>
  <c r="D176" i="13"/>
  <c r="F176" i="13" s="1"/>
  <c r="H176" i="13" s="1"/>
  <c r="J176" i="13" s="1"/>
  <c r="L176" i="13" s="1"/>
  <c r="N176" i="13" s="1"/>
  <c r="P176" i="13" s="1"/>
  <c r="R176" i="13" s="1"/>
  <c r="D278" i="13"/>
  <c r="F278" i="13" s="1"/>
  <c r="H278" i="13" s="1"/>
  <c r="D254" i="13"/>
  <c r="F254" i="13" s="1"/>
  <c r="H254" i="13" s="1"/>
  <c r="F293" i="13"/>
  <c r="H293" i="13" s="1"/>
  <c r="D58" i="14"/>
  <c r="D169" i="13"/>
  <c r="F169" i="13" s="1"/>
  <c r="H169" i="13" s="1"/>
  <c r="J169" i="13" s="1"/>
  <c r="L169" i="13" s="1"/>
  <c r="N169" i="13" s="1"/>
  <c r="P169" i="13" s="1"/>
  <c r="R169" i="13" s="1"/>
  <c r="D41" i="14"/>
  <c r="D168" i="13"/>
  <c r="F168" i="13" s="1"/>
  <c r="H168" i="13" s="1"/>
  <c r="J168" i="13" s="1"/>
  <c r="L168" i="13" s="1"/>
  <c r="N168" i="13" s="1"/>
  <c r="P168" i="13" s="1"/>
  <c r="R168" i="13" s="1"/>
  <c r="D59" i="14"/>
  <c r="D57" i="14"/>
  <c r="D56" i="14"/>
  <c r="D40" i="14"/>
  <c r="F171" i="13"/>
  <c r="H171" i="13" s="1"/>
  <c r="J171" i="13" s="1"/>
  <c r="L171" i="13" s="1"/>
  <c r="N171" i="13" s="1"/>
  <c r="P171" i="13" s="1"/>
  <c r="R171" i="13" s="1"/>
  <c r="F121" i="13"/>
  <c r="D88" i="14"/>
  <c r="D72" i="14"/>
  <c r="D127" i="13"/>
  <c r="F127" i="13" s="1"/>
  <c r="H127" i="13" s="1"/>
  <c r="J127" i="13" s="1"/>
  <c r="L127" i="13" s="1"/>
  <c r="N127" i="13" s="1"/>
  <c r="P127" i="13" s="1"/>
  <c r="R127" i="13" s="1"/>
  <c r="D42" i="14"/>
  <c r="D55" i="14"/>
  <c r="D39" i="14"/>
  <c r="H216" i="13"/>
  <c r="L227" i="13"/>
  <c r="D111" i="14"/>
  <c r="D112" i="14"/>
  <c r="D124" i="14"/>
  <c r="D140" i="14"/>
  <c r="D125" i="14"/>
  <c r="D128" i="14"/>
  <c r="D109" i="14"/>
  <c r="D108" i="14"/>
  <c r="D135" i="14"/>
  <c r="D119" i="14"/>
  <c r="L195" i="13"/>
  <c r="L211" i="13"/>
  <c r="D116" i="14"/>
  <c r="D107" i="14"/>
  <c r="D115" i="14"/>
  <c r="D122" i="14"/>
  <c r="D123" i="14"/>
  <c r="D131" i="14"/>
  <c r="D138" i="14"/>
  <c r="D106" i="14"/>
  <c r="D134" i="14"/>
  <c r="D118" i="14"/>
  <c r="D133" i="14"/>
  <c r="D117" i="14"/>
  <c r="D132" i="14"/>
  <c r="D130" i="14"/>
  <c r="D114" i="14"/>
  <c r="D129" i="14"/>
  <c r="D113" i="14"/>
  <c r="F205" i="13"/>
  <c r="H205" i="13" s="1"/>
  <c r="D98" i="14"/>
  <c r="D48" i="14"/>
  <c r="D89" i="14"/>
  <c r="D73" i="14"/>
  <c r="AA97" i="13"/>
  <c r="D62" i="14"/>
  <c r="D46" i="14"/>
  <c r="D144" i="13"/>
  <c r="F144" i="13" s="1"/>
  <c r="H144" i="13" s="1"/>
  <c r="J144" i="13" s="1"/>
  <c r="L144" i="13" s="1"/>
  <c r="N144" i="13" s="1"/>
  <c r="P144" i="13" s="1"/>
  <c r="R144" i="13" s="1"/>
  <c r="T144" i="13" s="1"/>
  <c r="V144" i="13" s="1"/>
  <c r="X144" i="13" s="1"/>
  <c r="Z144" i="13" s="1"/>
  <c r="D128" i="13"/>
  <c r="F128" i="13" s="1"/>
  <c r="H128" i="13" s="1"/>
  <c r="J128" i="13" s="1"/>
  <c r="L128" i="13" s="1"/>
  <c r="N128" i="13" s="1"/>
  <c r="P128" i="13" s="1"/>
  <c r="R128" i="13" s="1"/>
  <c r="T128" i="13" s="1"/>
  <c r="V128" i="13" s="1"/>
  <c r="X128" i="13" s="1"/>
  <c r="Z128" i="13" s="1"/>
  <c r="D183" i="13"/>
  <c r="F183" i="13" s="1"/>
  <c r="H183" i="13" s="1"/>
  <c r="J183" i="13" s="1"/>
  <c r="L183" i="13" s="1"/>
  <c r="D167" i="13"/>
  <c r="F167" i="13" s="1"/>
  <c r="H167" i="13" s="1"/>
  <c r="J167" i="13" s="1"/>
  <c r="L167" i="13" s="1"/>
  <c r="N167" i="13" s="1"/>
  <c r="P167" i="13" s="1"/>
  <c r="R167" i="13" s="1"/>
  <c r="D143" i="13"/>
  <c r="F143" i="13" s="1"/>
  <c r="H143" i="13" s="1"/>
  <c r="J143" i="13" s="1"/>
  <c r="L143" i="13" s="1"/>
  <c r="N143" i="13" s="1"/>
  <c r="P143" i="13" s="1"/>
  <c r="R143" i="13" s="1"/>
  <c r="T143" i="13" s="1"/>
  <c r="V143" i="13" s="1"/>
  <c r="X143" i="13" s="1"/>
  <c r="Z143" i="13" s="1"/>
  <c r="D125" i="13"/>
  <c r="F125" i="13" s="1"/>
  <c r="H125" i="13" s="1"/>
  <c r="J125" i="13" s="1"/>
  <c r="L125" i="13" s="1"/>
  <c r="N125" i="13" s="1"/>
  <c r="P125" i="13" s="1"/>
  <c r="R125" i="13" s="1"/>
  <c r="T125" i="13" s="1"/>
  <c r="V125" i="13" s="1"/>
  <c r="X125" i="13" s="1"/>
  <c r="Z125" i="13" s="1"/>
  <c r="D182" i="13"/>
  <c r="F182" i="13" s="1"/>
  <c r="H182" i="13" s="1"/>
  <c r="J182" i="13" s="1"/>
  <c r="L182" i="13" s="1"/>
  <c r="N182" i="13" s="1"/>
  <c r="P182" i="13" s="1"/>
  <c r="R182" i="13" s="1"/>
  <c r="D166" i="13"/>
  <c r="F166" i="13" s="1"/>
  <c r="H166" i="13" s="1"/>
  <c r="J166" i="13" s="1"/>
  <c r="L166" i="13" s="1"/>
  <c r="N166" i="13" s="1"/>
  <c r="P166" i="13" s="1"/>
  <c r="R166" i="13" s="1"/>
  <c r="D142" i="13"/>
  <c r="F142" i="13" s="1"/>
  <c r="H142" i="13" s="1"/>
  <c r="J142" i="13" s="1"/>
  <c r="L142" i="13" s="1"/>
  <c r="N142" i="13" s="1"/>
  <c r="P142" i="13" s="1"/>
  <c r="R142" i="13" s="1"/>
  <c r="T142" i="13" s="1"/>
  <c r="V142" i="13" s="1"/>
  <c r="X142" i="13" s="1"/>
  <c r="Z142" i="13" s="1"/>
  <c r="D124" i="13"/>
  <c r="F124" i="13" s="1"/>
  <c r="H124" i="13" s="1"/>
  <c r="J124" i="13" s="1"/>
  <c r="L124" i="13" s="1"/>
  <c r="N124" i="13" s="1"/>
  <c r="P124" i="13" s="1"/>
  <c r="R124" i="13" s="1"/>
  <c r="T124" i="13" s="1"/>
  <c r="V124" i="13" s="1"/>
  <c r="X124" i="13" s="1"/>
  <c r="Z124" i="13" s="1"/>
  <c r="D181" i="13"/>
  <c r="F181" i="13" s="1"/>
  <c r="H181" i="13" s="1"/>
  <c r="J181" i="13" s="1"/>
  <c r="L181" i="13" s="1"/>
  <c r="N181" i="13" s="1"/>
  <c r="P181" i="13" s="1"/>
  <c r="R181" i="13" s="1"/>
  <c r="D165" i="13"/>
  <c r="F165" i="13" s="1"/>
  <c r="H165" i="13" s="1"/>
  <c r="J165" i="13" s="1"/>
  <c r="L165" i="13" s="1"/>
  <c r="N165" i="13" s="1"/>
  <c r="P165" i="13" s="1"/>
  <c r="R165" i="13" s="1"/>
  <c r="D141" i="13"/>
  <c r="F141" i="13" s="1"/>
  <c r="H141" i="13" s="1"/>
  <c r="J141" i="13" s="1"/>
  <c r="L141" i="13" s="1"/>
  <c r="N141" i="13" s="1"/>
  <c r="P141" i="13" s="1"/>
  <c r="R141" i="13" s="1"/>
  <c r="T141" i="13" s="1"/>
  <c r="V141" i="13" s="1"/>
  <c r="X141" i="13" s="1"/>
  <c r="Z141" i="13" s="1"/>
  <c r="D123" i="13"/>
  <c r="F123" i="13" s="1"/>
  <c r="H123" i="13" s="1"/>
  <c r="J123" i="13" s="1"/>
  <c r="L123" i="13" s="1"/>
  <c r="N123" i="13" s="1"/>
  <c r="P123" i="13" s="1"/>
  <c r="R123" i="13" s="1"/>
  <c r="T123" i="13" s="1"/>
  <c r="V123" i="13" s="1"/>
  <c r="X123" i="13" s="1"/>
  <c r="Z123" i="13" s="1"/>
  <c r="D180" i="13"/>
  <c r="F180" i="13" s="1"/>
  <c r="H180" i="13" s="1"/>
  <c r="J180" i="13" s="1"/>
  <c r="L180" i="13" s="1"/>
  <c r="N180" i="13" s="1"/>
  <c r="P180" i="13" s="1"/>
  <c r="R180" i="13" s="1"/>
  <c r="D164" i="13"/>
  <c r="F164" i="13" s="1"/>
  <c r="H164" i="13" s="1"/>
  <c r="J164" i="13" s="1"/>
  <c r="L164" i="13" s="1"/>
  <c r="N164" i="13" s="1"/>
  <c r="P164" i="13" s="1"/>
  <c r="R164" i="13" s="1"/>
  <c r="D179" i="13"/>
  <c r="F179" i="13" s="1"/>
  <c r="H179" i="13" s="1"/>
  <c r="J179" i="13" s="1"/>
  <c r="L179" i="13" s="1"/>
  <c r="N179" i="13" s="1"/>
  <c r="P179" i="13" s="1"/>
  <c r="R179" i="13" s="1"/>
  <c r="D163" i="13"/>
  <c r="F163" i="13" s="1"/>
  <c r="H163" i="13" s="1"/>
  <c r="J163" i="13" s="1"/>
  <c r="L163" i="13" s="1"/>
  <c r="N163" i="13" s="1"/>
  <c r="P163" i="13" s="1"/>
  <c r="R163" i="13" s="1"/>
  <c r="D139" i="13"/>
  <c r="F139" i="13" s="1"/>
  <c r="H139" i="13" s="1"/>
  <c r="J139" i="13" s="1"/>
  <c r="L139" i="13" s="1"/>
  <c r="N139" i="13" s="1"/>
  <c r="P139" i="13" s="1"/>
  <c r="R139" i="13" s="1"/>
  <c r="T139" i="13" s="1"/>
  <c r="V139" i="13" s="1"/>
  <c r="X139" i="13" s="1"/>
  <c r="Z139" i="13" s="1"/>
  <c r="D119" i="13"/>
  <c r="D178" i="13"/>
  <c r="F178" i="13" s="1"/>
  <c r="H178" i="13" s="1"/>
  <c r="J178" i="13" s="1"/>
  <c r="L178" i="13" s="1"/>
  <c r="N178" i="13" s="1"/>
  <c r="P178" i="13" s="1"/>
  <c r="R178" i="13" s="1"/>
  <c r="D162" i="13"/>
  <c r="F162" i="13" s="1"/>
  <c r="H162" i="13" s="1"/>
  <c r="J162" i="13" s="1"/>
  <c r="L162" i="13" s="1"/>
  <c r="N162" i="13" s="1"/>
  <c r="P162" i="13" s="1"/>
  <c r="R162" i="13" s="1"/>
  <c r="D138" i="13"/>
  <c r="F138" i="13" s="1"/>
  <c r="H138" i="13" s="1"/>
  <c r="J138" i="13" s="1"/>
  <c r="L138" i="13" s="1"/>
  <c r="N138" i="13" s="1"/>
  <c r="P138" i="13" s="1"/>
  <c r="R138" i="13" s="1"/>
  <c r="T138" i="13" s="1"/>
  <c r="V138" i="13" s="1"/>
  <c r="X138" i="13" s="1"/>
  <c r="Z138" i="13" s="1"/>
  <c r="D177" i="13"/>
  <c r="F177" i="13" s="1"/>
  <c r="H177" i="13" s="1"/>
  <c r="J177" i="13" s="1"/>
  <c r="L177" i="13" s="1"/>
  <c r="N177" i="13" s="1"/>
  <c r="P177" i="13" s="1"/>
  <c r="R177" i="13" s="1"/>
  <c r="D161" i="13"/>
  <c r="F161" i="13" s="1"/>
  <c r="H161" i="13" s="1"/>
  <c r="J161" i="13" s="1"/>
  <c r="L161" i="13" s="1"/>
  <c r="N161" i="13" s="1"/>
  <c r="P161" i="13" s="1"/>
  <c r="R161" i="13" s="1"/>
  <c r="D136" i="13"/>
  <c r="F136" i="13" s="1"/>
  <c r="H136" i="13" s="1"/>
  <c r="J136" i="13" s="1"/>
  <c r="L136" i="13" s="1"/>
  <c r="N136" i="13" s="1"/>
  <c r="P136" i="13" s="1"/>
  <c r="R136" i="13" s="1"/>
  <c r="T136" i="13" s="1"/>
  <c r="V136" i="13" s="1"/>
  <c r="X136" i="13" s="1"/>
  <c r="Z136" i="13" s="1"/>
  <c r="D175" i="13"/>
  <c r="F175" i="13" s="1"/>
  <c r="H175" i="13" s="1"/>
  <c r="J175" i="13" s="1"/>
  <c r="L175" i="13" s="1"/>
  <c r="N175" i="13" s="1"/>
  <c r="P175" i="13" s="1"/>
  <c r="R175" i="13" s="1"/>
  <c r="D126" i="13"/>
  <c r="F126" i="13" s="1"/>
  <c r="H126" i="13" s="1"/>
  <c r="J126" i="13" s="1"/>
  <c r="L126" i="13" s="1"/>
  <c r="N126" i="13" s="1"/>
  <c r="P126" i="13" s="1"/>
  <c r="R126" i="13" s="1"/>
  <c r="AA98" i="13"/>
  <c r="AA118" i="13"/>
  <c r="D35" i="14" s="1"/>
  <c r="D174" i="13"/>
  <c r="F174" i="13" s="1"/>
  <c r="H174" i="13" s="1"/>
  <c r="J174" i="13" s="1"/>
  <c r="L174" i="13" s="1"/>
  <c r="N174" i="13" s="1"/>
  <c r="P174" i="13" s="1"/>
  <c r="R174" i="13" s="1"/>
  <c r="D160" i="13"/>
  <c r="F160" i="13" s="1"/>
  <c r="H160" i="13" s="1"/>
  <c r="J160" i="13" s="1"/>
  <c r="L160" i="13" s="1"/>
  <c r="N160" i="13" s="1"/>
  <c r="P160" i="13" s="1"/>
  <c r="R160" i="13" s="1"/>
  <c r="AA99" i="13"/>
  <c r="F55" i="14" l="1"/>
  <c r="J258" i="13"/>
  <c r="L258" i="13" s="1"/>
  <c r="N258" i="13" s="1"/>
  <c r="P258" i="13" s="1"/>
  <c r="R258" i="13" s="1"/>
  <c r="T258" i="13" s="1"/>
  <c r="V258" i="13" s="1"/>
  <c r="X258" i="13" s="1"/>
  <c r="Z258" i="13" s="1"/>
  <c r="J255" i="13"/>
  <c r="L255" i="13" s="1"/>
  <c r="N255" i="13" s="1"/>
  <c r="P255" i="13" s="1"/>
  <c r="R255" i="13" s="1"/>
  <c r="T255" i="13" s="1"/>
  <c r="V255" i="13" s="1"/>
  <c r="X255" i="13" s="1"/>
  <c r="Z255" i="13" s="1"/>
  <c r="J251" i="13"/>
  <c r="L251" i="13" s="1"/>
  <c r="N251" i="13" s="1"/>
  <c r="P251" i="13" s="1"/>
  <c r="R251" i="13" s="1"/>
  <c r="T251" i="13" s="1"/>
  <c r="V251" i="13" s="1"/>
  <c r="X251" i="13" s="1"/>
  <c r="Z251" i="13" s="1"/>
  <c r="J244" i="13"/>
  <c r="L244" i="13" s="1"/>
  <c r="N244" i="13" s="1"/>
  <c r="P244" i="13" s="1"/>
  <c r="R244" i="13" s="1"/>
  <c r="T244" i="13" s="1"/>
  <c r="V244" i="13" s="1"/>
  <c r="X244" i="13" s="1"/>
  <c r="Z244" i="13" s="1"/>
  <c r="J257" i="13"/>
  <c r="L257" i="13" s="1"/>
  <c r="N257" i="13" s="1"/>
  <c r="P257" i="13" s="1"/>
  <c r="R257" i="13" s="1"/>
  <c r="T257" i="13" s="1"/>
  <c r="V257" i="13" s="1"/>
  <c r="X257" i="13" s="1"/>
  <c r="Z257" i="13" s="1"/>
  <c r="J260" i="13"/>
  <c r="L260" i="13" s="1"/>
  <c r="N260" i="13" s="1"/>
  <c r="P260" i="13" s="1"/>
  <c r="R260" i="13" s="1"/>
  <c r="T260" i="13" s="1"/>
  <c r="V260" i="13" s="1"/>
  <c r="X260" i="13" s="1"/>
  <c r="Z260" i="13" s="1"/>
  <c r="J253" i="13"/>
  <c r="L253" i="13" s="1"/>
  <c r="N253" i="13" s="1"/>
  <c r="P253" i="13" s="1"/>
  <c r="R253" i="13" s="1"/>
  <c r="T253" i="13" s="1"/>
  <c r="V253" i="13" s="1"/>
  <c r="X253" i="13" s="1"/>
  <c r="Z253" i="13" s="1"/>
  <c r="J254" i="13"/>
  <c r="L254" i="13" s="1"/>
  <c r="N254" i="13" s="1"/>
  <c r="P254" i="13" s="1"/>
  <c r="R254" i="13" s="1"/>
  <c r="T254" i="13" s="1"/>
  <c r="V254" i="13" s="1"/>
  <c r="X254" i="13" s="1"/>
  <c r="Z254" i="13" s="1"/>
  <c r="J249" i="13"/>
  <c r="L249" i="13" s="1"/>
  <c r="N249" i="13" s="1"/>
  <c r="P249" i="13" s="1"/>
  <c r="R249" i="13" s="1"/>
  <c r="T249" i="13" s="1"/>
  <c r="V249" i="13" s="1"/>
  <c r="X249" i="13" s="1"/>
  <c r="Z249" i="13" s="1"/>
  <c r="J243" i="13"/>
  <c r="L243" i="13" s="1"/>
  <c r="N243" i="13" s="1"/>
  <c r="P243" i="13" s="1"/>
  <c r="R243" i="13" s="1"/>
  <c r="T243" i="13" s="1"/>
  <c r="V243" i="13" s="1"/>
  <c r="X243" i="13" s="1"/>
  <c r="Z243" i="13" s="1"/>
  <c r="J248" i="13"/>
  <c r="L248" i="13" s="1"/>
  <c r="N248" i="13" s="1"/>
  <c r="P248" i="13" s="1"/>
  <c r="R248" i="13" s="1"/>
  <c r="T248" i="13" s="1"/>
  <c r="V248" i="13" s="1"/>
  <c r="X248" i="13" s="1"/>
  <c r="Z248" i="13" s="1"/>
  <c r="J259" i="13"/>
  <c r="L259" i="13" s="1"/>
  <c r="N259" i="13" s="1"/>
  <c r="P259" i="13" s="1"/>
  <c r="R259" i="13" s="1"/>
  <c r="T259" i="13" s="1"/>
  <c r="V259" i="13" s="1"/>
  <c r="X259" i="13" s="1"/>
  <c r="Z259" i="13" s="1"/>
  <c r="J245" i="13"/>
  <c r="L245" i="13" s="1"/>
  <c r="N245" i="13" s="1"/>
  <c r="P245" i="13" s="1"/>
  <c r="R245" i="13" s="1"/>
  <c r="T245" i="13" s="1"/>
  <c r="V245" i="13" s="1"/>
  <c r="X245" i="13" s="1"/>
  <c r="Z245" i="13" s="1"/>
  <c r="H264" i="13"/>
  <c r="J264" i="13" s="1"/>
  <c r="L264" i="13" s="1"/>
  <c r="N264" i="13" s="1"/>
  <c r="P264" i="13" s="1"/>
  <c r="R264" i="13" s="1"/>
  <c r="T264" i="13" s="1"/>
  <c r="V264" i="13" s="1"/>
  <c r="X264" i="13" s="1"/>
  <c r="Z264" i="13" s="1"/>
  <c r="J261" i="13"/>
  <c r="L261" i="13" s="1"/>
  <c r="N261" i="13" s="1"/>
  <c r="P261" i="13" s="1"/>
  <c r="R261" i="13" s="1"/>
  <c r="T261" i="13" s="1"/>
  <c r="V261" i="13" s="1"/>
  <c r="X261" i="13" s="1"/>
  <c r="Z261" i="13" s="1"/>
  <c r="H263" i="13"/>
  <c r="J263" i="13" s="1"/>
  <c r="L263" i="13" s="1"/>
  <c r="N263" i="13" s="1"/>
  <c r="P263" i="13" s="1"/>
  <c r="R263" i="13" s="1"/>
  <c r="T263" i="13" s="1"/>
  <c r="V263" i="13" s="1"/>
  <c r="X263" i="13" s="1"/>
  <c r="Z263" i="13" s="1"/>
  <c r="J250" i="13"/>
  <c r="L250" i="13" s="1"/>
  <c r="N250" i="13" s="1"/>
  <c r="P250" i="13" s="1"/>
  <c r="R250" i="13" s="1"/>
  <c r="T250" i="13" s="1"/>
  <c r="V250" i="13" s="1"/>
  <c r="X250" i="13" s="1"/>
  <c r="Z250" i="13" s="1"/>
  <c r="H262" i="13"/>
  <c r="J262" i="13" s="1"/>
  <c r="L262" i="13" s="1"/>
  <c r="N262" i="13" s="1"/>
  <c r="P262" i="13" s="1"/>
  <c r="R262" i="13" s="1"/>
  <c r="T262" i="13" s="1"/>
  <c r="V262" i="13" s="1"/>
  <c r="X262" i="13" s="1"/>
  <c r="Z262" i="13" s="1"/>
  <c r="J246" i="13"/>
  <c r="L246" i="13" s="1"/>
  <c r="N246" i="13" s="1"/>
  <c r="P246" i="13" s="1"/>
  <c r="R246" i="13" s="1"/>
  <c r="T246" i="13" s="1"/>
  <c r="V246" i="13" s="1"/>
  <c r="X246" i="13" s="1"/>
  <c r="Z246" i="13" s="1"/>
  <c r="J256" i="13"/>
  <c r="L256" i="13" s="1"/>
  <c r="N256" i="13" s="1"/>
  <c r="P256" i="13" s="1"/>
  <c r="R256" i="13" s="1"/>
  <c r="T256" i="13" s="1"/>
  <c r="V256" i="13" s="1"/>
  <c r="X256" i="13" s="1"/>
  <c r="Z256" i="13" s="1"/>
  <c r="J242" i="13"/>
  <c r="L242" i="13" s="1"/>
  <c r="N242" i="13" s="1"/>
  <c r="P242" i="13" s="1"/>
  <c r="R242" i="13" s="1"/>
  <c r="T242" i="13" s="1"/>
  <c r="V242" i="13" s="1"/>
  <c r="X242" i="13" s="1"/>
  <c r="Z242" i="13" s="1"/>
  <c r="J247" i="13"/>
  <c r="L247" i="13" s="1"/>
  <c r="N247" i="13" s="1"/>
  <c r="P247" i="13" s="1"/>
  <c r="R247" i="13" s="1"/>
  <c r="T247" i="13" s="1"/>
  <c r="V247" i="13" s="1"/>
  <c r="X247" i="13" s="1"/>
  <c r="Z247" i="13" s="1"/>
  <c r="J252" i="13"/>
  <c r="L252" i="13" s="1"/>
  <c r="N252" i="13" s="1"/>
  <c r="P252" i="13" s="1"/>
  <c r="R252" i="13" s="1"/>
  <c r="T252" i="13" s="1"/>
  <c r="V252" i="13" s="1"/>
  <c r="X252" i="13" s="1"/>
  <c r="Z252" i="13" s="1"/>
  <c r="J291" i="13"/>
  <c r="L291" i="13" s="1"/>
  <c r="J280" i="13"/>
  <c r="L280" i="13" s="1"/>
  <c r="R305" i="13"/>
  <c r="T305" i="13" s="1"/>
  <c r="V305" i="13" s="1"/>
  <c r="X305" i="13" s="1"/>
  <c r="Z305" i="13" s="1"/>
  <c r="J282" i="13"/>
  <c r="L282" i="13" s="1"/>
  <c r="J289" i="13"/>
  <c r="L289" i="13" s="1"/>
  <c r="J279" i="13"/>
  <c r="L279" i="13" s="1"/>
  <c r="J290" i="13"/>
  <c r="L290" i="13" s="1"/>
  <c r="J295" i="13"/>
  <c r="L295" i="13" s="1"/>
  <c r="N295" i="13" s="1"/>
  <c r="P295" i="13" s="1"/>
  <c r="J286" i="13"/>
  <c r="L286" i="13" s="1"/>
  <c r="J287" i="13"/>
  <c r="L287" i="13" s="1"/>
  <c r="J293" i="13"/>
  <c r="L293" i="13" s="1"/>
  <c r="J294" i="13"/>
  <c r="L294" i="13" s="1"/>
  <c r="N294" i="13" s="1"/>
  <c r="P294" i="13" s="1"/>
  <c r="R303" i="13"/>
  <c r="T303" i="13" s="1"/>
  <c r="V303" i="13" s="1"/>
  <c r="X303" i="13" s="1"/>
  <c r="Z303" i="13" s="1"/>
  <c r="J284" i="13"/>
  <c r="L284" i="13" s="1"/>
  <c r="J278" i="13"/>
  <c r="L278" i="13" s="1"/>
  <c r="J292" i="13"/>
  <c r="L292" i="13" s="1"/>
  <c r="AA306" i="13"/>
  <c r="Q307" i="13"/>
  <c r="R306" i="13"/>
  <c r="T306" i="13" s="1"/>
  <c r="V306" i="13" s="1"/>
  <c r="X306" i="13" s="1"/>
  <c r="Z306" i="13" s="1"/>
  <c r="J281" i="13"/>
  <c r="L281" i="13" s="1"/>
  <c r="J283" i="13"/>
  <c r="L283" i="13" s="1"/>
  <c r="J288" i="13"/>
  <c r="L288" i="13" s="1"/>
  <c r="R299" i="13"/>
  <c r="T299" i="13" s="1"/>
  <c r="V299" i="13" s="1"/>
  <c r="X299" i="13" s="1"/>
  <c r="Z299" i="13" s="1"/>
  <c r="J285" i="13"/>
  <c r="L285" i="13" s="1"/>
  <c r="P300" i="13"/>
  <c r="P302" i="13"/>
  <c r="H297" i="13"/>
  <c r="P301" i="13"/>
  <c r="P304" i="13"/>
  <c r="H298" i="13"/>
  <c r="F296" i="13"/>
  <c r="H296" i="13" s="1"/>
  <c r="T177" i="13"/>
  <c r="V177" i="13" s="1"/>
  <c r="X177" i="13" s="1"/>
  <c r="Z177" i="13" s="1"/>
  <c r="T182" i="13"/>
  <c r="V182" i="13" s="1"/>
  <c r="X182" i="13" s="1"/>
  <c r="Z182" i="13" s="1"/>
  <c r="T162" i="13"/>
  <c r="V162" i="13" s="1"/>
  <c r="X162" i="13" s="1"/>
  <c r="Z162" i="13" s="1"/>
  <c r="T127" i="13"/>
  <c r="V127" i="13" s="1"/>
  <c r="X127" i="13" s="1"/>
  <c r="Z127" i="13" s="1"/>
  <c r="T176" i="13"/>
  <c r="V176" i="13" s="1"/>
  <c r="X176" i="13" s="1"/>
  <c r="Z176" i="13" s="1"/>
  <c r="T178" i="13"/>
  <c r="V178" i="13" s="1"/>
  <c r="X178" i="13" s="1"/>
  <c r="Z178" i="13" s="1"/>
  <c r="T167" i="13"/>
  <c r="V167" i="13" s="1"/>
  <c r="X167" i="13" s="1"/>
  <c r="Z167" i="13" s="1"/>
  <c r="T159" i="13"/>
  <c r="V159" i="13" s="1"/>
  <c r="X159" i="13" s="1"/>
  <c r="Z159" i="13" s="1"/>
  <c r="T179" i="13"/>
  <c r="V179" i="13" s="1"/>
  <c r="X179" i="13" s="1"/>
  <c r="Z179" i="13" s="1"/>
  <c r="T164" i="13"/>
  <c r="V164" i="13" s="1"/>
  <c r="X164" i="13" s="1"/>
  <c r="Z164" i="13" s="1"/>
  <c r="T122" i="13"/>
  <c r="V122" i="13" s="1"/>
  <c r="X122" i="13" s="1"/>
  <c r="Z122" i="13" s="1"/>
  <c r="T174" i="13"/>
  <c r="V174" i="13" s="1"/>
  <c r="X174" i="13" s="1"/>
  <c r="Z174" i="13" s="1"/>
  <c r="T180" i="13"/>
  <c r="V180" i="13" s="1"/>
  <c r="X180" i="13" s="1"/>
  <c r="Z180" i="13" s="1"/>
  <c r="T172" i="13"/>
  <c r="V172" i="13" s="1"/>
  <c r="X172" i="13" s="1"/>
  <c r="Z172" i="13" s="1"/>
  <c r="T166" i="13"/>
  <c r="V166" i="13" s="1"/>
  <c r="X166" i="13" s="1"/>
  <c r="Z166" i="13" s="1"/>
  <c r="T160" i="13"/>
  <c r="V160" i="13" s="1"/>
  <c r="X160" i="13" s="1"/>
  <c r="Z160" i="13" s="1"/>
  <c r="T163" i="13"/>
  <c r="V163" i="13" s="1"/>
  <c r="X163" i="13" s="1"/>
  <c r="Z163" i="13" s="1"/>
  <c r="T168" i="13"/>
  <c r="V168" i="13" s="1"/>
  <c r="X168" i="13" s="1"/>
  <c r="Z168" i="13" s="1"/>
  <c r="T126" i="13"/>
  <c r="V126" i="13" s="1"/>
  <c r="X126" i="13" s="1"/>
  <c r="Z126" i="13" s="1"/>
  <c r="T165" i="13"/>
  <c r="V165" i="13" s="1"/>
  <c r="X165" i="13" s="1"/>
  <c r="Z165" i="13" s="1"/>
  <c r="N183" i="13"/>
  <c r="P183" i="13" s="1"/>
  <c r="R183" i="13" s="1"/>
  <c r="T171" i="13"/>
  <c r="V171" i="13" s="1"/>
  <c r="X171" i="13" s="1"/>
  <c r="Z171" i="13" s="1"/>
  <c r="T173" i="13"/>
  <c r="V173" i="13" s="1"/>
  <c r="X173" i="13" s="1"/>
  <c r="Z173" i="13" s="1"/>
  <c r="T170" i="13"/>
  <c r="V170" i="13" s="1"/>
  <c r="X170" i="13" s="1"/>
  <c r="Z170" i="13" s="1"/>
  <c r="T175" i="13"/>
  <c r="V175" i="13" s="1"/>
  <c r="X175" i="13" s="1"/>
  <c r="Z175" i="13" s="1"/>
  <c r="T181" i="13"/>
  <c r="V181" i="13" s="1"/>
  <c r="X181" i="13" s="1"/>
  <c r="Z181" i="13" s="1"/>
  <c r="T169" i="13"/>
  <c r="V169" i="13" s="1"/>
  <c r="X169" i="13" s="1"/>
  <c r="Z169" i="13" s="1"/>
  <c r="T161" i="13"/>
  <c r="V161" i="13" s="1"/>
  <c r="X161" i="13" s="1"/>
  <c r="Z161" i="13" s="1"/>
  <c r="N211" i="13"/>
  <c r="P211" i="13" s="1"/>
  <c r="J214" i="13"/>
  <c r="L214" i="13" s="1"/>
  <c r="J220" i="13"/>
  <c r="L220" i="13" s="1"/>
  <c r="J199" i="13"/>
  <c r="L199" i="13" s="1"/>
  <c r="F49" i="14"/>
  <c r="N227" i="13"/>
  <c r="P227" i="13" s="1"/>
  <c r="N195" i="13"/>
  <c r="P195" i="13" s="1"/>
  <c r="J203" i="13"/>
  <c r="L203" i="13" s="1"/>
  <c r="J221" i="13"/>
  <c r="L221" i="13" s="1"/>
  <c r="J215" i="13"/>
  <c r="L215" i="13" s="1"/>
  <c r="J204" i="13"/>
  <c r="L204" i="13" s="1"/>
  <c r="J207" i="13"/>
  <c r="L207" i="13" s="1"/>
  <c r="J219" i="13"/>
  <c r="L219" i="13" s="1"/>
  <c r="J205" i="13"/>
  <c r="L205" i="13" s="1"/>
  <c r="J193" i="13"/>
  <c r="L193" i="13" s="1"/>
  <c r="J226" i="13"/>
  <c r="L226" i="13" s="1"/>
  <c r="J202" i="13"/>
  <c r="L202" i="13" s="1"/>
  <c r="J196" i="13"/>
  <c r="L196" i="13" s="1"/>
  <c r="J198" i="13"/>
  <c r="L198" i="13" s="1"/>
  <c r="J228" i="13"/>
  <c r="L228" i="13" s="1"/>
  <c r="F229" i="13"/>
  <c r="H229" i="13" s="1"/>
  <c r="J192" i="13"/>
  <c r="L192" i="13" s="1"/>
  <c r="J223" i="13"/>
  <c r="L223" i="13" s="1"/>
  <c r="J218" i="13"/>
  <c r="L218" i="13" s="1"/>
  <c r="J197" i="13"/>
  <c r="L197" i="13" s="1"/>
  <c r="J212" i="13"/>
  <c r="L212" i="13" s="1"/>
  <c r="J206" i="13"/>
  <c r="L206" i="13" s="1"/>
  <c r="J225" i="13"/>
  <c r="L225" i="13" s="1"/>
  <c r="J224" i="13"/>
  <c r="L224" i="13" s="1"/>
  <c r="J208" i="13"/>
  <c r="L208" i="13" s="1"/>
  <c r="J213" i="13"/>
  <c r="L213" i="13" s="1"/>
  <c r="J201" i="13"/>
  <c r="L201" i="13" s="1"/>
  <c r="J210" i="13"/>
  <c r="L210" i="13" s="1"/>
  <c r="J217" i="13"/>
  <c r="L217" i="13" s="1"/>
  <c r="J200" i="13"/>
  <c r="L200" i="13" s="1"/>
  <c r="J209" i="13"/>
  <c r="L209" i="13" s="1"/>
  <c r="J216" i="13"/>
  <c r="L216" i="13" s="1"/>
  <c r="J194" i="13"/>
  <c r="L194" i="13" s="1"/>
  <c r="J222" i="13"/>
  <c r="L222" i="13" s="1"/>
  <c r="F62" i="14"/>
  <c r="E72" i="14"/>
  <c r="E60" i="14"/>
  <c r="AA152" i="13"/>
  <c r="H152" i="13"/>
  <c r="J152" i="13" s="1"/>
  <c r="L152" i="13" s="1"/>
  <c r="N152" i="13" s="1"/>
  <c r="P152" i="13" s="1"/>
  <c r="R152" i="13" s="1"/>
  <c r="T152" i="13" s="1"/>
  <c r="V152" i="13" s="1"/>
  <c r="X152" i="13" s="1"/>
  <c r="Z152" i="13" s="1"/>
  <c r="F119" i="13"/>
  <c r="H119" i="13" s="1"/>
  <c r="J119" i="13" s="1"/>
  <c r="L119" i="13" s="1"/>
  <c r="N119" i="13" s="1"/>
  <c r="P119" i="13" s="1"/>
  <c r="R119" i="13" s="1"/>
  <c r="T119" i="13" s="1"/>
  <c r="V119" i="13" s="1"/>
  <c r="X119" i="13" s="1"/>
  <c r="Z119" i="13" s="1"/>
  <c r="J149" i="13"/>
  <c r="L149" i="13" s="1"/>
  <c r="F52" i="14"/>
  <c r="F51" i="14"/>
  <c r="E71" i="14"/>
  <c r="F116" i="14"/>
  <c r="F98" i="14"/>
  <c r="E138" i="14"/>
  <c r="E79" i="14"/>
  <c r="E40" i="14"/>
  <c r="E56" i="14"/>
  <c r="E62" i="14"/>
  <c r="E59" i="14"/>
  <c r="F95" i="14"/>
  <c r="E43" i="14"/>
  <c r="E47" i="14"/>
  <c r="F97" i="14"/>
  <c r="E46" i="14"/>
  <c r="E97" i="14"/>
  <c r="F84" i="14"/>
  <c r="E129" i="14"/>
  <c r="E77" i="14"/>
  <c r="E38" i="14"/>
  <c r="E53" i="14"/>
  <c r="F115" i="14"/>
  <c r="E41" i="14"/>
  <c r="E80" i="14"/>
  <c r="E42" i="14"/>
  <c r="E61" i="14"/>
  <c r="E133" i="14"/>
  <c r="E49" i="14"/>
  <c r="F96" i="14"/>
  <c r="E58" i="14"/>
  <c r="E35" i="14"/>
  <c r="F90" i="14"/>
  <c r="F141" i="14"/>
  <c r="F94" i="14"/>
  <c r="E48" i="14"/>
  <c r="E123" i="14"/>
  <c r="F142" i="14"/>
  <c r="E113" i="14"/>
  <c r="E39" i="14"/>
  <c r="E128" i="14"/>
  <c r="E57" i="14"/>
  <c r="F88" i="14"/>
  <c r="E73" i="14"/>
  <c r="E78" i="14"/>
  <c r="E94" i="14"/>
  <c r="F124" i="14"/>
  <c r="F137" i="14"/>
  <c r="F87" i="14"/>
  <c r="F82" i="14"/>
  <c r="F125" i="14"/>
  <c r="F128" i="14"/>
  <c r="E50" i="14"/>
  <c r="E44" i="14"/>
  <c r="C65" i="14"/>
  <c r="E109" i="14"/>
  <c r="E76" i="14"/>
  <c r="E37" i="14"/>
  <c r="F99" i="14"/>
  <c r="F112" i="14"/>
  <c r="F114" i="14"/>
  <c r="F91" i="14"/>
  <c r="F80" i="14"/>
  <c r="E111" i="14"/>
  <c r="E75" i="14"/>
  <c r="F133" i="14"/>
  <c r="F57" i="14"/>
  <c r="E118" i="14"/>
  <c r="F241" i="13"/>
  <c r="F86" i="14"/>
  <c r="F277" i="13"/>
  <c r="F76" i="14"/>
  <c r="E54" i="14"/>
  <c r="F81" i="14"/>
  <c r="F107" i="14"/>
  <c r="F42" i="14"/>
  <c r="F61" i="14"/>
  <c r="E51" i="14"/>
  <c r="F83" i="14"/>
  <c r="E52" i="14"/>
  <c r="H191" i="13"/>
  <c r="F134" i="14"/>
  <c r="E74" i="14"/>
  <c r="F127" i="14"/>
  <c r="F46" i="14"/>
  <c r="F139" i="14"/>
  <c r="E55" i="14"/>
  <c r="F120" i="14"/>
  <c r="F93" i="14"/>
  <c r="F72" i="14"/>
  <c r="E114" i="14"/>
  <c r="F126" i="14"/>
  <c r="F136" i="14"/>
  <c r="E36" i="14"/>
  <c r="H313" i="13"/>
  <c r="F56" i="14"/>
  <c r="D231" i="13"/>
  <c r="F231" i="13" s="1"/>
  <c r="H231" i="13" s="1"/>
  <c r="J231" i="13" s="1"/>
  <c r="L231" i="13" s="1"/>
  <c r="N231" i="13" s="1"/>
  <c r="P231" i="13" s="1"/>
  <c r="R231" i="13" s="1"/>
  <c r="T231" i="13" s="1"/>
  <c r="F77" i="14"/>
  <c r="F71" i="14"/>
  <c r="F73" i="14"/>
  <c r="F75" i="14"/>
  <c r="F36" i="14"/>
  <c r="F38" i="14"/>
  <c r="F39" i="14"/>
  <c r="F37" i="14"/>
  <c r="F54" i="14"/>
  <c r="D65" i="14"/>
  <c r="F40" i="14"/>
  <c r="F41" i="14"/>
  <c r="F47" i="14"/>
  <c r="F43" i="14"/>
  <c r="F44" i="14"/>
  <c r="F59" i="14"/>
  <c r="F35" i="14"/>
  <c r="F48" i="14"/>
  <c r="F45" i="14"/>
  <c r="E45" i="14"/>
  <c r="F50" i="14"/>
  <c r="E108" i="14"/>
  <c r="E106" i="14"/>
  <c r="E132" i="14"/>
  <c r="E107" i="14"/>
  <c r="E116" i="14"/>
  <c r="E125" i="14"/>
  <c r="D104" i="14"/>
  <c r="D144" i="14" s="1"/>
  <c r="E122" i="14"/>
  <c r="E130" i="14"/>
  <c r="E87" i="14"/>
  <c r="E115" i="14"/>
  <c r="E89" i="14"/>
  <c r="E117" i="14"/>
  <c r="E92" i="14"/>
  <c r="F85" i="14"/>
  <c r="E141" i="14"/>
  <c r="E91" i="14"/>
  <c r="F105" i="14"/>
  <c r="E121" i="14"/>
  <c r="H121" i="13"/>
  <c r="E126" i="14"/>
  <c r="E84" i="14"/>
  <c r="E137" i="14"/>
  <c r="E95" i="14"/>
  <c r="E85" i="14"/>
  <c r="E119" i="14"/>
  <c r="E135" i="14"/>
  <c r="H118" i="13"/>
  <c r="E90" i="14"/>
  <c r="D150" i="13"/>
  <c r="F150" i="13" s="1"/>
  <c r="H150" i="13" s="1"/>
  <c r="J150" i="13" s="1"/>
  <c r="L150" i="13" s="1"/>
  <c r="N150" i="13" s="1"/>
  <c r="P150" i="13" s="1"/>
  <c r="R150" i="13" s="1"/>
  <c r="T150" i="13" s="1"/>
  <c r="V150" i="13" s="1"/>
  <c r="X150" i="13" s="1"/>
  <c r="Z150" i="13" s="1"/>
  <c r="E134" i="14"/>
  <c r="E140" i="14"/>
  <c r="E88" i="14"/>
  <c r="F131" i="14"/>
  <c r="E136" i="14"/>
  <c r="E93" i="14"/>
  <c r="F92" i="14"/>
  <c r="E120" i="14"/>
  <c r="E96" i="14"/>
  <c r="E81" i="14"/>
  <c r="E110" i="14"/>
  <c r="E83" i="14"/>
  <c r="F129" i="14"/>
  <c r="F106" i="14"/>
  <c r="F108" i="14"/>
  <c r="F109" i="14"/>
  <c r="E98" i="14"/>
  <c r="E82" i="14"/>
  <c r="F140" i="14"/>
  <c r="F132" i="14"/>
  <c r="E142" i="14"/>
  <c r="F121" i="14"/>
  <c r="F130" i="14"/>
  <c r="E139" i="14"/>
  <c r="E105" i="14"/>
  <c r="F89" i="14"/>
  <c r="E86" i="14"/>
  <c r="F110" i="14"/>
  <c r="F117" i="14"/>
  <c r="F122" i="14"/>
  <c r="F123" i="14"/>
  <c r="E127" i="14"/>
  <c r="E131" i="14"/>
  <c r="F111" i="14"/>
  <c r="F138" i="14"/>
  <c r="C101" i="14"/>
  <c r="F119" i="14"/>
  <c r="E124" i="14"/>
  <c r="F135" i="14"/>
  <c r="F118" i="14"/>
  <c r="E99" i="14"/>
  <c r="E112" i="14"/>
  <c r="F113" i="14"/>
  <c r="Y96" i="13"/>
  <c r="W96" i="13"/>
  <c r="U96" i="13"/>
  <c r="S96" i="13"/>
  <c r="Q96" i="13"/>
  <c r="O96" i="13"/>
  <c r="M96" i="13"/>
  <c r="K96" i="13"/>
  <c r="I96" i="13"/>
  <c r="G96" i="13"/>
  <c r="C96" i="13"/>
  <c r="D96" i="13" s="1"/>
  <c r="Y95" i="13"/>
  <c r="W95" i="13"/>
  <c r="U95" i="13"/>
  <c r="S95" i="13"/>
  <c r="Q95" i="13"/>
  <c r="O95" i="13"/>
  <c r="M95" i="13"/>
  <c r="K95" i="13"/>
  <c r="I95" i="13"/>
  <c r="G95" i="13"/>
  <c r="C95" i="13"/>
  <c r="Y94" i="13"/>
  <c r="W94" i="13"/>
  <c r="U94" i="13"/>
  <c r="S94" i="13"/>
  <c r="Q94" i="13"/>
  <c r="O94" i="13"/>
  <c r="M94" i="13"/>
  <c r="K94" i="13"/>
  <c r="I94" i="13"/>
  <c r="G94" i="13"/>
  <c r="C94" i="13"/>
  <c r="D94" i="13" s="1"/>
  <c r="Y93" i="13"/>
  <c r="W93" i="13"/>
  <c r="U93" i="13"/>
  <c r="S93" i="13"/>
  <c r="Q93" i="13"/>
  <c r="O93" i="13"/>
  <c r="M93" i="13"/>
  <c r="K93" i="13"/>
  <c r="I93" i="13"/>
  <c r="G93" i="13"/>
  <c r="C93" i="13"/>
  <c r="D93" i="13" s="1"/>
  <c r="Y92" i="13"/>
  <c r="W92" i="13"/>
  <c r="U92" i="13"/>
  <c r="S92" i="13"/>
  <c r="Q92" i="13"/>
  <c r="O92" i="13"/>
  <c r="M92" i="13"/>
  <c r="K92" i="13"/>
  <c r="I92" i="13"/>
  <c r="G92" i="13"/>
  <c r="C92" i="13"/>
  <c r="D92" i="13" s="1"/>
  <c r="Y91" i="13"/>
  <c r="W91" i="13"/>
  <c r="U91" i="13"/>
  <c r="S91" i="13"/>
  <c r="Q91" i="13"/>
  <c r="O91" i="13"/>
  <c r="M91" i="13"/>
  <c r="K91" i="13"/>
  <c r="I91" i="13"/>
  <c r="G91" i="13"/>
  <c r="C91" i="13"/>
  <c r="Y90" i="13"/>
  <c r="W90" i="13"/>
  <c r="U90" i="13"/>
  <c r="S90" i="13"/>
  <c r="Q90" i="13"/>
  <c r="O90" i="13"/>
  <c r="M90" i="13"/>
  <c r="K90" i="13"/>
  <c r="I90" i="13"/>
  <c r="G90" i="13"/>
  <c r="C90" i="13"/>
  <c r="D90" i="13" s="1"/>
  <c r="Y89" i="13"/>
  <c r="W89" i="13"/>
  <c r="U89" i="13"/>
  <c r="S89" i="13"/>
  <c r="Q89" i="13"/>
  <c r="O89" i="13"/>
  <c r="M89" i="13"/>
  <c r="K89" i="13"/>
  <c r="I89" i="13"/>
  <c r="G89" i="13"/>
  <c r="C89" i="13"/>
  <c r="D89" i="13" s="1"/>
  <c r="Y88" i="13"/>
  <c r="W88" i="13"/>
  <c r="U88" i="13"/>
  <c r="S88" i="13"/>
  <c r="Q88" i="13"/>
  <c r="O88" i="13"/>
  <c r="M88" i="13"/>
  <c r="K88" i="13"/>
  <c r="I88" i="13"/>
  <c r="G88" i="13"/>
  <c r="C88" i="13"/>
  <c r="Y87" i="13"/>
  <c r="W87" i="13"/>
  <c r="U87" i="13"/>
  <c r="S87" i="13"/>
  <c r="Q87" i="13"/>
  <c r="O87" i="13"/>
  <c r="M87" i="13"/>
  <c r="K87" i="13"/>
  <c r="I87" i="13"/>
  <c r="G87" i="13"/>
  <c r="C87" i="13"/>
  <c r="D87" i="13" s="1"/>
  <c r="Y86" i="13"/>
  <c r="W86" i="13"/>
  <c r="U86" i="13"/>
  <c r="S86" i="13"/>
  <c r="Q86" i="13"/>
  <c r="O86" i="13"/>
  <c r="M86" i="13"/>
  <c r="K86" i="13"/>
  <c r="I86" i="13"/>
  <c r="G86" i="13"/>
  <c r="C86" i="13"/>
  <c r="Y85" i="13"/>
  <c r="W85" i="13"/>
  <c r="U85" i="13"/>
  <c r="S85" i="13"/>
  <c r="Q85" i="13"/>
  <c r="O85" i="13"/>
  <c r="M85" i="13"/>
  <c r="K85" i="13"/>
  <c r="I85" i="13"/>
  <c r="G85" i="13"/>
  <c r="C85" i="13"/>
  <c r="D85" i="13" s="1"/>
  <c r="Y84" i="13"/>
  <c r="W84" i="13"/>
  <c r="U84" i="13"/>
  <c r="S84" i="13"/>
  <c r="Q84" i="13"/>
  <c r="O84" i="13"/>
  <c r="M84" i="13"/>
  <c r="K84" i="13"/>
  <c r="I84" i="13"/>
  <c r="G84" i="13"/>
  <c r="C84" i="13"/>
  <c r="Y83" i="13"/>
  <c r="W83" i="13"/>
  <c r="U83" i="13"/>
  <c r="S83" i="13"/>
  <c r="Q83" i="13"/>
  <c r="O83" i="13"/>
  <c r="M83" i="13"/>
  <c r="K83" i="13"/>
  <c r="I83" i="13"/>
  <c r="G83" i="13"/>
  <c r="C83" i="13"/>
  <c r="D83" i="13" s="1"/>
  <c r="Y82" i="13"/>
  <c r="W82" i="13"/>
  <c r="U82" i="13"/>
  <c r="S82" i="13"/>
  <c r="Q82" i="13"/>
  <c r="O82" i="13"/>
  <c r="M82" i="13"/>
  <c r="K82" i="13"/>
  <c r="I82" i="13"/>
  <c r="G82" i="13"/>
  <c r="C82" i="13"/>
  <c r="Y81" i="13"/>
  <c r="W81" i="13"/>
  <c r="U81" i="13"/>
  <c r="S81" i="13"/>
  <c r="Q81" i="13"/>
  <c r="O81" i="13"/>
  <c r="M81" i="13"/>
  <c r="K81" i="13"/>
  <c r="I81" i="13"/>
  <c r="G81" i="13"/>
  <c r="C81" i="13"/>
  <c r="Y80" i="13"/>
  <c r="W80" i="13"/>
  <c r="U80" i="13"/>
  <c r="S80" i="13"/>
  <c r="Q80" i="13"/>
  <c r="O80" i="13"/>
  <c r="M80" i="13"/>
  <c r="K80" i="13"/>
  <c r="I80" i="13"/>
  <c r="G80" i="13"/>
  <c r="C80" i="13"/>
  <c r="D80" i="13" s="1"/>
  <c r="Y79" i="13"/>
  <c r="W79" i="13"/>
  <c r="U79" i="13"/>
  <c r="S79" i="13"/>
  <c r="Q79" i="13"/>
  <c r="O79" i="13"/>
  <c r="M79" i="13"/>
  <c r="K79" i="13"/>
  <c r="I79" i="13"/>
  <c r="G79" i="13"/>
  <c r="C79" i="13"/>
  <c r="Y78" i="13"/>
  <c r="W78" i="13"/>
  <c r="U78" i="13"/>
  <c r="S78" i="13"/>
  <c r="Q78" i="13"/>
  <c r="O78" i="13"/>
  <c r="M78" i="13"/>
  <c r="K78" i="13"/>
  <c r="I78" i="13"/>
  <c r="G78" i="13"/>
  <c r="C78" i="13"/>
  <c r="D78" i="13" s="1"/>
  <c r="Y77" i="13"/>
  <c r="W77" i="13"/>
  <c r="U77" i="13"/>
  <c r="S77" i="13"/>
  <c r="Q77" i="13"/>
  <c r="O77" i="13"/>
  <c r="M77" i="13"/>
  <c r="K77" i="13"/>
  <c r="I77" i="13"/>
  <c r="G77" i="13"/>
  <c r="C77" i="13"/>
  <c r="D71" i="13"/>
  <c r="Z64" i="13"/>
  <c r="Y6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L64" i="13"/>
  <c r="K64" i="13"/>
  <c r="J64" i="13"/>
  <c r="I64" i="13"/>
  <c r="H64" i="13"/>
  <c r="G64" i="13"/>
  <c r="C64" i="13"/>
  <c r="Z63" i="13"/>
  <c r="Y63" i="13"/>
  <c r="X63" i="13"/>
  <c r="W63" i="13"/>
  <c r="V63" i="13"/>
  <c r="U63" i="13"/>
  <c r="T63" i="13"/>
  <c r="S63" i="13"/>
  <c r="R63" i="13"/>
  <c r="Q63" i="13"/>
  <c r="P63" i="13"/>
  <c r="O63" i="13"/>
  <c r="N63" i="13"/>
  <c r="M63" i="13"/>
  <c r="L63" i="13"/>
  <c r="K63" i="13"/>
  <c r="J63" i="13"/>
  <c r="I63" i="13"/>
  <c r="H63" i="13"/>
  <c r="G63" i="13"/>
  <c r="C63" i="13"/>
  <c r="D63" i="13" s="1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L62" i="13"/>
  <c r="K62" i="13"/>
  <c r="J62" i="13"/>
  <c r="I62" i="13"/>
  <c r="H62" i="13"/>
  <c r="G62" i="13"/>
  <c r="C62" i="13"/>
  <c r="D62" i="13" s="1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G61" i="13"/>
  <c r="C61" i="13"/>
  <c r="D61" i="13" s="1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L60" i="13"/>
  <c r="K60" i="13"/>
  <c r="J60" i="13"/>
  <c r="I60" i="13"/>
  <c r="H60" i="13"/>
  <c r="G60" i="13"/>
  <c r="C60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G59" i="13"/>
  <c r="C59" i="13"/>
  <c r="D59" i="13" s="1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G58" i="13"/>
  <c r="C58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G57" i="13"/>
  <c r="C57" i="13"/>
  <c r="D57" i="13" s="1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C56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C55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C54" i="13"/>
  <c r="D54" i="13" s="1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C53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C52" i="13"/>
  <c r="D52" i="13" s="1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C51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C50" i="13"/>
  <c r="D50" i="13" s="1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C49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C48" i="13"/>
  <c r="D48" i="13" s="1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C47" i="13"/>
  <c r="D47" i="13" s="1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C46" i="13"/>
  <c r="D46" i="13" s="1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C45" i="13"/>
  <c r="D45" i="13" s="1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C44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C43" i="13"/>
  <c r="D43" i="13" s="1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C42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D41" i="13"/>
  <c r="L32" i="13"/>
  <c r="J32" i="13"/>
  <c r="F32" i="13"/>
  <c r="C30" i="13"/>
  <c r="G30" i="13" s="1"/>
  <c r="C29" i="13"/>
  <c r="C28" i="13"/>
  <c r="C27" i="13"/>
  <c r="D27" i="13" s="1"/>
  <c r="C23" i="13"/>
  <c r="C22" i="13"/>
  <c r="C21" i="13"/>
  <c r="C19" i="13"/>
  <c r="L16" i="13"/>
  <c r="C14" i="13"/>
  <c r="C13" i="13"/>
  <c r="C12" i="13"/>
  <c r="C11" i="13"/>
  <c r="C10" i="13"/>
  <c r="C9" i="13"/>
  <c r="C8" i="13"/>
  <c r="C7" i="13"/>
  <c r="C6" i="13"/>
  <c r="C5" i="13"/>
  <c r="C3" i="13"/>
  <c r="D28" i="13" l="1"/>
  <c r="D29" i="13" s="1"/>
  <c r="D30" i="13" s="1"/>
  <c r="D64" i="13"/>
  <c r="AD100" i="13"/>
  <c r="C26" i="14" s="1"/>
  <c r="F26" i="14" s="1"/>
  <c r="F65" i="14"/>
  <c r="N285" i="13"/>
  <c r="P285" i="13" s="1"/>
  <c r="N293" i="13"/>
  <c r="P293" i="13" s="1"/>
  <c r="N287" i="13"/>
  <c r="P287" i="13" s="1"/>
  <c r="N288" i="13"/>
  <c r="P288" i="13" s="1"/>
  <c r="N286" i="13"/>
  <c r="P286" i="13" s="1"/>
  <c r="N283" i="13"/>
  <c r="P283" i="13" s="1"/>
  <c r="N281" i="13"/>
  <c r="P281" i="13" s="1"/>
  <c r="N290" i="13"/>
  <c r="P290" i="13" s="1"/>
  <c r="R294" i="13"/>
  <c r="T294" i="13" s="1"/>
  <c r="V294" i="13" s="1"/>
  <c r="X294" i="13" s="1"/>
  <c r="Z294" i="13" s="1"/>
  <c r="N278" i="13"/>
  <c r="P278" i="13" s="1"/>
  <c r="N282" i="13"/>
  <c r="P282" i="13" s="1"/>
  <c r="N280" i="13"/>
  <c r="P280" i="13" s="1"/>
  <c r="N291" i="13"/>
  <c r="P291" i="13" s="1"/>
  <c r="J297" i="13"/>
  <c r="L297" i="13" s="1"/>
  <c r="N297" i="13" s="1"/>
  <c r="P297" i="13" s="1"/>
  <c r="R300" i="13"/>
  <c r="T300" i="13" s="1"/>
  <c r="V300" i="13" s="1"/>
  <c r="X300" i="13" s="1"/>
  <c r="Z300" i="13" s="1"/>
  <c r="N284" i="13"/>
  <c r="P284" i="13" s="1"/>
  <c r="N279" i="13"/>
  <c r="P279" i="13" s="1"/>
  <c r="R302" i="13"/>
  <c r="T302" i="13" s="1"/>
  <c r="V302" i="13" s="1"/>
  <c r="X302" i="13" s="1"/>
  <c r="Z302" i="13" s="1"/>
  <c r="N289" i="13"/>
  <c r="P289" i="13" s="1"/>
  <c r="N292" i="13"/>
  <c r="P292" i="13" s="1"/>
  <c r="R295" i="13"/>
  <c r="T295" i="13" s="1"/>
  <c r="V295" i="13" s="1"/>
  <c r="X295" i="13" s="1"/>
  <c r="Z295" i="13" s="1"/>
  <c r="J296" i="13"/>
  <c r="L296" i="13" s="1"/>
  <c r="N296" i="13" s="1"/>
  <c r="P296" i="13" s="1"/>
  <c r="J298" i="13"/>
  <c r="L298" i="13" s="1"/>
  <c r="N298" i="13" s="1"/>
  <c r="P298" i="13" s="1"/>
  <c r="R304" i="13"/>
  <c r="T304" i="13" s="1"/>
  <c r="V304" i="13" s="1"/>
  <c r="X304" i="13" s="1"/>
  <c r="Z304" i="13" s="1"/>
  <c r="R301" i="13"/>
  <c r="T301" i="13" s="1"/>
  <c r="V301" i="13" s="1"/>
  <c r="X301" i="13" s="1"/>
  <c r="Z301" i="13" s="1"/>
  <c r="T183" i="13"/>
  <c r="V183" i="13" s="1"/>
  <c r="X183" i="13" s="1"/>
  <c r="Z183" i="13" s="1"/>
  <c r="N225" i="13"/>
  <c r="P225" i="13" s="1"/>
  <c r="N193" i="13"/>
  <c r="P193" i="13" s="1"/>
  <c r="N205" i="13"/>
  <c r="P205" i="13" s="1"/>
  <c r="N222" i="13"/>
  <c r="P222" i="13" s="1"/>
  <c r="N212" i="13"/>
  <c r="P212" i="13" s="1"/>
  <c r="N207" i="13"/>
  <c r="P207" i="13" s="1"/>
  <c r="N194" i="13"/>
  <c r="P194" i="13" s="1"/>
  <c r="N204" i="13"/>
  <c r="P204" i="13" s="1"/>
  <c r="N216" i="13"/>
  <c r="P216" i="13" s="1"/>
  <c r="N215" i="13"/>
  <c r="P215" i="13" s="1"/>
  <c r="N209" i="13"/>
  <c r="P209" i="13" s="1"/>
  <c r="N218" i="13"/>
  <c r="P218" i="13" s="1"/>
  <c r="N223" i="13"/>
  <c r="P223" i="13" s="1"/>
  <c r="N192" i="13"/>
  <c r="P192" i="13" s="1"/>
  <c r="N203" i="13"/>
  <c r="P203" i="13" s="1"/>
  <c r="N217" i="13"/>
  <c r="P217" i="13" s="1"/>
  <c r="J229" i="13"/>
  <c r="L229" i="13" s="1"/>
  <c r="R195" i="13"/>
  <c r="T195" i="13" s="1"/>
  <c r="V195" i="13" s="1"/>
  <c r="X195" i="13" s="1"/>
  <c r="Z195" i="13" s="1"/>
  <c r="N228" i="13"/>
  <c r="P228" i="13" s="1"/>
  <c r="R227" i="13"/>
  <c r="T227" i="13" s="1"/>
  <c r="V227" i="13" s="1"/>
  <c r="X227" i="13" s="1"/>
  <c r="Z227" i="13" s="1"/>
  <c r="N198" i="13"/>
  <c r="P198" i="13" s="1"/>
  <c r="N219" i="13"/>
  <c r="P219" i="13" s="1"/>
  <c r="N201" i="13"/>
  <c r="P201" i="13" s="1"/>
  <c r="N196" i="13"/>
  <c r="P196" i="13" s="1"/>
  <c r="N199" i="13"/>
  <c r="P199" i="13" s="1"/>
  <c r="N213" i="13"/>
  <c r="P213" i="13" s="1"/>
  <c r="N220" i="13"/>
  <c r="P220" i="13" s="1"/>
  <c r="N208" i="13"/>
  <c r="P208" i="13" s="1"/>
  <c r="N214" i="13"/>
  <c r="P214" i="13" s="1"/>
  <c r="N224" i="13"/>
  <c r="P224" i="13" s="1"/>
  <c r="N226" i="13"/>
  <c r="P226" i="13" s="1"/>
  <c r="R211" i="13"/>
  <c r="T211" i="13" s="1"/>
  <c r="V211" i="13" s="1"/>
  <c r="X211" i="13" s="1"/>
  <c r="Z211" i="13" s="1"/>
  <c r="N210" i="13"/>
  <c r="P210" i="13" s="1"/>
  <c r="N197" i="13"/>
  <c r="P197" i="13" s="1"/>
  <c r="N202" i="13"/>
  <c r="P202" i="13" s="1"/>
  <c r="N221" i="13"/>
  <c r="P221" i="13" s="1"/>
  <c r="N200" i="13"/>
  <c r="P200" i="13" s="1"/>
  <c r="N206" i="13"/>
  <c r="P206" i="13" s="1"/>
  <c r="N149" i="13"/>
  <c r="P149" i="13" s="1"/>
  <c r="R149" i="13" s="1"/>
  <c r="T149" i="13" s="1"/>
  <c r="V149" i="13" s="1"/>
  <c r="X149" i="13" s="1"/>
  <c r="Z149" i="13" s="1"/>
  <c r="D151" i="13"/>
  <c r="F151" i="13" s="1"/>
  <c r="H151" i="13" s="1"/>
  <c r="J151" i="13" s="1"/>
  <c r="L151" i="13" s="1"/>
  <c r="N151" i="13" s="1"/>
  <c r="P151" i="13" s="1"/>
  <c r="R151" i="13" s="1"/>
  <c r="T151" i="13" s="1"/>
  <c r="V151" i="13" s="1"/>
  <c r="X151" i="13" s="1"/>
  <c r="Z151" i="13" s="1"/>
  <c r="C107" i="13"/>
  <c r="E65" i="14"/>
  <c r="AD82" i="13"/>
  <c r="C8" i="14" s="1"/>
  <c r="AD98" i="13"/>
  <c r="C24" i="14" s="1"/>
  <c r="AD89" i="13"/>
  <c r="C15" i="14" s="1"/>
  <c r="E104" i="14"/>
  <c r="E144" i="14" s="1"/>
  <c r="AD96" i="13"/>
  <c r="C22" i="14" s="1"/>
  <c r="AD83" i="13"/>
  <c r="C9" i="14" s="1"/>
  <c r="AD90" i="13"/>
  <c r="C16" i="14" s="1"/>
  <c r="AD81" i="13"/>
  <c r="C7" i="14" s="1"/>
  <c r="AD97" i="13"/>
  <c r="C23" i="14" s="1"/>
  <c r="F23" i="14" s="1"/>
  <c r="AD80" i="13"/>
  <c r="C6" i="14" s="1"/>
  <c r="AD88" i="13"/>
  <c r="C14" i="14" s="1"/>
  <c r="AD79" i="13"/>
  <c r="C5" i="14" s="1"/>
  <c r="AD95" i="13"/>
  <c r="C21" i="14" s="1"/>
  <c r="AD86" i="13"/>
  <c r="C12" i="14" s="1"/>
  <c r="F104" i="14"/>
  <c r="H277" i="13"/>
  <c r="AD77" i="13"/>
  <c r="C3" i="14" s="1"/>
  <c r="AD93" i="13"/>
  <c r="C19" i="14" s="1"/>
  <c r="AD84" i="13"/>
  <c r="C10" i="14" s="1"/>
  <c r="AD91" i="13"/>
  <c r="C17" i="14" s="1"/>
  <c r="J313" i="13"/>
  <c r="H241" i="13"/>
  <c r="J191" i="13"/>
  <c r="AD87" i="13"/>
  <c r="C13" i="14" s="1"/>
  <c r="AD78" i="13"/>
  <c r="C4" i="14" s="1"/>
  <c r="AD94" i="13"/>
  <c r="C20" i="14" s="1"/>
  <c r="AD85" i="13"/>
  <c r="C11" i="14" s="1"/>
  <c r="AD92" i="13"/>
  <c r="C18" i="14" s="1"/>
  <c r="AD99" i="13"/>
  <c r="C25" i="14" s="1"/>
  <c r="D101" i="14"/>
  <c r="F101" i="14" s="1"/>
  <c r="C144" i="14"/>
  <c r="F144" i="14" s="1"/>
  <c r="G7" i="13"/>
  <c r="J118" i="13"/>
  <c r="G4" i="13"/>
  <c r="J121" i="13"/>
  <c r="N30" i="13"/>
  <c r="F89" i="13"/>
  <c r="H89" i="13" s="1"/>
  <c r="J89" i="13" s="1"/>
  <c r="L89" i="13" s="1"/>
  <c r="N89" i="13" s="1"/>
  <c r="P89" i="13" s="1"/>
  <c r="R89" i="13" s="1"/>
  <c r="T89" i="13" s="1"/>
  <c r="V89" i="13" s="1"/>
  <c r="X89" i="13" s="1"/>
  <c r="Z89" i="13" s="1"/>
  <c r="E101" i="14"/>
  <c r="M13" i="13"/>
  <c r="M6" i="13"/>
  <c r="N4" i="13"/>
  <c r="G9" i="13"/>
  <c r="I71" i="13"/>
  <c r="G14" i="13"/>
  <c r="N22" i="13"/>
  <c r="AA43" i="13"/>
  <c r="D5" i="14" s="1"/>
  <c r="Y71" i="13"/>
  <c r="N12" i="13"/>
  <c r="F78" i="13"/>
  <c r="H78" i="13" s="1"/>
  <c r="J78" i="13" s="1"/>
  <c r="L78" i="13" s="1"/>
  <c r="N78" i="13" s="1"/>
  <c r="P78" i="13" s="1"/>
  <c r="R78" i="13" s="1"/>
  <c r="T78" i="13" s="1"/>
  <c r="V78" i="13" s="1"/>
  <c r="X78" i="13" s="1"/>
  <c r="Z78" i="13" s="1"/>
  <c r="N27" i="13"/>
  <c r="O27" i="13" s="1"/>
  <c r="M12" i="13"/>
  <c r="N6" i="13"/>
  <c r="G5" i="13"/>
  <c r="G27" i="13"/>
  <c r="F83" i="13"/>
  <c r="H83" i="13" s="1"/>
  <c r="J83" i="13" s="1"/>
  <c r="L83" i="13" s="1"/>
  <c r="N83" i="13" s="1"/>
  <c r="P83" i="13" s="1"/>
  <c r="R83" i="13" s="1"/>
  <c r="T83" i="13" s="1"/>
  <c r="V83" i="13" s="1"/>
  <c r="X83" i="13" s="1"/>
  <c r="Z83" i="13" s="1"/>
  <c r="M20" i="13"/>
  <c r="G21" i="13"/>
  <c r="C31" i="13"/>
  <c r="M27" i="13"/>
  <c r="N13" i="13"/>
  <c r="F90" i="13"/>
  <c r="H90" i="13" s="1"/>
  <c r="J90" i="13" s="1"/>
  <c r="L90" i="13" s="1"/>
  <c r="N90" i="13" s="1"/>
  <c r="P90" i="13" s="1"/>
  <c r="R90" i="13" s="1"/>
  <c r="T90" i="13" s="1"/>
  <c r="V90" i="13" s="1"/>
  <c r="X90" i="13" s="1"/>
  <c r="Z90" i="13" s="1"/>
  <c r="F94" i="13"/>
  <c r="H94" i="13" s="1"/>
  <c r="J94" i="13" s="1"/>
  <c r="L94" i="13" s="1"/>
  <c r="N94" i="13" s="1"/>
  <c r="P94" i="13" s="1"/>
  <c r="R94" i="13" s="1"/>
  <c r="T94" i="13" s="1"/>
  <c r="V94" i="13" s="1"/>
  <c r="X94" i="13" s="1"/>
  <c r="Z94" i="13" s="1"/>
  <c r="AA63" i="13"/>
  <c r="D25" i="14" s="1"/>
  <c r="G107" i="13"/>
  <c r="M7" i="13"/>
  <c r="Z71" i="13"/>
  <c r="AA47" i="13"/>
  <c r="D9" i="14" s="1"/>
  <c r="AA87" i="13"/>
  <c r="G6" i="13"/>
  <c r="M8" i="13"/>
  <c r="M10" i="13"/>
  <c r="H71" i="13"/>
  <c r="X71" i="13"/>
  <c r="AA46" i="13"/>
  <c r="D8" i="14" s="1"/>
  <c r="AA81" i="13"/>
  <c r="K107" i="13"/>
  <c r="M21" i="13"/>
  <c r="L71" i="13"/>
  <c r="AA52" i="13"/>
  <c r="D14" i="14" s="1"/>
  <c r="AA55" i="13"/>
  <c r="D17" i="14" s="1"/>
  <c r="AA61" i="13"/>
  <c r="D23" i="14" s="1"/>
  <c r="M107" i="13"/>
  <c r="F80" i="13"/>
  <c r="H80" i="13" s="1"/>
  <c r="J80" i="13" s="1"/>
  <c r="L80" i="13" s="1"/>
  <c r="N80" i="13" s="1"/>
  <c r="P80" i="13" s="1"/>
  <c r="R80" i="13" s="1"/>
  <c r="T80" i="13" s="1"/>
  <c r="V80" i="13" s="1"/>
  <c r="X80" i="13" s="1"/>
  <c r="Z80" i="13" s="1"/>
  <c r="AA84" i="13"/>
  <c r="AA90" i="13"/>
  <c r="AA44" i="13"/>
  <c r="D6" i="14" s="1"/>
  <c r="AA42" i="13"/>
  <c r="D4" i="14" s="1"/>
  <c r="I107" i="13"/>
  <c r="M23" i="13"/>
  <c r="AA85" i="13"/>
  <c r="AA88" i="13"/>
  <c r="AA89" i="13"/>
  <c r="C15" i="13"/>
  <c r="N9" i="13"/>
  <c r="G22" i="13"/>
  <c r="N71" i="13"/>
  <c r="AA53" i="13"/>
  <c r="D15" i="14" s="1"/>
  <c r="AA62" i="13"/>
  <c r="D24" i="14" s="1"/>
  <c r="O107" i="13"/>
  <c r="D88" i="13"/>
  <c r="F88" i="13" s="1"/>
  <c r="H88" i="13" s="1"/>
  <c r="J88" i="13" s="1"/>
  <c r="L88" i="13" s="1"/>
  <c r="N88" i="13" s="1"/>
  <c r="P88" i="13" s="1"/>
  <c r="R88" i="13" s="1"/>
  <c r="T88" i="13" s="1"/>
  <c r="V88" i="13" s="1"/>
  <c r="X88" i="13" s="1"/>
  <c r="Z88" i="13" s="1"/>
  <c r="F93" i="13"/>
  <c r="H93" i="13" s="1"/>
  <c r="J93" i="13" s="1"/>
  <c r="L93" i="13" s="1"/>
  <c r="N93" i="13" s="1"/>
  <c r="P93" i="13" s="1"/>
  <c r="R93" i="13" s="1"/>
  <c r="T93" i="13" s="1"/>
  <c r="V93" i="13" s="1"/>
  <c r="X93" i="13" s="1"/>
  <c r="Z93" i="13" s="1"/>
  <c r="G19" i="13"/>
  <c r="O71" i="13"/>
  <c r="AA48" i="13"/>
  <c r="D10" i="14" s="1"/>
  <c r="AA49" i="13"/>
  <c r="D11" i="14" s="1"/>
  <c r="AA50" i="13"/>
  <c r="D12" i="14" s="1"/>
  <c r="AA51" i="13"/>
  <c r="D13" i="14" s="1"/>
  <c r="S107" i="13"/>
  <c r="G11" i="13"/>
  <c r="M71" i="13"/>
  <c r="F16" i="13"/>
  <c r="P71" i="13"/>
  <c r="D49" i="13"/>
  <c r="T71" i="13"/>
  <c r="AA59" i="13"/>
  <c r="D21" i="14" s="1"/>
  <c r="AA60" i="13"/>
  <c r="D22" i="14" s="1"/>
  <c r="U107" i="13"/>
  <c r="AA79" i="13"/>
  <c r="M5" i="13"/>
  <c r="N11" i="13"/>
  <c r="M30" i="13"/>
  <c r="Q71" i="13"/>
  <c r="U71" i="13"/>
  <c r="AA58" i="13"/>
  <c r="D20" i="14" s="1"/>
  <c r="W107" i="13"/>
  <c r="F87" i="13"/>
  <c r="H87" i="13" s="1"/>
  <c r="J87" i="13" s="1"/>
  <c r="L87" i="13" s="1"/>
  <c r="N87" i="13" s="1"/>
  <c r="P87" i="13" s="1"/>
  <c r="R87" i="13" s="1"/>
  <c r="T87" i="13" s="1"/>
  <c r="V87" i="13" s="1"/>
  <c r="X87" i="13" s="1"/>
  <c r="Z87" i="13" s="1"/>
  <c r="J16" i="13"/>
  <c r="M28" i="13"/>
  <c r="R71" i="13"/>
  <c r="Y107" i="13"/>
  <c r="F92" i="13"/>
  <c r="H92" i="13" s="1"/>
  <c r="J92" i="13" s="1"/>
  <c r="L92" i="13" s="1"/>
  <c r="N92" i="13" s="1"/>
  <c r="P92" i="13" s="1"/>
  <c r="R92" i="13" s="1"/>
  <c r="T92" i="13" s="1"/>
  <c r="V92" i="13" s="1"/>
  <c r="X92" i="13" s="1"/>
  <c r="Z92" i="13" s="1"/>
  <c r="F96" i="13"/>
  <c r="H96" i="13" s="1"/>
  <c r="J96" i="13" s="1"/>
  <c r="L96" i="13" s="1"/>
  <c r="N96" i="13" s="1"/>
  <c r="P96" i="13" s="1"/>
  <c r="R96" i="13" s="1"/>
  <c r="T96" i="13" s="1"/>
  <c r="V96" i="13" s="1"/>
  <c r="X96" i="13" s="1"/>
  <c r="Z96" i="13" s="1"/>
  <c r="AA94" i="13"/>
  <c r="K15" i="13"/>
  <c r="K16" i="13" s="1"/>
  <c r="G12" i="13"/>
  <c r="M22" i="13"/>
  <c r="S71" i="13"/>
  <c r="V71" i="13"/>
  <c r="AA56" i="13"/>
  <c r="D18" i="14" s="1"/>
  <c r="AA82" i="13"/>
  <c r="AA86" i="13"/>
  <c r="AA91" i="13"/>
  <c r="K71" i="13"/>
  <c r="W71" i="13"/>
  <c r="M4" i="13"/>
  <c r="N23" i="13"/>
  <c r="AA45" i="13"/>
  <c r="D7" i="14" s="1"/>
  <c r="AA54" i="13"/>
  <c r="D16" i="14" s="1"/>
  <c r="AA64" i="13"/>
  <c r="D26" i="14" s="1"/>
  <c r="D91" i="13"/>
  <c r="F91" i="13" s="1"/>
  <c r="H91" i="13" s="1"/>
  <c r="J91" i="13" s="1"/>
  <c r="L91" i="13" s="1"/>
  <c r="N91" i="13" s="1"/>
  <c r="P91" i="13" s="1"/>
  <c r="R91" i="13" s="1"/>
  <c r="T91" i="13" s="1"/>
  <c r="V91" i="13" s="1"/>
  <c r="X91" i="13" s="1"/>
  <c r="Z91" i="13" s="1"/>
  <c r="AA92" i="13"/>
  <c r="AA95" i="13"/>
  <c r="J71" i="13"/>
  <c r="N10" i="13"/>
  <c r="N8" i="13"/>
  <c r="M29" i="13"/>
  <c r="AA77" i="13"/>
  <c r="AA78" i="13"/>
  <c r="Q107" i="13"/>
  <c r="F85" i="13"/>
  <c r="H85" i="13" s="1"/>
  <c r="J85" i="13" s="1"/>
  <c r="L85" i="13" s="1"/>
  <c r="N85" i="13" s="1"/>
  <c r="P85" i="13" s="1"/>
  <c r="R85" i="13" s="1"/>
  <c r="T85" i="13" s="1"/>
  <c r="V85" i="13" s="1"/>
  <c r="X85" i="13" s="1"/>
  <c r="Z85" i="13" s="1"/>
  <c r="D58" i="13"/>
  <c r="M11" i="13"/>
  <c r="D51" i="13"/>
  <c r="N21" i="13"/>
  <c r="E15" i="13"/>
  <c r="N28" i="13"/>
  <c r="N7" i="13"/>
  <c r="G10" i="13"/>
  <c r="D19" i="13"/>
  <c r="G20" i="13"/>
  <c r="AA41" i="13"/>
  <c r="D3" i="14" s="1"/>
  <c r="D56" i="13"/>
  <c r="AA57" i="13"/>
  <c r="D19" i="14" s="1"/>
  <c r="C71" i="13"/>
  <c r="D82" i="13"/>
  <c r="F82" i="13" s="1"/>
  <c r="H82" i="13" s="1"/>
  <c r="J82" i="13" s="1"/>
  <c r="L82" i="13" s="1"/>
  <c r="N82" i="13" s="1"/>
  <c r="P82" i="13" s="1"/>
  <c r="R82" i="13" s="1"/>
  <c r="T82" i="13" s="1"/>
  <c r="V82" i="13" s="1"/>
  <c r="X82" i="13" s="1"/>
  <c r="Z82" i="13" s="1"/>
  <c r="AA83" i="13"/>
  <c r="G71" i="13"/>
  <c r="G29" i="13"/>
  <c r="D53" i="13"/>
  <c r="D79" i="13"/>
  <c r="F79" i="13" s="1"/>
  <c r="H79" i="13" s="1"/>
  <c r="J79" i="13" s="1"/>
  <c r="L79" i="13" s="1"/>
  <c r="N79" i="13" s="1"/>
  <c r="P79" i="13" s="1"/>
  <c r="R79" i="13" s="1"/>
  <c r="T79" i="13" s="1"/>
  <c r="V79" i="13" s="1"/>
  <c r="X79" i="13" s="1"/>
  <c r="Z79" i="13" s="1"/>
  <c r="AA80" i="13"/>
  <c r="D95" i="13"/>
  <c r="F95" i="13" s="1"/>
  <c r="H95" i="13" s="1"/>
  <c r="J95" i="13" s="1"/>
  <c r="L95" i="13" s="1"/>
  <c r="N95" i="13" s="1"/>
  <c r="P95" i="13" s="1"/>
  <c r="R95" i="13" s="1"/>
  <c r="T95" i="13" s="1"/>
  <c r="V95" i="13" s="1"/>
  <c r="X95" i="13" s="1"/>
  <c r="Z95" i="13" s="1"/>
  <c r="AA96" i="13"/>
  <c r="D3" i="13"/>
  <c r="D44" i="13"/>
  <c r="G3" i="13"/>
  <c r="N5" i="13"/>
  <c r="G8" i="13"/>
  <c r="G23" i="13"/>
  <c r="D55" i="13"/>
  <c r="D81" i="13"/>
  <c r="F81" i="13" s="1"/>
  <c r="H81" i="13" s="1"/>
  <c r="J81" i="13" s="1"/>
  <c r="L81" i="13" s="1"/>
  <c r="N81" i="13" s="1"/>
  <c r="P81" i="13" s="1"/>
  <c r="R81" i="13" s="1"/>
  <c r="T81" i="13" s="1"/>
  <c r="V81" i="13" s="1"/>
  <c r="X81" i="13" s="1"/>
  <c r="Z81" i="13" s="1"/>
  <c r="D84" i="13"/>
  <c r="F84" i="13" s="1"/>
  <c r="H84" i="13" s="1"/>
  <c r="J84" i="13" s="1"/>
  <c r="L84" i="13" s="1"/>
  <c r="N84" i="13" s="1"/>
  <c r="P84" i="13" s="1"/>
  <c r="R84" i="13" s="1"/>
  <c r="T84" i="13" s="1"/>
  <c r="V84" i="13" s="1"/>
  <c r="X84" i="13" s="1"/>
  <c r="Z84" i="13" s="1"/>
  <c r="D60" i="13"/>
  <c r="N20" i="13"/>
  <c r="G28" i="13"/>
  <c r="D42" i="13"/>
  <c r="D86" i="13"/>
  <c r="F86" i="13" s="1"/>
  <c r="H86" i="13" s="1"/>
  <c r="J86" i="13" s="1"/>
  <c r="L86" i="13" s="1"/>
  <c r="N86" i="13" s="1"/>
  <c r="P86" i="13" s="1"/>
  <c r="R86" i="13" s="1"/>
  <c r="T86" i="13" s="1"/>
  <c r="V86" i="13" s="1"/>
  <c r="X86" i="13" s="1"/>
  <c r="Z86" i="13" s="1"/>
  <c r="M9" i="13"/>
  <c r="D77" i="13"/>
  <c r="F77" i="13" s="1"/>
  <c r="H77" i="13" s="1"/>
  <c r="J77" i="13" s="1"/>
  <c r="L77" i="13" s="1"/>
  <c r="N77" i="13" s="1"/>
  <c r="P77" i="13" s="1"/>
  <c r="R77" i="13" s="1"/>
  <c r="T77" i="13" s="1"/>
  <c r="V77" i="13" s="1"/>
  <c r="X77" i="13" s="1"/>
  <c r="Z77" i="13" s="1"/>
  <c r="G13" i="13"/>
  <c r="M14" i="13"/>
  <c r="AA93" i="13"/>
  <c r="N14" i="13"/>
  <c r="N29" i="13"/>
  <c r="D185" i="13" l="1"/>
  <c r="F185" i="13" s="1"/>
  <c r="H185" i="13" s="1"/>
  <c r="J185" i="13" s="1"/>
  <c r="L185" i="13" s="1"/>
  <c r="N185" i="13" s="1"/>
  <c r="P185" i="13" s="1"/>
  <c r="R185" i="13" s="1"/>
  <c r="T185" i="13" s="1"/>
  <c r="E26" i="14"/>
  <c r="O28" i="13"/>
  <c r="O29" i="13" s="1"/>
  <c r="O30" i="13" s="1"/>
  <c r="G31" i="13"/>
  <c r="G15" i="13"/>
  <c r="G16" i="13" s="1"/>
  <c r="C32" i="14"/>
  <c r="D32" i="14"/>
  <c r="R291" i="13"/>
  <c r="T291" i="13" s="1"/>
  <c r="V291" i="13" s="1"/>
  <c r="X291" i="13" s="1"/>
  <c r="Z291" i="13" s="1"/>
  <c r="R280" i="13"/>
  <c r="T280" i="13" s="1"/>
  <c r="V280" i="13" s="1"/>
  <c r="X280" i="13" s="1"/>
  <c r="Z280" i="13" s="1"/>
  <c r="R282" i="13"/>
  <c r="T282" i="13" s="1"/>
  <c r="V282" i="13" s="1"/>
  <c r="X282" i="13" s="1"/>
  <c r="Z282" i="13" s="1"/>
  <c r="R278" i="13"/>
  <c r="T278" i="13" s="1"/>
  <c r="V278" i="13" s="1"/>
  <c r="X278" i="13" s="1"/>
  <c r="Z278" i="13" s="1"/>
  <c r="R290" i="13"/>
  <c r="T290" i="13" s="1"/>
  <c r="V290" i="13" s="1"/>
  <c r="X290" i="13" s="1"/>
  <c r="Z290" i="13" s="1"/>
  <c r="R281" i="13"/>
  <c r="T281" i="13" s="1"/>
  <c r="V281" i="13" s="1"/>
  <c r="X281" i="13" s="1"/>
  <c r="Z281" i="13" s="1"/>
  <c r="R298" i="13"/>
  <c r="T298" i="13" s="1"/>
  <c r="V298" i="13" s="1"/>
  <c r="X298" i="13" s="1"/>
  <c r="Z298" i="13" s="1"/>
  <c r="R283" i="13"/>
  <c r="T283" i="13" s="1"/>
  <c r="V283" i="13" s="1"/>
  <c r="X283" i="13" s="1"/>
  <c r="Z283" i="13" s="1"/>
  <c r="R292" i="13"/>
  <c r="T292" i="13" s="1"/>
  <c r="V292" i="13" s="1"/>
  <c r="X292" i="13" s="1"/>
  <c r="Z292" i="13" s="1"/>
  <c r="R286" i="13"/>
  <c r="T286" i="13" s="1"/>
  <c r="V286" i="13" s="1"/>
  <c r="X286" i="13" s="1"/>
  <c r="Z286" i="13" s="1"/>
  <c r="R289" i="13"/>
  <c r="T289" i="13" s="1"/>
  <c r="V289" i="13" s="1"/>
  <c r="X289" i="13" s="1"/>
  <c r="Z289" i="13" s="1"/>
  <c r="R288" i="13"/>
  <c r="T288" i="13" s="1"/>
  <c r="V288" i="13" s="1"/>
  <c r="X288" i="13" s="1"/>
  <c r="Z288" i="13" s="1"/>
  <c r="R287" i="13"/>
  <c r="T287" i="13" s="1"/>
  <c r="V287" i="13" s="1"/>
  <c r="X287" i="13" s="1"/>
  <c r="Z287" i="13" s="1"/>
  <c r="R279" i="13"/>
  <c r="T279" i="13" s="1"/>
  <c r="V279" i="13" s="1"/>
  <c r="X279" i="13" s="1"/>
  <c r="Z279" i="13" s="1"/>
  <c r="R293" i="13"/>
  <c r="T293" i="13" s="1"/>
  <c r="V293" i="13" s="1"/>
  <c r="X293" i="13" s="1"/>
  <c r="Z293" i="13" s="1"/>
  <c r="R284" i="13"/>
  <c r="T284" i="13" s="1"/>
  <c r="V284" i="13" s="1"/>
  <c r="X284" i="13" s="1"/>
  <c r="Z284" i="13" s="1"/>
  <c r="R285" i="13"/>
  <c r="T285" i="13" s="1"/>
  <c r="V285" i="13" s="1"/>
  <c r="X285" i="13" s="1"/>
  <c r="Z285" i="13" s="1"/>
  <c r="R296" i="13"/>
  <c r="T296" i="13" s="1"/>
  <c r="V296" i="13" s="1"/>
  <c r="X296" i="13" s="1"/>
  <c r="Z296" i="13" s="1"/>
  <c r="R297" i="13"/>
  <c r="T297" i="13" s="1"/>
  <c r="V297" i="13" s="1"/>
  <c r="X297" i="13" s="1"/>
  <c r="Z297" i="13" s="1"/>
  <c r="R192" i="13"/>
  <c r="T192" i="13" s="1"/>
  <c r="V192" i="13" s="1"/>
  <c r="X192" i="13" s="1"/>
  <c r="Z192" i="13" s="1"/>
  <c r="R209" i="13"/>
  <c r="T209" i="13" s="1"/>
  <c r="V209" i="13" s="1"/>
  <c r="X209" i="13" s="1"/>
  <c r="Z209" i="13" s="1"/>
  <c r="R220" i="13"/>
  <c r="T220" i="13" s="1"/>
  <c r="V220" i="13" s="1"/>
  <c r="X220" i="13" s="1"/>
  <c r="Z220" i="13" s="1"/>
  <c r="R216" i="13"/>
  <c r="T216" i="13" s="1"/>
  <c r="V216" i="13" s="1"/>
  <c r="X216" i="13" s="1"/>
  <c r="Z216" i="13" s="1"/>
  <c r="R199" i="13"/>
  <c r="T199" i="13" s="1"/>
  <c r="V199" i="13" s="1"/>
  <c r="X199" i="13" s="1"/>
  <c r="Z199" i="13" s="1"/>
  <c r="R210" i="13"/>
  <c r="T210" i="13" s="1"/>
  <c r="V210" i="13" s="1"/>
  <c r="X210" i="13" s="1"/>
  <c r="Z210" i="13" s="1"/>
  <c r="R194" i="13"/>
  <c r="T194" i="13" s="1"/>
  <c r="V194" i="13" s="1"/>
  <c r="X194" i="13" s="1"/>
  <c r="Z194" i="13" s="1"/>
  <c r="R228" i="13"/>
  <c r="T228" i="13" s="1"/>
  <c r="V228" i="13" s="1"/>
  <c r="X228" i="13" s="1"/>
  <c r="Z228" i="13" s="1"/>
  <c r="R207" i="13"/>
  <c r="T207" i="13" s="1"/>
  <c r="V207" i="13" s="1"/>
  <c r="X207" i="13" s="1"/>
  <c r="Z207" i="13" s="1"/>
  <c r="R219" i="13"/>
  <c r="T219" i="13" s="1"/>
  <c r="V219" i="13" s="1"/>
  <c r="X219" i="13" s="1"/>
  <c r="Z219" i="13" s="1"/>
  <c r="R212" i="13"/>
  <c r="T212" i="13" s="1"/>
  <c r="V212" i="13" s="1"/>
  <c r="X212" i="13" s="1"/>
  <c r="Z212" i="13" s="1"/>
  <c r="R215" i="13"/>
  <c r="T215" i="13" s="1"/>
  <c r="V215" i="13" s="1"/>
  <c r="X215" i="13" s="1"/>
  <c r="Z215" i="13" s="1"/>
  <c r="R224" i="13"/>
  <c r="T224" i="13" s="1"/>
  <c r="V224" i="13" s="1"/>
  <c r="X224" i="13" s="1"/>
  <c r="Z224" i="13" s="1"/>
  <c r="N229" i="13"/>
  <c r="P229" i="13" s="1"/>
  <c r="R229" i="13" s="1"/>
  <c r="T229" i="13" s="1"/>
  <c r="V229" i="13" s="1"/>
  <c r="X229" i="13" s="1"/>
  <c r="Z229" i="13" s="1"/>
  <c r="R222" i="13"/>
  <c r="T222" i="13" s="1"/>
  <c r="V222" i="13" s="1"/>
  <c r="X222" i="13" s="1"/>
  <c r="Z222" i="13" s="1"/>
  <c r="R213" i="13"/>
  <c r="T213" i="13" s="1"/>
  <c r="V213" i="13" s="1"/>
  <c r="X213" i="13" s="1"/>
  <c r="Z213" i="13" s="1"/>
  <c r="R218" i="13"/>
  <c r="T218" i="13" s="1"/>
  <c r="V218" i="13" s="1"/>
  <c r="X218" i="13" s="1"/>
  <c r="Z218" i="13" s="1"/>
  <c r="R221" i="13"/>
  <c r="T221" i="13" s="1"/>
  <c r="V221" i="13" s="1"/>
  <c r="X221" i="13" s="1"/>
  <c r="Z221" i="13" s="1"/>
  <c r="R205" i="13"/>
  <c r="T205" i="13" s="1"/>
  <c r="V205" i="13" s="1"/>
  <c r="X205" i="13" s="1"/>
  <c r="Z205" i="13" s="1"/>
  <c r="R201" i="13"/>
  <c r="T201" i="13" s="1"/>
  <c r="V201" i="13" s="1"/>
  <c r="X201" i="13" s="1"/>
  <c r="Z201" i="13" s="1"/>
  <c r="R197" i="13"/>
  <c r="T197" i="13" s="1"/>
  <c r="V197" i="13" s="1"/>
  <c r="X197" i="13" s="1"/>
  <c r="Z197" i="13" s="1"/>
  <c r="R226" i="13"/>
  <c r="T226" i="13" s="1"/>
  <c r="V226" i="13" s="1"/>
  <c r="X226" i="13" s="1"/>
  <c r="Z226" i="13" s="1"/>
  <c r="R193" i="13"/>
  <c r="T193" i="13" s="1"/>
  <c r="V193" i="13" s="1"/>
  <c r="X193" i="13" s="1"/>
  <c r="Z193" i="13" s="1"/>
  <c r="R202" i="13"/>
  <c r="T202" i="13" s="1"/>
  <c r="V202" i="13" s="1"/>
  <c r="X202" i="13" s="1"/>
  <c r="Z202" i="13" s="1"/>
  <c r="R208" i="13"/>
  <c r="T208" i="13" s="1"/>
  <c r="V208" i="13" s="1"/>
  <c r="X208" i="13" s="1"/>
  <c r="Z208" i="13" s="1"/>
  <c r="R203" i="13"/>
  <c r="T203" i="13" s="1"/>
  <c r="V203" i="13" s="1"/>
  <c r="X203" i="13" s="1"/>
  <c r="Z203" i="13" s="1"/>
  <c r="R225" i="13"/>
  <c r="T225" i="13" s="1"/>
  <c r="V225" i="13" s="1"/>
  <c r="X225" i="13" s="1"/>
  <c r="Z225" i="13" s="1"/>
  <c r="R196" i="13"/>
  <c r="T196" i="13" s="1"/>
  <c r="V196" i="13" s="1"/>
  <c r="X196" i="13" s="1"/>
  <c r="Z196" i="13" s="1"/>
  <c r="R204" i="13"/>
  <c r="T204" i="13" s="1"/>
  <c r="V204" i="13" s="1"/>
  <c r="X204" i="13" s="1"/>
  <c r="Z204" i="13" s="1"/>
  <c r="R206" i="13"/>
  <c r="T206" i="13" s="1"/>
  <c r="V206" i="13" s="1"/>
  <c r="X206" i="13" s="1"/>
  <c r="Z206" i="13" s="1"/>
  <c r="R200" i="13"/>
  <c r="T200" i="13" s="1"/>
  <c r="V200" i="13" s="1"/>
  <c r="X200" i="13" s="1"/>
  <c r="Z200" i="13" s="1"/>
  <c r="R214" i="13"/>
  <c r="T214" i="13" s="1"/>
  <c r="V214" i="13" s="1"/>
  <c r="X214" i="13" s="1"/>
  <c r="Z214" i="13" s="1"/>
  <c r="R198" i="13"/>
  <c r="T198" i="13" s="1"/>
  <c r="V198" i="13" s="1"/>
  <c r="X198" i="13" s="1"/>
  <c r="Z198" i="13" s="1"/>
  <c r="R223" i="13"/>
  <c r="T223" i="13" s="1"/>
  <c r="V223" i="13" s="1"/>
  <c r="X223" i="13" s="1"/>
  <c r="Z223" i="13" s="1"/>
  <c r="R217" i="13"/>
  <c r="T217" i="13" s="1"/>
  <c r="V217" i="13" s="1"/>
  <c r="X217" i="13" s="1"/>
  <c r="Z217" i="13" s="1"/>
  <c r="F8" i="14"/>
  <c r="F15" i="14"/>
  <c r="F9" i="14"/>
  <c r="F16" i="14"/>
  <c r="E24" i="14"/>
  <c r="F17" i="14"/>
  <c r="E23" i="14"/>
  <c r="F20" i="14"/>
  <c r="F5" i="14"/>
  <c r="F21" i="14"/>
  <c r="F22" i="14"/>
  <c r="F12" i="14"/>
  <c r="F6" i="14"/>
  <c r="F18" i="14"/>
  <c r="F14" i="14"/>
  <c r="F13" i="14"/>
  <c r="L191" i="13"/>
  <c r="F19" i="14"/>
  <c r="J241" i="13"/>
  <c r="L313" i="13"/>
  <c r="F24" i="14"/>
  <c r="J277" i="13"/>
  <c r="E25" i="14"/>
  <c r="L121" i="13"/>
  <c r="L118" i="13"/>
  <c r="E13" i="14"/>
  <c r="E12" i="14"/>
  <c r="F4" i="14"/>
  <c r="E10" i="14"/>
  <c r="F25" i="14"/>
  <c r="E14" i="14"/>
  <c r="F7" i="14"/>
  <c r="E22" i="14"/>
  <c r="E11" i="14"/>
  <c r="E16" i="14"/>
  <c r="E17" i="14"/>
  <c r="F11" i="14"/>
  <c r="E21" i="14"/>
  <c r="E8" i="14"/>
  <c r="E5" i="14"/>
  <c r="E4" i="14"/>
  <c r="E18" i="14"/>
  <c r="E6" i="14"/>
  <c r="E19" i="14"/>
  <c r="E20" i="14"/>
  <c r="F3" i="14"/>
  <c r="F10" i="14"/>
  <c r="E7" i="14"/>
  <c r="E9" i="14"/>
  <c r="E3" i="14"/>
  <c r="E15" i="14"/>
  <c r="AA71" i="13"/>
  <c r="D20" i="13"/>
  <c r="H19" i="13"/>
  <c r="AA107" i="13"/>
  <c r="D107" i="13"/>
  <c r="F107" i="13" s="1"/>
  <c r="H107" i="13" s="1"/>
  <c r="J107" i="13" s="1"/>
  <c r="L107" i="13" s="1"/>
  <c r="N107" i="13" s="1"/>
  <c r="P107" i="13" s="1"/>
  <c r="R107" i="13" s="1"/>
  <c r="T107" i="13" s="1"/>
  <c r="V107" i="13" s="1"/>
  <c r="X107" i="13" s="1"/>
  <c r="Z107" i="13" s="1"/>
  <c r="H3" i="13"/>
  <c r="D4" i="13"/>
  <c r="E32" i="14" l="1"/>
  <c r="L277" i="13"/>
  <c r="N313" i="13"/>
  <c r="L241" i="13"/>
  <c r="N191" i="13"/>
  <c r="N118" i="13"/>
  <c r="N121" i="13"/>
  <c r="F32" i="14"/>
  <c r="D5" i="13"/>
  <c r="H4" i="13"/>
  <c r="D21" i="13"/>
  <c r="H20" i="13"/>
  <c r="P191" i="13" l="1"/>
  <c r="N241" i="13"/>
  <c r="P313" i="13"/>
  <c r="N277" i="13"/>
  <c r="P121" i="13"/>
  <c r="P118" i="13"/>
  <c r="D6" i="13"/>
  <c r="H5" i="13"/>
  <c r="H21" i="13"/>
  <c r="D22" i="13"/>
  <c r="P277" i="13" l="1"/>
  <c r="R313" i="13"/>
  <c r="P241" i="13"/>
  <c r="R191" i="13"/>
  <c r="R118" i="13"/>
  <c r="R121" i="13"/>
  <c r="H22" i="13"/>
  <c r="D23" i="13"/>
  <c r="D24" i="13" s="1"/>
  <c r="H6" i="13"/>
  <c r="D7" i="13"/>
  <c r="E31" i="13" s="1"/>
  <c r="H24" i="13" l="1"/>
  <c r="D25" i="13"/>
  <c r="T313" i="13"/>
  <c r="T191" i="13"/>
  <c r="R241" i="13"/>
  <c r="R277" i="13"/>
  <c r="T121" i="13"/>
  <c r="T118" i="13"/>
  <c r="H7" i="13"/>
  <c r="D8" i="13"/>
  <c r="H23" i="13"/>
  <c r="H25" i="13" l="1"/>
  <c r="D26" i="13"/>
  <c r="H26" i="13" s="1"/>
  <c r="T277" i="13"/>
  <c r="T241" i="13"/>
  <c r="V191" i="13"/>
  <c r="V313" i="13"/>
  <c r="V118" i="13"/>
  <c r="V121" i="13"/>
  <c r="H8" i="13"/>
  <c r="D9" i="13"/>
  <c r="X313" i="13" l="1"/>
  <c r="X191" i="13"/>
  <c r="V231" i="13"/>
  <c r="X231" i="13" s="1"/>
  <c r="Z231" i="13" s="1"/>
  <c r="V241" i="13"/>
  <c r="V277" i="13"/>
  <c r="X121" i="13"/>
  <c r="V185" i="13"/>
  <c r="X185" i="13" s="1"/>
  <c r="Z185" i="13" s="1"/>
  <c r="X118" i="13"/>
  <c r="D10" i="13"/>
  <c r="H9" i="13"/>
  <c r="X277" i="13" l="1"/>
  <c r="X241" i="13"/>
  <c r="Z191" i="13"/>
  <c r="Z313" i="13"/>
  <c r="Z118" i="13"/>
  <c r="Z121" i="13"/>
  <c r="D11" i="13"/>
  <c r="H10" i="13"/>
  <c r="Z241" i="13" l="1"/>
  <c r="Z277" i="13"/>
  <c r="H11" i="13"/>
  <c r="D12" i="13"/>
  <c r="H27" i="13"/>
  <c r="H28" i="13" l="1"/>
  <c r="H12" i="13"/>
  <c r="D13" i="13"/>
  <c r="D14" i="13" l="1"/>
  <c r="H14" i="13" s="1"/>
  <c r="H13" i="13"/>
  <c r="H29" i="13"/>
  <c r="D32" i="13" l="1"/>
  <c r="H30" i="13"/>
  <c r="H32" i="13" s="1"/>
  <c r="D16" i="13"/>
  <c r="H16" i="13" s="1"/>
  <c r="Q96" i="12"/>
  <c r="E96" i="12"/>
  <c r="Q93" i="8"/>
  <c r="E93" i="8"/>
  <c r="Q101" i="3"/>
  <c r="E101" i="3"/>
  <c r="Q92" i="8"/>
  <c r="E92" i="8"/>
  <c r="J5" i="4"/>
  <c r="J159" i="4"/>
  <c r="J111" i="4"/>
  <c r="Q52" i="10"/>
  <c r="E52" i="10"/>
  <c r="Q94" i="1"/>
  <c r="E94" i="1"/>
  <c r="Q47" i="12"/>
  <c r="E47" i="12"/>
  <c r="N5" i="7"/>
  <c r="N6" i="7"/>
  <c r="Q92" i="7"/>
  <c r="E92" i="7"/>
  <c r="Q98" i="12"/>
  <c r="E98" i="12"/>
  <c r="Q90" i="9"/>
  <c r="E90" i="9"/>
  <c r="Q97" i="10"/>
  <c r="E97" i="10"/>
  <c r="Q90" i="10"/>
  <c r="E90" i="10"/>
  <c r="J307" i="13"/>
  <c r="L307" i="13"/>
  <c r="N307" i="13"/>
  <c r="P307" i="13"/>
  <c r="R307" i="13"/>
  <c r="T307" i="13"/>
  <c r="V307" i="13"/>
  <c r="X307" i="13"/>
  <c r="Z307" i="13"/>
  <c r="Q86" i="3"/>
  <c r="E86" i="3"/>
  <c r="L5" i="5"/>
  <c r="L6" i="5"/>
  <c r="Q88" i="12"/>
  <c r="E88" i="12"/>
  <c r="Q95" i="8"/>
  <c r="E95" i="8"/>
  <c r="O105" i="12"/>
  <c r="O52" i="12"/>
  <c r="O85" i="12"/>
  <c r="O99" i="12"/>
  <c r="O47" i="12"/>
  <c r="O102" i="12"/>
  <c r="O88" i="12"/>
  <c r="O48" i="12"/>
  <c r="O53" i="12"/>
  <c r="O98" i="12"/>
  <c r="O93" i="12"/>
  <c r="O103" i="12"/>
  <c r="N112" i="12"/>
  <c r="O91" i="12"/>
  <c r="O104" i="12"/>
  <c r="O94" i="12"/>
  <c r="O96" i="12"/>
  <c r="O97" i="12"/>
  <c r="O101" i="12"/>
  <c r="O89" i="12"/>
  <c r="O90" i="12"/>
  <c r="O86" i="12"/>
  <c r="O95" i="12"/>
  <c r="O100" i="12"/>
  <c r="O87" i="12"/>
  <c r="O92" i="12"/>
  <c r="Q85" i="8"/>
  <c r="E85" i="8"/>
  <c r="Q100" i="9"/>
  <c r="E100" i="9"/>
  <c r="Q102" i="3"/>
  <c r="E102" i="3"/>
  <c r="L159" i="4"/>
  <c r="Q94" i="12"/>
  <c r="E94" i="12"/>
  <c r="Q88" i="8"/>
  <c r="E88" i="8"/>
  <c r="Q94" i="9"/>
  <c r="E94" i="9"/>
  <c r="Q52" i="11"/>
  <c r="E52" i="11"/>
  <c r="Q91" i="12"/>
  <c r="E91" i="12"/>
  <c r="Q96" i="9"/>
  <c r="E96" i="9"/>
  <c r="Q97" i="5"/>
  <c r="E97" i="5"/>
  <c r="N159" i="5"/>
  <c r="Q100" i="1"/>
  <c r="E100" i="1"/>
  <c r="Q99" i="3"/>
  <c r="E99" i="3"/>
  <c r="Q95" i="10"/>
  <c r="E95" i="10"/>
  <c r="Q53" i="5"/>
  <c r="E53" i="5"/>
  <c r="N5" i="3"/>
  <c r="N6" i="3"/>
  <c r="L111" i="4"/>
  <c r="I307" i="13"/>
  <c r="AA307" i="13"/>
  <c r="Q53" i="8"/>
  <c r="E53" i="8"/>
  <c r="Q105" i="5"/>
  <c r="E105" i="5"/>
  <c r="L159" i="12"/>
  <c r="L111" i="12"/>
  <c r="Q93" i="7"/>
  <c r="E93" i="7"/>
  <c r="Q104" i="11"/>
  <c r="E104" i="11"/>
  <c r="Q88" i="7"/>
  <c r="E88" i="7"/>
  <c r="Q90" i="7"/>
  <c r="E90" i="7"/>
  <c r="Q105" i="12"/>
  <c r="E105" i="12"/>
  <c r="D5" i="7"/>
  <c r="D6" i="7"/>
  <c r="Q104" i="3"/>
  <c r="E104" i="3"/>
  <c r="L5" i="1"/>
  <c r="L6" i="1"/>
  <c r="Q99" i="5"/>
  <c r="E99" i="5"/>
  <c r="Q94" i="5"/>
  <c r="E94" i="5"/>
  <c r="Q91" i="9"/>
  <c r="E91" i="9"/>
  <c r="L159" i="11"/>
  <c r="L111" i="11"/>
  <c r="O14" i="13"/>
  <c r="O13" i="13"/>
  <c r="O12" i="13"/>
  <c r="O4" i="13"/>
  <c r="O5" i="13"/>
  <c r="O6" i="13"/>
  <c r="O7" i="13"/>
  <c r="O8" i="13"/>
  <c r="O9" i="13"/>
  <c r="O10" i="13"/>
  <c r="O11" i="13"/>
  <c r="N159" i="6"/>
  <c r="Q85" i="11"/>
  <c r="E85" i="11"/>
  <c r="L5" i="8"/>
  <c r="L6" i="8"/>
  <c r="N111" i="7"/>
  <c r="N159" i="7"/>
  <c r="Q91" i="10"/>
  <c r="E91" i="10"/>
  <c r="P112" i="10"/>
  <c r="P111" i="10"/>
  <c r="Q99" i="1"/>
  <c r="E99" i="1"/>
  <c r="I16" i="13"/>
  <c r="I15" i="13"/>
  <c r="Q100" i="11"/>
  <c r="E100" i="11"/>
  <c r="Q97" i="12"/>
  <c r="E97" i="12"/>
  <c r="Q100" i="5"/>
  <c r="E100" i="5"/>
  <c r="J111" i="12"/>
  <c r="J159" i="12"/>
  <c r="J5" i="12"/>
  <c r="Q102" i="8"/>
  <c r="E102" i="8"/>
  <c r="L5" i="17"/>
  <c r="L6" i="17"/>
  <c r="Q90" i="8"/>
  <c r="E90" i="8"/>
  <c r="Q91" i="7"/>
  <c r="E91" i="7"/>
  <c r="N31" i="13"/>
  <c r="D5" i="11"/>
  <c r="D6" i="11"/>
  <c r="Q99" i="7"/>
  <c r="E99" i="7"/>
  <c r="Q48" i="7"/>
  <c r="E48" i="7"/>
  <c r="Q100" i="10"/>
  <c r="E100" i="10"/>
  <c r="Q104" i="12"/>
  <c r="E104" i="12"/>
  <c r="Q92" i="1"/>
  <c r="E92" i="1"/>
  <c r="L159" i="5"/>
  <c r="L111" i="5"/>
  <c r="O92" i="7"/>
  <c r="O102" i="7"/>
  <c r="O94" i="7"/>
  <c r="O98" i="7"/>
  <c r="O87" i="7"/>
  <c r="O100" i="7"/>
  <c r="O91" i="7"/>
  <c r="O97" i="7"/>
  <c r="O90" i="7"/>
  <c r="O104" i="7"/>
  <c r="O88" i="7"/>
  <c r="O52" i="7"/>
  <c r="O89" i="7"/>
  <c r="O99" i="7"/>
  <c r="N112" i="7"/>
  <c r="O86" i="7"/>
  <c r="O103" i="7"/>
  <c r="O105" i="7"/>
  <c r="O93" i="7"/>
  <c r="O48" i="7"/>
  <c r="O96" i="7"/>
  <c r="O95" i="7"/>
  <c r="O53" i="7"/>
  <c r="O47" i="7"/>
  <c r="O101" i="7"/>
  <c r="N84" i="7"/>
  <c r="O85" i="7"/>
  <c r="O95" i="5"/>
  <c r="O93" i="5"/>
  <c r="O100" i="5"/>
  <c r="O99" i="5"/>
  <c r="O53" i="5"/>
  <c r="O48" i="5"/>
  <c r="O104" i="5"/>
  <c r="O92" i="5"/>
  <c r="O91" i="5"/>
  <c r="O98" i="5"/>
  <c r="N112" i="5"/>
  <c r="O85" i="5"/>
  <c r="O87" i="5"/>
  <c r="O101" i="5"/>
  <c r="O106" i="5"/>
  <c r="O88" i="5"/>
  <c r="O97" i="5"/>
  <c r="O103" i="5"/>
  <c r="O102" i="5"/>
  <c r="O89" i="5"/>
  <c r="O96" i="5"/>
  <c r="O86" i="5"/>
  <c r="O90" i="5"/>
  <c r="O47" i="5"/>
  <c r="O52" i="5"/>
  <c r="O105" i="5"/>
  <c r="O94" i="5"/>
  <c r="K85" i="4"/>
  <c r="J112" i="4"/>
  <c r="K47" i="4"/>
  <c r="J6" i="4"/>
  <c r="K94" i="4"/>
  <c r="K48" i="4"/>
  <c r="K86" i="4"/>
  <c r="K102" i="4"/>
  <c r="K89" i="4"/>
  <c r="K96" i="4"/>
  <c r="K105" i="4"/>
  <c r="K97" i="4"/>
  <c r="K53" i="4"/>
  <c r="K101" i="4"/>
  <c r="K88" i="4"/>
  <c r="K98" i="4"/>
  <c r="K100" i="4"/>
  <c r="K99" i="4"/>
  <c r="K92" i="4"/>
  <c r="K87" i="4"/>
  <c r="K95" i="4"/>
  <c r="K91" i="4"/>
  <c r="K104" i="4"/>
  <c r="K93" i="4"/>
  <c r="K52" i="4"/>
  <c r="K103" i="4"/>
  <c r="J84" i="4"/>
  <c r="K90" i="4"/>
  <c r="P112" i="9"/>
  <c r="P111" i="9"/>
  <c r="O100" i="11"/>
  <c r="O52" i="11"/>
  <c r="O89" i="11"/>
  <c r="O95" i="11"/>
  <c r="O93" i="11"/>
  <c r="O104" i="11"/>
  <c r="O97" i="11"/>
  <c r="N112" i="11"/>
  <c r="O99" i="11"/>
  <c r="O103" i="11"/>
  <c r="O85" i="11"/>
  <c r="O101" i="11"/>
  <c r="O47" i="11"/>
  <c r="O105" i="11"/>
  <c r="O91" i="11"/>
  <c r="O53" i="11"/>
  <c r="O88" i="11"/>
  <c r="O96" i="11"/>
  <c r="O98" i="11"/>
  <c r="O94" i="11"/>
  <c r="O48" i="11"/>
  <c r="O86" i="11"/>
  <c r="O102" i="11"/>
  <c r="O92" i="11"/>
  <c r="O90" i="11"/>
  <c r="O87" i="11"/>
  <c r="Q105" i="8"/>
  <c r="E105" i="8"/>
  <c r="O105" i="1"/>
  <c r="O102" i="1"/>
  <c r="O85" i="1"/>
  <c r="O88" i="1"/>
  <c r="O91" i="1"/>
  <c r="O52" i="1"/>
  <c r="O86" i="1"/>
  <c r="J19" i="13"/>
  <c r="O101" i="1"/>
  <c r="O94" i="1"/>
  <c r="O92" i="1"/>
  <c r="O89" i="1"/>
  <c r="O97" i="1"/>
  <c r="O98" i="1"/>
  <c r="O100" i="1"/>
  <c r="O93" i="1"/>
  <c r="O96" i="1"/>
  <c r="O53" i="1"/>
  <c r="O87" i="1"/>
  <c r="O99" i="1"/>
  <c r="O90" i="1"/>
  <c r="O48" i="1"/>
  <c r="O47" i="1"/>
  <c r="O104" i="1"/>
  <c r="O95" i="1"/>
  <c r="O103" i="1"/>
  <c r="N112" i="1"/>
  <c r="N159" i="12"/>
  <c r="K105" i="12"/>
  <c r="K52" i="12"/>
  <c r="K92" i="12"/>
  <c r="K91" i="12"/>
  <c r="K104" i="12"/>
  <c r="K85" i="12"/>
  <c r="K90" i="12"/>
  <c r="K94" i="12"/>
  <c r="K99" i="12"/>
  <c r="K87" i="12"/>
  <c r="K95" i="12"/>
  <c r="K98" i="12"/>
  <c r="K86" i="12"/>
  <c r="K48" i="12"/>
  <c r="J112" i="12"/>
  <c r="K96" i="12"/>
  <c r="K88" i="12"/>
  <c r="K100" i="12"/>
  <c r="K97" i="12"/>
  <c r="K47" i="12"/>
  <c r="K93" i="12"/>
  <c r="K89" i="12"/>
  <c r="K102" i="12"/>
  <c r="K53" i="12"/>
  <c r="K103" i="12"/>
  <c r="J84" i="12"/>
  <c r="K101" i="12"/>
  <c r="O85" i="3"/>
  <c r="O95" i="3"/>
  <c r="O53" i="3"/>
  <c r="O103" i="3"/>
  <c r="O104" i="3"/>
  <c r="O88" i="3"/>
  <c r="O98" i="3"/>
  <c r="O89" i="3"/>
  <c r="O100" i="3"/>
  <c r="O87" i="3"/>
  <c r="O47" i="3"/>
  <c r="O97" i="3"/>
  <c r="O93" i="3"/>
  <c r="O92" i="3"/>
  <c r="O94" i="3"/>
  <c r="O102" i="3"/>
  <c r="O99" i="3"/>
  <c r="O90" i="3"/>
  <c r="O91" i="3"/>
  <c r="O96" i="3"/>
  <c r="O101" i="3"/>
  <c r="N112" i="3"/>
  <c r="O86" i="3"/>
  <c r="O52" i="3"/>
  <c r="O105" i="3"/>
  <c r="O48" i="3"/>
  <c r="Q89" i="10"/>
  <c r="E89" i="10"/>
  <c r="P84" i="10"/>
  <c r="P6" i="10"/>
  <c r="P5" i="10"/>
  <c r="M89" i="5"/>
  <c r="M95" i="5"/>
  <c r="M101" i="5"/>
  <c r="M47" i="5"/>
  <c r="M92" i="5"/>
  <c r="M97" i="5"/>
  <c r="M99" i="5"/>
  <c r="L112" i="5"/>
  <c r="M106" i="5"/>
  <c r="M100" i="5"/>
  <c r="M52" i="5"/>
  <c r="M88" i="5"/>
  <c r="M96" i="5"/>
  <c r="M91" i="5"/>
  <c r="M87" i="5"/>
  <c r="M102" i="5"/>
  <c r="M90" i="5"/>
  <c r="M48" i="5"/>
  <c r="M86" i="5"/>
  <c r="M85" i="5"/>
  <c r="M94" i="5"/>
  <c r="M105" i="5"/>
  <c r="M93" i="5"/>
  <c r="M53" i="5"/>
  <c r="M103" i="5"/>
  <c r="M98" i="5"/>
  <c r="L84" i="5"/>
  <c r="M104" i="5"/>
  <c r="N84" i="12"/>
  <c r="N111" i="12"/>
  <c r="N6" i="12"/>
  <c r="N5" i="12"/>
  <c r="N84" i="3"/>
  <c r="N111" i="3"/>
  <c r="N159" i="3"/>
  <c r="Q102" i="7"/>
  <c r="E102" i="7"/>
  <c r="Q99" i="9"/>
  <c r="E99" i="9"/>
  <c r="P84" i="9"/>
  <c r="P6" i="9"/>
  <c r="P5" i="9"/>
  <c r="Q90" i="1"/>
  <c r="E90" i="1"/>
  <c r="Q53" i="1"/>
  <c r="E53" i="1"/>
  <c r="D5" i="8"/>
  <c r="D6" i="8"/>
  <c r="L159" i="9"/>
  <c r="L111" i="9"/>
  <c r="Q96" i="1"/>
  <c r="E96" i="1"/>
  <c r="N5" i="11"/>
  <c r="N6" i="11"/>
  <c r="N111" i="6"/>
  <c r="N6" i="6"/>
  <c r="N5" i="6"/>
  <c r="N84" i="5"/>
  <c r="N111" i="5"/>
  <c r="N6" i="5"/>
  <c r="N5" i="5"/>
  <c r="M99" i="12"/>
  <c r="M88" i="12"/>
  <c r="M90" i="12"/>
  <c r="M97" i="12"/>
  <c r="M98" i="12"/>
  <c r="M92" i="12"/>
  <c r="M95" i="12"/>
  <c r="M104" i="12"/>
  <c r="M101" i="12"/>
  <c r="M102" i="12"/>
  <c r="M100" i="12"/>
  <c r="M48" i="12"/>
  <c r="M86" i="12"/>
  <c r="M89" i="12"/>
  <c r="M87" i="12"/>
  <c r="M47" i="12"/>
  <c r="L112" i="12"/>
  <c r="M85" i="12"/>
  <c r="M52" i="12"/>
  <c r="M96" i="12"/>
  <c r="M53" i="12"/>
  <c r="M91" i="12"/>
  <c r="M94" i="12"/>
  <c r="M93" i="12"/>
  <c r="M105" i="12"/>
  <c r="L84" i="12"/>
  <c r="M103" i="12"/>
  <c r="E48" i="11"/>
  <c r="Q48" i="11"/>
  <c r="Q47" i="11"/>
  <c r="Q103" i="9"/>
  <c r="E103" i="9"/>
  <c r="N84" i="11"/>
  <c r="N111" i="11"/>
  <c r="N159" i="11"/>
  <c r="Q53" i="7"/>
  <c r="E53" i="7"/>
  <c r="Q92" i="11"/>
  <c r="E92" i="11"/>
  <c r="Q87" i="5"/>
  <c r="E87" i="5"/>
  <c r="H5" i="4"/>
  <c r="H159" i="4"/>
  <c r="H111" i="4"/>
  <c r="Q53" i="12"/>
  <c r="E53" i="12"/>
  <c r="Q89" i="7"/>
  <c r="E89" i="7"/>
  <c r="Q101" i="8"/>
  <c r="E101" i="8"/>
  <c r="Q99" i="10"/>
  <c r="E99" i="10"/>
  <c r="N5" i="1"/>
  <c r="N6" i="1"/>
  <c r="Q90" i="12"/>
  <c r="E90" i="12"/>
  <c r="Q86" i="10"/>
  <c r="E86" i="10"/>
  <c r="Q87" i="7"/>
  <c r="E87" i="7"/>
  <c r="Q97" i="1"/>
  <c r="E97" i="1"/>
  <c r="Q103" i="11"/>
  <c r="E103" i="11"/>
  <c r="Q87" i="10"/>
  <c r="E87" i="10"/>
  <c r="H5" i="3"/>
  <c r="H159" i="3"/>
  <c r="H111" i="3"/>
  <c r="J111" i="6"/>
  <c r="J159" i="6"/>
  <c r="J5" i="6"/>
  <c r="Q94" i="7"/>
  <c r="E94" i="7"/>
  <c r="Q89" i="1"/>
  <c r="E89" i="1"/>
  <c r="Q52" i="1"/>
  <c r="E52" i="1"/>
  <c r="Q104" i="9"/>
  <c r="E104" i="9"/>
  <c r="Q103" i="10"/>
  <c r="E103" i="10"/>
  <c r="Q53" i="3"/>
  <c r="E53" i="3"/>
  <c r="Q98" i="7"/>
  <c r="E98" i="7"/>
  <c r="Q88" i="9"/>
  <c r="E88" i="9"/>
  <c r="Q52" i="9"/>
  <c r="E52" i="9"/>
  <c r="I86" i="4"/>
  <c r="I93" i="4"/>
  <c r="I91" i="4"/>
  <c r="I88" i="4"/>
  <c r="I101" i="4"/>
  <c r="I104" i="4"/>
  <c r="I48" i="4"/>
  <c r="I103" i="4"/>
  <c r="I98" i="4"/>
  <c r="I100" i="4"/>
  <c r="I85" i="4"/>
  <c r="I89" i="4"/>
  <c r="H112" i="4"/>
  <c r="I87" i="4"/>
  <c r="I105" i="4"/>
  <c r="I92" i="4"/>
  <c r="I97" i="4"/>
  <c r="I99" i="4"/>
  <c r="H6" i="4"/>
  <c r="I52" i="4"/>
  <c r="I102" i="4"/>
  <c r="I94" i="4"/>
  <c r="I95" i="4"/>
  <c r="I90" i="4"/>
  <c r="I96" i="4"/>
  <c r="I53" i="4"/>
  <c r="H84" i="4"/>
  <c r="I47" i="4"/>
  <c r="Q85" i="10"/>
  <c r="E85" i="10"/>
  <c r="Q104" i="8"/>
  <c r="E104" i="8"/>
  <c r="Q86" i="8"/>
  <c r="E86" i="8"/>
  <c r="Q87" i="3"/>
  <c r="E87" i="3"/>
  <c r="Q99" i="12"/>
  <c r="E99" i="12"/>
  <c r="Q92" i="9"/>
  <c r="E92" i="9"/>
  <c r="Q89" i="11"/>
  <c r="E89" i="11"/>
  <c r="H111" i="12"/>
  <c r="H159" i="12"/>
  <c r="H5" i="12"/>
  <c r="Q101" i="1"/>
  <c r="E101" i="1"/>
  <c r="D5" i="10"/>
  <c r="D6" i="10"/>
  <c r="Q88" i="10"/>
  <c r="E88" i="10"/>
  <c r="Q95" i="11"/>
  <c r="E95" i="11"/>
  <c r="O3" i="13"/>
  <c r="O15" i="13"/>
  <c r="Q101" i="7"/>
  <c r="E101" i="7"/>
  <c r="N19" i="13"/>
  <c r="O19" i="13"/>
  <c r="O20" i="13"/>
  <c r="O21" i="13"/>
  <c r="O22" i="13"/>
  <c r="O23" i="13"/>
  <c r="O24" i="13"/>
  <c r="O25" i="13"/>
  <c r="O26" i="13"/>
  <c r="Q105" i="3"/>
  <c r="E105" i="3"/>
  <c r="Q52" i="7"/>
  <c r="E52" i="7"/>
  <c r="D5" i="5"/>
  <c r="D6" i="5"/>
  <c r="Q100" i="8"/>
  <c r="E100" i="8"/>
  <c r="Q93" i="10"/>
  <c r="E93" i="10"/>
  <c r="N84" i="1"/>
  <c r="N111" i="1"/>
  <c r="N159" i="1"/>
  <c r="Q47" i="3"/>
  <c r="E47" i="3"/>
  <c r="Q92" i="12"/>
  <c r="E92" i="12"/>
  <c r="H112" i="12"/>
  <c r="I53" i="12"/>
  <c r="I52" i="12"/>
  <c r="I104" i="12"/>
  <c r="I102" i="12"/>
  <c r="I86" i="12"/>
  <c r="I85" i="12"/>
  <c r="I91" i="12"/>
  <c r="I103" i="12"/>
  <c r="I88" i="12"/>
  <c r="I99" i="12"/>
  <c r="I87" i="12"/>
  <c r="I105" i="12"/>
  <c r="I98" i="12"/>
  <c r="I97" i="12"/>
  <c r="I93" i="12"/>
  <c r="I94" i="12"/>
  <c r="I47" i="12"/>
  <c r="I90" i="12"/>
  <c r="I96" i="12"/>
  <c r="I92" i="12"/>
  <c r="I101" i="12"/>
  <c r="I89" i="12"/>
  <c r="I48" i="12"/>
  <c r="I100" i="12"/>
  <c r="H84" i="12"/>
  <c r="I95" i="12"/>
  <c r="O92" i="6"/>
  <c r="O89" i="6"/>
  <c r="O87" i="6"/>
  <c r="O103" i="6"/>
  <c r="O95" i="6"/>
  <c r="O102" i="6"/>
  <c r="O88" i="6"/>
  <c r="O97" i="6"/>
  <c r="O90" i="6"/>
  <c r="O98" i="6"/>
  <c r="O105" i="6"/>
  <c r="O52" i="6"/>
  <c r="O96" i="6"/>
  <c r="O48" i="6"/>
  <c r="O99" i="6"/>
  <c r="N112" i="6"/>
  <c r="O91" i="6"/>
  <c r="O104" i="6"/>
  <c r="O101" i="6"/>
  <c r="O86" i="6"/>
  <c r="O85" i="6"/>
  <c r="O53" i="6"/>
  <c r="O100" i="6"/>
  <c r="O94" i="6"/>
  <c r="O47" i="6"/>
  <c r="N84" i="6"/>
  <c r="O93" i="6"/>
  <c r="Q99" i="8"/>
  <c r="E99" i="8"/>
  <c r="L5" i="10"/>
  <c r="L6" i="10"/>
  <c r="Q105" i="1"/>
  <c r="E105" i="1"/>
  <c r="Q86" i="12"/>
  <c r="E86" i="12"/>
  <c r="M99" i="8"/>
  <c r="M92" i="8"/>
  <c r="M89" i="8"/>
  <c r="M48" i="8"/>
  <c r="M94" i="8"/>
  <c r="M90" i="8"/>
  <c r="M47" i="8"/>
  <c r="M85" i="8"/>
  <c r="L112" i="8"/>
  <c r="M105" i="8"/>
  <c r="M101" i="8"/>
  <c r="M87" i="8"/>
  <c r="M97" i="8"/>
  <c r="M86" i="8"/>
  <c r="M93" i="8"/>
  <c r="M52" i="8"/>
  <c r="M96" i="8"/>
  <c r="M53" i="8"/>
  <c r="M98" i="8"/>
  <c r="M91" i="8"/>
  <c r="M103" i="8"/>
  <c r="M88" i="8"/>
  <c r="M100" i="8"/>
  <c r="M104" i="8"/>
  <c r="M102" i="8"/>
  <c r="M95" i="8"/>
  <c r="D112" i="4"/>
  <c r="D112" i="17"/>
  <c r="Q91" i="1"/>
  <c r="E91" i="1"/>
  <c r="H5" i="17"/>
  <c r="H159" i="17"/>
  <c r="H111" i="17"/>
  <c r="Q97" i="11"/>
  <c r="E97" i="11"/>
  <c r="K89" i="6"/>
  <c r="K104" i="6"/>
  <c r="K97" i="6"/>
  <c r="K88" i="6"/>
  <c r="K103" i="6"/>
  <c r="K85" i="6"/>
  <c r="K93" i="6"/>
  <c r="K53" i="6"/>
  <c r="K47" i="6"/>
  <c r="K92" i="6"/>
  <c r="K101" i="6"/>
  <c r="K98" i="6"/>
  <c r="K48" i="6"/>
  <c r="K86" i="6"/>
  <c r="K105" i="6"/>
  <c r="K96" i="6"/>
  <c r="K87" i="6"/>
  <c r="K90" i="6"/>
  <c r="K95" i="6"/>
  <c r="K102" i="6"/>
  <c r="J6" i="6"/>
  <c r="K94" i="6"/>
  <c r="K91" i="6"/>
  <c r="J112" i="6"/>
  <c r="K99" i="6"/>
  <c r="K52" i="6"/>
  <c r="J84" i="6"/>
  <c r="K100" i="6"/>
  <c r="P112" i="17"/>
  <c r="P111" i="17"/>
  <c r="I92" i="3"/>
  <c r="I87" i="3"/>
  <c r="I97" i="3"/>
  <c r="I91" i="3"/>
  <c r="I99" i="3"/>
  <c r="I102" i="3"/>
  <c r="I47" i="3"/>
  <c r="I104" i="3"/>
  <c r="I85" i="3"/>
  <c r="I89" i="3"/>
  <c r="I103" i="3"/>
  <c r="H112" i="3"/>
  <c r="I94" i="3"/>
  <c r="I90" i="3"/>
  <c r="I100" i="3"/>
  <c r="I96" i="3"/>
  <c r="I105" i="3"/>
  <c r="I88" i="3"/>
  <c r="I48" i="3"/>
  <c r="I98" i="3"/>
  <c r="I101" i="3"/>
  <c r="I86" i="3"/>
  <c r="I93" i="3"/>
  <c r="I52" i="3"/>
  <c r="I95" i="3"/>
  <c r="I53" i="3"/>
  <c r="H84" i="3"/>
  <c r="H6" i="3"/>
  <c r="Q87" i="1"/>
  <c r="E87" i="1"/>
  <c r="L84" i="8"/>
  <c r="L111" i="8"/>
  <c r="L159" i="8"/>
  <c r="D84" i="4"/>
  <c r="D6" i="4"/>
  <c r="D5" i="4"/>
  <c r="Q97" i="3"/>
  <c r="E97" i="3"/>
  <c r="D84" i="17"/>
  <c r="D6" i="17"/>
  <c r="D5" i="17"/>
  <c r="N5" i="17"/>
  <c r="N6" i="17"/>
  <c r="Q52" i="8"/>
  <c r="E52" i="8"/>
  <c r="Q89" i="9"/>
  <c r="E89" i="9"/>
  <c r="P84" i="17"/>
  <c r="P6" i="17"/>
  <c r="P5" i="17"/>
  <c r="Q97" i="7"/>
  <c r="E97" i="7"/>
  <c r="Q47" i="1"/>
  <c r="E47" i="1"/>
  <c r="Q100" i="12"/>
  <c r="E100" i="12"/>
  <c r="Q90" i="11"/>
  <c r="E90" i="11"/>
  <c r="Q94" i="10"/>
  <c r="E94" i="10"/>
  <c r="Q53" i="10"/>
  <c r="E53" i="10"/>
  <c r="Q104" i="1"/>
  <c r="E104" i="1"/>
  <c r="Q85" i="5"/>
  <c r="E85" i="5"/>
  <c r="P111" i="1"/>
  <c r="P112" i="1"/>
  <c r="P111" i="4"/>
  <c r="P112" i="4"/>
  <c r="Q88" i="1"/>
  <c r="E88" i="1"/>
  <c r="Q96" i="8"/>
  <c r="E96" i="8"/>
  <c r="H5" i="8"/>
  <c r="H159" i="8"/>
  <c r="H111" i="8"/>
  <c r="P5" i="5"/>
  <c r="P6" i="5"/>
  <c r="Q103" i="3"/>
  <c r="E103" i="3"/>
  <c r="H5" i="6"/>
  <c r="H159" i="6"/>
  <c r="H111" i="6"/>
  <c r="Q95" i="12"/>
  <c r="E95" i="12"/>
  <c r="Q101" i="12"/>
  <c r="E101" i="12"/>
  <c r="Q95" i="9"/>
  <c r="E95" i="9"/>
  <c r="J5" i="1"/>
  <c r="J159" i="1"/>
  <c r="J111" i="1"/>
  <c r="Q88" i="11"/>
  <c r="E88" i="11"/>
  <c r="L5" i="9"/>
  <c r="L6" i="9"/>
  <c r="Q101" i="10"/>
  <c r="E101" i="10"/>
  <c r="P84" i="1"/>
  <c r="P6" i="1"/>
  <c r="P5" i="1"/>
  <c r="Q96" i="3"/>
  <c r="E96" i="3"/>
  <c r="P84" i="4"/>
  <c r="P6" i="4"/>
  <c r="P5" i="4"/>
  <c r="Q48" i="1"/>
  <c r="E48" i="1"/>
  <c r="Q103" i="1"/>
  <c r="E103" i="1"/>
  <c r="Q98" i="10"/>
  <c r="E98" i="10"/>
  <c r="N3" i="13"/>
  <c r="N15" i="13"/>
  <c r="Q48" i="3"/>
  <c r="E48" i="3"/>
  <c r="I3" i="13"/>
  <c r="M3" i="13"/>
  <c r="M15" i="13"/>
  <c r="J5" i="11"/>
  <c r="J159" i="11"/>
  <c r="J111" i="11"/>
  <c r="Q53" i="9"/>
  <c r="E53" i="9"/>
  <c r="Q86" i="7"/>
  <c r="E86" i="7"/>
  <c r="Q103" i="12"/>
  <c r="E103" i="12"/>
  <c r="H5" i="1"/>
  <c r="H159" i="1"/>
  <c r="H111" i="1"/>
  <c r="Q103" i="5"/>
  <c r="E103" i="5"/>
  <c r="K89" i="17"/>
  <c r="K90" i="17"/>
  <c r="K86" i="17"/>
  <c r="K85" i="17"/>
  <c r="K105" i="17"/>
  <c r="K101" i="17"/>
  <c r="K94" i="17"/>
  <c r="K103" i="17"/>
  <c r="K98" i="17"/>
  <c r="K100" i="17"/>
  <c r="K53" i="17"/>
  <c r="K91" i="17"/>
  <c r="K97" i="17"/>
  <c r="J112" i="17"/>
  <c r="K48" i="17"/>
  <c r="K102" i="17"/>
  <c r="K52" i="17"/>
  <c r="K95" i="17"/>
  <c r="K93" i="17"/>
  <c r="K88" i="17"/>
  <c r="K92" i="17"/>
  <c r="K104" i="17"/>
  <c r="K99" i="17"/>
  <c r="J6" i="17"/>
  <c r="K47" i="17"/>
  <c r="K96" i="17"/>
  <c r="K87" i="17"/>
  <c r="J111" i="7"/>
  <c r="J159" i="7"/>
  <c r="J5" i="7"/>
  <c r="Q91" i="5"/>
  <c r="E91" i="5"/>
  <c r="Q104" i="10"/>
  <c r="E104" i="10"/>
  <c r="Q89" i="12"/>
  <c r="E89" i="12"/>
  <c r="O97" i="17"/>
  <c r="O88" i="17"/>
  <c r="O53" i="17"/>
  <c r="O87" i="17"/>
  <c r="O90" i="17"/>
  <c r="O52" i="17"/>
  <c r="O89" i="17"/>
  <c r="O47" i="17"/>
  <c r="O48" i="17"/>
  <c r="O102" i="17"/>
  <c r="O100" i="17"/>
  <c r="O101" i="17"/>
  <c r="O95" i="17"/>
  <c r="O96" i="17"/>
  <c r="O91" i="17"/>
  <c r="O104" i="17"/>
  <c r="O93" i="17"/>
  <c r="O103" i="17"/>
  <c r="O99" i="17"/>
  <c r="O86" i="17"/>
  <c r="O92" i="17"/>
  <c r="N112" i="17"/>
  <c r="O94" i="17"/>
  <c r="O105" i="17"/>
  <c r="O85" i="17"/>
  <c r="O98" i="17"/>
  <c r="N84" i="17"/>
  <c r="N111" i="17"/>
  <c r="N159" i="17"/>
  <c r="P111" i="6"/>
  <c r="P112" i="6"/>
  <c r="M97" i="11"/>
  <c r="M104" i="11"/>
  <c r="M52" i="11"/>
  <c r="L112" i="11"/>
  <c r="M87" i="11"/>
  <c r="M103" i="11"/>
  <c r="M100" i="11"/>
  <c r="M53" i="11"/>
  <c r="M91" i="11"/>
  <c r="M89" i="11"/>
  <c r="M102" i="11"/>
  <c r="M94" i="11"/>
  <c r="M90" i="11"/>
  <c r="M85" i="11"/>
  <c r="M88" i="11"/>
  <c r="M96" i="11"/>
  <c r="M101" i="11"/>
  <c r="M98" i="11"/>
  <c r="M95" i="11"/>
  <c r="M92" i="11"/>
  <c r="M99" i="11"/>
  <c r="M86" i="11"/>
  <c r="M105" i="11"/>
  <c r="M47" i="11"/>
  <c r="M93" i="11"/>
  <c r="M48" i="11"/>
  <c r="P111" i="12"/>
  <c r="P84" i="12"/>
  <c r="P112" i="12"/>
  <c r="Q86" i="5"/>
  <c r="E86" i="5"/>
  <c r="L112" i="10"/>
  <c r="M92" i="10"/>
  <c r="M103" i="10"/>
  <c r="M48" i="10"/>
  <c r="M98" i="10"/>
  <c r="M104" i="10"/>
  <c r="M90" i="10"/>
  <c r="M88" i="10"/>
  <c r="M91" i="10"/>
  <c r="M102" i="10"/>
  <c r="M97" i="10"/>
  <c r="M101" i="10"/>
  <c r="M105" i="10"/>
  <c r="M89" i="10"/>
  <c r="M95" i="10"/>
  <c r="M100" i="10"/>
  <c r="M93" i="10"/>
  <c r="M47" i="10"/>
  <c r="M99" i="10"/>
  <c r="M87" i="10"/>
  <c r="M52" i="10"/>
  <c r="M94" i="10"/>
  <c r="M85" i="10"/>
  <c r="M53" i="10"/>
  <c r="M96" i="10"/>
  <c r="M86" i="10"/>
  <c r="M90" i="4"/>
  <c r="M97" i="4"/>
  <c r="M103" i="4"/>
  <c r="M47" i="4"/>
  <c r="M93" i="4"/>
  <c r="M92" i="4"/>
  <c r="M88" i="4"/>
  <c r="M100" i="4"/>
  <c r="M96" i="4"/>
  <c r="M85" i="4"/>
  <c r="M94" i="4"/>
  <c r="M87" i="4"/>
  <c r="M89" i="4"/>
  <c r="M99" i="4"/>
  <c r="M98" i="4"/>
  <c r="M52" i="4"/>
  <c r="M105" i="4"/>
  <c r="M48" i="4"/>
  <c r="L112" i="4"/>
  <c r="M53" i="4"/>
  <c r="M95" i="4"/>
  <c r="M101" i="4"/>
  <c r="M91" i="4"/>
  <c r="M86" i="4"/>
  <c r="M104" i="4"/>
  <c r="M102" i="4"/>
  <c r="H6" i="8"/>
  <c r="I85" i="8"/>
  <c r="I105" i="8"/>
  <c r="I87" i="8"/>
  <c r="I91" i="8"/>
  <c r="I101" i="8"/>
  <c r="I103" i="8"/>
  <c r="I98" i="8"/>
  <c r="H112" i="8"/>
  <c r="I53" i="8"/>
  <c r="I89" i="8"/>
  <c r="I97" i="8"/>
  <c r="I102" i="8"/>
  <c r="I93" i="8"/>
  <c r="I94" i="8"/>
  <c r="I90" i="8"/>
  <c r="I100" i="8"/>
  <c r="I99" i="8"/>
  <c r="I92" i="8"/>
  <c r="I104" i="8"/>
  <c r="I47" i="8"/>
  <c r="I95" i="8"/>
  <c r="I52" i="8"/>
  <c r="I96" i="8"/>
  <c r="I86" i="8"/>
  <c r="I48" i="8"/>
  <c r="H84" i="8"/>
  <c r="I88" i="8"/>
  <c r="Q101" i="11"/>
  <c r="E101" i="11"/>
  <c r="Q106" i="5"/>
  <c r="I106" i="5"/>
  <c r="I47" i="6"/>
  <c r="I103" i="6"/>
  <c r="I105" i="6"/>
  <c r="I92" i="6"/>
  <c r="I98" i="6"/>
  <c r="I53" i="6"/>
  <c r="I88" i="6"/>
  <c r="I52" i="6"/>
  <c r="I97" i="6"/>
  <c r="I94" i="6"/>
  <c r="I101" i="6"/>
  <c r="I95" i="6"/>
  <c r="I96" i="6"/>
  <c r="I87" i="6"/>
  <c r="H112" i="6"/>
  <c r="I100" i="6"/>
  <c r="I86" i="6"/>
  <c r="I89" i="6"/>
  <c r="I91" i="6"/>
  <c r="I48" i="6"/>
  <c r="I104" i="6"/>
  <c r="I90" i="6"/>
  <c r="I99" i="6"/>
  <c r="I93" i="6"/>
  <c r="I85" i="6"/>
  <c r="I102" i="6"/>
  <c r="H84" i="6"/>
  <c r="H6" i="6"/>
  <c r="D5" i="9"/>
  <c r="D6" i="9"/>
  <c r="Q100" i="7"/>
  <c r="E100" i="7"/>
  <c r="K89" i="1"/>
  <c r="J112" i="1"/>
  <c r="K48" i="1"/>
  <c r="K96" i="1"/>
  <c r="K93" i="1"/>
  <c r="K97" i="1"/>
  <c r="K52" i="1"/>
  <c r="K103" i="1"/>
  <c r="K99" i="1"/>
  <c r="K102" i="1"/>
  <c r="K92" i="1"/>
  <c r="K90" i="1"/>
  <c r="K101" i="1"/>
  <c r="K95" i="1"/>
  <c r="K98" i="1"/>
  <c r="K87" i="1"/>
  <c r="K105" i="1"/>
  <c r="K47" i="1"/>
  <c r="K88" i="1"/>
  <c r="K104" i="1"/>
  <c r="K91" i="1"/>
  <c r="K85" i="1"/>
  <c r="K53" i="1"/>
  <c r="K94" i="1"/>
  <c r="J6" i="1"/>
  <c r="K100" i="1"/>
  <c r="J84" i="1"/>
  <c r="K86" i="1"/>
  <c r="Q98" i="11"/>
  <c r="E98" i="11"/>
  <c r="Q96" i="5"/>
  <c r="E96" i="5"/>
  <c r="I48" i="17"/>
  <c r="I94" i="17"/>
  <c r="I102" i="17"/>
  <c r="I99" i="17"/>
  <c r="I103" i="17"/>
  <c r="I96" i="17"/>
  <c r="I52" i="17"/>
  <c r="I89" i="17"/>
  <c r="I105" i="17"/>
  <c r="I100" i="17"/>
  <c r="I88" i="17"/>
  <c r="I101" i="17"/>
  <c r="I53" i="17"/>
  <c r="I93" i="17"/>
  <c r="I104" i="17"/>
  <c r="I97" i="17"/>
  <c r="I90" i="17"/>
  <c r="I92" i="17"/>
  <c r="H6" i="17"/>
  <c r="I86" i="17"/>
  <c r="H112" i="17"/>
  <c r="I87" i="17"/>
  <c r="I85" i="17"/>
  <c r="I91" i="17"/>
  <c r="I98" i="17"/>
  <c r="I95" i="17"/>
  <c r="H84" i="17"/>
  <c r="I47" i="17"/>
  <c r="Q104" i="5"/>
  <c r="E104" i="5"/>
  <c r="Q85" i="7"/>
  <c r="E85" i="7"/>
  <c r="Q97" i="9"/>
  <c r="E97" i="9"/>
  <c r="Q95" i="7"/>
  <c r="E95" i="7"/>
  <c r="P84" i="6"/>
  <c r="P6" i="6"/>
  <c r="P5" i="6"/>
  <c r="L84" i="11"/>
  <c r="L6" i="11"/>
  <c r="L5" i="11"/>
  <c r="L159" i="10"/>
  <c r="L84" i="10"/>
  <c r="L111" i="10"/>
  <c r="U307" i="13"/>
  <c r="Q90" i="5"/>
  <c r="E90" i="5"/>
  <c r="L84" i="4"/>
  <c r="L6" i="4"/>
  <c r="L5" i="4"/>
  <c r="P111" i="5"/>
  <c r="P84" i="5"/>
  <c r="P112" i="5"/>
  <c r="J111" i="8"/>
  <c r="J159" i="8"/>
  <c r="J5" i="8"/>
  <c r="Q85" i="3"/>
  <c r="E85" i="3"/>
  <c r="Q92" i="5"/>
  <c r="E92" i="5"/>
  <c r="E48" i="10"/>
  <c r="Q48" i="10"/>
  <c r="Q47" i="10"/>
  <c r="Q93" i="11"/>
  <c r="E93" i="11"/>
  <c r="Q91" i="3"/>
  <c r="E91" i="3"/>
  <c r="Q87" i="9"/>
  <c r="E87" i="9"/>
  <c r="I104" i="1"/>
  <c r="I93" i="1"/>
  <c r="I89" i="1"/>
  <c r="I91" i="1"/>
  <c r="I88" i="1"/>
  <c r="I87" i="1"/>
  <c r="I92" i="1"/>
  <c r="I105" i="1"/>
  <c r="H112" i="1"/>
  <c r="I53" i="1"/>
  <c r="I90" i="1"/>
  <c r="I103" i="1"/>
  <c r="I99" i="1"/>
  <c r="I48" i="1"/>
  <c r="I100" i="1"/>
  <c r="I52" i="1"/>
  <c r="I86" i="1"/>
  <c r="I96" i="1"/>
  <c r="I102" i="1"/>
  <c r="I98" i="1"/>
  <c r="H6" i="1"/>
  <c r="I97" i="1"/>
  <c r="I94" i="1"/>
  <c r="I85" i="1"/>
  <c r="I95" i="1"/>
  <c r="I101" i="1"/>
  <c r="H84" i="1"/>
  <c r="I47" i="1"/>
  <c r="M104" i="9"/>
  <c r="M48" i="9"/>
  <c r="M53" i="9"/>
  <c r="M89" i="9"/>
  <c r="M47" i="9"/>
  <c r="M94" i="9"/>
  <c r="M52" i="9"/>
  <c r="M99" i="9"/>
  <c r="M91" i="9"/>
  <c r="M103" i="9"/>
  <c r="M96" i="9"/>
  <c r="M90" i="9"/>
  <c r="M97" i="9"/>
  <c r="M86" i="9"/>
  <c r="M85" i="9"/>
  <c r="M92" i="9"/>
  <c r="M88" i="9"/>
  <c r="M98" i="9"/>
  <c r="M105" i="9"/>
  <c r="M100" i="9"/>
  <c r="M95" i="9"/>
  <c r="M93" i="9"/>
  <c r="M87" i="9"/>
  <c r="M102" i="9"/>
  <c r="M101" i="9"/>
  <c r="L84" i="9"/>
  <c r="L112" i="9"/>
  <c r="J84" i="17"/>
  <c r="J111" i="17"/>
  <c r="J159" i="17"/>
  <c r="J5" i="17"/>
  <c r="K91" i="7"/>
  <c r="K97" i="7"/>
  <c r="K96" i="7"/>
  <c r="K47" i="7"/>
  <c r="K48" i="7"/>
  <c r="K85" i="7"/>
  <c r="K99" i="7"/>
  <c r="K92" i="7"/>
  <c r="K90" i="7"/>
  <c r="K93" i="7"/>
  <c r="K103" i="7"/>
  <c r="K94" i="7"/>
  <c r="K100" i="7"/>
  <c r="K88" i="7"/>
  <c r="K52" i="7"/>
  <c r="J112" i="7"/>
  <c r="K101" i="7"/>
  <c r="J6" i="7"/>
  <c r="K95" i="7"/>
  <c r="K86" i="7"/>
  <c r="K102" i="7"/>
  <c r="K98" i="7"/>
  <c r="K89" i="7"/>
  <c r="K53" i="7"/>
  <c r="K104" i="7"/>
  <c r="K87" i="7"/>
  <c r="J84" i="7"/>
  <c r="K105" i="7"/>
  <c r="Q91" i="11"/>
  <c r="E91" i="11"/>
  <c r="Q92" i="10"/>
  <c r="E92" i="10"/>
  <c r="D5" i="3"/>
  <c r="D6" i="3"/>
  <c r="N5" i="8"/>
  <c r="N6" i="8"/>
  <c r="Q100" i="3"/>
  <c r="E100" i="3"/>
  <c r="Q89" i="5"/>
  <c r="E89" i="5"/>
  <c r="Q97" i="8"/>
  <c r="E97" i="8"/>
  <c r="Q101" i="9"/>
  <c r="E101" i="9"/>
  <c r="Q92" i="3"/>
  <c r="E92" i="3"/>
  <c r="Q86" i="9"/>
  <c r="E86" i="9"/>
  <c r="K48" i="5"/>
  <c r="J6" i="5"/>
  <c r="K106" i="5"/>
  <c r="K104" i="5"/>
  <c r="K47" i="5"/>
  <c r="K86" i="5"/>
  <c r="K88" i="5"/>
  <c r="K85" i="5"/>
  <c r="K87" i="5"/>
  <c r="K53" i="5"/>
  <c r="K90" i="5"/>
  <c r="K52" i="5"/>
  <c r="K92" i="5"/>
  <c r="K97" i="5"/>
  <c r="K95" i="5"/>
  <c r="K100" i="5"/>
  <c r="K93" i="5"/>
  <c r="K99" i="5"/>
  <c r="K105" i="5"/>
  <c r="K103" i="5"/>
  <c r="K98" i="5"/>
  <c r="K101" i="5"/>
  <c r="K96" i="5"/>
  <c r="K89" i="5"/>
  <c r="K94" i="5"/>
  <c r="K91" i="5"/>
  <c r="J112" i="5"/>
  <c r="K102" i="5"/>
  <c r="Q85" i="1"/>
  <c r="E85" i="1"/>
  <c r="I53" i="5"/>
  <c r="I87" i="5"/>
  <c r="I85" i="5"/>
  <c r="I91" i="5"/>
  <c r="I105" i="5"/>
  <c r="I89" i="5"/>
  <c r="I100" i="5"/>
  <c r="I86" i="5"/>
  <c r="I93" i="5"/>
  <c r="H6" i="5"/>
  <c r="I103" i="5"/>
  <c r="H112" i="5"/>
  <c r="I101" i="5"/>
  <c r="I88" i="5"/>
  <c r="I90" i="5"/>
  <c r="I104" i="5"/>
  <c r="I95" i="5"/>
  <c r="I48" i="5"/>
  <c r="I96" i="5"/>
  <c r="I102" i="5"/>
  <c r="I99" i="5"/>
  <c r="I94" i="5"/>
  <c r="I52" i="5"/>
  <c r="I97" i="5"/>
  <c r="I47" i="5"/>
  <c r="I92" i="5"/>
  <c r="I98" i="5"/>
  <c r="M90" i="17"/>
  <c r="M89" i="17"/>
  <c r="L112" i="17"/>
  <c r="M92" i="17"/>
  <c r="M86" i="17"/>
  <c r="M88" i="17"/>
  <c r="M96" i="17"/>
  <c r="M99" i="17"/>
  <c r="M87" i="17"/>
  <c r="M103" i="17"/>
  <c r="M47" i="17"/>
  <c r="M53" i="17"/>
  <c r="M91" i="17"/>
  <c r="M52" i="17"/>
  <c r="M98" i="17"/>
  <c r="M48" i="17"/>
  <c r="M94" i="17"/>
  <c r="M101" i="17"/>
  <c r="M104" i="17"/>
  <c r="M93" i="17"/>
  <c r="M95" i="17"/>
  <c r="M97" i="17"/>
  <c r="M100" i="17"/>
  <c r="M105" i="17"/>
  <c r="M85" i="17"/>
  <c r="M102" i="17"/>
  <c r="I48" i="9"/>
  <c r="I86" i="9"/>
  <c r="I91" i="9"/>
  <c r="I53" i="9"/>
  <c r="I99" i="9"/>
  <c r="I105" i="9"/>
  <c r="I47" i="9"/>
  <c r="I52" i="9"/>
  <c r="H112" i="9"/>
  <c r="I90" i="9"/>
  <c r="I93" i="9"/>
  <c r="I98" i="9"/>
  <c r="I95" i="9"/>
  <c r="I100" i="9"/>
  <c r="H6" i="9"/>
  <c r="I89" i="9"/>
  <c r="I85" i="9"/>
  <c r="I97" i="9"/>
  <c r="I94" i="9"/>
  <c r="I104" i="9"/>
  <c r="I96" i="9"/>
  <c r="I88" i="9"/>
  <c r="I102" i="9"/>
  <c r="I92" i="9"/>
  <c r="I103" i="9"/>
  <c r="I101" i="9"/>
  <c r="I87" i="9"/>
  <c r="Q98" i="3"/>
  <c r="E98" i="3"/>
  <c r="Q85" i="9"/>
  <c r="E85" i="9"/>
  <c r="Q53" i="11"/>
  <c r="E53" i="11"/>
  <c r="Q105" i="10"/>
  <c r="E105" i="10"/>
  <c r="Q105" i="7"/>
  <c r="E105" i="7"/>
  <c r="Q95" i="5"/>
  <c r="E95" i="5"/>
  <c r="Q102" i="11"/>
  <c r="E102" i="11"/>
  <c r="N111" i="8"/>
  <c r="N159" i="8"/>
  <c r="I31" i="13"/>
  <c r="Q52" i="5"/>
  <c r="E52" i="5"/>
  <c r="Q93" i="5"/>
  <c r="E93" i="5"/>
  <c r="Q96" i="10"/>
  <c r="E96" i="10"/>
  <c r="Q98" i="1"/>
  <c r="E98" i="1"/>
  <c r="M96" i="3"/>
  <c r="M88" i="3"/>
  <c r="M99" i="3"/>
  <c r="M100" i="3"/>
  <c r="M105" i="3"/>
  <c r="M102" i="3"/>
  <c r="M53" i="3"/>
  <c r="M87" i="3"/>
  <c r="M104" i="3"/>
  <c r="M93" i="3"/>
  <c r="M52" i="3"/>
  <c r="M97" i="3"/>
  <c r="M98" i="3"/>
  <c r="M91" i="3"/>
  <c r="M90" i="3"/>
  <c r="M89" i="3"/>
  <c r="M47" i="3"/>
  <c r="M86" i="3"/>
  <c r="M48" i="3"/>
  <c r="M101" i="3"/>
  <c r="M94" i="3"/>
  <c r="M103" i="3"/>
  <c r="M85" i="3"/>
  <c r="L112" i="3"/>
  <c r="M95" i="3"/>
  <c r="M92" i="3"/>
  <c r="P5" i="8"/>
  <c r="P6" i="8"/>
  <c r="I94" i="10"/>
  <c r="I88" i="10"/>
  <c r="I91" i="10"/>
  <c r="I105" i="10"/>
  <c r="I86" i="10"/>
  <c r="I100" i="10"/>
  <c r="I93" i="10"/>
  <c r="I52" i="10"/>
  <c r="I98" i="10"/>
  <c r="I47" i="10"/>
  <c r="I104" i="10"/>
  <c r="H6" i="10"/>
  <c r="I48" i="10"/>
  <c r="I99" i="10"/>
  <c r="I89" i="10"/>
  <c r="H112" i="10"/>
  <c r="I85" i="10"/>
  <c r="I101" i="10"/>
  <c r="I95" i="10"/>
  <c r="I92" i="10"/>
  <c r="I102" i="10"/>
  <c r="I103" i="10"/>
  <c r="I53" i="10"/>
  <c r="I87" i="10"/>
  <c r="I90" i="10"/>
  <c r="I97" i="10"/>
  <c r="I96" i="10"/>
  <c r="Q98" i="5"/>
  <c r="E98" i="5"/>
  <c r="Q105" i="9"/>
  <c r="E105" i="9"/>
  <c r="H6" i="11"/>
  <c r="I85" i="11"/>
  <c r="I52" i="11"/>
  <c r="I48" i="11"/>
  <c r="I100" i="11"/>
  <c r="I96" i="11"/>
  <c r="I90" i="11"/>
  <c r="I92" i="11"/>
  <c r="I101" i="11"/>
  <c r="H112" i="11"/>
  <c r="I93" i="11"/>
  <c r="I105" i="11"/>
  <c r="I87" i="11"/>
  <c r="I88" i="11"/>
  <c r="I91" i="11"/>
  <c r="I47" i="11"/>
  <c r="I102" i="11"/>
  <c r="I89" i="11"/>
  <c r="I99" i="11"/>
  <c r="I94" i="11"/>
  <c r="I95" i="11"/>
  <c r="I103" i="11"/>
  <c r="I86" i="11"/>
  <c r="I104" i="11"/>
  <c r="I97" i="11"/>
  <c r="I98" i="11"/>
  <c r="I53" i="11"/>
  <c r="Q102" i="9"/>
  <c r="E102" i="9"/>
  <c r="Q96" i="7"/>
  <c r="E96" i="7"/>
  <c r="E48" i="5"/>
  <c r="Q48" i="5"/>
  <c r="Q44" i="5"/>
  <c r="Q154" i="5"/>
  <c r="L111" i="3"/>
  <c r="L159" i="3"/>
  <c r="Q48" i="8"/>
  <c r="E48" i="8"/>
  <c r="Q93" i="1"/>
  <c r="E93" i="1"/>
  <c r="Q93" i="3"/>
  <c r="E93" i="3"/>
  <c r="Q104" i="7"/>
  <c r="E104" i="7"/>
  <c r="Q96" i="11"/>
  <c r="E96" i="11"/>
  <c r="Q87" i="8"/>
  <c r="E87" i="8"/>
  <c r="Q102" i="12"/>
  <c r="E102" i="12"/>
  <c r="Q102" i="10"/>
  <c r="E102" i="10"/>
  <c r="Q47" i="7"/>
  <c r="E47" i="7"/>
  <c r="Q95" i="1"/>
  <c r="E95" i="1"/>
  <c r="Q99" i="11"/>
  <c r="E99" i="11"/>
  <c r="L159" i="7"/>
  <c r="L111" i="7"/>
  <c r="L84" i="17"/>
  <c r="L111" i="17"/>
  <c r="L159" i="17"/>
  <c r="Q88" i="5"/>
  <c r="E88" i="5"/>
  <c r="L159" i="6"/>
  <c r="L111" i="6"/>
  <c r="P111" i="11"/>
  <c r="P112" i="11"/>
  <c r="O47" i="8"/>
  <c r="O87" i="8"/>
  <c r="O100" i="8"/>
  <c r="O104" i="8"/>
  <c r="O53" i="8"/>
  <c r="O101" i="8"/>
  <c r="O99" i="8"/>
  <c r="O90" i="8"/>
  <c r="O94" i="8"/>
  <c r="O102" i="8"/>
  <c r="O91" i="8"/>
  <c r="O86" i="8"/>
  <c r="O98" i="8"/>
  <c r="O89" i="8"/>
  <c r="O85" i="8"/>
  <c r="O95" i="8"/>
  <c r="O105" i="8"/>
  <c r="N112" i="8"/>
  <c r="O88" i="8"/>
  <c r="O92" i="8"/>
  <c r="O52" i="8"/>
  <c r="O97" i="8"/>
  <c r="O48" i="8"/>
  <c r="O93" i="8"/>
  <c r="O96" i="8"/>
  <c r="N84" i="8"/>
  <c r="O103" i="8"/>
  <c r="I19" i="13"/>
  <c r="M19" i="13"/>
  <c r="M31" i="13"/>
  <c r="D112" i="7"/>
  <c r="L84" i="3"/>
  <c r="L6" i="3"/>
  <c r="L5" i="3"/>
  <c r="Q101" i="5"/>
  <c r="E101" i="5"/>
  <c r="J111" i="3"/>
  <c r="J159" i="3"/>
  <c r="J5" i="3"/>
  <c r="N159" i="4"/>
  <c r="Q52" i="3"/>
  <c r="E52" i="3"/>
  <c r="P111" i="3"/>
  <c r="P112" i="3"/>
  <c r="M96" i="1"/>
  <c r="M99" i="1"/>
  <c r="M97" i="1"/>
  <c r="M103" i="1"/>
  <c r="M91" i="1"/>
  <c r="M87" i="1"/>
  <c r="M105" i="1"/>
  <c r="M90" i="1"/>
  <c r="M85" i="1"/>
  <c r="M47" i="1"/>
  <c r="M98" i="1"/>
  <c r="M88" i="1"/>
  <c r="M93" i="1"/>
  <c r="M95" i="1"/>
  <c r="M101" i="1"/>
  <c r="M94" i="1"/>
  <c r="M104" i="1"/>
  <c r="M52" i="1"/>
  <c r="M92" i="1"/>
  <c r="M102" i="1"/>
  <c r="M48" i="1"/>
  <c r="M53" i="1"/>
  <c r="M86" i="1"/>
  <c r="M89" i="1"/>
  <c r="L112" i="1"/>
  <c r="M100" i="1"/>
  <c r="P111" i="7"/>
  <c r="P112" i="7"/>
  <c r="J84" i="5"/>
  <c r="J111" i="5"/>
  <c r="J159" i="5"/>
  <c r="J5" i="5"/>
  <c r="H84" i="5"/>
  <c r="H111" i="5"/>
  <c r="H159" i="5"/>
  <c r="H5" i="5"/>
  <c r="M102" i="7"/>
  <c r="M48" i="7"/>
  <c r="M100" i="7"/>
  <c r="M104" i="7"/>
  <c r="M95" i="7"/>
  <c r="M105" i="7"/>
  <c r="M85" i="7"/>
  <c r="L112" i="7"/>
  <c r="M86" i="7"/>
  <c r="M103" i="7"/>
  <c r="M52" i="7"/>
  <c r="M98" i="7"/>
  <c r="M90" i="7"/>
  <c r="M87" i="7"/>
  <c r="M92" i="7"/>
  <c r="M47" i="7"/>
  <c r="M101" i="7"/>
  <c r="M94" i="7"/>
  <c r="M96" i="7"/>
  <c r="M91" i="7"/>
  <c r="M89" i="7"/>
  <c r="M88" i="7"/>
  <c r="M93" i="7"/>
  <c r="M53" i="7"/>
  <c r="M99" i="7"/>
  <c r="M97" i="7"/>
  <c r="D112" i="12"/>
  <c r="H84" i="9"/>
  <c r="H111" i="9"/>
  <c r="H159" i="9"/>
  <c r="H5" i="9"/>
  <c r="Q105" i="11"/>
  <c r="E105" i="11"/>
  <c r="Q94" i="11"/>
  <c r="E94" i="11"/>
  <c r="Q98" i="9"/>
  <c r="E98" i="9"/>
  <c r="K85" i="11"/>
  <c r="K103" i="11"/>
  <c r="K87" i="11"/>
  <c r="K86" i="11"/>
  <c r="K91" i="11"/>
  <c r="J112" i="11"/>
  <c r="K99" i="11"/>
  <c r="K53" i="11"/>
  <c r="K47" i="11"/>
  <c r="K92" i="11"/>
  <c r="K94" i="11"/>
  <c r="K48" i="11"/>
  <c r="K98" i="11"/>
  <c r="K93" i="11"/>
  <c r="K101" i="11"/>
  <c r="K97" i="11"/>
  <c r="K89" i="11"/>
  <c r="K100" i="11"/>
  <c r="K104" i="11"/>
  <c r="K96" i="11"/>
  <c r="K105" i="11"/>
  <c r="K88" i="11"/>
  <c r="K90" i="11"/>
  <c r="K102" i="11"/>
  <c r="K52" i="11"/>
  <c r="J6" i="11"/>
  <c r="J84" i="11"/>
  <c r="K95" i="11"/>
  <c r="E52" i="12"/>
  <c r="Q52" i="12"/>
  <c r="Q89" i="3"/>
  <c r="E89" i="3"/>
  <c r="P84" i="11"/>
  <c r="P6" i="11"/>
  <c r="P5" i="11"/>
  <c r="O100" i="4"/>
  <c r="O102" i="4"/>
  <c r="O96" i="4"/>
  <c r="O87" i="4"/>
  <c r="O85" i="4"/>
  <c r="O92" i="4"/>
  <c r="O94" i="4"/>
  <c r="O99" i="4"/>
  <c r="O101" i="4"/>
  <c r="O93" i="4"/>
  <c r="O47" i="4"/>
  <c r="O103" i="4"/>
  <c r="O90" i="4"/>
  <c r="O104" i="4"/>
  <c r="O91" i="4"/>
  <c r="O98" i="4"/>
  <c r="O97" i="4"/>
  <c r="O48" i="4"/>
  <c r="O52" i="4"/>
  <c r="O86" i="4"/>
  <c r="O105" i="4"/>
  <c r="O53" i="4"/>
  <c r="N112" i="4"/>
  <c r="O95" i="4"/>
  <c r="O89" i="4"/>
  <c r="O88" i="4"/>
  <c r="Q86" i="1"/>
  <c r="E86" i="1"/>
  <c r="K97" i="8"/>
  <c r="K53" i="8"/>
  <c r="K47" i="8"/>
  <c r="K101" i="8"/>
  <c r="K85" i="8"/>
  <c r="K92" i="8"/>
  <c r="K104" i="8"/>
  <c r="K102" i="8"/>
  <c r="K87" i="8"/>
  <c r="K86" i="8"/>
  <c r="K93" i="8"/>
  <c r="K103" i="8"/>
  <c r="K98" i="8"/>
  <c r="K105" i="8"/>
  <c r="K100" i="8"/>
  <c r="K89" i="8"/>
  <c r="K94" i="8"/>
  <c r="K99" i="8"/>
  <c r="K91" i="8"/>
  <c r="K48" i="8"/>
  <c r="K52" i="8"/>
  <c r="J112" i="8"/>
  <c r="J6" i="8"/>
  <c r="K90" i="8"/>
  <c r="K96" i="8"/>
  <c r="K95" i="8"/>
  <c r="J84" i="8"/>
  <c r="K88" i="8"/>
  <c r="M92" i="6"/>
  <c r="M96" i="6"/>
  <c r="M47" i="6"/>
  <c r="M104" i="6"/>
  <c r="M95" i="6"/>
  <c r="M48" i="6"/>
  <c r="M90" i="6"/>
  <c r="M97" i="6"/>
  <c r="M98" i="6"/>
  <c r="M102" i="6"/>
  <c r="M85" i="6"/>
  <c r="L112" i="6"/>
  <c r="M87" i="6"/>
  <c r="M103" i="6"/>
  <c r="M86" i="6"/>
  <c r="M89" i="6"/>
  <c r="M100" i="6"/>
  <c r="M88" i="6"/>
  <c r="M105" i="6"/>
  <c r="M99" i="6"/>
  <c r="M94" i="6"/>
  <c r="M93" i="6"/>
  <c r="M53" i="6"/>
  <c r="M91" i="6"/>
  <c r="M101" i="6"/>
  <c r="M52" i="6"/>
  <c r="I85" i="7"/>
  <c r="I99" i="7"/>
  <c r="I103" i="7"/>
  <c r="I47" i="7"/>
  <c r="I87" i="7"/>
  <c r="I52" i="7"/>
  <c r="I97" i="7"/>
  <c r="I98" i="7"/>
  <c r="I101" i="7"/>
  <c r="I102" i="7"/>
  <c r="H112" i="7"/>
  <c r="H6" i="7"/>
  <c r="I90" i="7"/>
  <c r="I48" i="7"/>
  <c r="I104" i="7"/>
  <c r="I105" i="7"/>
  <c r="I96" i="7"/>
  <c r="I89" i="7"/>
  <c r="I95" i="7"/>
  <c r="I88" i="7"/>
  <c r="I86" i="7"/>
  <c r="I100" i="7"/>
  <c r="I53" i="7"/>
  <c r="I91" i="7"/>
  <c r="I94" i="7"/>
  <c r="I92" i="7"/>
  <c r="I93" i="7"/>
  <c r="E93" i="12"/>
  <c r="Q93" i="12"/>
  <c r="K103" i="3"/>
  <c r="K88" i="3"/>
  <c r="K96" i="3"/>
  <c r="K91" i="3"/>
  <c r="K99" i="3"/>
  <c r="K93" i="3"/>
  <c r="K104" i="3"/>
  <c r="K102" i="3"/>
  <c r="K85" i="3"/>
  <c r="K47" i="3"/>
  <c r="K87" i="3"/>
  <c r="K48" i="3"/>
  <c r="K92" i="3"/>
  <c r="K94" i="3"/>
  <c r="K101" i="3"/>
  <c r="K90" i="3"/>
  <c r="K100" i="3"/>
  <c r="K89" i="3"/>
  <c r="K52" i="3"/>
  <c r="K98" i="3"/>
  <c r="J112" i="3"/>
  <c r="J6" i="3"/>
  <c r="K97" i="3"/>
  <c r="K86" i="3"/>
  <c r="K95" i="3"/>
  <c r="K105" i="3"/>
  <c r="J84" i="3"/>
  <c r="K53" i="3"/>
  <c r="Q86" i="11"/>
  <c r="E86" i="11"/>
  <c r="Q94" i="8"/>
  <c r="E94" i="8"/>
  <c r="D84" i="7"/>
  <c r="E103" i="7"/>
  <c r="Q103" i="7"/>
  <c r="E47" i="5"/>
  <c r="D112" i="5"/>
  <c r="D112" i="8"/>
  <c r="E47" i="8"/>
  <c r="P112" i="8"/>
  <c r="P84" i="8"/>
  <c r="P111" i="8"/>
  <c r="H84" i="10"/>
  <c r="H111" i="10"/>
  <c r="H159" i="10"/>
  <c r="H5" i="10"/>
  <c r="E87" i="12"/>
  <c r="Q87" i="12"/>
  <c r="E91" i="8"/>
  <c r="Q91" i="8"/>
  <c r="N84" i="4"/>
  <c r="N111" i="4"/>
  <c r="N6" i="4"/>
  <c r="N5" i="4"/>
  <c r="H84" i="11"/>
  <c r="H111" i="11"/>
  <c r="H159" i="11"/>
  <c r="H5" i="11"/>
  <c r="E48" i="12"/>
  <c r="Q48" i="12"/>
  <c r="Q95" i="3"/>
  <c r="E95" i="3"/>
  <c r="P84" i="3"/>
  <c r="P6" i="3"/>
  <c r="P5" i="3"/>
  <c r="L84" i="1"/>
  <c r="L111" i="1"/>
  <c r="L159" i="1"/>
  <c r="P84" i="7"/>
  <c r="P6" i="7"/>
  <c r="P5" i="7"/>
  <c r="D84" i="5"/>
  <c r="E102" i="5"/>
  <c r="Q102" i="5"/>
  <c r="D112" i="1"/>
  <c r="E48" i="9"/>
  <c r="Q48" i="9"/>
  <c r="Q47" i="9"/>
  <c r="E103" i="8"/>
  <c r="Q103" i="8"/>
  <c r="E89" i="8"/>
  <c r="Q89" i="8"/>
  <c r="Q93" i="9"/>
  <c r="E93" i="9"/>
  <c r="E102" i="1"/>
  <c r="Q102" i="1"/>
  <c r="H84" i="7"/>
  <c r="H111" i="7"/>
  <c r="H159" i="7"/>
  <c r="H5" i="7"/>
  <c r="Q90" i="3"/>
  <c r="E90" i="3"/>
  <c r="Q94" i="3"/>
  <c r="E94" i="3"/>
  <c r="L84" i="7"/>
  <c r="L6" i="7"/>
  <c r="L5" i="7"/>
  <c r="Q87" i="11"/>
  <c r="E87" i="11"/>
  <c r="D84" i="12"/>
  <c r="E85" i="12"/>
  <c r="Q85" i="12"/>
  <c r="D84" i="1"/>
  <c r="D6" i="1"/>
  <c r="D5" i="1"/>
  <c r="L84" i="6"/>
  <c r="L6" i="6"/>
  <c r="L5" i="6"/>
  <c r="D84" i="8"/>
  <c r="E98" i="8"/>
  <c r="Q98" i="8"/>
  <c r="Q88" i="3"/>
  <c r="E88" i="3"/>
  <c r="D84" i="3"/>
  <c r="D112" i="3"/>
  <c r="D112" i="9"/>
  <c r="D84" i="9"/>
  <c r="E47" i="9"/>
  <c r="E47" i="11"/>
  <c r="D84" i="11"/>
  <c r="D112" i="11"/>
  <c r="E47" i="10"/>
  <c r="D84" i="10"/>
  <c r="D112" i="10"/>
</calcChain>
</file>

<file path=xl/sharedStrings.xml><?xml version="1.0" encoding="utf-8"?>
<sst xmlns="http://schemas.openxmlformats.org/spreadsheetml/2006/main" count="1421" uniqueCount="174">
  <si>
    <t xml:space="preserve">ΑΝΑΛΥΣΗ ΑΠΟΤΕΛΕΣΜΑΤΟΣ ΜΗΝΟΣ </t>
  </si>
  <si>
    <t>Α</t>
  </si>
  <si>
    <t>Α/Α</t>
  </si>
  <si>
    <t>ΕΙΔΟΣ ΕΣΟΔΩΝ</t>
  </si>
  <si>
    <t xml:space="preserve">Εσοδο Μηνός </t>
  </si>
  <si>
    <t xml:space="preserve">% Εσοδο Γραμμής/Σύν.Εσ.Μηνός </t>
  </si>
  <si>
    <t xml:space="preserve">Προοδευτικό Σύνολο Εσόδων έως σήμερα </t>
  </si>
  <si>
    <t xml:space="preserve">% Προοδ.Σύνολο Κατηγ. Εσ.  /Προοδ.Σύν.Εσ. Έως σήμερα  </t>
  </si>
  <si>
    <t xml:space="preserve">% Εσοδο Γραμμής /Σύν.Εσ.Μηνός </t>
  </si>
  <si>
    <t xml:space="preserve">Προοδευτικό έως σήμερα </t>
  </si>
  <si>
    <t>Εσοδο Μηνός  2024</t>
  </si>
  <si>
    <t xml:space="preserve">Προοδευτικό Σύνολο Εσόδων έως Τρέχοντα μήνα </t>
  </si>
  <si>
    <t xml:space="preserve">Προοδ. Διαφορά Συν. Πραγμ.Τρ. Έτους - Αντιστ. Προοδ. Σύν. Πραγμ. Προηγ. Έτους </t>
  </si>
  <si>
    <t xml:space="preserve">% Προοδ. Διαφορά Κατηγ. Εσ.  / Προοδ.Σύν.Προυπ. Εσ. Τρέχοντος Έτους </t>
  </si>
  <si>
    <t xml:space="preserve">Λογιστικό Αποτέλεσμα μηνός </t>
  </si>
  <si>
    <t xml:space="preserve">Σύνολο Εξόδων Μηνός </t>
  </si>
  <si>
    <t xml:space="preserve">Σύνολο Εσόδων  Μηνός </t>
  </si>
  <si>
    <t>ΣΥΝΟΛΟ ΕΣΟΔΩΝ ΜΗΝΟΣ</t>
  </si>
  <si>
    <t>Ελεγχος Ορθότητας ( πρέπει να είναι 0)</t>
  </si>
  <si>
    <t>Β</t>
  </si>
  <si>
    <t xml:space="preserve">ΚΑΤΗΓΟΡΙΑ ΕΞΟΔΟΥ </t>
  </si>
  <si>
    <t xml:space="preserve">Αμ. Κόστ. Υπηρ. Μηνός </t>
  </si>
  <si>
    <t>% Εξοδο Γραμμής /Σύν.Εξόδων μηνός</t>
  </si>
  <si>
    <t xml:space="preserve">Προοδ Σύν. Κατηγ. Εξόδων έως Σήμερα </t>
  </si>
  <si>
    <t xml:space="preserve">% Προοδ. Σύνολο Κατηγ. Εξ./ Προοδ. Σύνολο Εξόδων Έως σήμερα </t>
  </si>
  <si>
    <t xml:space="preserve">% Κατηγ.Εξ/Σύν.Αμ.Κο.Υπ.μηνός </t>
  </si>
  <si>
    <t xml:space="preserve">Προοδ Σύν. Κατηγ. Εξ έως Σήμερα </t>
  </si>
  <si>
    <t xml:space="preserve">% Προοδ. Σύν. Κατηγ. Εξ/ Προοδ. Σύνολο Εξόδων </t>
  </si>
  <si>
    <t xml:space="preserve">Προοδ. Διαφορά με Προηγ. Έτος ( Τρέχον Έτος - Προηγ. Έτος) </t>
  </si>
  <si>
    <t xml:space="preserve">% Προοδ.Σύν Κατηγ. Εξ. Πρ. Έτους / Προοδ.Σύν.Εξ. Τρέχοντος Έτους </t>
  </si>
  <si>
    <t>A/A</t>
  </si>
  <si>
    <t xml:space="preserve">Αμεσο Κόστος Υπηρεσιών </t>
  </si>
  <si>
    <t xml:space="preserve">Μεικτό περιθώριο Κέρδους </t>
  </si>
  <si>
    <t>Γ</t>
  </si>
  <si>
    <t xml:space="preserve">Εξοδα Sales and Marketing Μηνός </t>
  </si>
  <si>
    <t xml:space="preserve">% Κατηγ.Εξ/Σύν.Κδιάθ.μηνός </t>
  </si>
  <si>
    <t xml:space="preserve">Προοδευτικό Σύνολο Κατηγ. Εξόδων έως Σήμερα </t>
  </si>
  <si>
    <t xml:space="preserve">% Προοδ. Σύν. Κατηγ. Εξ/ Προοδ. Σύνολο Εσόδων </t>
  </si>
  <si>
    <t xml:space="preserve">Εξοδα Μηνός </t>
  </si>
  <si>
    <t xml:space="preserve">% Κατηγ.Εξ/Σύν.Κδιά .μηνός </t>
  </si>
  <si>
    <t xml:space="preserve">% Προοδ.Σύνολο Κατηγ. Εσ. Πρ. Έτους / Προοδ.Σύν.Εσ. Τρέχοντος Έτους </t>
  </si>
  <si>
    <t>ΣΥΝΟΛΟ ΚΟΣΤΟΥΣ Sales-Marketing ΜΗΝΟΣ</t>
  </si>
  <si>
    <t>Δ</t>
  </si>
  <si>
    <t xml:space="preserve">ΣΥΝΟΛΟ ΔΙΟΙΚΗΤΙΚΟΥ ΚΟΣΤΟΥΣ ΜΗΝΟΣ </t>
  </si>
  <si>
    <t xml:space="preserve">Μήνας </t>
  </si>
  <si>
    <t>Ετος</t>
  </si>
  <si>
    <t>Εσοδα 2025</t>
  </si>
  <si>
    <t>Προοδευτικά έσοδα 2025</t>
  </si>
  <si>
    <t xml:space="preserve">Αμεσο Κόστος </t>
  </si>
  <si>
    <t>Προοδευτικό Α.Κ 2025</t>
  </si>
  <si>
    <t xml:space="preserve">Μικτό Κέρδος  μηνός </t>
  </si>
  <si>
    <t>Προοδ. Μικτό Κέρδος 2025</t>
  </si>
  <si>
    <t>Κόστος Πωλήσεων  2025</t>
  </si>
  <si>
    <t>Προοδ.Κόστος Πωλήσεων 2025</t>
  </si>
  <si>
    <t>Διοικητικό Κόστος 2025</t>
  </si>
  <si>
    <t>Προοδ. Διοικ. Κόστος 2025</t>
  </si>
  <si>
    <t xml:space="preserve">Γενικό Σύνολο Εξόδων </t>
  </si>
  <si>
    <t>Λογιστικο Αποτέλεσμα 2025</t>
  </si>
  <si>
    <t>Προοδ. Λογ. Αποτέλεσμα 2025</t>
  </si>
  <si>
    <t>Ιανουάριος</t>
  </si>
  <si>
    <t>Φεβρουάριος</t>
  </si>
  <si>
    <t>Μάρτιος</t>
  </si>
  <si>
    <t>Απρίλιος</t>
  </si>
  <si>
    <t>Μάιος</t>
  </si>
  <si>
    <t>Ιούνιος</t>
  </si>
  <si>
    <t>Ιούλιος</t>
  </si>
  <si>
    <t>Αύγουστος</t>
  </si>
  <si>
    <t>Σεπτέμβριος</t>
  </si>
  <si>
    <t>Οκτώβριος</t>
  </si>
  <si>
    <t>Νοέμβριος</t>
  </si>
  <si>
    <t>Δεκέμβριος</t>
  </si>
  <si>
    <t>Σύνολο</t>
  </si>
  <si>
    <t>ΕΠΑΛΗΘΕΥΣΗ</t>
  </si>
  <si>
    <t xml:space="preserve">Ετος </t>
  </si>
  <si>
    <t>Εσοδα 2024</t>
  </si>
  <si>
    <t>Προοδευτικά έσοδα 2024</t>
  </si>
  <si>
    <t>Αμεσο Κόστος 2024</t>
  </si>
  <si>
    <t>Προοδευτικό Α.Κ 2024</t>
  </si>
  <si>
    <t>Μικτό Κέρδος  μηνός 2024</t>
  </si>
  <si>
    <t>Προοδ. Μικτό Κέρδος 2024</t>
  </si>
  <si>
    <t>Κόστος Πωλήσεων 2024</t>
  </si>
  <si>
    <t>Προοδ.Κόστος Πωλήσεων 2024</t>
  </si>
  <si>
    <t>Διοικητικό Κόστος 2024</t>
  </si>
  <si>
    <t>Προοδ. Διοικ. Κόστος 2024</t>
  </si>
  <si>
    <t>Λογιστικο Αποτέλεσμα 2024</t>
  </si>
  <si>
    <t>Προοδ. Λογ. Αποτέλεσμα 2024</t>
  </si>
  <si>
    <t xml:space="preserve">Κατηγορία Εσόδου </t>
  </si>
  <si>
    <t xml:space="preserve">¨Ετος </t>
  </si>
  <si>
    <t>Ιανουάριος 2025</t>
  </si>
  <si>
    <t>Προοδευτικά Ιαν 2025</t>
  </si>
  <si>
    <t>Φεβρουάριος 2025</t>
  </si>
  <si>
    <t>Προοδευτικά  Φεβρ. 2025</t>
  </si>
  <si>
    <t>Μάρτιος 2025</t>
  </si>
  <si>
    <t>Προοδευτικά Μάρτιος 2025</t>
  </si>
  <si>
    <t>Απρίλιος 2025</t>
  </si>
  <si>
    <t>Προοδευτικά Απρίλιος 2025</t>
  </si>
  <si>
    <t>Μάιος 2025</t>
  </si>
  <si>
    <t>Ιούνιος 2025</t>
  </si>
  <si>
    <t>Προοδευτικά Ιούνιος 2025</t>
  </si>
  <si>
    <t xml:space="preserve">Ιούλιος 2025 </t>
  </si>
  <si>
    <t>Προοδευτικά Ιούλιος 2025</t>
  </si>
  <si>
    <t>Αύγουστος 2025</t>
  </si>
  <si>
    <t>Προοδευτικά Αύγουστος 2025</t>
  </si>
  <si>
    <t>Σεπτέμβριος 2025</t>
  </si>
  <si>
    <t>Προοδευτικά  Σεπτέμβριος 2025</t>
  </si>
  <si>
    <t>Οκτώβριος 2025</t>
  </si>
  <si>
    <t>Προοδευτικά Οκτώβριος 2025</t>
  </si>
  <si>
    <t>Νοέμβριος 2025</t>
  </si>
  <si>
    <t>Προοδευτικά Νοέμβριος 2025</t>
  </si>
  <si>
    <t>Δεκέμβριος 2025</t>
  </si>
  <si>
    <t>Προοδευτικό Σύνολο Δεκεμβρίου 2025</t>
  </si>
  <si>
    <t>Γενικό Σύνολο Μηνών ανά κατηγορία Εσόδου 2025</t>
  </si>
  <si>
    <t xml:space="preserve">Σύνολα </t>
  </si>
  <si>
    <t xml:space="preserve">Επαλήθευση </t>
  </si>
  <si>
    <t>Ιανουάριος 2024</t>
  </si>
  <si>
    <t>Προοδευτικά Ιαν 2024</t>
  </si>
  <si>
    <t>Φεβρουάριος 2024</t>
  </si>
  <si>
    <t>Προοδευτικά  Φεβρ. 2024</t>
  </si>
  <si>
    <t>Μάρτιος 2024</t>
  </si>
  <si>
    <t>Προοδευτικά Μάρτιος 2024</t>
  </si>
  <si>
    <t xml:space="preserve">Απρίλιος 2024 </t>
  </si>
  <si>
    <t>Προοδευτικά Απρίλιος 2024</t>
  </si>
  <si>
    <t>Μάιος 2024</t>
  </si>
  <si>
    <t>Ιούνιος 2024</t>
  </si>
  <si>
    <t>Προοδευτικά Ιούνιος 2024</t>
  </si>
  <si>
    <t xml:space="preserve">Ιούλιος 2024 </t>
  </si>
  <si>
    <t>Προοδευτικά Ιούλιος 2024</t>
  </si>
  <si>
    <t>Αύγουστος 2024</t>
  </si>
  <si>
    <t>Προοδευτικά Αύγουστος 2024</t>
  </si>
  <si>
    <t xml:space="preserve">Σεπτέμβριος 2024 </t>
  </si>
  <si>
    <t>Προοδευτικά  Σεπτέμβριος 2024</t>
  </si>
  <si>
    <t>Οκτώβριος 2024</t>
  </si>
  <si>
    <t>Προοδευτικά Οκτώβριος 2024</t>
  </si>
  <si>
    <t>Νοέμβριος 2024</t>
  </si>
  <si>
    <t>Προοδευτικά Νοέμβριος 2024</t>
  </si>
  <si>
    <t xml:space="preserve">Δεκέμβριος 2024 </t>
  </si>
  <si>
    <t>ΣΥΝΟΛΟ ΕΣΟΔΩΝ</t>
  </si>
  <si>
    <t>Σύγκριση εσόδων να κατηγορία για 2024 - 2025</t>
  </si>
  <si>
    <t>Διαφορα</t>
  </si>
  <si>
    <t>Διαφορα %</t>
  </si>
  <si>
    <t>Σύγκριση εξόδων να κατηγορία για 2024 - 2025</t>
  </si>
  <si>
    <t>Γενικό Σύνολο Μηνών ανά κατηγορία Εξόδου 2025</t>
  </si>
  <si>
    <t>Κατηγορία εξόδου / Άμεσο κόστος υπηρεσιών</t>
  </si>
  <si>
    <t>Κατηγορία εξόδου / Κόστος sales / mareketing</t>
  </si>
  <si>
    <t>Προοδευτικά Μάιος 2025</t>
  </si>
  <si>
    <t>Προοδευτικά Μάιος 2024</t>
  </si>
  <si>
    <t xml:space="preserve">Κατηγορία εξόδου / ΚΟΣΤΟΣ ΔΙΟΙΙΚΗΣΗΣ ΜΗΝΟΣ </t>
  </si>
  <si>
    <t>Απρίλιος 2024</t>
  </si>
  <si>
    <t>Σεπτέμβριος 2024</t>
  </si>
  <si>
    <t>Δεκέμβριος 2024</t>
  </si>
  <si>
    <t>Προοδευτικό Σύνολο Δεκεμβρίου 2024</t>
  </si>
  <si>
    <t>Γενικό Σύνολο Μηνών ανά κατηγορία Εξόδου 2024</t>
  </si>
  <si>
    <t>Εξοδα 2024</t>
  </si>
  <si>
    <t>Εξοδα 2025</t>
  </si>
  <si>
    <t>Σύνολα</t>
  </si>
  <si>
    <t xml:space="preserve">Κατηγορία Εξόδου / Αμεσο Κόστος Υπηρεσιών </t>
  </si>
  <si>
    <t>&lt;- Διαφορά %</t>
  </si>
  <si>
    <t>ΣΥΝΟΛΟ ΕΞΟΔΩΝ</t>
  </si>
  <si>
    <t>Βοηθητικό row</t>
  </si>
  <si>
    <t>Γενικό Σύνολο Μηνών ανά κατηγορία Εσόδου 2024</t>
  </si>
  <si>
    <t>ΑΝΑΛΥΣΗ ΕΤΟΥΣ 2025</t>
  </si>
  <si>
    <t xml:space="preserve">ΠΕΡΙΟΔΟΣ </t>
  </si>
  <si>
    <t xml:space="preserve">Ποσά </t>
  </si>
  <si>
    <t>ΣΥΝΟΛΟ ΑΜΕΣΟΥ ΚΟΣΤΟΥΣ</t>
  </si>
  <si>
    <t xml:space="preserve">Κατηγορία Εξόδου </t>
  </si>
  <si>
    <t>ΚΟΣΤΟΣ Sales - Marketing</t>
  </si>
  <si>
    <t>Ποσά</t>
  </si>
  <si>
    <t xml:space="preserve">ΚΟΣΤΟΣ ΔΙΟΙΚΗΣΗΣ ΜΗΝΟΣ </t>
  </si>
  <si>
    <t>Επαλήθευση</t>
  </si>
  <si>
    <t xml:space="preserve">% Προοδ. Σύν. Κατηγ. Εξ/ Προοδ. Σύνολο ΕΞόδων </t>
  </si>
  <si>
    <t>l</t>
  </si>
  <si>
    <t>ΈΣΟΔΑ</t>
  </si>
  <si>
    <t>ΕΞΟΔΑ 2025</t>
  </si>
  <si>
    <t xml:space="preserve"> ΕΞΟΔΑ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</si>
</sst>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161"/>
      <scheme val="minor"/>
    </font>
    <font>
      <b/>
      <sz val="14"/>
      <name val="Arial"/>
      <family val="2"/>
      <charset val="161"/>
    </font>
    <font>
      <sz val="9"/>
      <name val="Arial"/>
      <family val="2"/>
      <charset val="161"/>
    </font>
    <font>
      <b/>
      <sz val="11"/>
      <name val="Arial"/>
      <family val="2"/>
      <charset val="161"/>
    </font>
    <font>
      <b/>
      <sz val="9"/>
      <name val="Arial"/>
      <family val="2"/>
      <charset val="161"/>
    </font>
    <font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  <charset val="161"/>
    </font>
    <font>
      <sz val="11"/>
      <name val="Arial"/>
      <family val="2"/>
      <charset val="161"/>
    </font>
    <font>
      <sz val="10"/>
      <name val="Arial"/>
      <family val="2"/>
      <charset val="161"/>
    </font>
    <font>
      <sz val="11"/>
      <name val="Aptos Narrow"/>
      <family val="2"/>
      <charset val="161"/>
      <scheme val="minor"/>
    </font>
    <font>
      <sz val="11"/>
      <color theme="1"/>
      <name val="Aptos Narrow"/>
      <family val="2"/>
      <charset val="161"/>
      <scheme val="minor"/>
    </font>
    <font>
      <sz val="13"/>
      <color theme="1"/>
      <name val="Aptos Narrow"/>
      <family val="2"/>
      <charset val="161"/>
      <scheme val="minor"/>
    </font>
    <font>
      <sz val="11"/>
      <color theme="1"/>
      <name val="Arial"/>
      <family val="2"/>
      <charset val="161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  <charset val="161"/>
    </font>
    <font>
      <sz val="10"/>
      <name val="Arial"/>
      <family val="2"/>
    </font>
    <font>
      <sz val="20"/>
      <color theme="1"/>
      <name val="Aptos Narrow"/>
      <family val="2"/>
      <charset val="161"/>
      <scheme val="minor"/>
    </font>
    <font>
      <b/>
      <sz val="20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lightGray">
        <bgColor rgb="FFFFC000"/>
      </patternFill>
    </fill>
    <fill>
      <patternFill patternType="solid">
        <fgColor rgb="FFFFFF00"/>
        <bgColor indexed="64"/>
      </patternFill>
    </fill>
    <fill>
      <patternFill patternType="lightGray"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lightGray">
        <bgColor theme="7" tint="0.79995117038483843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</borders>
  <cellStyleXfs count="5">
    <xf numFmtId="0" fontId="0" fillId="0" borderId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8" fillId="0" borderId="0"/>
    <xf numFmtId="9" fontId="18" fillId="0" borderId="0"/>
  </cellStyleXfs>
  <cellXfs count="192">
    <xf numFmtId="0" fontId="0" fillId="0" borderId="0" xfId="0"/>
    <xf numFmtId="0" fontId="2" fillId="0" borderId="0" xfId="0" applyFont="1" applyAlignment="1">
      <alignment vertical="center"/>
    </xf>
    <xf numFmtId="3" fontId="6" fillId="2" borderId="1" xfId="0" applyNumberFormat="1" applyFont="1" applyFill="1" applyBorder="1" applyAlignment="1">
      <alignment horizontal="left" vertical="center" wrapText="1"/>
    </xf>
    <xf numFmtId="4" fontId="7" fillId="2" borderId="1" xfId="0" applyNumberFormat="1" applyFont="1" applyFill="1" applyBorder="1" applyAlignment="1">
      <alignment horizontal="center" vertical="center" wrapText="1"/>
    </xf>
    <xf numFmtId="4" fontId="7" fillId="3" borderId="1" xfId="0" applyNumberFormat="1" applyFont="1" applyFill="1" applyBorder="1" applyAlignment="1">
      <alignment horizontal="center" vertical="center" wrapText="1"/>
    </xf>
    <xf numFmtId="3" fontId="6" fillId="4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left" vertical="center" wrapText="1"/>
    </xf>
    <xf numFmtId="4" fontId="7" fillId="4" borderId="1" xfId="0" applyNumberFormat="1" applyFont="1" applyFill="1" applyBorder="1" applyAlignment="1">
      <alignment horizontal="center" vertical="center" wrapText="1"/>
    </xf>
    <xf numFmtId="4" fontId="7" fillId="5" borderId="1" xfId="0" applyNumberFormat="1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4" fontId="5" fillId="6" borderId="1" xfId="0" applyNumberFormat="1" applyFont="1" applyFill="1" applyBorder="1" applyAlignment="1">
      <alignment horizontal="center" vertical="center" wrapText="1"/>
    </xf>
    <xf numFmtId="10" fontId="2" fillId="0" borderId="1" xfId="0" applyNumberFormat="1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3" fontId="4" fillId="7" borderId="1" xfId="0" applyNumberFormat="1" applyFont="1" applyFill="1" applyBorder="1" applyAlignment="1">
      <alignment vertical="center"/>
    </xf>
    <xf numFmtId="4" fontId="10" fillId="6" borderId="1" xfId="0" applyNumberFormat="1" applyFont="1" applyFill="1" applyBorder="1" applyAlignment="1">
      <alignment horizontal="center" vertical="center" wrapText="1"/>
    </xf>
    <xf numFmtId="10" fontId="5" fillId="6" borderId="1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center" vertical="center" wrapText="1" shrinkToFit="1"/>
    </xf>
    <xf numFmtId="0" fontId="5" fillId="6" borderId="1" xfId="0" applyFont="1" applyFill="1" applyBorder="1" applyAlignment="1">
      <alignment horizontal="center" vertical="center" wrapText="1"/>
    </xf>
    <xf numFmtId="4" fontId="8" fillId="0" borderId="5" xfId="0" applyNumberFormat="1" applyFont="1" applyBorder="1" applyAlignment="1">
      <alignment horizontal="left" vertical="center" wrapText="1"/>
    </xf>
    <xf numFmtId="3" fontId="7" fillId="4" borderId="1" xfId="0" applyNumberFormat="1" applyFont="1" applyFill="1" applyBorder="1" applyAlignment="1">
      <alignment horizontal="center" vertical="center"/>
    </xf>
    <xf numFmtId="3" fontId="7" fillId="4" borderId="1" xfId="0" applyNumberFormat="1" applyFont="1" applyFill="1" applyBorder="1" applyAlignment="1">
      <alignment vertical="center" wrapText="1"/>
    </xf>
    <xf numFmtId="10" fontId="7" fillId="5" borderId="1" xfId="0" applyNumberFormat="1" applyFont="1" applyFill="1" applyBorder="1" applyAlignment="1">
      <alignment horizontal="center" vertical="center" wrapText="1"/>
    </xf>
    <xf numFmtId="3" fontId="4" fillId="4" borderId="1" xfId="0" applyNumberFormat="1" applyFont="1" applyFill="1" applyBorder="1" applyAlignment="1">
      <alignment vertical="center" wrapText="1"/>
    </xf>
    <xf numFmtId="4" fontId="7" fillId="7" borderId="1" xfId="0" applyNumberFormat="1" applyFont="1" applyFill="1" applyBorder="1" applyAlignment="1">
      <alignment horizontal="center" vertical="center" wrapText="1" shrinkToFit="1"/>
    </xf>
    <xf numFmtId="3" fontId="7" fillId="8" borderId="1" xfId="0" applyNumberFormat="1" applyFont="1" applyFill="1" applyBorder="1" applyAlignment="1">
      <alignment horizontal="center" vertical="center" wrapText="1" shrinkToFit="1"/>
    </xf>
    <xf numFmtId="3" fontId="7" fillId="7" borderId="1" xfId="0" applyNumberFormat="1" applyFont="1" applyFill="1" applyBorder="1" applyAlignment="1">
      <alignment horizontal="center" vertical="center" wrapText="1" shrinkToFit="1"/>
    </xf>
    <xf numFmtId="3" fontId="4" fillId="6" borderId="1" xfId="0" applyNumberFormat="1" applyFont="1" applyFill="1" applyBorder="1" applyAlignment="1">
      <alignment vertical="center" shrinkToFit="1"/>
    </xf>
    <xf numFmtId="0" fontId="5" fillId="6" borderId="1" xfId="0" applyFont="1" applyFill="1" applyBorder="1" applyAlignment="1">
      <alignment vertical="center" wrapText="1"/>
    </xf>
    <xf numFmtId="4" fontId="2" fillId="0" borderId="1" xfId="0" applyNumberFormat="1" applyFont="1" applyBorder="1" applyAlignment="1">
      <alignment vertical="center"/>
    </xf>
    <xf numFmtId="4" fontId="4" fillId="6" borderId="1" xfId="0" applyNumberFormat="1" applyFont="1" applyFill="1" applyBorder="1" applyAlignment="1">
      <alignment horizontal="center" vertical="center" wrapText="1" shrinkToFit="1"/>
    </xf>
    <xf numFmtId="4" fontId="2" fillId="0" borderId="1" xfId="0" applyNumberFormat="1" applyFont="1" applyBorder="1" applyAlignment="1">
      <alignment horizontal="center" vertical="center" wrapText="1"/>
    </xf>
    <xf numFmtId="4" fontId="6" fillId="2" borderId="1" xfId="0" applyNumberFormat="1" applyFont="1" applyFill="1" applyBorder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/>
    <xf numFmtId="4" fontId="0" fillId="0" borderId="1" xfId="0" applyNumberFormat="1" applyBorder="1"/>
    <xf numFmtId="4" fontId="0" fillId="0" borderId="0" xfId="0" applyNumberFormat="1"/>
    <xf numFmtId="4" fontId="0" fillId="0" borderId="6" xfId="0" applyNumberFormat="1" applyBorder="1"/>
    <xf numFmtId="0" fontId="0" fillId="0" borderId="6" xfId="0" applyBorder="1"/>
    <xf numFmtId="0" fontId="8" fillId="0" borderId="7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4" fontId="8" fillId="0" borderId="7" xfId="0" applyNumberFormat="1" applyFont="1" applyBorder="1" applyAlignment="1">
      <alignment horizontal="left" vertical="center" wrapText="1"/>
    </xf>
    <xf numFmtId="4" fontId="0" fillId="0" borderId="8" xfId="0" applyNumberFormat="1" applyBorder="1"/>
    <xf numFmtId="0" fontId="8" fillId="0" borderId="1" xfId="0" applyFont="1" applyBorder="1" applyAlignment="1">
      <alignment horizontal="left" vertical="center" wrapText="1"/>
    </xf>
    <xf numFmtId="3" fontId="8" fillId="6" borderId="1" xfId="0" applyNumberFormat="1" applyFont="1" applyFill="1" applyBorder="1" applyAlignment="1">
      <alignment vertical="center" wrapText="1"/>
    </xf>
    <xf numFmtId="3" fontId="8" fillId="0" borderId="1" xfId="0" applyNumberFormat="1" applyFont="1" applyBorder="1" applyAlignment="1">
      <alignment horizontal="left" vertical="center" wrapText="1"/>
    </xf>
    <xf numFmtId="0" fontId="11" fillId="9" borderId="0" xfId="1"/>
    <xf numFmtId="0" fontId="11" fillId="10" borderId="1" xfId="2" applyBorder="1"/>
    <xf numFmtId="0" fontId="11" fillId="10" borderId="1" xfId="2" quotePrefix="1" applyBorder="1"/>
    <xf numFmtId="0" fontId="11" fillId="10" borderId="5" xfId="2" applyBorder="1" applyAlignment="1">
      <alignment horizontal="left" vertical="center" wrapText="1"/>
    </xf>
    <xf numFmtId="0" fontId="11" fillId="10" borderId="1" xfId="2" applyBorder="1" applyAlignment="1">
      <alignment horizontal="left" vertical="center" wrapText="1"/>
    </xf>
    <xf numFmtId="3" fontId="8" fillId="0" borderId="9" xfId="0" applyNumberFormat="1" applyFont="1" applyBorder="1" applyAlignment="1">
      <alignment horizontal="left" vertical="center" wrapText="1"/>
    </xf>
    <xf numFmtId="0" fontId="12" fillId="10" borderId="1" xfId="2" applyFont="1" applyBorder="1"/>
    <xf numFmtId="0" fontId="0" fillId="0" borderId="8" xfId="0" applyBorder="1"/>
    <xf numFmtId="3" fontId="0" fillId="0" borderId="0" xfId="0" applyNumberFormat="1"/>
    <xf numFmtId="0" fontId="0" fillId="0" borderId="4" xfId="0" applyBorder="1"/>
    <xf numFmtId="1" fontId="13" fillId="11" borderId="1" xfId="0" applyNumberFormat="1" applyFont="1" applyFill="1" applyBorder="1" applyAlignment="1">
      <alignment horizontal="center" vertical="center"/>
    </xf>
    <xf numFmtId="1" fontId="14" fillId="11" borderId="1" xfId="0" applyNumberFormat="1" applyFont="1" applyFill="1" applyBorder="1" applyAlignment="1">
      <alignment horizontal="center" vertical="center"/>
    </xf>
    <xf numFmtId="3" fontId="8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1" fontId="16" fillId="4" borderId="1" xfId="0" applyNumberFormat="1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vertical="center" wrapText="1"/>
    </xf>
    <xf numFmtId="3" fontId="8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" fontId="2" fillId="6" borderId="1" xfId="0" applyNumberFormat="1" applyFont="1" applyFill="1" applyBorder="1" applyAlignment="1">
      <alignment horizontal="center" vertical="center"/>
    </xf>
    <xf numFmtId="3" fontId="3" fillId="12" borderId="1" xfId="0" applyNumberFormat="1" applyFont="1" applyFill="1" applyBorder="1" applyAlignment="1">
      <alignment horizontal="center" vertical="center"/>
    </xf>
    <xf numFmtId="3" fontId="1" fillId="4" borderId="1" xfId="0" applyNumberFormat="1" applyFont="1" applyFill="1" applyBorder="1" applyAlignment="1">
      <alignment horizontal="center" vertical="center"/>
    </xf>
    <xf numFmtId="3" fontId="8" fillId="0" borderId="1" xfId="0" quotePrefix="1" applyNumberFormat="1" applyFont="1" applyBorder="1" applyAlignment="1">
      <alignment horizontal="left" vertical="center" wrapText="1"/>
    </xf>
    <xf numFmtId="3" fontId="8" fillId="0" borderId="1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horizontal="left" vertical="center" wrapText="1"/>
    </xf>
    <xf numFmtId="3" fontId="8" fillId="6" borderId="1" xfId="0" applyNumberFormat="1" applyFont="1" applyFill="1" applyBorder="1" applyAlignment="1">
      <alignment horizontal="left" vertical="center" wrapText="1"/>
    </xf>
    <xf numFmtId="3" fontId="3" fillId="4" borderId="1" xfId="0" applyNumberFormat="1" applyFont="1" applyFill="1" applyBorder="1" applyAlignment="1">
      <alignment vertical="center" wrapText="1"/>
    </xf>
    <xf numFmtId="3" fontId="3" fillId="7" borderId="1" xfId="0" applyNumberFormat="1" applyFont="1" applyFill="1" applyBorder="1" applyAlignment="1">
      <alignment horizontal="center" vertical="center"/>
    </xf>
    <xf numFmtId="4" fontId="7" fillId="4" borderId="1" xfId="0" applyNumberFormat="1" applyFont="1" applyFill="1" applyBorder="1" applyAlignment="1">
      <alignment horizontal="center" vertical="center" wrapText="1" shrinkToFit="1"/>
    </xf>
    <xf numFmtId="1" fontId="15" fillId="11" borderId="1" xfId="0" applyNumberFormat="1" applyFont="1" applyFill="1" applyBorder="1" applyAlignment="1">
      <alignment horizontal="center" vertical="center"/>
    </xf>
    <xf numFmtId="4" fontId="9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4" fontId="8" fillId="6" borderId="1" xfId="0" applyNumberFormat="1" applyFont="1" applyFill="1" applyBorder="1" applyAlignment="1">
      <alignment horizontal="center" vertical="center" wrapText="1"/>
    </xf>
    <xf numFmtId="3" fontId="8" fillId="0" borderId="1" xfId="0" applyNumberFormat="1" applyFont="1" applyBorder="1" applyAlignment="1">
      <alignment vertical="center" wrapText="1"/>
    </xf>
    <xf numFmtId="10" fontId="5" fillId="0" borderId="1" xfId="0" applyNumberFormat="1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left" vertical="center"/>
    </xf>
    <xf numFmtId="1" fontId="17" fillId="11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 wrapText="1"/>
    </xf>
    <xf numFmtId="0" fontId="2" fillId="0" borderId="0" xfId="3" applyFont="1" applyAlignment="1">
      <alignment vertical="center"/>
    </xf>
    <xf numFmtId="3" fontId="2" fillId="0" borderId="0" xfId="3" applyNumberFormat="1" applyFont="1" applyAlignment="1">
      <alignment vertical="center"/>
    </xf>
    <xf numFmtId="3" fontId="2" fillId="0" borderId="0" xfId="3" applyNumberFormat="1" applyFont="1" applyAlignment="1">
      <alignment horizontal="center" vertical="center"/>
    </xf>
    <xf numFmtId="0" fontId="18" fillId="0" borderId="0" xfId="3"/>
    <xf numFmtId="4" fontId="7" fillId="3" borderId="1" xfId="3" applyNumberFormat="1" applyFont="1" applyFill="1" applyBorder="1" applyAlignment="1">
      <alignment horizontal="center" vertical="center" wrapText="1"/>
    </xf>
    <xf numFmtId="4" fontId="6" fillId="2" borderId="1" xfId="3" applyNumberFormat="1" applyFont="1" applyFill="1" applyBorder="1" applyAlignment="1">
      <alignment horizontal="center" vertical="center" wrapText="1"/>
    </xf>
    <xf numFmtId="3" fontId="6" fillId="2" borderId="1" xfId="3" applyNumberFormat="1" applyFont="1" applyFill="1" applyBorder="1" applyAlignment="1">
      <alignment horizontal="left" vertical="center" wrapText="1"/>
    </xf>
    <xf numFmtId="3" fontId="3" fillId="2" borderId="1" xfId="3" applyNumberFormat="1" applyFont="1" applyFill="1" applyBorder="1" applyAlignment="1">
      <alignment horizontal="center" vertical="center" wrapText="1"/>
    </xf>
    <xf numFmtId="4" fontId="7" fillId="5" borderId="1" xfId="3" applyNumberFormat="1" applyFont="1" applyFill="1" applyBorder="1" applyAlignment="1">
      <alignment horizontal="center" vertical="center" wrapText="1"/>
    </xf>
    <xf numFmtId="4" fontId="7" fillId="4" borderId="1" xfId="3" applyNumberFormat="1" applyFont="1" applyFill="1" applyBorder="1" applyAlignment="1">
      <alignment horizontal="center" vertical="center" wrapText="1"/>
    </xf>
    <xf numFmtId="3" fontId="6" fillId="4" borderId="1" xfId="3" applyNumberFormat="1" applyFont="1" applyFill="1" applyBorder="1" applyAlignment="1">
      <alignment horizontal="left" vertical="center" wrapText="1"/>
    </xf>
    <xf numFmtId="3" fontId="3" fillId="4" borderId="1" xfId="3" applyNumberFormat="1" applyFont="1" applyFill="1" applyBorder="1" applyAlignment="1">
      <alignment horizontal="center" vertical="center" wrapText="1"/>
    </xf>
    <xf numFmtId="4" fontId="2" fillId="0" borderId="1" xfId="3" applyNumberFormat="1" applyFont="1" applyBorder="1" applyAlignment="1">
      <alignment horizontal="center" vertical="center" wrapText="1"/>
    </xf>
    <xf numFmtId="4" fontId="5" fillId="6" borderId="1" xfId="3" applyNumberFormat="1" applyFont="1" applyFill="1" applyBorder="1" applyAlignment="1">
      <alignment horizontal="center" vertical="center" wrapText="1"/>
    </xf>
    <xf numFmtId="10" fontId="5" fillId="6" borderId="1" xfId="3" applyNumberFormat="1" applyFont="1" applyFill="1" applyBorder="1" applyAlignment="1">
      <alignment horizontal="center" vertical="center" wrapText="1"/>
    </xf>
    <xf numFmtId="4" fontId="10" fillId="6" borderId="1" xfId="3" applyNumberFormat="1" applyFont="1" applyFill="1" applyBorder="1" applyAlignment="1">
      <alignment horizontal="center" vertical="center" wrapText="1"/>
    </xf>
    <xf numFmtId="4" fontId="4" fillId="6" borderId="1" xfId="3" applyNumberFormat="1" applyFont="1" applyFill="1" applyBorder="1" applyAlignment="1">
      <alignment horizontal="center" vertical="center" wrapText="1" shrinkToFit="1"/>
    </xf>
    <xf numFmtId="3" fontId="8" fillId="0" borderId="1" xfId="3" applyNumberFormat="1" applyFont="1" applyBorder="1" applyAlignment="1">
      <alignment horizontal="left" vertical="center" wrapText="1"/>
    </xf>
    <xf numFmtId="0" fontId="8" fillId="0" borderId="1" xfId="3" applyFont="1" applyBorder="1" applyAlignment="1">
      <alignment horizontal="center" vertical="center"/>
    </xf>
    <xf numFmtId="3" fontId="8" fillId="0" borderId="1" xfId="3" applyNumberFormat="1" applyFont="1" applyBorder="1" applyAlignment="1">
      <alignment vertical="center"/>
    </xf>
    <xf numFmtId="4" fontId="8" fillId="0" borderId="1" xfId="3" applyNumberFormat="1" applyFont="1" applyBorder="1" applyAlignment="1">
      <alignment horizontal="left" vertical="center" wrapText="1"/>
    </xf>
    <xf numFmtId="0" fontId="18" fillId="0" borderId="0" xfId="3" quotePrefix="1"/>
    <xf numFmtId="3" fontId="8" fillId="0" borderId="1" xfId="3" quotePrefix="1" applyNumberFormat="1" applyFont="1" applyBorder="1" applyAlignment="1">
      <alignment horizontal="left" vertical="center" wrapText="1"/>
    </xf>
    <xf numFmtId="0" fontId="8" fillId="0" borderId="1" xfId="3" applyFont="1" applyBorder="1" applyAlignment="1">
      <alignment horizontal="left" vertical="center" wrapText="1"/>
    </xf>
    <xf numFmtId="3" fontId="7" fillId="4" borderId="1" xfId="3" applyNumberFormat="1" applyFont="1" applyFill="1" applyBorder="1" applyAlignment="1">
      <alignment horizontal="center" vertical="center"/>
    </xf>
    <xf numFmtId="3" fontId="3" fillId="4" borderId="1" xfId="3" applyNumberFormat="1" applyFont="1" applyFill="1" applyBorder="1" applyAlignment="1">
      <alignment horizontal="center" vertical="center"/>
    </xf>
    <xf numFmtId="0" fontId="5" fillId="12" borderId="1" xfId="3" applyFont="1" applyFill="1" applyBorder="1" applyAlignment="1">
      <alignment vertical="center" wrapText="1"/>
    </xf>
    <xf numFmtId="0" fontId="3" fillId="12" borderId="1" xfId="3" applyFont="1" applyFill="1" applyBorder="1" applyAlignment="1">
      <alignment horizontal="center" vertical="center" wrapText="1"/>
    </xf>
    <xf numFmtId="3" fontId="3" fillId="12" borderId="1" xfId="3" applyNumberFormat="1" applyFont="1" applyFill="1" applyBorder="1" applyAlignment="1">
      <alignment horizontal="center" vertical="center"/>
    </xf>
    <xf numFmtId="1" fontId="16" fillId="4" borderId="1" xfId="3" applyNumberFormat="1" applyFont="1" applyFill="1" applyBorder="1" applyAlignment="1">
      <alignment horizontal="center" vertical="center" wrapText="1"/>
    </xf>
    <xf numFmtId="3" fontId="6" fillId="4" borderId="1" xfId="3" applyNumberFormat="1" applyFont="1" applyFill="1" applyBorder="1" applyAlignment="1">
      <alignment horizontal="center" vertical="center"/>
    </xf>
    <xf numFmtId="1" fontId="15" fillId="11" borderId="1" xfId="3" applyNumberFormat="1" applyFont="1" applyFill="1" applyBorder="1" applyAlignment="1">
      <alignment horizontal="center" vertical="center"/>
    </xf>
    <xf numFmtId="1" fontId="17" fillId="11" borderId="1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vertical="center" wrapText="1"/>
    </xf>
    <xf numFmtId="3" fontId="7" fillId="4" borderId="1" xfId="3" applyNumberFormat="1" applyFont="1" applyFill="1" applyBorder="1" applyAlignment="1">
      <alignment vertical="center" wrapText="1"/>
    </xf>
    <xf numFmtId="4" fontId="2" fillId="0" borderId="1" xfId="3" applyNumberFormat="1" applyFont="1" applyBorder="1" applyAlignment="1">
      <alignment vertical="center"/>
    </xf>
    <xf numFmtId="10" fontId="5" fillId="0" borderId="1" xfId="3" applyNumberFormat="1" applyFont="1" applyBorder="1" applyAlignment="1">
      <alignment horizontal="center" vertical="center"/>
    </xf>
    <xf numFmtId="4" fontId="9" fillId="6" borderId="1" xfId="3" applyNumberFormat="1" applyFont="1" applyFill="1" applyBorder="1" applyAlignment="1">
      <alignment horizontal="center" vertical="center" wrapText="1"/>
    </xf>
    <xf numFmtId="10" fontId="2" fillId="0" borderId="1" xfId="3" applyNumberFormat="1" applyFont="1" applyBorder="1" applyAlignment="1">
      <alignment horizontal="center" vertical="center"/>
    </xf>
    <xf numFmtId="4" fontId="2" fillId="0" borderId="1" xfId="3" applyNumberFormat="1" applyFont="1" applyBorder="1" applyAlignment="1">
      <alignment horizontal="center" vertical="center"/>
    </xf>
    <xf numFmtId="3" fontId="8" fillId="0" borderId="1" xfId="3" applyNumberFormat="1" applyFont="1" applyBorder="1" applyAlignment="1">
      <alignment horizontal="left" vertical="center"/>
    </xf>
    <xf numFmtId="3" fontId="8" fillId="0" borderId="1" xfId="3" applyNumberFormat="1" applyFont="1" applyBorder="1" applyAlignment="1">
      <alignment vertical="center" wrapText="1"/>
    </xf>
    <xf numFmtId="0" fontId="5" fillId="6" borderId="1" xfId="3" applyFont="1" applyFill="1" applyBorder="1" applyAlignment="1">
      <alignment vertical="center" wrapText="1"/>
    </xf>
    <xf numFmtId="3" fontId="4" fillId="6" borderId="1" xfId="3" applyNumberFormat="1" applyFont="1" applyFill="1" applyBorder="1" applyAlignment="1">
      <alignment vertical="center" shrinkToFit="1"/>
    </xf>
    <xf numFmtId="3" fontId="8" fillId="6" borderId="1" xfId="3" applyNumberFormat="1" applyFont="1" applyFill="1" applyBorder="1" applyAlignment="1">
      <alignment vertical="center" wrapText="1"/>
    </xf>
    <xf numFmtId="4" fontId="8" fillId="6" borderId="1" xfId="3" applyNumberFormat="1" applyFont="1" applyFill="1" applyBorder="1" applyAlignment="1">
      <alignment horizontal="center" vertical="center" wrapText="1"/>
    </xf>
    <xf numFmtId="0" fontId="8" fillId="0" borderId="1" xfId="3" applyFont="1" applyBorder="1" applyAlignment="1">
      <alignment vertical="center"/>
    </xf>
    <xf numFmtId="3" fontId="3" fillId="4" borderId="1" xfId="3" applyNumberFormat="1" applyFont="1" applyFill="1" applyBorder="1" applyAlignment="1">
      <alignment vertical="center" wrapText="1"/>
    </xf>
    <xf numFmtId="3" fontId="7" fillId="8" borderId="1" xfId="3" applyNumberFormat="1" applyFont="1" applyFill="1" applyBorder="1" applyAlignment="1">
      <alignment horizontal="center" vertical="center" wrapText="1" shrinkToFit="1"/>
    </xf>
    <xf numFmtId="4" fontId="7" fillId="7" borderId="1" xfId="3" applyNumberFormat="1" applyFont="1" applyFill="1" applyBorder="1" applyAlignment="1">
      <alignment horizontal="center" vertical="center" wrapText="1" shrinkToFit="1"/>
    </xf>
    <xf numFmtId="4" fontId="7" fillId="4" borderId="1" xfId="3" applyNumberFormat="1" applyFont="1" applyFill="1" applyBorder="1" applyAlignment="1">
      <alignment horizontal="center" vertical="center" wrapText="1" shrinkToFit="1"/>
    </xf>
    <xf numFmtId="3" fontId="7" fillId="7" borderId="1" xfId="3" applyNumberFormat="1" applyFont="1" applyFill="1" applyBorder="1" applyAlignment="1">
      <alignment horizontal="center" vertical="center" wrapText="1" shrinkToFit="1"/>
    </xf>
    <xf numFmtId="3" fontId="4" fillId="7" borderId="1" xfId="3" applyNumberFormat="1" applyFont="1" applyFill="1" applyBorder="1" applyAlignment="1">
      <alignment vertical="center"/>
    </xf>
    <xf numFmtId="3" fontId="3" fillId="7" borderId="1" xfId="3" applyNumberFormat="1" applyFont="1" applyFill="1" applyBorder="1" applyAlignment="1">
      <alignment horizontal="center" vertical="center"/>
    </xf>
    <xf numFmtId="10" fontId="7" fillId="5" borderId="1" xfId="3" applyNumberFormat="1" applyFont="1" applyFill="1" applyBorder="1" applyAlignment="1">
      <alignment horizontal="center" vertical="center" wrapText="1"/>
    </xf>
    <xf numFmtId="0" fontId="5" fillId="6" borderId="1" xfId="3" applyFont="1" applyFill="1" applyBorder="1" applyAlignment="1">
      <alignment horizontal="center" vertical="center" wrapText="1"/>
    </xf>
    <xf numFmtId="3" fontId="4" fillId="6" borderId="1" xfId="3" applyNumberFormat="1" applyFont="1" applyFill="1" applyBorder="1" applyAlignment="1">
      <alignment horizontal="center" vertical="center" wrapText="1" shrinkToFit="1"/>
    </xf>
    <xf numFmtId="3" fontId="8" fillId="6" borderId="1" xfId="3" applyNumberFormat="1" applyFont="1" applyFill="1" applyBorder="1" applyAlignment="1">
      <alignment horizontal="left" vertical="center" wrapText="1"/>
    </xf>
    <xf numFmtId="3" fontId="1" fillId="4" borderId="1" xfId="3" applyNumberFormat="1" applyFont="1" applyFill="1" applyBorder="1" applyAlignment="1">
      <alignment horizontal="center" vertical="center"/>
    </xf>
    <xf numFmtId="1" fontId="14" fillId="11" borderId="1" xfId="3" applyNumberFormat="1" applyFont="1" applyFill="1" applyBorder="1" applyAlignment="1">
      <alignment horizontal="center" vertical="center"/>
    </xf>
    <xf numFmtId="4" fontId="2" fillId="6" borderId="1" xfId="3" applyNumberFormat="1" applyFont="1" applyFill="1" applyBorder="1" applyAlignment="1">
      <alignment horizontal="center" vertical="center"/>
    </xf>
    <xf numFmtId="4" fontId="7" fillId="2" borderId="1" xfId="3" applyNumberFormat="1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horizontal="center" vertical="center" wrapText="1"/>
    </xf>
    <xf numFmtId="3" fontId="3" fillId="2" borderId="1" xfId="3" applyNumberFormat="1" applyFont="1" applyFill="1" applyBorder="1" applyAlignment="1">
      <alignment horizontal="center" vertical="center"/>
    </xf>
    <xf numFmtId="3" fontId="8" fillId="2" borderId="1" xfId="3" applyNumberFormat="1" applyFont="1" applyFill="1" applyBorder="1" applyAlignment="1">
      <alignment horizontal="center" vertical="center"/>
    </xf>
    <xf numFmtId="3" fontId="8" fillId="4" borderId="1" xfId="3" applyNumberFormat="1" applyFont="1" applyFill="1" applyBorder="1" applyAlignment="1">
      <alignment horizontal="center" vertical="center"/>
    </xf>
    <xf numFmtId="1" fontId="13" fillId="11" borderId="1" xfId="3" applyNumberFormat="1" applyFont="1" applyFill="1" applyBorder="1" applyAlignment="1">
      <alignment horizontal="center" vertical="center"/>
    </xf>
    <xf numFmtId="0" fontId="2" fillId="0" borderId="1" xfId="3" applyFont="1" applyBorder="1" applyAlignment="1">
      <alignment vertical="center"/>
    </xf>
    <xf numFmtId="0" fontId="0" fillId="0" borderId="2" xfId="0" applyBorder="1"/>
    <xf numFmtId="0" fontId="0" fillId="0" borderId="10" xfId="0" applyBorder="1"/>
    <xf numFmtId="4" fontId="0" fillId="0" borderId="10" xfId="0" applyNumberFormat="1" applyBorder="1"/>
    <xf numFmtId="3" fontId="8" fillId="0" borderId="8" xfId="0" applyNumberFormat="1" applyFont="1" applyBorder="1" applyAlignment="1">
      <alignment horizontal="left" vertical="center" wrapText="1"/>
    </xf>
    <xf numFmtId="0" fontId="0" fillId="0" borderId="0" xfId="0" quotePrefix="1"/>
    <xf numFmtId="4" fontId="7" fillId="6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12" fillId="10" borderId="8" xfId="2" applyFont="1" applyBorder="1"/>
    <xf numFmtId="3" fontId="0" fillId="0" borderId="6" xfId="0" applyNumberFormat="1" applyBorder="1"/>
    <xf numFmtId="0" fontId="19" fillId="13" borderId="0" xfId="0" applyFont="1" applyFill="1"/>
    <xf numFmtId="0" fontId="11" fillId="2" borderId="0" xfId="1" applyFill="1"/>
    <xf numFmtId="0" fontId="20" fillId="2" borderId="0" xfId="1" applyFont="1" applyFill="1"/>
    <xf numFmtId="0" fontId="0" fillId="14" borderId="0" xfId="0" applyFill="1"/>
    <xf numFmtId="0" fontId="20" fillId="14" borderId="0" xfId="0" applyFont="1" applyFill="1"/>
    <xf numFmtId="0" fontId="0" fillId="11" borderId="1" xfId="0" applyFill="1" applyBorder="1"/>
    <xf numFmtId="4" fontId="0" fillId="11" borderId="1" xfId="0" applyNumberFormat="1" applyFill="1" applyBorder="1"/>
    <xf numFmtId="4" fontId="0" fillId="11" borderId="0" xfId="0" applyNumberFormat="1" applyFill="1"/>
    <xf numFmtId="0" fontId="0" fillId="11" borderId="0" xfId="0" applyFill="1"/>
    <xf numFmtId="4" fontId="0" fillId="11" borderId="8" xfId="0" applyNumberFormat="1" applyFill="1" applyBorder="1"/>
    <xf numFmtId="4" fontId="0" fillId="11" borderId="10" xfId="0" applyNumberFormat="1" applyFill="1" applyBorder="1"/>
    <xf numFmtId="0" fontId="12" fillId="15" borderId="1" xfId="2" applyFont="1" applyFill="1" applyBorder="1"/>
    <xf numFmtId="0" fontId="0" fillId="2" borderId="0" xfId="0" applyFill="1"/>
    <xf numFmtId="3" fontId="16" fillId="4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3" fontId="15" fillId="11" borderId="1" xfId="0" applyNumberFormat="1" applyFont="1" applyFill="1" applyBorder="1" applyAlignment="1">
      <alignment horizontal="center" vertical="center" wrapText="1"/>
    </xf>
    <xf numFmtId="1" fontId="15" fillId="11" borderId="1" xfId="0" applyNumberFormat="1" applyFont="1" applyFill="1" applyBorder="1" applyAlignment="1">
      <alignment horizontal="center" vertical="center" wrapText="1"/>
    </xf>
    <xf numFmtId="3" fontId="15" fillId="11" borderId="1" xfId="3" applyNumberFormat="1" applyFont="1" applyFill="1" applyBorder="1" applyAlignment="1">
      <alignment horizontal="center" vertical="center" wrapText="1"/>
    </xf>
    <xf numFmtId="1" fontId="15" fillId="11" borderId="1" xfId="3" applyNumberFormat="1" applyFont="1" applyFill="1" applyBorder="1" applyAlignment="1">
      <alignment horizontal="center" vertical="center" wrapText="1"/>
    </xf>
    <xf numFmtId="3" fontId="16" fillId="4" borderId="1" xfId="3" applyNumberFormat="1" applyFont="1" applyFill="1" applyBorder="1" applyAlignment="1">
      <alignment horizontal="center" vertical="center" wrapText="1"/>
    </xf>
    <xf numFmtId="0" fontId="1" fillId="0" borderId="1" xfId="3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</cellXfs>
  <cellStyles count="5">
    <cellStyle name="40% - Accent3" xfId="2" builtinId="39"/>
    <cellStyle name="60% - Accent1" xfId="1" builtinId="32"/>
    <cellStyle name="Normal" xfId="0" builtinId="0"/>
    <cellStyle name="Normal 2" xfId="3" xr:uid="{2BE3EB7E-9C26-40F2-A29E-741F4CE51967}"/>
    <cellStyle name="Percent 2" xfId="4" xr:uid="{FFB23560-1C72-44A2-98CE-89753A2998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isp\SBSFC\COMBINED_PH1PH2\template_phase_2_cleaned.xlsx" TargetMode="External"/><Relationship Id="rId1" Type="http://schemas.openxmlformats.org/officeDocument/2006/relationships/externalLinkPath" Target="template_phase_2_clean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ΠΡΟΥΠΟΛΟΓΙΣΜΟΣ_ΕΞΟΔΑ"/>
      <sheetName val="2025_ΕΣΟΔΑ"/>
      <sheetName val="2025_60-69 ΕΞΟΔΑ+ΟΜ 2"/>
      <sheetName val="2024_60-69 ΕΞΟΔΑ+ΟΜ 2"/>
      <sheetName val="ΠΡΟΥΠΟΛΟΓΙΣΜΟΣ_ΕΣΟΔΑ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Sheet1"/>
      <sheetName val="ΑΝΤΙΣΤΟΙΧΙΣΗ"/>
    </sheetNames>
    <sheetDataSet>
      <sheetData sheetId="0"/>
      <sheetData sheetId="1">
        <row r="2">
          <cell r="C2">
            <v>19279.13</v>
          </cell>
          <cell r="D2">
            <v>19216.580000000002</v>
          </cell>
          <cell r="E2">
            <v>27450.501769911501</v>
          </cell>
          <cell r="F2">
            <v>60725.5</v>
          </cell>
          <cell r="G2">
            <v>64639.62</v>
          </cell>
        </row>
        <row r="3"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44.25</v>
          </cell>
        </row>
        <row r="4"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</row>
        <row r="5">
          <cell r="C5">
            <v>1388.93</v>
          </cell>
          <cell r="D5">
            <v>1411.53442477876</v>
          </cell>
          <cell r="E5">
            <v>2656.6371681415922</v>
          </cell>
          <cell r="F5">
            <v>3250.4424778761049</v>
          </cell>
          <cell r="G5">
            <v>4452.21</v>
          </cell>
        </row>
        <row r="6">
          <cell r="C6">
            <v>0</v>
          </cell>
          <cell r="D6">
            <v>1638.42</v>
          </cell>
          <cell r="E6">
            <v>0</v>
          </cell>
          <cell r="F6">
            <v>0</v>
          </cell>
          <cell r="G6">
            <v>587.21</v>
          </cell>
        </row>
        <row r="7">
          <cell r="C7">
            <v>0</v>
          </cell>
          <cell r="D7">
            <v>251.43</v>
          </cell>
          <cell r="E7">
            <v>354.56</v>
          </cell>
          <cell r="F7">
            <v>837.22</v>
          </cell>
          <cell r="G7">
            <v>1883.5</v>
          </cell>
        </row>
        <row r="8">
          <cell r="C8">
            <v>100</v>
          </cell>
          <cell r="D8">
            <v>100</v>
          </cell>
          <cell r="E8">
            <v>100</v>
          </cell>
          <cell r="F8">
            <v>100</v>
          </cell>
          <cell r="G8">
            <v>100</v>
          </cell>
        </row>
        <row r="9">
          <cell r="C9">
            <v>68.550000000000011</v>
          </cell>
          <cell r="D9">
            <v>29.03</v>
          </cell>
          <cell r="E9">
            <v>173.38</v>
          </cell>
          <cell r="F9">
            <v>339.56</v>
          </cell>
          <cell r="G9">
            <v>564.57000000000005</v>
          </cell>
        </row>
        <row r="10">
          <cell r="C10">
            <v>16.12</v>
          </cell>
          <cell r="D10">
            <v>20.16</v>
          </cell>
          <cell r="E10">
            <v>56.45</v>
          </cell>
          <cell r="F10">
            <v>284.66000000000003</v>
          </cell>
          <cell r="G10">
            <v>295.89999999999992</v>
          </cell>
        </row>
        <row r="11">
          <cell r="C11">
            <v>0</v>
          </cell>
          <cell r="D11">
            <v>0</v>
          </cell>
          <cell r="E11">
            <v>464.6</v>
          </cell>
          <cell r="F11">
            <v>0</v>
          </cell>
          <cell r="G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</row>
        <row r="15">
          <cell r="C15">
            <v>0</v>
          </cell>
          <cell r="D15">
            <v>0</v>
          </cell>
          <cell r="E15">
            <v>230.09</v>
          </cell>
          <cell r="F15">
            <v>1274.3399999999999</v>
          </cell>
          <cell r="G15">
            <v>1725.63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</row>
        <row r="17">
          <cell r="C17">
            <v>0</v>
          </cell>
          <cell r="D17">
            <v>0</v>
          </cell>
          <cell r="E17">
            <v>495.58</v>
          </cell>
          <cell r="F17">
            <v>0</v>
          </cell>
          <cell r="G17">
            <v>0</v>
          </cell>
        </row>
        <row r="18">
          <cell r="C18">
            <v>0</v>
          </cell>
        </row>
        <row r="19">
          <cell r="C19">
            <v>0</v>
          </cell>
        </row>
        <row r="20">
          <cell r="C20">
            <v>0</v>
          </cell>
        </row>
        <row r="21">
          <cell r="C21">
            <v>0</v>
          </cell>
        </row>
        <row r="22">
          <cell r="C22">
            <v>0</v>
          </cell>
          <cell r="D22">
            <v>14.25</v>
          </cell>
          <cell r="E22">
            <v>0</v>
          </cell>
          <cell r="F22">
            <v>93.63</v>
          </cell>
          <cell r="G22">
            <v>142.82</v>
          </cell>
        </row>
        <row r="23">
          <cell r="C23">
            <v>0</v>
          </cell>
        </row>
        <row r="24">
          <cell r="C24">
            <v>4</v>
          </cell>
          <cell r="D24">
            <v>0</v>
          </cell>
          <cell r="E24">
            <v>100</v>
          </cell>
          <cell r="F24">
            <v>64.680000000000007</v>
          </cell>
          <cell r="G24">
            <v>95.75</v>
          </cell>
        </row>
        <row r="25">
          <cell r="C25">
            <v>-102.83</v>
          </cell>
          <cell r="D25">
            <v>-102.63</v>
          </cell>
          <cell r="E25">
            <v>-149.79</v>
          </cell>
          <cell r="F25">
            <v>-412.28</v>
          </cell>
          <cell r="G25">
            <v>-514.33000000000004</v>
          </cell>
        </row>
        <row r="26">
          <cell r="C26">
            <v>0</v>
          </cell>
          <cell r="D26">
            <v>0</v>
          </cell>
          <cell r="E26">
            <v>0</v>
          </cell>
          <cell r="G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G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</row>
        <row r="34">
          <cell r="C34" t="str">
            <v>Ιανουάριος</v>
          </cell>
          <cell r="D34" t="str">
            <v>Φεβρουάριος</v>
          </cell>
          <cell r="E34" t="str">
            <v>Μάρτιος</v>
          </cell>
          <cell r="F34" t="str">
            <v>Απρίλιος</v>
          </cell>
          <cell r="G34" t="str">
            <v>Μάιος</v>
          </cell>
          <cell r="H34" t="str">
            <v>Ιούνιος</v>
          </cell>
          <cell r="I34" t="str">
            <v>Ιούλιος</v>
          </cell>
          <cell r="J34" t="str">
            <v>Αύγουστος</v>
          </cell>
          <cell r="K34" t="str">
            <v>Σεπτέμβριος</v>
          </cell>
          <cell r="L34" t="str">
            <v>Οκτώβριος</v>
          </cell>
          <cell r="M34" t="str">
            <v>Νοέμβριος</v>
          </cell>
          <cell r="N34" t="str">
            <v>Δεκέμβριος</v>
          </cell>
        </row>
      </sheetData>
      <sheetData sheetId="2">
        <row r="3">
          <cell r="D3">
            <v>46690.166666666657</v>
          </cell>
          <cell r="E3">
            <v>35605.006666666683</v>
          </cell>
          <cell r="F3">
            <v>42275.376666666671</v>
          </cell>
          <cell r="G3">
            <v>49339.176666666674</v>
          </cell>
          <cell r="H3">
            <v>50514.51666666667</v>
          </cell>
          <cell r="I3">
            <v>7839.9766666666674</v>
          </cell>
          <cell r="J3">
            <v>7839.9766666666674</v>
          </cell>
          <cell r="K3">
            <v>7839.9766666666674</v>
          </cell>
          <cell r="L3">
            <v>7839.9766666666674</v>
          </cell>
          <cell r="M3">
            <v>7839.9766666666674</v>
          </cell>
          <cell r="N3">
            <v>7839.9766666666674</v>
          </cell>
          <cell r="O3">
            <v>7839.9766666666674</v>
          </cell>
          <cell r="Q3">
            <v>46690.166666666657</v>
          </cell>
          <cell r="R3">
            <v>82295.17333333334</v>
          </cell>
          <cell r="S3">
            <v>124570.55</v>
          </cell>
          <cell r="W3">
            <v>240104.19666666671</v>
          </cell>
          <cell r="X3">
            <v>247944.17333333331</v>
          </cell>
          <cell r="Y3">
            <v>255784.15</v>
          </cell>
          <cell r="Z3">
            <v>263624.12666666659</v>
          </cell>
          <cell r="AA3">
            <v>271464.10333333327</v>
          </cell>
          <cell r="AB3">
            <v>279304.08</v>
          </cell>
        </row>
        <row r="4">
          <cell r="D4">
            <v>2197.7199999999998</v>
          </cell>
          <cell r="E4">
            <v>2149.4899999999998</v>
          </cell>
          <cell r="F4">
            <v>3372.31</v>
          </cell>
          <cell r="G4">
            <v>5695.58</v>
          </cell>
          <cell r="H4">
            <v>3675.16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5221.4599999999991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3740.09</v>
          </cell>
          <cell r="H6">
            <v>4379.5599999999986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1345.7</v>
          </cell>
          <cell r="H8">
            <v>999.18999999999994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</v>
          </cell>
          <cell r="H12">
            <v>350.21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321.45999999999998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196.4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215.2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</v>
          </cell>
          <cell r="E16">
            <v>426.33</v>
          </cell>
          <cell r="F16">
            <v>348.42</v>
          </cell>
          <cell r="G16">
            <v>407.89</v>
          </cell>
          <cell r="H16">
            <v>373.33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1.57</v>
          </cell>
          <cell r="E17">
            <v>74.069999999999993</v>
          </cell>
          <cell r="F17">
            <v>8.93</v>
          </cell>
          <cell r="G17">
            <v>43.87</v>
          </cell>
          <cell r="H17">
            <v>158.62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126.37</v>
          </cell>
          <cell r="G19">
            <v>55.66</v>
          </cell>
          <cell r="H19">
            <v>78.540000000000006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G21">
            <v>0</v>
          </cell>
          <cell r="H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45.56</v>
          </cell>
          <cell r="G23">
            <v>49.57</v>
          </cell>
          <cell r="H23">
            <v>0.96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6964.8099999999986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I30">
            <v>0</v>
          </cell>
          <cell r="K30">
            <v>0</v>
          </cell>
          <cell r="O30">
            <v>0</v>
          </cell>
        </row>
        <row r="31">
          <cell r="D31">
            <v>7839.9766666666674</v>
          </cell>
          <cell r="E31">
            <v>7839.9766666666674</v>
          </cell>
          <cell r="F31">
            <v>7839.9766666666674</v>
          </cell>
          <cell r="G31">
            <v>7839.9766666666674</v>
          </cell>
          <cell r="H31">
            <v>7839.9766666666674</v>
          </cell>
          <cell r="I31">
            <v>7839.9766666666674</v>
          </cell>
          <cell r="J31">
            <v>7839.9766666666674</v>
          </cell>
          <cell r="K31">
            <v>7839.9766666666674</v>
          </cell>
          <cell r="L31">
            <v>7839.9766666666674</v>
          </cell>
          <cell r="M31">
            <v>7839.9766666666674</v>
          </cell>
          <cell r="N31">
            <v>7839.9766666666674</v>
          </cell>
          <cell r="O31">
            <v>7839.9766666666674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6">
          <cell r="D36">
            <v>9618.77</v>
          </cell>
          <cell r="E36">
            <v>8756.2100000000009</v>
          </cell>
          <cell r="F36">
            <v>7219.98</v>
          </cell>
          <cell r="G36">
            <v>12929.56</v>
          </cell>
          <cell r="H36">
            <v>7772.8200000000024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Q36">
            <v>9618.77</v>
          </cell>
          <cell r="R36">
            <v>18374.98</v>
          </cell>
          <cell r="S36">
            <v>25594.959999999999</v>
          </cell>
          <cell r="X36">
            <v>46297.34</v>
          </cell>
          <cell r="Z36">
            <v>46297.34</v>
          </cell>
          <cell r="AA36">
            <v>46297.34</v>
          </cell>
          <cell r="AB36">
            <v>46297.34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1632.17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2304.38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1629.66</v>
          </cell>
          <cell r="H39">
            <v>988.92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</v>
          </cell>
          <cell r="H40">
            <v>1056.97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</v>
          </cell>
          <cell r="G43">
            <v>231.44</v>
          </cell>
          <cell r="H43">
            <v>215.49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250.56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211.24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</v>
          </cell>
          <cell r="G88">
            <v>14.13</v>
          </cell>
          <cell r="H88">
            <v>12.74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</v>
          </cell>
          <cell r="E89">
            <v>297.5</v>
          </cell>
          <cell r="F89">
            <v>300.63</v>
          </cell>
          <cell r="G89">
            <v>306.85000000000002</v>
          </cell>
          <cell r="H89">
            <v>345.63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13.49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</v>
          </cell>
          <cell r="F95">
            <v>0</v>
          </cell>
          <cell r="G95">
            <v>0</v>
          </cell>
          <cell r="H95">
            <v>598.04999999999995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500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166.37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1175.57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4">
          <cell r="D104">
            <v>613.27</v>
          </cell>
          <cell r="E104">
            <v>521.88</v>
          </cell>
          <cell r="F104">
            <v>425.62</v>
          </cell>
          <cell r="G104">
            <v>766.93</v>
          </cell>
          <cell r="H104">
            <v>65.72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777.67000000000007</v>
          </cell>
          <cell r="E106">
            <v>777.67000000000007</v>
          </cell>
          <cell r="F106">
            <v>777.67000000000007</v>
          </cell>
          <cell r="G106">
            <v>777.67000000000007</v>
          </cell>
          <cell r="H106">
            <v>777.67000000000007</v>
          </cell>
          <cell r="I106">
            <v>777.67000000000007</v>
          </cell>
          <cell r="J106">
            <v>777.67000000000007</v>
          </cell>
          <cell r="K106">
            <v>777.67000000000007</v>
          </cell>
          <cell r="L106">
            <v>777.67000000000007</v>
          </cell>
          <cell r="M106">
            <v>777.67000000000007</v>
          </cell>
          <cell r="N106">
            <v>777.67000000000007</v>
          </cell>
          <cell r="O106">
            <v>777.67000000000007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296.2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3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6109.88</v>
          </cell>
        </row>
        <row r="5">
          <cell r="D5">
            <v>4189.99</v>
          </cell>
          <cell r="E5">
            <v>4702.76</v>
          </cell>
          <cell r="F5">
            <v>11008.53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5054.9400000000014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2700.28</v>
          </cell>
          <cell r="E6">
            <v>2652.85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1170.8599999999999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1394.91</v>
          </cell>
        </row>
        <row r="8">
          <cell r="D8">
            <v>933.94999999999993</v>
          </cell>
          <cell r="E8">
            <v>1048.25</v>
          </cell>
          <cell r="F8">
            <v>1577.57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</v>
          </cell>
          <cell r="M8">
            <v>1008.2</v>
          </cell>
          <cell r="N8">
            <v>1022.18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9308.57</v>
          </cell>
          <cell r="E10">
            <v>9312.57</v>
          </cell>
          <cell r="F10">
            <v>9312.57</v>
          </cell>
          <cell r="G10">
            <v>9312.57</v>
          </cell>
          <cell r="H10">
            <v>9312.57</v>
          </cell>
          <cell r="I10">
            <v>9331.11</v>
          </cell>
          <cell r="J10">
            <v>9331.11</v>
          </cell>
          <cell r="K10">
            <v>9331.11</v>
          </cell>
          <cell r="L10">
            <v>9799.739999999998</v>
          </cell>
          <cell r="M10">
            <v>9331.11</v>
          </cell>
          <cell r="N10">
            <v>9218.49</v>
          </cell>
          <cell r="O10">
            <v>15699.14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335.09</v>
          </cell>
          <cell r="E12">
            <v>327.67</v>
          </cell>
          <cell r="F12">
            <v>327.67</v>
          </cell>
          <cell r="G12">
            <v>327.67</v>
          </cell>
          <cell r="H12">
            <v>327.67</v>
          </cell>
          <cell r="I12">
            <v>328.35</v>
          </cell>
          <cell r="J12">
            <v>328.35</v>
          </cell>
          <cell r="K12">
            <v>328.35</v>
          </cell>
          <cell r="L12">
            <v>328.35</v>
          </cell>
          <cell r="M12">
            <v>328.35</v>
          </cell>
          <cell r="N12">
            <v>324.3</v>
          </cell>
          <cell r="O12">
            <v>557.59999999999991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292.92</v>
          </cell>
          <cell r="H13">
            <v>259.83</v>
          </cell>
          <cell r="I13">
            <v>1266.43</v>
          </cell>
          <cell r="J13">
            <v>124.79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1298.3699999999999</v>
          </cell>
          <cell r="F14">
            <v>462.96999999999991</v>
          </cell>
          <cell r="G14">
            <v>-113.33</v>
          </cell>
          <cell r="H14">
            <v>606.06999999999994</v>
          </cell>
          <cell r="I14">
            <v>828.71900000000016</v>
          </cell>
          <cell r="J14">
            <v>1191.81</v>
          </cell>
          <cell r="K14">
            <v>3672.2400000000011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2113.17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</v>
          </cell>
          <cell r="E16">
            <v>356.49</v>
          </cell>
          <cell r="F16">
            <v>359.67</v>
          </cell>
          <cell r="G16">
            <v>271.67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</v>
          </cell>
          <cell r="E17">
            <v>-29.789999999999971</v>
          </cell>
          <cell r="F17">
            <v>6.36</v>
          </cell>
          <cell r="G17">
            <v>24.39</v>
          </cell>
          <cell r="H17">
            <v>206.35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150.47999999999999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249.66000000000008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62.970000000000027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4924.2700000000004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1892.42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1186.6300000000001</v>
          </cell>
        </row>
        <row r="30">
          <cell r="D30">
            <v>59.92</v>
          </cell>
          <cell r="E30">
            <v>85.2</v>
          </cell>
          <cell r="F30">
            <v>135.74</v>
          </cell>
          <cell r="G30">
            <v>328.35</v>
          </cell>
          <cell r="H30">
            <v>343.69</v>
          </cell>
          <cell r="I30">
            <v>403.13</v>
          </cell>
          <cell r="J30">
            <v>383.32</v>
          </cell>
          <cell r="K30">
            <v>331.8</v>
          </cell>
          <cell r="L30">
            <v>361.84</v>
          </cell>
          <cell r="M30">
            <v>366.73</v>
          </cell>
          <cell r="N30">
            <v>120.61</v>
          </cell>
          <cell r="O30">
            <v>0</v>
          </cell>
        </row>
        <row r="31">
          <cell r="D31">
            <v>7839.98</v>
          </cell>
          <cell r="E31">
            <v>7839.98</v>
          </cell>
          <cell r="F31">
            <v>7839.98</v>
          </cell>
          <cell r="G31">
            <v>7839.98</v>
          </cell>
          <cell r="H31">
            <v>7839.98</v>
          </cell>
          <cell r="I31">
            <v>7839.98</v>
          </cell>
          <cell r="J31">
            <v>7839.98</v>
          </cell>
          <cell r="K31">
            <v>7839.98</v>
          </cell>
          <cell r="L31">
            <v>7839.98</v>
          </cell>
          <cell r="M31">
            <v>7839.98</v>
          </cell>
          <cell r="N31">
            <v>7839.98</v>
          </cell>
          <cell r="O31">
            <v>2414.42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2190.1999999999998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2460.9699999999998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0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488.2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H41">
            <v>414.21</v>
          </cell>
          <cell r="I41">
            <v>99.47</v>
          </cell>
          <cell r="J41">
            <v>271.76</v>
          </cell>
          <cell r="K41">
            <v>477.31999999999988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1074.8699999999999</v>
          </cell>
        </row>
        <row r="58">
          <cell r="D58">
            <v>0</v>
          </cell>
          <cell r="E58">
            <v>0</v>
          </cell>
          <cell r="F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74.680000000000007</v>
          </cell>
        </row>
        <row r="60">
          <cell r="H60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491.04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</row>
        <row r="70">
          <cell r="D70">
            <v>241.31</v>
          </cell>
          <cell r="E70">
            <v>241.31</v>
          </cell>
          <cell r="F70">
            <v>241.31</v>
          </cell>
          <cell r="G70">
            <v>241.31</v>
          </cell>
          <cell r="H70">
            <v>241.31</v>
          </cell>
          <cell r="I70">
            <v>241.31</v>
          </cell>
          <cell r="J70">
            <v>241.31</v>
          </cell>
          <cell r="K70">
            <v>241.31</v>
          </cell>
          <cell r="L70">
            <v>241.31</v>
          </cell>
          <cell r="M70">
            <v>241.31</v>
          </cell>
          <cell r="N70">
            <v>241.31</v>
          </cell>
          <cell r="O70">
            <v>241.31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30.6</v>
          </cell>
          <cell r="E72">
            <v>30.6</v>
          </cell>
          <cell r="F72">
            <v>30.6</v>
          </cell>
          <cell r="G72">
            <v>30.6</v>
          </cell>
          <cell r="H72">
            <v>30.6</v>
          </cell>
          <cell r="I72">
            <v>30.6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124.94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17.489999999999998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17.010000000000002</v>
          </cell>
          <cell r="N83">
            <v>19.55</v>
          </cell>
          <cell r="O83">
            <v>48.53</v>
          </cell>
        </row>
        <row r="84">
          <cell r="D84">
            <v>167.16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369.61999999999989</v>
          </cell>
          <cell r="I84">
            <v>366.94</v>
          </cell>
          <cell r="J84">
            <v>252.57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</v>
          </cell>
          <cell r="O85">
            <v>12.28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781.97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28.84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1565.32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601.70999999999992</v>
          </cell>
          <cell r="E97">
            <v>844.19</v>
          </cell>
          <cell r="F97">
            <v>931.67000000000007</v>
          </cell>
          <cell r="G97">
            <v>140.5199999999999</v>
          </cell>
          <cell r="H97">
            <v>318.33999999999997</v>
          </cell>
          <cell r="I97">
            <v>130.18</v>
          </cell>
          <cell r="J97">
            <v>394.61</v>
          </cell>
          <cell r="K97">
            <v>387.49999999999989</v>
          </cell>
          <cell r="L97">
            <v>92.44</v>
          </cell>
          <cell r="M97">
            <v>211.88</v>
          </cell>
          <cell r="N97">
            <v>476.24</v>
          </cell>
          <cell r="O97">
            <v>1104.3399999999999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556.22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308.29000000000002</v>
          </cell>
        </row>
        <row r="102">
          <cell r="D102">
            <v>4406.5300000000007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4728.78</v>
          </cell>
          <cell r="M102">
            <v>197.25</v>
          </cell>
          <cell r="N102">
            <v>71.099999999999994</v>
          </cell>
          <cell r="O102">
            <v>910.87</v>
          </cell>
        </row>
        <row r="114">
          <cell r="C114">
            <v>11109.16</v>
          </cell>
          <cell r="D114">
            <v>15707.256637168099</v>
          </cell>
          <cell r="E114">
            <v>25251.761061946901</v>
          </cell>
          <cell r="F114">
            <v>61207.442477876102</v>
          </cell>
          <cell r="G114">
            <v>64011.902654867299</v>
          </cell>
          <cell r="H114">
            <v>75778.42</v>
          </cell>
          <cell r="I114">
            <v>72744.490000000005</v>
          </cell>
          <cell r="J114">
            <v>62815.14</v>
          </cell>
          <cell r="K114">
            <v>66655.538672566399</v>
          </cell>
          <cell r="L114">
            <v>69039.8</v>
          </cell>
          <cell r="M114">
            <v>23056.07</v>
          </cell>
          <cell r="N114">
            <v>35454.42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</row>
        <row r="117">
          <cell r="C117">
            <v>774.33628318584078</v>
          </cell>
          <cell r="D117">
            <v>1318.5840707964601</v>
          </cell>
          <cell r="E117">
            <v>1960.176991150443</v>
          </cell>
          <cell r="F117">
            <v>4690.2654867256642</v>
          </cell>
          <cell r="G117">
            <v>5252.212389380531</v>
          </cell>
          <cell r="H117">
            <v>5990.71</v>
          </cell>
          <cell r="I117">
            <v>4302.1099999999997</v>
          </cell>
          <cell r="J117">
            <v>3860.69</v>
          </cell>
          <cell r="K117">
            <v>5935.3982300884963</v>
          </cell>
          <cell r="L117">
            <v>4419.47</v>
          </cell>
          <cell r="M117">
            <v>1185.83</v>
          </cell>
          <cell r="N117">
            <v>1369.49</v>
          </cell>
        </row>
        <row r="118">
          <cell r="C118">
            <v>0</v>
          </cell>
          <cell r="D118">
            <v>0</v>
          </cell>
          <cell r="E118">
            <v>943.79</v>
          </cell>
          <cell r="F118">
            <v>524.49</v>
          </cell>
          <cell r="G118">
            <v>296.2</v>
          </cell>
          <cell r="H118">
            <v>292.45</v>
          </cell>
          <cell r="I118">
            <v>349.66</v>
          </cell>
          <cell r="J118">
            <v>0</v>
          </cell>
          <cell r="K118">
            <v>278.14</v>
          </cell>
          <cell r="L118">
            <v>0</v>
          </cell>
          <cell r="M118">
            <v>0</v>
          </cell>
          <cell r="N118">
            <v>0</v>
          </cell>
        </row>
        <row r="119">
          <cell r="C119">
            <v>0</v>
          </cell>
          <cell r="D119">
            <v>0</v>
          </cell>
          <cell r="E119">
            <v>1721.95</v>
          </cell>
          <cell r="F119">
            <v>0</v>
          </cell>
          <cell r="G119">
            <v>2404.79</v>
          </cell>
          <cell r="H119">
            <v>2142.91</v>
          </cell>
          <cell r="I119">
            <v>3007.42</v>
          </cell>
          <cell r="J119">
            <v>2335.15</v>
          </cell>
          <cell r="K119">
            <v>2499.94</v>
          </cell>
          <cell r="L119">
            <v>2140.0100000000002</v>
          </cell>
          <cell r="M119">
            <v>2493.9499999999998</v>
          </cell>
          <cell r="N119">
            <v>637.6</v>
          </cell>
        </row>
        <row r="120">
          <cell r="C120">
            <v>100</v>
          </cell>
          <cell r="D120">
            <v>100</v>
          </cell>
          <cell r="E120">
            <v>100</v>
          </cell>
          <cell r="F120">
            <v>100</v>
          </cell>
          <cell r="G120">
            <v>100</v>
          </cell>
          <cell r="H120">
            <v>100</v>
          </cell>
          <cell r="I120">
            <v>100</v>
          </cell>
          <cell r="J120">
            <v>100</v>
          </cell>
          <cell r="K120">
            <v>100</v>
          </cell>
          <cell r="L120">
            <v>100</v>
          </cell>
          <cell r="M120">
            <v>100</v>
          </cell>
          <cell r="N120">
            <v>100</v>
          </cell>
        </row>
        <row r="121">
          <cell r="C121">
            <v>0</v>
          </cell>
          <cell r="D121">
            <v>0</v>
          </cell>
          <cell r="E121">
            <v>15.32</v>
          </cell>
          <cell r="F121">
            <v>104.03</v>
          </cell>
          <cell r="G121">
            <v>87.88</v>
          </cell>
          <cell r="H121">
            <v>322.26</v>
          </cell>
          <cell r="I121">
            <v>139.51</v>
          </cell>
          <cell r="J121">
            <v>438.71</v>
          </cell>
          <cell r="K121">
            <v>618.54</v>
          </cell>
          <cell r="L121">
            <v>912.88</v>
          </cell>
          <cell r="M121">
            <v>103.21</v>
          </cell>
          <cell r="N121">
            <v>54.84</v>
          </cell>
        </row>
        <row r="122"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168.15</v>
          </cell>
          <cell r="I123">
            <v>88.5</v>
          </cell>
          <cell r="J123">
            <v>0</v>
          </cell>
          <cell r="K123">
            <v>281.62</v>
          </cell>
          <cell r="L123">
            <v>0</v>
          </cell>
          <cell r="M123">
            <v>0</v>
          </cell>
          <cell r="N123">
            <v>0</v>
          </cell>
        </row>
        <row r="124"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112.9</v>
          </cell>
          <cell r="M124">
            <v>0</v>
          </cell>
          <cell r="N124">
            <v>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150.44</v>
          </cell>
          <cell r="H127">
            <v>548.66999999999996</v>
          </cell>
          <cell r="I127">
            <v>311.5</v>
          </cell>
          <cell r="J127">
            <v>911.51</v>
          </cell>
          <cell r="K127">
            <v>460.18</v>
          </cell>
          <cell r="L127">
            <v>345.13</v>
          </cell>
          <cell r="M127">
            <v>0</v>
          </cell>
          <cell r="N127">
            <v>0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</row>
        <row r="129">
          <cell r="C129">
            <v>0</v>
          </cell>
          <cell r="D129">
            <v>0</v>
          </cell>
          <cell r="E129">
            <v>201.48</v>
          </cell>
          <cell r="F129">
            <v>322.58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</row>
        <row r="130">
          <cell r="C130">
            <v>0</v>
          </cell>
          <cell r="D130">
            <v>15</v>
          </cell>
          <cell r="E130">
            <v>114.6</v>
          </cell>
          <cell r="F130">
            <v>100.8</v>
          </cell>
          <cell r="G130">
            <v>401.1</v>
          </cell>
          <cell r="H130">
            <v>481.2</v>
          </cell>
          <cell r="I130">
            <v>592.04999999999995</v>
          </cell>
          <cell r="J130">
            <v>352.35</v>
          </cell>
          <cell r="K130">
            <v>287.85000000000002</v>
          </cell>
          <cell r="L130">
            <v>91.95</v>
          </cell>
          <cell r="M130">
            <v>100.8</v>
          </cell>
          <cell r="N130">
            <v>0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112.9</v>
          </cell>
          <cell r="M132">
            <v>0</v>
          </cell>
          <cell r="N132">
            <v>0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194.35</v>
          </cell>
          <cell r="I133">
            <v>225.4</v>
          </cell>
          <cell r="J133">
            <v>54.92</v>
          </cell>
          <cell r="K133">
            <v>275.08</v>
          </cell>
          <cell r="L133">
            <v>110.88999999999999</v>
          </cell>
          <cell r="M133">
            <v>407.42</v>
          </cell>
          <cell r="N133">
            <v>19.05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120.16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</row>
        <row r="135">
          <cell r="C135">
            <v>5335.41</v>
          </cell>
          <cell r="D135">
            <v>15.01</v>
          </cell>
          <cell r="E135">
            <v>6.22</v>
          </cell>
          <cell r="F135">
            <v>75.13</v>
          </cell>
          <cell r="G135">
            <v>34.61</v>
          </cell>
          <cell r="H135">
            <v>114.01</v>
          </cell>
          <cell r="I135">
            <v>24.11</v>
          </cell>
          <cell r="J135">
            <v>0</v>
          </cell>
          <cell r="K135">
            <v>126.27</v>
          </cell>
          <cell r="L135">
            <v>76.400000000000006</v>
          </cell>
          <cell r="M135">
            <v>280.5</v>
          </cell>
          <cell r="N135">
            <v>12649.49</v>
          </cell>
        </row>
        <row r="136">
          <cell r="C136">
            <v>-59.92</v>
          </cell>
          <cell r="D136">
            <v>-85.21</v>
          </cell>
          <cell r="E136">
            <v>-135.77000000000001</v>
          </cell>
          <cell r="F136">
            <v>-328.33</v>
          </cell>
          <cell r="G136">
            <v>-343.69</v>
          </cell>
          <cell r="H136">
            <v>-403.13</v>
          </cell>
          <cell r="I136">
            <v>-383.32</v>
          </cell>
          <cell r="J136">
            <v>-331.8</v>
          </cell>
          <cell r="K136">
            <v>-361.84</v>
          </cell>
          <cell r="L136">
            <v>-366.73</v>
          </cell>
          <cell r="M136">
            <v>-120.61</v>
          </cell>
          <cell r="N136">
            <v>-178.7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50000</v>
          </cell>
        </row>
      </sheetData>
      <sheetData sheetId="4">
        <row r="225">
          <cell r="E225">
            <v>0</v>
          </cell>
        </row>
      </sheetData>
      <sheetData sheetId="5">
        <row r="7">
          <cell r="N7">
            <v>17258.986283185841</v>
          </cell>
        </row>
        <row r="8">
          <cell r="F8">
            <v>19279.13</v>
          </cell>
          <cell r="J8">
            <v>27171.870011828574</v>
          </cell>
          <cell r="N8">
            <v>11109.16</v>
          </cell>
        </row>
        <row r="9">
          <cell r="F9">
            <v>0</v>
          </cell>
          <cell r="J9">
            <v>200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1388.93</v>
          </cell>
          <cell r="J11">
            <v>2371.62</v>
          </cell>
          <cell r="N11">
            <v>774.33628318584078</v>
          </cell>
        </row>
        <row r="12">
          <cell r="F12">
            <v>0</v>
          </cell>
          <cell r="J12">
            <v>200</v>
          </cell>
          <cell r="N12">
            <v>0</v>
          </cell>
        </row>
        <row r="13">
          <cell r="F13">
            <v>0</v>
          </cell>
          <cell r="J13">
            <v>0</v>
          </cell>
          <cell r="N13">
            <v>0</v>
          </cell>
        </row>
        <row r="14">
          <cell r="F14">
            <v>100</v>
          </cell>
          <cell r="J14">
            <v>100</v>
          </cell>
          <cell r="N14">
            <v>100</v>
          </cell>
        </row>
        <row r="15">
          <cell r="F15">
            <v>68.550000000000011</v>
          </cell>
          <cell r="J15">
            <v>0</v>
          </cell>
          <cell r="N15">
            <v>0</v>
          </cell>
        </row>
        <row r="16">
          <cell r="F16">
            <v>16.12</v>
          </cell>
          <cell r="J16">
            <v>0</v>
          </cell>
          <cell r="N16">
            <v>0</v>
          </cell>
        </row>
        <row r="17">
          <cell r="F17">
            <v>0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0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0</v>
          </cell>
          <cell r="J23">
            <v>0</v>
          </cell>
          <cell r="N23">
            <v>0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0</v>
          </cell>
          <cell r="N25">
            <v>0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0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4</v>
          </cell>
          <cell r="J30">
            <v>11248.74</v>
          </cell>
          <cell r="N30">
            <v>5335.41</v>
          </cell>
        </row>
        <row r="31">
          <cell r="F31">
            <v>-102.83</v>
          </cell>
          <cell r="J31">
            <v>-59.92</v>
          </cell>
          <cell r="N31">
            <v>-59.92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46587.336666666662</v>
          </cell>
          <cell r="L44">
            <v>37852.28</v>
          </cell>
        </row>
        <row r="45">
          <cell r="F45">
            <v>2197.7199999999998</v>
          </cell>
          <cell r="L45">
            <v>3058.18</v>
          </cell>
        </row>
        <row r="46">
          <cell r="F46">
            <v>3032.62</v>
          </cell>
          <cell r="L46">
            <v>4189.99</v>
          </cell>
        </row>
        <row r="47">
          <cell r="F47">
            <v>1618.22</v>
          </cell>
          <cell r="L47">
            <v>2700.28</v>
          </cell>
        </row>
        <row r="48">
          <cell r="F48">
            <v>484.84</v>
          </cell>
          <cell r="L48">
            <v>747.42000000000007</v>
          </cell>
        </row>
        <row r="49">
          <cell r="F49">
            <v>513.09</v>
          </cell>
          <cell r="L49">
            <v>933.94999999999993</v>
          </cell>
        </row>
        <row r="50">
          <cell r="F50">
            <v>382.68</v>
          </cell>
          <cell r="L50">
            <v>713.96</v>
          </cell>
        </row>
        <row r="51">
          <cell r="F51">
            <v>9138.619999999999</v>
          </cell>
          <cell r="L51">
            <v>9308.57</v>
          </cell>
        </row>
        <row r="52">
          <cell r="F52">
            <v>0</v>
          </cell>
          <cell r="L52">
            <v>0</v>
          </cell>
        </row>
        <row r="53">
          <cell r="F53">
            <v>321.41000000000003</v>
          </cell>
          <cell r="L53">
            <v>335.09</v>
          </cell>
        </row>
        <row r="54">
          <cell r="F54">
            <v>321.45999999999998</v>
          </cell>
          <cell r="L54">
            <v>535.22</v>
          </cell>
        </row>
        <row r="55">
          <cell r="F55">
            <v>215.2</v>
          </cell>
          <cell r="L55">
            <v>107.41</v>
          </cell>
        </row>
        <row r="56">
          <cell r="F56">
            <v>0</v>
          </cell>
          <cell r="L56">
            <v>0</v>
          </cell>
        </row>
        <row r="57">
          <cell r="F57">
            <v>122.32</v>
          </cell>
          <cell r="L57">
            <v>128.1</v>
          </cell>
        </row>
        <row r="58">
          <cell r="F58">
            <v>1.57</v>
          </cell>
          <cell r="L58">
            <v>2.84</v>
          </cell>
        </row>
        <row r="59">
          <cell r="F59">
            <v>3780.7</v>
          </cell>
          <cell r="L59">
            <v>768.31000000000017</v>
          </cell>
        </row>
        <row r="60">
          <cell r="F60">
            <v>35.32</v>
          </cell>
          <cell r="L60">
            <v>4.8399999999999181</v>
          </cell>
        </row>
        <row r="61">
          <cell r="F61">
            <v>0</v>
          </cell>
          <cell r="L61">
            <v>0</v>
          </cell>
        </row>
        <row r="62">
          <cell r="F62">
            <v>0</v>
          </cell>
          <cell r="L62">
            <v>8.99</v>
          </cell>
        </row>
        <row r="63">
          <cell r="F63">
            <v>0</v>
          </cell>
          <cell r="L63">
            <v>61.85</v>
          </cell>
        </row>
        <row r="64">
          <cell r="F64">
            <v>42.62</v>
          </cell>
          <cell r="L64">
            <v>83.76</v>
          </cell>
        </row>
        <row r="65">
          <cell r="F65">
            <v>14981.98</v>
          </cell>
          <cell r="L65">
            <v>3930.91</v>
          </cell>
        </row>
        <row r="66">
          <cell r="F66">
            <v>0</v>
          </cell>
          <cell r="L66">
            <v>0</v>
          </cell>
        </row>
        <row r="67">
          <cell r="F67">
            <v>0</v>
          </cell>
          <cell r="L67">
            <v>0</v>
          </cell>
        </row>
        <row r="68">
          <cell r="F68">
            <v>0</v>
          </cell>
          <cell r="L68">
            <v>0</v>
          </cell>
        </row>
        <row r="69">
          <cell r="F69">
            <v>684.1</v>
          </cell>
          <cell r="L69">
            <v>648.03</v>
          </cell>
        </row>
        <row r="70">
          <cell r="F70">
            <v>0</v>
          </cell>
          <cell r="L70">
            <v>659.73</v>
          </cell>
        </row>
        <row r="71">
          <cell r="F71">
            <v>0</v>
          </cell>
          <cell r="L71">
            <v>59.92</v>
          </cell>
        </row>
        <row r="72">
          <cell r="F72">
            <v>7839.9766666666674</v>
          </cell>
          <cell r="L72">
            <v>7839.98</v>
          </cell>
        </row>
        <row r="73">
          <cell r="F73">
            <v>872.89</v>
          </cell>
          <cell r="L73">
            <v>1024.95</v>
          </cell>
        </row>
        <row r="81">
          <cell r="F81">
            <v>9618.77</v>
          </cell>
          <cell r="L81">
            <v>4416.7800000000007</v>
          </cell>
        </row>
        <row r="82">
          <cell r="F82">
            <v>1656.34</v>
          </cell>
          <cell r="L82">
            <v>1349.58</v>
          </cell>
        </row>
        <row r="83">
          <cell r="F83">
            <v>1671.24</v>
          </cell>
          <cell r="L83">
            <v>0</v>
          </cell>
        </row>
        <row r="84">
          <cell r="F84">
            <v>1021.94</v>
          </cell>
          <cell r="L84">
            <v>930.01</v>
          </cell>
        </row>
        <row r="85">
          <cell r="F85">
            <v>1077.96</v>
          </cell>
          <cell r="L85">
            <v>0</v>
          </cell>
        </row>
        <row r="86">
          <cell r="F86">
            <v>339.13</v>
          </cell>
          <cell r="L86">
            <v>0</v>
          </cell>
        </row>
        <row r="87">
          <cell r="F87">
            <v>342.37</v>
          </cell>
          <cell r="L87">
            <v>300.82</v>
          </cell>
        </row>
        <row r="88">
          <cell r="F88">
            <v>154.62</v>
          </cell>
          <cell r="L88">
            <v>176.37</v>
          </cell>
        </row>
        <row r="89">
          <cell r="F89">
            <v>163.1</v>
          </cell>
          <cell r="L89">
            <v>0</v>
          </cell>
        </row>
        <row r="90">
          <cell r="F90">
            <v>0</v>
          </cell>
          <cell r="L90">
            <v>0</v>
          </cell>
        </row>
        <row r="91">
          <cell r="F91">
            <v>0</v>
          </cell>
          <cell r="L91">
            <v>0</v>
          </cell>
        </row>
        <row r="92">
          <cell r="F92">
            <v>0</v>
          </cell>
          <cell r="L92">
            <v>0</v>
          </cell>
        </row>
        <row r="93">
          <cell r="F93">
            <v>0</v>
          </cell>
          <cell r="L93">
            <v>0</v>
          </cell>
        </row>
        <row r="94">
          <cell r="F94">
            <v>0</v>
          </cell>
          <cell r="L94">
            <v>0</v>
          </cell>
        </row>
        <row r="95">
          <cell r="F95">
            <v>0</v>
          </cell>
          <cell r="L95">
            <v>0</v>
          </cell>
        </row>
        <row r="96">
          <cell r="F96">
            <v>0</v>
          </cell>
          <cell r="L96">
            <v>0</v>
          </cell>
        </row>
        <row r="97">
          <cell r="F97">
            <v>82.13</v>
          </cell>
          <cell r="L97">
            <v>0</v>
          </cell>
        </row>
        <row r="98">
          <cell r="F98">
            <v>0</v>
          </cell>
          <cell r="L98">
            <v>0</v>
          </cell>
        </row>
        <row r="99">
          <cell r="F99">
            <v>0</v>
          </cell>
          <cell r="L99">
            <v>0</v>
          </cell>
        </row>
        <row r="100">
          <cell r="F100">
            <v>1972.45</v>
          </cell>
          <cell r="L100">
            <v>0</v>
          </cell>
        </row>
        <row r="101">
          <cell r="F101">
            <v>96.02</v>
          </cell>
          <cell r="L101">
            <v>660</v>
          </cell>
        </row>
        <row r="102">
          <cell r="F102">
            <v>0</v>
          </cell>
          <cell r="L102">
            <v>0</v>
          </cell>
        </row>
        <row r="103">
          <cell r="F103">
            <v>0</v>
          </cell>
          <cell r="L103">
            <v>0</v>
          </cell>
        </row>
        <row r="104">
          <cell r="F104">
            <v>1041.47</v>
          </cell>
          <cell r="L104">
            <v>1000</v>
          </cell>
        </row>
        <row r="105">
          <cell r="F105">
            <v>0</v>
          </cell>
          <cell r="L105">
            <v>0</v>
          </cell>
        </row>
        <row r="117">
          <cell r="F117">
            <v>9731.61</v>
          </cell>
          <cell r="L117">
            <v>12633.890000000001</v>
          </cell>
        </row>
        <row r="118">
          <cell r="F118">
            <v>1057.42</v>
          </cell>
          <cell r="L118">
            <v>1223.8900000000001</v>
          </cell>
        </row>
        <row r="119">
          <cell r="F119">
            <v>230.41</v>
          </cell>
          <cell r="L119">
            <v>272.81</v>
          </cell>
        </row>
        <row r="120">
          <cell r="F120">
            <v>875.5</v>
          </cell>
          <cell r="L120">
            <v>850</v>
          </cell>
        </row>
        <row r="121">
          <cell r="F121">
            <v>0</v>
          </cell>
          <cell r="L121">
            <v>0</v>
          </cell>
        </row>
        <row r="122">
          <cell r="F122">
            <v>248.55</v>
          </cell>
          <cell r="L122">
            <v>241.31</v>
          </cell>
        </row>
        <row r="123">
          <cell r="F123">
            <v>965.25</v>
          </cell>
          <cell r="L123">
            <v>965.25</v>
          </cell>
        </row>
        <row r="124">
          <cell r="F124">
            <v>31.52</v>
          </cell>
          <cell r="L124">
            <v>30.6</v>
          </cell>
        </row>
        <row r="125">
          <cell r="F125">
            <v>8.9499999999999993</v>
          </cell>
          <cell r="L125">
            <v>8.69</v>
          </cell>
        </row>
        <row r="126">
          <cell r="F126">
            <v>0</v>
          </cell>
          <cell r="L126">
            <v>0</v>
          </cell>
        </row>
        <row r="127">
          <cell r="F127">
            <v>34.75</v>
          </cell>
          <cell r="L127">
            <v>34.75</v>
          </cell>
        </row>
        <row r="128">
          <cell r="F128">
            <v>0</v>
          </cell>
          <cell r="L128">
            <v>0</v>
          </cell>
        </row>
        <row r="129">
          <cell r="F129">
            <v>0</v>
          </cell>
          <cell r="L129">
            <v>0</v>
          </cell>
        </row>
        <row r="130">
          <cell r="F130">
            <v>0</v>
          </cell>
          <cell r="L130">
            <v>0</v>
          </cell>
        </row>
        <row r="131">
          <cell r="F131">
            <v>38</v>
          </cell>
          <cell r="L131">
            <v>21</v>
          </cell>
        </row>
        <row r="132">
          <cell r="F132">
            <v>70.83</v>
          </cell>
          <cell r="L132">
            <v>64.239999999999995</v>
          </cell>
        </row>
        <row r="133">
          <cell r="F133">
            <v>6.55</v>
          </cell>
          <cell r="L133">
            <v>5.14</v>
          </cell>
        </row>
        <row r="134">
          <cell r="F134">
            <v>3.86</v>
          </cell>
          <cell r="L134">
            <v>3.77</v>
          </cell>
        </row>
        <row r="135">
          <cell r="F135">
            <v>0</v>
          </cell>
          <cell r="L135">
            <v>0</v>
          </cell>
        </row>
        <row r="136">
          <cell r="F136">
            <v>232.19</v>
          </cell>
          <cell r="L136">
            <v>167.16</v>
          </cell>
        </row>
        <row r="137">
          <cell r="F137">
            <v>0</v>
          </cell>
          <cell r="L137">
            <v>0</v>
          </cell>
        </row>
        <row r="138">
          <cell r="F138">
            <v>224.75</v>
          </cell>
          <cell r="L138">
            <v>316.24</v>
          </cell>
        </row>
        <row r="139">
          <cell r="F139">
            <v>0</v>
          </cell>
          <cell r="L139">
            <v>0</v>
          </cell>
        </row>
        <row r="140">
          <cell r="F140">
            <v>0</v>
          </cell>
          <cell r="L140">
            <v>0</v>
          </cell>
        </row>
        <row r="141">
          <cell r="F141">
            <v>0</v>
          </cell>
          <cell r="L141">
            <v>0</v>
          </cell>
        </row>
        <row r="142">
          <cell r="F142">
            <v>120.01</v>
          </cell>
          <cell r="L142">
            <v>0</v>
          </cell>
        </row>
        <row r="143">
          <cell r="F143">
            <v>950</v>
          </cell>
          <cell r="L143">
            <v>700</v>
          </cell>
        </row>
        <row r="144">
          <cell r="F144">
            <v>957.54000000000008</v>
          </cell>
          <cell r="L144">
            <v>1639.47</v>
          </cell>
        </row>
        <row r="145">
          <cell r="F145">
            <v>234.05</v>
          </cell>
          <cell r="L145">
            <v>0</v>
          </cell>
        </row>
        <row r="146">
          <cell r="F146">
            <v>62.44</v>
          </cell>
          <cell r="L146">
            <v>95.86</v>
          </cell>
        </row>
        <row r="147">
          <cell r="F147">
            <v>0</v>
          </cell>
          <cell r="L147">
            <v>0</v>
          </cell>
        </row>
        <row r="148">
          <cell r="F148">
            <v>0</v>
          </cell>
          <cell r="L148">
            <v>0</v>
          </cell>
        </row>
        <row r="149">
          <cell r="F149">
            <v>499.48</v>
          </cell>
          <cell r="L149">
            <v>601.70999999999992</v>
          </cell>
        </row>
        <row r="150">
          <cell r="F150">
            <v>0</v>
          </cell>
          <cell r="L150">
            <v>0</v>
          </cell>
        </row>
        <row r="151">
          <cell r="F151">
            <v>613.27</v>
          </cell>
          <cell r="L151">
            <v>556.22</v>
          </cell>
        </row>
        <row r="152">
          <cell r="F152">
            <v>0</v>
          </cell>
          <cell r="L152">
            <v>429.25</v>
          </cell>
        </row>
        <row r="153">
          <cell r="F153">
            <v>777.67000000000007</v>
          </cell>
          <cell r="L153">
            <v>0</v>
          </cell>
        </row>
      </sheetData>
      <sheetData sheetId="6">
        <row r="7">
          <cell r="N7">
            <v>34329.626991150399</v>
          </cell>
        </row>
        <row r="8">
          <cell r="F8">
            <v>38495.710000000006</v>
          </cell>
          <cell r="J8">
            <v>56396.872914078049</v>
          </cell>
          <cell r="N8">
            <v>26816.416637168099</v>
          </cell>
        </row>
        <row r="9">
          <cell r="F9">
            <v>0</v>
          </cell>
          <cell r="J9">
            <v>401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2800.4644247787601</v>
          </cell>
          <cell r="J11">
            <v>5008.7881415929205</v>
          </cell>
          <cell r="N11">
            <v>2092.9203539823011</v>
          </cell>
        </row>
        <row r="12">
          <cell r="F12">
            <v>1638.42</v>
          </cell>
          <cell r="J12">
            <v>200</v>
          </cell>
          <cell r="N12">
            <v>0</v>
          </cell>
        </row>
        <row r="13">
          <cell r="F13">
            <v>251.43</v>
          </cell>
          <cell r="J13">
            <v>0</v>
          </cell>
          <cell r="N13">
            <v>0</v>
          </cell>
        </row>
        <row r="14">
          <cell r="F14">
            <v>200</v>
          </cell>
          <cell r="J14">
            <v>200</v>
          </cell>
          <cell r="N14">
            <v>200</v>
          </cell>
        </row>
        <row r="15">
          <cell r="F15">
            <v>97.580000000000013</v>
          </cell>
          <cell r="J15">
            <v>0</v>
          </cell>
          <cell r="N15">
            <v>0</v>
          </cell>
        </row>
        <row r="16">
          <cell r="F16">
            <v>36.28</v>
          </cell>
          <cell r="J16">
            <v>0</v>
          </cell>
          <cell r="N16">
            <v>0</v>
          </cell>
        </row>
        <row r="17">
          <cell r="F17">
            <v>0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0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0</v>
          </cell>
          <cell r="J23">
            <v>0</v>
          </cell>
          <cell r="N23">
            <v>0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30</v>
          </cell>
          <cell r="N25">
            <v>15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14.25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4</v>
          </cell>
          <cell r="J30">
            <v>11263.75</v>
          </cell>
          <cell r="N30">
            <v>5350.42</v>
          </cell>
        </row>
        <row r="31">
          <cell r="F31">
            <v>-205.45999999999998</v>
          </cell>
          <cell r="J31">
            <v>-145.12</v>
          </cell>
          <cell r="N31">
            <v>-145.13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82089.713333333333</v>
          </cell>
          <cell r="N44">
            <v>78460.739999999976</v>
          </cell>
        </row>
        <row r="45">
          <cell r="F45">
            <v>4347.2099999999991</v>
          </cell>
          <cell r="N45">
            <v>5932.5499999999993</v>
          </cell>
        </row>
        <row r="46">
          <cell r="F46">
            <v>7282.2699999999995</v>
          </cell>
          <cell r="N46">
            <v>8892.75</v>
          </cell>
        </row>
        <row r="47">
          <cell r="F47">
            <v>3608.7799999999997</v>
          </cell>
          <cell r="N47">
            <v>5353.13</v>
          </cell>
        </row>
        <row r="48">
          <cell r="F48">
            <v>924.69</v>
          </cell>
          <cell r="N48">
            <v>1446.31</v>
          </cell>
        </row>
        <row r="49">
          <cell r="F49">
            <v>1247.2600000000002</v>
          </cell>
          <cell r="N49">
            <v>1982.1999999999998</v>
          </cell>
        </row>
        <row r="50">
          <cell r="F50">
            <v>873.09</v>
          </cell>
          <cell r="N50">
            <v>1415.37</v>
          </cell>
        </row>
        <row r="51">
          <cell r="F51">
            <v>18277.239999999998</v>
          </cell>
          <cell r="N51">
            <v>18621.14</v>
          </cell>
        </row>
        <row r="52">
          <cell r="F52">
            <v>0</v>
          </cell>
          <cell r="N52">
            <v>0</v>
          </cell>
        </row>
        <row r="53">
          <cell r="F53">
            <v>642.82000000000005</v>
          </cell>
          <cell r="N53">
            <v>662.76</v>
          </cell>
        </row>
        <row r="54">
          <cell r="F54">
            <v>754.64</v>
          </cell>
          <cell r="N54">
            <v>1017.75</v>
          </cell>
        </row>
        <row r="55">
          <cell r="F55">
            <v>953.72</v>
          </cell>
          <cell r="N55">
            <v>1405.78</v>
          </cell>
        </row>
        <row r="56">
          <cell r="F56">
            <v>66.64</v>
          </cell>
          <cell r="N56">
            <v>0</v>
          </cell>
        </row>
        <row r="57">
          <cell r="F57">
            <v>548.65</v>
          </cell>
          <cell r="N57">
            <v>484.59000000000003</v>
          </cell>
        </row>
        <row r="58">
          <cell r="F58">
            <v>75.639999999999986</v>
          </cell>
          <cell r="N58">
            <v>-26.949999999999971</v>
          </cell>
        </row>
        <row r="59">
          <cell r="F59">
            <v>3780.7</v>
          </cell>
          <cell r="N59">
            <v>768.31000000000017</v>
          </cell>
        </row>
        <row r="60">
          <cell r="F60">
            <v>102.68</v>
          </cell>
          <cell r="N60">
            <v>4.8399999999999181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61.85</v>
          </cell>
        </row>
        <row r="64">
          <cell r="F64">
            <v>92.62</v>
          </cell>
          <cell r="N64">
            <v>462.48</v>
          </cell>
        </row>
        <row r="65">
          <cell r="F65">
            <v>19835.77</v>
          </cell>
          <cell r="N65">
            <v>8958.119999999999</v>
          </cell>
        </row>
        <row r="66">
          <cell r="F66">
            <v>0</v>
          </cell>
          <cell r="N66">
            <v>0</v>
          </cell>
        </row>
        <row r="67">
          <cell r="F67">
            <v>0</v>
          </cell>
          <cell r="N67">
            <v>0</v>
          </cell>
        </row>
        <row r="68">
          <cell r="F68">
            <v>0</v>
          </cell>
          <cell r="N68">
            <v>0</v>
          </cell>
        </row>
        <row r="69">
          <cell r="F69">
            <v>1261.3699999999999</v>
          </cell>
          <cell r="N69">
            <v>1157.3399999999999</v>
          </cell>
        </row>
        <row r="70">
          <cell r="F70">
            <v>0</v>
          </cell>
          <cell r="N70">
            <v>1742.13</v>
          </cell>
        </row>
        <row r="71">
          <cell r="F71">
            <v>0</v>
          </cell>
          <cell r="N71">
            <v>145.12</v>
          </cell>
        </row>
        <row r="72">
          <cell r="F72">
            <v>15679.953333333335</v>
          </cell>
          <cell r="N72">
            <v>15679.96</v>
          </cell>
        </row>
        <row r="73">
          <cell r="F73">
            <v>1733.97</v>
          </cell>
          <cell r="N73">
            <v>2275.23</v>
          </cell>
        </row>
        <row r="81">
          <cell r="F81">
            <v>18374.98</v>
          </cell>
          <cell r="N81">
            <v>9104.15</v>
          </cell>
        </row>
        <row r="82">
          <cell r="F82">
            <v>3395.71</v>
          </cell>
          <cell r="N82">
            <v>2699.16</v>
          </cell>
        </row>
        <row r="83">
          <cell r="F83">
            <v>3418.44</v>
          </cell>
          <cell r="N83">
            <v>0</v>
          </cell>
        </row>
        <row r="84">
          <cell r="F84">
            <v>2220.11</v>
          </cell>
          <cell r="N84">
            <v>2369.81</v>
          </cell>
        </row>
        <row r="85">
          <cell r="F85">
            <v>2323.66</v>
          </cell>
          <cell r="N85">
            <v>0</v>
          </cell>
        </row>
        <row r="86">
          <cell r="F86">
            <v>696.35</v>
          </cell>
          <cell r="N86">
            <v>300.82</v>
          </cell>
        </row>
        <row r="87">
          <cell r="F87">
            <v>701.29</v>
          </cell>
          <cell r="N87">
            <v>300.82</v>
          </cell>
        </row>
        <row r="88">
          <cell r="F88">
            <v>305.64</v>
          </cell>
          <cell r="N88">
            <v>469.18</v>
          </cell>
        </row>
        <row r="89">
          <cell r="F89">
            <v>321.31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244.04999999999998</v>
          </cell>
          <cell r="N97">
            <v>0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1972.45</v>
          </cell>
          <cell r="N100">
            <v>45.5</v>
          </cell>
        </row>
        <row r="101">
          <cell r="F101">
            <v>656.05</v>
          </cell>
          <cell r="N101">
            <v>660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1012.1</v>
          </cell>
        </row>
        <row r="104">
          <cell r="F104">
            <v>2119.92</v>
          </cell>
          <cell r="N104">
            <v>1000</v>
          </cell>
        </row>
        <row r="105">
          <cell r="F105">
            <v>0</v>
          </cell>
          <cell r="N105">
            <v>0</v>
          </cell>
        </row>
        <row r="117">
          <cell r="F117">
            <v>19238.64</v>
          </cell>
          <cell r="N117">
            <v>19017.240000000002</v>
          </cell>
        </row>
        <row r="118">
          <cell r="F118">
            <v>2286.42</v>
          </cell>
          <cell r="N118">
            <v>2265.9899999999998</v>
          </cell>
        </row>
        <row r="119">
          <cell r="F119">
            <v>465.52</v>
          </cell>
          <cell r="N119">
            <v>505.09000000000003</v>
          </cell>
        </row>
        <row r="120">
          <cell r="F120">
            <v>1751</v>
          </cell>
          <cell r="N120">
            <v>1700</v>
          </cell>
        </row>
        <row r="121">
          <cell r="F121">
            <v>0</v>
          </cell>
          <cell r="N121">
            <v>0</v>
          </cell>
        </row>
        <row r="122">
          <cell r="F122">
            <v>497.1</v>
          </cell>
          <cell r="N122">
            <v>482.62</v>
          </cell>
        </row>
        <row r="123">
          <cell r="F123">
            <v>1930.5</v>
          </cell>
          <cell r="N123">
            <v>1930.5</v>
          </cell>
        </row>
        <row r="124">
          <cell r="F124">
            <v>63.04</v>
          </cell>
          <cell r="N124">
            <v>61.2</v>
          </cell>
        </row>
        <row r="125">
          <cell r="F125">
            <v>17.899999999999999</v>
          </cell>
          <cell r="N125">
            <v>17.38</v>
          </cell>
        </row>
        <row r="126">
          <cell r="F126">
            <v>0</v>
          </cell>
          <cell r="N126">
            <v>0</v>
          </cell>
        </row>
        <row r="127">
          <cell r="F127">
            <v>69.5</v>
          </cell>
          <cell r="N127">
            <v>69.5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71</v>
          </cell>
          <cell r="N131">
            <v>76</v>
          </cell>
        </row>
        <row r="132">
          <cell r="F132">
            <v>282.07</v>
          </cell>
          <cell r="N132">
            <v>189.18</v>
          </cell>
        </row>
        <row r="133">
          <cell r="F133">
            <v>35.82</v>
          </cell>
          <cell r="N133">
            <v>-13.189999999999998</v>
          </cell>
        </row>
        <row r="134">
          <cell r="F134">
            <v>10.28</v>
          </cell>
          <cell r="N134">
            <v>3.77</v>
          </cell>
        </row>
        <row r="135">
          <cell r="F135">
            <v>22.48</v>
          </cell>
          <cell r="N135">
            <v>27.2</v>
          </cell>
        </row>
        <row r="136">
          <cell r="F136">
            <v>529.69000000000005</v>
          </cell>
          <cell r="N136">
            <v>458.38</v>
          </cell>
        </row>
        <row r="137">
          <cell r="F137">
            <v>8.0500000000000007</v>
          </cell>
          <cell r="N137">
            <v>28.63</v>
          </cell>
        </row>
        <row r="138">
          <cell r="F138">
            <v>224.75</v>
          </cell>
          <cell r="N138">
            <v>316.24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488.53999999999996</v>
          </cell>
          <cell r="N142">
            <v>0</v>
          </cell>
        </row>
        <row r="143">
          <cell r="F143">
            <v>2582.73</v>
          </cell>
          <cell r="N143">
            <v>1400</v>
          </cell>
        </row>
        <row r="144">
          <cell r="F144">
            <v>1074.5800000000002</v>
          </cell>
          <cell r="N144">
            <v>1684.27</v>
          </cell>
        </row>
        <row r="145">
          <cell r="F145">
            <v>1168.67</v>
          </cell>
          <cell r="N145">
            <v>84.94</v>
          </cell>
        </row>
        <row r="146">
          <cell r="F146">
            <v>145.41</v>
          </cell>
          <cell r="N146">
            <v>157.87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1224.8200000000002</v>
          </cell>
          <cell r="N149">
            <v>1445.9</v>
          </cell>
        </row>
        <row r="150">
          <cell r="F150">
            <v>0</v>
          </cell>
          <cell r="N150">
            <v>0</v>
          </cell>
        </row>
        <row r="151">
          <cell r="F151">
            <v>1135.1500000000001</v>
          </cell>
          <cell r="N151">
            <v>556.22</v>
          </cell>
        </row>
        <row r="152">
          <cell r="F152">
            <v>0</v>
          </cell>
          <cell r="N152">
            <v>1124.3200000000002</v>
          </cell>
        </row>
        <row r="153">
          <cell r="F153">
            <v>1555.3400000000001</v>
          </cell>
          <cell r="N153">
            <v>0</v>
          </cell>
        </row>
      </sheetData>
      <sheetData sheetId="7">
        <row r="7">
          <cell r="N7">
            <v>64509.155044247746</v>
          </cell>
        </row>
        <row r="8">
          <cell r="F8">
            <v>65946.211769911504</v>
          </cell>
          <cell r="J8">
            <v>89193.632954831584</v>
          </cell>
          <cell r="N8">
            <v>52068.177699114996</v>
          </cell>
        </row>
        <row r="9">
          <cell r="F9">
            <v>0</v>
          </cell>
          <cell r="J9">
            <v>603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5457.1015929203522</v>
          </cell>
          <cell r="J11">
            <v>8929.1421238938055</v>
          </cell>
          <cell r="N11">
            <v>4053.0973451327441</v>
          </cell>
        </row>
        <row r="12">
          <cell r="F12">
            <v>1638.42</v>
          </cell>
          <cell r="J12">
            <v>1143.79</v>
          </cell>
          <cell r="N12">
            <v>943.79</v>
          </cell>
        </row>
        <row r="13">
          <cell r="F13">
            <v>605.99</v>
          </cell>
          <cell r="J13">
            <v>1721.95</v>
          </cell>
          <cell r="N13">
            <v>1721.95</v>
          </cell>
        </row>
        <row r="14">
          <cell r="F14">
            <v>300</v>
          </cell>
          <cell r="J14">
            <v>300</v>
          </cell>
          <cell r="N14">
            <v>300</v>
          </cell>
        </row>
        <row r="15">
          <cell r="F15">
            <v>270.96000000000004</v>
          </cell>
          <cell r="J15">
            <v>76.599999999999994</v>
          </cell>
          <cell r="N15">
            <v>15.32</v>
          </cell>
        </row>
        <row r="16">
          <cell r="F16">
            <v>92.73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230.09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201.48</v>
          </cell>
          <cell r="N23">
            <v>201.48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259.2</v>
          </cell>
          <cell r="N25">
            <v>129.6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14.25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104</v>
          </cell>
          <cell r="J30">
            <v>11269.97</v>
          </cell>
          <cell r="N30">
            <v>5356.64</v>
          </cell>
        </row>
        <row r="31">
          <cell r="F31">
            <v>-355.25</v>
          </cell>
          <cell r="J31">
            <v>-280.86</v>
          </cell>
          <cell r="N31">
            <v>-280.89999999999998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D44">
            <v>42125.58666666667</v>
          </cell>
          <cell r="F44">
            <v>124215.29999999999</v>
          </cell>
          <cell r="N44">
            <v>127607.62</v>
          </cell>
        </row>
        <row r="45">
          <cell r="D45">
            <v>3372.31</v>
          </cell>
          <cell r="F45">
            <v>7719.5199999999986</v>
          </cell>
          <cell r="N45">
            <v>9357.2199999999993</v>
          </cell>
        </row>
        <row r="46">
          <cell r="D46">
            <v>4953.84</v>
          </cell>
          <cell r="F46">
            <v>12236.11</v>
          </cell>
          <cell r="N46">
            <v>19901.28</v>
          </cell>
        </row>
        <row r="47">
          <cell r="D47">
            <v>2472.37</v>
          </cell>
          <cell r="F47">
            <v>6081.15</v>
          </cell>
          <cell r="N47">
            <v>8168.04</v>
          </cell>
        </row>
        <row r="48">
          <cell r="D48">
            <v>741.13</v>
          </cell>
          <cell r="F48">
            <v>1665.8200000000002</v>
          </cell>
          <cell r="N48">
            <v>2262.19</v>
          </cell>
        </row>
        <row r="49">
          <cell r="D49">
            <v>916.37</v>
          </cell>
          <cell r="F49">
            <v>2163.63</v>
          </cell>
          <cell r="N49">
            <v>3559.7699999999995</v>
          </cell>
        </row>
        <row r="50">
          <cell r="D50">
            <v>627.18000000000006</v>
          </cell>
          <cell r="F50">
            <v>1500.27</v>
          </cell>
          <cell r="N50">
            <v>2159.63</v>
          </cell>
        </row>
        <row r="51">
          <cell r="D51">
            <v>9157.5199999999986</v>
          </cell>
          <cell r="F51">
            <v>27434.759999999995</v>
          </cell>
          <cell r="N51">
            <v>27933.71</v>
          </cell>
        </row>
        <row r="52">
          <cell r="D52">
            <v>0</v>
          </cell>
          <cell r="F52">
            <v>0</v>
          </cell>
          <cell r="N52">
            <v>0</v>
          </cell>
        </row>
        <row r="53">
          <cell r="D53">
            <v>321.41000000000003</v>
          </cell>
          <cell r="F53">
            <v>964.23</v>
          </cell>
          <cell r="N53">
            <v>990.43000000000006</v>
          </cell>
        </row>
        <row r="54">
          <cell r="D54">
            <v>970.42000000000007</v>
          </cell>
          <cell r="F54">
            <v>1725.06</v>
          </cell>
          <cell r="N54">
            <v>1968.88</v>
          </cell>
        </row>
        <row r="55">
          <cell r="D55">
            <v>1191.53</v>
          </cell>
          <cell r="F55">
            <v>2145.25</v>
          </cell>
          <cell r="N55">
            <v>1868.75</v>
          </cell>
        </row>
        <row r="56">
          <cell r="D56">
            <v>656.05000000000007</v>
          </cell>
          <cell r="F56">
            <v>722.69</v>
          </cell>
          <cell r="N56">
            <v>0</v>
          </cell>
        </row>
        <row r="57">
          <cell r="D57">
            <v>348.42</v>
          </cell>
          <cell r="F57">
            <v>897.06999999999994</v>
          </cell>
          <cell r="N57">
            <v>844.26</v>
          </cell>
        </row>
        <row r="58">
          <cell r="D58">
            <v>8.93</v>
          </cell>
          <cell r="F58">
            <v>84.57</v>
          </cell>
          <cell r="N58">
            <v>-20.589999999999971</v>
          </cell>
        </row>
        <row r="59">
          <cell r="D59">
            <v>0</v>
          </cell>
          <cell r="F59">
            <v>3780.7</v>
          </cell>
          <cell r="N59">
            <v>768.31000000000017</v>
          </cell>
        </row>
        <row r="60">
          <cell r="D60">
            <v>126.37</v>
          </cell>
          <cell r="F60">
            <v>229.05</v>
          </cell>
          <cell r="N60">
            <v>254.5</v>
          </cell>
        </row>
        <row r="61">
          <cell r="D61">
            <v>0</v>
          </cell>
          <cell r="F61">
            <v>0</v>
          </cell>
          <cell r="N61">
            <v>0</v>
          </cell>
        </row>
        <row r="62">
          <cell r="D62">
            <v>0</v>
          </cell>
          <cell r="F62">
            <v>0</v>
          </cell>
          <cell r="N62">
            <v>17.98</v>
          </cell>
        </row>
        <row r="63">
          <cell r="D63">
            <v>0</v>
          </cell>
          <cell r="F63">
            <v>0</v>
          </cell>
          <cell r="N63">
            <v>61.85</v>
          </cell>
        </row>
        <row r="64">
          <cell r="D64">
            <v>45.56</v>
          </cell>
          <cell r="F64">
            <v>138.18</v>
          </cell>
          <cell r="N64">
            <v>462.48</v>
          </cell>
        </row>
        <row r="65">
          <cell r="D65">
            <v>5452.54</v>
          </cell>
          <cell r="F65">
            <v>25288.31</v>
          </cell>
          <cell r="N65">
            <v>13882.39</v>
          </cell>
        </row>
        <row r="66">
          <cell r="D66">
            <v>768.5</v>
          </cell>
          <cell r="F66">
            <v>768.5</v>
          </cell>
          <cell r="N66">
            <v>0</v>
          </cell>
        </row>
        <row r="67">
          <cell r="D67">
            <v>0</v>
          </cell>
          <cell r="F67">
            <v>0</v>
          </cell>
          <cell r="N67">
            <v>0</v>
          </cell>
        </row>
        <row r="68">
          <cell r="D68">
            <v>0</v>
          </cell>
          <cell r="F68">
            <v>0</v>
          </cell>
          <cell r="N68">
            <v>0</v>
          </cell>
        </row>
        <row r="69">
          <cell r="D69">
            <v>982.57</v>
          </cell>
          <cell r="F69">
            <v>2243.94</v>
          </cell>
          <cell r="N69">
            <v>2181.1099999999997</v>
          </cell>
        </row>
        <row r="70">
          <cell r="D70">
            <v>0</v>
          </cell>
          <cell r="F70">
            <v>0</v>
          </cell>
          <cell r="N70">
            <v>3634.55</v>
          </cell>
        </row>
        <row r="71">
          <cell r="D71">
            <v>0</v>
          </cell>
          <cell r="F71">
            <v>0</v>
          </cell>
          <cell r="N71">
            <v>280.86</v>
          </cell>
        </row>
        <row r="72">
          <cell r="D72">
            <v>7839.9766666666674</v>
          </cell>
          <cell r="F72">
            <v>23519.93</v>
          </cell>
          <cell r="N72">
            <v>23519.94</v>
          </cell>
        </row>
        <row r="73">
          <cell r="D73">
            <v>1172.5899999999999</v>
          </cell>
          <cell r="F73">
            <v>2906.56</v>
          </cell>
          <cell r="N73">
            <v>3550.08</v>
          </cell>
        </row>
        <row r="74">
          <cell r="F74">
            <v>0</v>
          </cell>
        </row>
        <row r="81">
          <cell r="D81">
            <v>7219.9800000000005</v>
          </cell>
          <cell r="F81">
            <v>25594.959999999999</v>
          </cell>
          <cell r="N81">
            <v>14533.400000000001</v>
          </cell>
        </row>
        <row r="82">
          <cell r="D82">
            <v>1747.2</v>
          </cell>
          <cell r="F82">
            <v>5142.91</v>
          </cell>
          <cell r="N82">
            <v>4889.3599999999997</v>
          </cell>
        </row>
        <row r="83">
          <cell r="D83">
            <v>1785.18</v>
          </cell>
          <cell r="F83">
            <v>5203.62</v>
          </cell>
          <cell r="N83">
            <v>0</v>
          </cell>
        </row>
        <row r="84">
          <cell r="D84">
            <v>1082.33</v>
          </cell>
          <cell r="F84">
            <v>3302.44</v>
          </cell>
          <cell r="N84">
            <v>3804.21</v>
          </cell>
        </row>
        <row r="85">
          <cell r="D85">
            <v>1145.7</v>
          </cell>
          <cell r="F85">
            <v>3469.3599999999997</v>
          </cell>
          <cell r="N85">
            <v>0</v>
          </cell>
        </row>
        <row r="86">
          <cell r="D86">
            <v>358.92</v>
          </cell>
          <cell r="F86">
            <v>1055.27</v>
          </cell>
          <cell r="N86">
            <v>789.02</v>
          </cell>
        </row>
        <row r="87">
          <cell r="D87">
            <v>367.2</v>
          </cell>
          <cell r="F87">
            <v>1068.49</v>
          </cell>
          <cell r="N87">
            <v>300.82</v>
          </cell>
        </row>
        <row r="88">
          <cell r="D88">
            <v>148.63</v>
          </cell>
          <cell r="F88">
            <v>454.27</v>
          </cell>
          <cell r="N88">
            <v>757.98</v>
          </cell>
        </row>
        <row r="89">
          <cell r="D89">
            <v>158.22</v>
          </cell>
          <cell r="F89">
            <v>479.53</v>
          </cell>
          <cell r="N89">
            <v>0</v>
          </cell>
        </row>
        <row r="90">
          <cell r="D90">
            <v>0</v>
          </cell>
          <cell r="F90">
            <v>0</v>
          </cell>
          <cell r="N90">
            <v>0</v>
          </cell>
        </row>
        <row r="91">
          <cell r="D91">
            <v>0</v>
          </cell>
          <cell r="F91">
            <v>0</v>
          </cell>
          <cell r="N91">
            <v>0</v>
          </cell>
        </row>
        <row r="92">
          <cell r="D92">
            <v>0</v>
          </cell>
          <cell r="F92">
            <v>0</v>
          </cell>
          <cell r="N92">
            <v>0</v>
          </cell>
        </row>
        <row r="93">
          <cell r="D93">
            <v>0</v>
          </cell>
          <cell r="F93">
            <v>0</v>
          </cell>
          <cell r="N93">
            <v>0</v>
          </cell>
        </row>
        <row r="94">
          <cell r="D94">
            <v>0</v>
          </cell>
          <cell r="F94">
            <v>0</v>
          </cell>
          <cell r="N94">
            <v>0</v>
          </cell>
        </row>
        <row r="95">
          <cell r="D95">
            <v>0</v>
          </cell>
          <cell r="F95">
            <v>0</v>
          </cell>
          <cell r="N95">
            <v>0</v>
          </cell>
        </row>
        <row r="96">
          <cell r="D96">
            <v>0</v>
          </cell>
          <cell r="F96">
            <v>0</v>
          </cell>
          <cell r="N96">
            <v>246.76</v>
          </cell>
        </row>
        <row r="97">
          <cell r="D97">
            <v>25.77</v>
          </cell>
          <cell r="F97">
            <v>269.82</v>
          </cell>
          <cell r="N97">
            <v>8.0399999999999991</v>
          </cell>
        </row>
        <row r="98">
          <cell r="D98">
            <v>0</v>
          </cell>
          <cell r="F98">
            <v>0</v>
          </cell>
          <cell r="N98">
            <v>0</v>
          </cell>
        </row>
        <row r="99">
          <cell r="D99">
            <v>0</v>
          </cell>
          <cell r="F99">
            <v>0</v>
          </cell>
          <cell r="N99">
            <v>0</v>
          </cell>
        </row>
        <row r="100">
          <cell r="D100">
            <v>275</v>
          </cell>
          <cell r="F100">
            <v>2247.4499999999998</v>
          </cell>
          <cell r="N100">
            <v>82.69</v>
          </cell>
        </row>
        <row r="101">
          <cell r="D101">
            <v>55.84</v>
          </cell>
          <cell r="F101">
            <v>711.89</v>
          </cell>
          <cell r="N101">
            <v>660</v>
          </cell>
        </row>
        <row r="102">
          <cell r="D102">
            <v>0</v>
          </cell>
          <cell r="F102">
            <v>0</v>
          </cell>
          <cell r="N102">
            <v>0</v>
          </cell>
        </row>
        <row r="103">
          <cell r="D103">
            <v>0</v>
          </cell>
          <cell r="F103">
            <v>0</v>
          </cell>
          <cell r="N103">
            <v>1396.23</v>
          </cell>
        </row>
        <row r="104">
          <cell r="D104">
            <v>69.989999999999995</v>
          </cell>
          <cell r="F104">
            <v>2189.91</v>
          </cell>
          <cell r="N104">
            <v>1598.29</v>
          </cell>
        </row>
        <row r="105">
          <cell r="D105">
            <v>0</v>
          </cell>
          <cell r="F105">
            <v>0</v>
          </cell>
          <cell r="N105">
            <v>0</v>
          </cell>
        </row>
        <row r="117">
          <cell r="F117">
            <v>29446.39</v>
          </cell>
          <cell r="N117">
            <v>28639.059999999998</v>
          </cell>
        </row>
        <row r="118">
          <cell r="F118">
            <v>3465.42</v>
          </cell>
          <cell r="N118">
            <v>4200.3099999999995</v>
          </cell>
        </row>
        <row r="119">
          <cell r="F119">
            <v>700.63</v>
          </cell>
          <cell r="N119">
            <v>812.92000000000007</v>
          </cell>
        </row>
        <row r="120">
          <cell r="F120">
            <v>2626.5</v>
          </cell>
          <cell r="N120">
            <v>2550</v>
          </cell>
        </row>
        <row r="121">
          <cell r="F121">
            <v>0</v>
          </cell>
          <cell r="N121">
            <v>0</v>
          </cell>
        </row>
        <row r="122">
          <cell r="F122">
            <v>745.65000000000009</v>
          </cell>
          <cell r="N122">
            <v>723.93000000000006</v>
          </cell>
        </row>
        <row r="123">
          <cell r="F123">
            <v>2895.75</v>
          </cell>
          <cell r="N123">
            <v>2895.75</v>
          </cell>
        </row>
        <row r="124">
          <cell r="F124">
            <v>94.56</v>
          </cell>
          <cell r="N124">
            <v>91.800000000000011</v>
          </cell>
        </row>
        <row r="125">
          <cell r="F125">
            <v>26.849999999999998</v>
          </cell>
          <cell r="N125">
            <v>26.07</v>
          </cell>
        </row>
        <row r="126">
          <cell r="F126">
            <v>0</v>
          </cell>
          <cell r="N126">
            <v>0</v>
          </cell>
        </row>
        <row r="127">
          <cell r="F127">
            <v>104.25</v>
          </cell>
          <cell r="N127">
            <v>104.25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101.8</v>
          </cell>
          <cell r="N131">
            <v>147.5</v>
          </cell>
        </row>
        <row r="132">
          <cell r="F132">
            <v>433.62</v>
          </cell>
          <cell r="N132">
            <v>322.47000000000003</v>
          </cell>
        </row>
        <row r="133">
          <cell r="F133">
            <v>49.99</v>
          </cell>
          <cell r="N133">
            <v>5.0000000000000036</v>
          </cell>
        </row>
        <row r="134">
          <cell r="F134">
            <v>21.36</v>
          </cell>
          <cell r="N134">
            <v>35.900000000000006</v>
          </cell>
        </row>
        <row r="135">
          <cell r="F135">
            <v>35.5</v>
          </cell>
          <cell r="N135">
            <v>44.81</v>
          </cell>
        </row>
        <row r="136">
          <cell r="F136">
            <v>830.32</v>
          </cell>
          <cell r="N136">
            <v>764.81999999999994</v>
          </cell>
        </row>
        <row r="137">
          <cell r="F137">
            <v>12.13</v>
          </cell>
          <cell r="N137">
            <v>28.63</v>
          </cell>
        </row>
        <row r="138">
          <cell r="F138">
            <v>224.75</v>
          </cell>
          <cell r="N138">
            <v>316.24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488.53999999999996</v>
          </cell>
          <cell r="N142">
            <v>0</v>
          </cell>
        </row>
        <row r="143">
          <cell r="F143">
            <v>3532.73</v>
          </cell>
          <cell r="N143">
            <v>2100</v>
          </cell>
        </row>
        <row r="144">
          <cell r="F144">
            <v>3645.5200000000004</v>
          </cell>
          <cell r="N144">
            <v>2400.42</v>
          </cell>
        </row>
        <row r="145">
          <cell r="F145">
            <v>1795.68</v>
          </cell>
          <cell r="N145">
            <v>386.85</v>
          </cell>
        </row>
        <row r="146">
          <cell r="F146">
            <v>214.18</v>
          </cell>
          <cell r="N146">
            <v>284.32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1831.0500000000002</v>
          </cell>
          <cell r="N149">
            <v>2377.5700000000002</v>
          </cell>
        </row>
        <row r="150">
          <cell r="F150">
            <v>0</v>
          </cell>
          <cell r="N150">
            <v>0</v>
          </cell>
        </row>
        <row r="151">
          <cell r="F151">
            <v>1560.77</v>
          </cell>
          <cell r="N151">
            <v>556.22</v>
          </cell>
        </row>
        <row r="152">
          <cell r="F152">
            <v>0</v>
          </cell>
          <cell r="N152">
            <v>2149.7400000000002</v>
          </cell>
        </row>
        <row r="153">
          <cell r="F153">
            <v>2333.0100000000002</v>
          </cell>
          <cell r="N153">
            <v>0</v>
          </cell>
        </row>
      </sheetData>
      <sheetData sheetId="8">
        <row r="7">
          <cell r="N7">
            <v>131305.56300884951</v>
          </cell>
        </row>
        <row r="8">
          <cell r="F8">
            <v>126671.7117699115</v>
          </cell>
          <cell r="J8">
            <v>140304.34040286022</v>
          </cell>
          <cell r="N8">
            <v>113275.6201769911</v>
          </cell>
        </row>
        <row r="9">
          <cell r="F9">
            <v>0</v>
          </cell>
          <cell r="J9">
            <v>806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8707.5440707964572</v>
          </cell>
          <cell r="J11">
            <v>18309.673097345134</v>
          </cell>
          <cell r="N11">
            <v>8743.3628318584088</v>
          </cell>
        </row>
        <row r="12">
          <cell r="F12">
            <v>1638.42</v>
          </cell>
          <cell r="J12">
            <v>1668.28</v>
          </cell>
          <cell r="N12">
            <v>1468.28</v>
          </cell>
        </row>
        <row r="13">
          <cell r="F13">
            <v>1443.21</v>
          </cell>
          <cell r="J13">
            <v>1721.95</v>
          </cell>
          <cell r="N13">
            <v>1721.95</v>
          </cell>
        </row>
        <row r="14">
          <cell r="F14">
            <v>400</v>
          </cell>
          <cell r="J14">
            <v>400</v>
          </cell>
          <cell r="N14">
            <v>400</v>
          </cell>
        </row>
        <row r="15">
          <cell r="F15">
            <v>610.52</v>
          </cell>
          <cell r="J15">
            <v>596.75</v>
          </cell>
          <cell r="N15">
            <v>119.35</v>
          </cell>
        </row>
        <row r="16">
          <cell r="F16">
            <v>377.39000000000004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1504.4299999999998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460.79999999999995</v>
          </cell>
          <cell r="N25">
            <v>230.39999999999998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107.88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168.68</v>
          </cell>
          <cell r="J30">
            <v>11345.099999999999</v>
          </cell>
          <cell r="N30">
            <v>5431.77</v>
          </cell>
        </row>
        <row r="31">
          <cell r="F31">
            <v>-767.53</v>
          </cell>
          <cell r="J31">
            <v>-609.21</v>
          </cell>
          <cell r="N31">
            <v>-609.23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173142.19666666671</v>
          </cell>
          <cell r="N44">
            <v>177562.88</v>
          </cell>
        </row>
        <row r="45">
          <cell r="F45">
            <v>13415.099999999999</v>
          </cell>
          <cell r="N45">
            <v>14779.079999999998</v>
          </cell>
        </row>
        <row r="46">
          <cell r="F46">
            <v>19658.54</v>
          </cell>
          <cell r="N46">
            <v>25471.64</v>
          </cell>
        </row>
        <row r="47">
          <cell r="F47">
            <v>9821.24</v>
          </cell>
          <cell r="N47">
            <v>11864.72</v>
          </cell>
        </row>
        <row r="48">
          <cell r="F48">
            <v>2875.7200000000003</v>
          </cell>
          <cell r="N48">
            <v>3587.29</v>
          </cell>
        </row>
        <row r="49">
          <cell r="F49">
            <v>3509.33</v>
          </cell>
          <cell r="N49">
            <v>4798.41</v>
          </cell>
        </row>
        <row r="50">
          <cell r="F50">
            <v>2421.35</v>
          </cell>
          <cell r="N50">
            <v>3137.0200000000004</v>
          </cell>
        </row>
        <row r="51">
          <cell r="F51">
            <v>37350.879999999997</v>
          </cell>
          <cell r="N51">
            <v>37246.28</v>
          </cell>
        </row>
        <row r="52">
          <cell r="F52">
            <v>0</v>
          </cell>
          <cell r="N52">
            <v>0</v>
          </cell>
        </row>
        <row r="53">
          <cell r="F53">
            <v>1314.44</v>
          </cell>
          <cell r="N53">
            <v>1318.1000000000001</v>
          </cell>
        </row>
        <row r="54">
          <cell r="F54">
            <v>2231.1</v>
          </cell>
          <cell r="N54">
            <v>2261.8000000000002</v>
          </cell>
        </row>
        <row r="55">
          <cell r="F55">
            <v>2603.7200000000003</v>
          </cell>
          <cell r="N55">
            <v>1755.42</v>
          </cell>
        </row>
        <row r="56">
          <cell r="F56">
            <v>722.69</v>
          </cell>
          <cell r="N56">
            <v>0</v>
          </cell>
        </row>
        <row r="57">
          <cell r="F57">
            <v>1304.96</v>
          </cell>
          <cell r="N57">
            <v>1115.93</v>
          </cell>
        </row>
        <row r="58">
          <cell r="F58">
            <v>128.44</v>
          </cell>
          <cell r="N58">
            <v>3.8000000000000291</v>
          </cell>
        </row>
        <row r="59">
          <cell r="F59">
            <v>3780.7</v>
          </cell>
          <cell r="N59">
            <v>768.31000000000017</v>
          </cell>
        </row>
        <row r="60">
          <cell r="F60">
            <v>284.71000000000004</v>
          </cell>
          <cell r="N60">
            <v>510.90999999999985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61.85</v>
          </cell>
        </row>
        <row r="64">
          <cell r="F64">
            <v>187.75</v>
          </cell>
          <cell r="N64">
            <v>462.48</v>
          </cell>
        </row>
        <row r="65">
          <cell r="F65">
            <v>29381.33</v>
          </cell>
          <cell r="N65">
            <v>21194.829999999998</v>
          </cell>
        </row>
        <row r="66">
          <cell r="F66">
            <v>1686.82</v>
          </cell>
          <cell r="N66">
            <v>0</v>
          </cell>
        </row>
        <row r="67">
          <cell r="F67">
            <v>0</v>
          </cell>
          <cell r="N67">
            <v>0</v>
          </cell>
        </row>
        <row r="68">
          <cell r="F68">
            <v>141.5</v>
          </cell>
          <cell r="N68">
            <v>0</v>
          </cell>
        </row>
        <row r="69">
          <cell r="F69">
            <v>3980.52</v>
          </cell>
          <cell r="N69">
            <v>4343.9599999999991</v>
          </cell>
        </row>
        <row r="70">
          <cell r="F70">
            <v>234.66</v>
          </cell>
          <cell r="N70">
            <v>3634.55</v>
          </cell>
        </row>
        <row r="71">
          <cell r="F71">
            <v>0</v>
          </cell>
          <cell r="N71">
            <v>609.21</v>
          </cell>
        </row>
        <row r="72">
          <cell r="F72">
            <v>31359.906666666669</v>
          </cell>
          <cell r="N72">
            <v>31359.919999999998</v>
          </cell>
        </row>
        <row r="73">
          <cell r="F73">
            <v>4253.01</v>
          </cell>
          <cell r="N73">
            <v>7259.3899999999994</v>
          </cell>
        </row>
        <row r="74">
          <cell r="F74">
            <v>493.78</v>
          </cell>
        </row>
        <row r="81">
          <cell r="F81">
            <v>38524.519999999997</v>
          </cell>
          <cell r="N81">
            <v>23621.690000000002</v>
          </cell>
        </row>
        <row r="82">
          <cell r="F82">
            <v>7818.87</v>
          </cell>
          <cell r="N82">
            <v>7124.15</v>
          </cell>
        </row>
        <row r="83">
          <cell r="F83">
            <v>7848.6900000000005</v>
          </cell>
          <cell r="N83">
            <v>1730.58</v>
          </cell>
        </row>
        <row r="84">
          <cell r="F84">
            <v>4932.1000000000004</v>
          </cell>
          <cell r="N84">
            <v>5933.05</v>
          </cell>
        </row>
        <row r="85">
          <cell r="F85">
            <v>5213.8899999999994</v>
          </cell>
          <cell r="N85">
            <v>0</v>
          </cell>
        </row>
        <row r="86">
          <cell r="F86">
            <v>1578.8</v>
          </cell>
          <cell r="N86">
            <v>1287.1500000000001</v>
          </cell>
        </row>
        <row r="87">
          <cell r="F87">
            <v>1599.23</v>
          </cell>
          <cell r="N87">
            <v>686.56999999999994</v>
          </cell>
        </row>
        <row r="88">
          <cell r="F88">
            <v>685.71</v>
          </cell>
          <cell r="N88">
            <v>1185.47</v>
          </cell>
        </row>
        <row r="89">
          <cell r="F89">
            <v>720.79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304.21999999999997</v>
          </cell>
          <cell r="N97">
            <v>8.0399999999999991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801.03</v>
          </cell>
          <cell r="N101">
            <v>1305.52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2273.7399999999998</v>
          </cell>
          <cell r="N104">
            <v>2598.29</v>
          </cell>
        </row>
        <row r="105">
          <cell r="F105">
            <v>0</v>
          </cell>
          <cell r="N105">
            <v>0</v>
          </cell>
        </row>
        <row r="106">
          <cell r="N106">
            <v>0</v>
          </cell>
        </row>
        <row r="117">
          <cell r="F117">
            <v>39488.04</v>
          </cell>
          <cell r="N117">
            <v>36129.740000000005</v>
          </cell>
        </row>
        <row r="118">
          <cell r="F118">
            <v>5305.25</v>
          </cell>
          <cell r="N118">
            <v>5513.4699999999993</v>
          </cell>
        </row>
        <row r="119">
          <cell r="F119">
            <v>1079.74</v>
          </cell>
          <cell r="N119">
            <v>1105.6200000000001</v>
          </cell>
        </row>
        <row r="120">
          <cell r="F120">
            <v>3502</v>
          </cell>
          <cell r="N120">
            <v>3400</v>
          </cell>
        </row>
        <row r="121">
          <cell r="F121">
            <v>0</v>
          </cell>
          <cell r="N121">
            <v>0</v>
          </cell>
        </row>
        <row r="122">
          <cell r="F122">
            <v>994.2</v>
          </cell>
          <cell r="N122">
            <v>965.24</v>
          </cell>
        </row>
        <row r="123">
          <cell r="F123">
            <v>3861</v>
          </cell>
          <cell r="N123">
            <v>3861</v>
          </cell>
        </row>
        <row r="124">
          <cell r="F124">
            <v>126.08</v>
          </cell>
          <cell r="N124">
            <v>122.4</v>
          </cell>
        </row>
        <row r="125">
          <cell r="F125">
            <v>35.799999999999997</v>
          </cell>
          <cell r="N125">
            <v>34.76</v>
          </cell>
        </row>
        <row r="126">
          <cell r="F126">
            <v>0</v>
          </cell>
          <cell r="N126">
            <v>0</v>
          </cell>
        </row>
        <row r="127">
          <cell r="F127">
            <v>139</v>
          </cell>
          <cell r="N127">
            <v>139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141.5</v>
          </cell>
          <cell r="N131">
            <v>185.5</v>
          </cell>
        </row>
        <row r="132">
          <cell r="F132">
            <v>612.16</v>
          </cell>
          <cell r="N132">
            <v>347.83000000000004</v>
          </cell>
        </row>
        <row r="133">
          <cell r="F133">
            <v>72.78</v>
          </cell>
          <cell r="N133">
            <v>3.0200000000000036</v>
          </cell>
        </row>
        <row r="134">
          <cell r="F134">
            <v>32.85</v>
          </cell>
          <cell r="N134">
            <v>45.390000000000008</v>
          </cell>
        </row>
        <row r="135">
          <cell r="F135">
            <v>49.63</v>
          </cell>
          <cell r="N135">
            <v>32.050000000000004</v>
          </cell>
        </row>
        <row r="136">
          <cell r="F136">
            <v>1137.17</v>
          </cell>
          <cell r="N136">
            <v>1099.1199999999999</v>
          </cell>
        </row>
        <row r="137">
          <cell r="F137">
            <v>12.13</v>
          </cell>
          <cell r="N137">
            <v>28.63</v>
          </cell>
        </row>
        <row r="138">
          <cell r="F138">
            <v>299.25</v>
          </cell>
          <cell r="N138">
            <v>387.74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488.53999999999996</v>
          </cell>
          <cell r="N142">
            <v>133.24</v>
          </cell>
        </row>
        <row r="143">
          <cell r="F143">
            <v>4742.7299999999996</v>
          </cell>
          <cell r="N143">
            <v>3000</v>
          </cell>
        </row>
        <row r="144">
          <cell r="F144">
            <v>4434.25</v>
          </cell>
          <cell r="N144">
            <v>2400.42</v>
          </cell>
        </row>
        <row r="145">
          <cell r="F145">
            <v>1968.06</v>
          </cell>
          <cell r="N145">
            <v>1228.8400000000001</v>
          </cell>
        </row>
        <row r="146">
          <cell r="F146">
            <v>279.39999999999998</v>
          </cell>
          <cell r="N146">
            <v>508.54999999999995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2961.8</v>
          </cell>
          <cell r="N149">
            <v>2518.09</v>
          </cell>
        </row>
        <row r="150">
          <cell r="F150">
            <v>0</v>
          </cell>
          <cell r="N150">
            <v>0</v>
          </cell>
        </row>
        <row r="151">
          <cell r="F151">
            <v>2327.6999999999998</v>
          </cell>
          <cell r="N151">
            <v>556.22</v>
          </cell>
        </row>
        <row r="152">
          <cell r="F152">
            <v>0</v>
          </cell>
          <cell r="N152">
            <v>3060.9</v>
          </cell>
        </row>
        <row r="153">
          <cell r="F153">
            <v>3110.6800000000003</v>
          </cell>
          <cell r="N153">
            <v>0</v>
          </cell>
        </row>
      </sheetData>
      <sheetData sheetId="9">
        <row r="7">
          <cell r="N7">
            <v>203701.00805309735</v>
          </cell>
        </row>
        <row r="8">
          <cell r="F8">
            <v>191311.33176991151</v>
          </cell>
          <cell r="J8">
            <v>196288.43819710801</v>
          </cell>
          <cell r="N8">
            <v>177287.5228318584</v>
          </cell>
        </row>
        <row r="9">
          <cell r="F9">
            <v>44.25</v>
          </cell>
          <cell r="J9">
            <v>1010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28814.097876106196</v>
          </cell>
          <cell r="N11">
            <v>13995.57522123894</v>
          </cell>
        </row>
        <row r="12">
          <cell r="F12">
            <v>2225.63</v>
          </cell>
          <cell r="J12">
            <v>1964.48</v>
          </cell>
          <cell r="N12">
            <v>1764.48</v>
          </cell>
        </row>
        <row r="13">
          <cell r="F13">
            <v>3326.71</v>
          </cell>
          <cell r="J13">
            <v>4126.74</v>
          </cell>
          <cell r="N13">
            <v>4126.74</v>
          </cell>
        </row>
        <row r="14">
          <cell r="F14">
            <v>500</v>
          </cell>
          <cell r="J14">
            <v>500</v>
          </cell>
          <cell r="N14">
            <v>500</v>
          </cell>
        </row>
        <row r="15">
          <cell r="F15">
            <v>1175.0900000000001</v>
          </cell>
          <cell r="J15">
            <v>1036.1500000000001</v>
          </cell>
          <cell r="N15">
            <v>207.23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300.88</v>
          </cell>
          <cell r="N21">
            <v>150.44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1263</v>
          </cell>
          <cell r="N25">
            <v>631.5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250.7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264.43</v>
          </cell>
          <cell r="J30">
            <v>11379.71</v>
          </cell>
          <cell r="N30">
            <v>5466.38</v>
          </cell>
        </row>
        <row r="31">
          <cell r="F31">
            <v>-1281.8600000000001</v>
          </cell>
          <cell r="J31">
            <v>-952.90000000000009</v>
          </cell>
          <cell r="N31">
            <v>-952.92000000000007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223142.3833333333</v>
          </cell>
          <cell r="N44">
            <v>228202.52</v>
          </cell>
        </row>
        <row r="45">
          <cell r="F45">
            <v>17090.259999999998</v>
          </cell>
          <cell r="N45">
            <v>19877.75</v>
          </cell>
        </row>
        <row r="46">
          <cell r="F46">
            <v>24880</v>
          </cell>
          <cell r="N46">
            <v>29167.73</v>
          </cell>
        </row>
        <row r="47">
          <cell r="F47">
            <v>14200.8</v>
          </cell>
          <cell r="N47">
            <v>14685.849999999999</v>
          </cell>
        </row>
        <row r="48">
          <cell r="F48">
            <v>3672.9500000000003</v>
          </cell>
          <cell r="N48">
            <v>4809.28</v>
          </cell>
        </row>
        <row r="49">
          <cell r="F49">
            <v>4508.5199999999995</v>
          </cell>
          <cell r="N49">
            <v>5622.27</v>
          </cell>
        </row>
        <row r="50">
          <cell r="F50">
            <v>3032.88</v>
          </cell>
          <cell r="N50">
            <v>3882.9300000000003</v>
          </cell>
        </row>
        <row r="51">
          <cell r="F51">
            <v>47267</v>
          </cell>
          <cell r="N51">
            <v>46558.85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1645.7700000000002</v>
          </cell>
        </row>
        <row r="54">
          <cell r="F54">
            <v>2427.5</v>
          </cell>
          <cell r="N54">
            <v>2521.63</v>
          </cell>
        </row>
        <row r="55">
          <cell r="F55">
            <v>3383.5</v>
          </cell>
          <cell r="N55">
            <v>2361.4899999999998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1472.6200000000001</v>
          </cell>
        </row>
        <row r="58">
          <cell r="F58">
            <v>287.06</v>
          </cell>
          <cell r="N58">
            <v>210.15000000000003</v>
          </cell>
        </row>
        <row r="59">
          <cell r="F59">
            <v>3780.7</v>
          </cell>
          <cell r="N59">
            <v>768.31000000000017</v>
          </cell>
        </row>
        <row r="60">
          <cell r="F60">
            <v>363.25000000000006</v>
          </cell>
          <cell r="N60">
            <v>597.83999999999969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61.85</v>
          </cell>
        </row>
        <row r="64">
          <cell r="F64">
            <v>188.71</v>
          </cell>
          <cell r="N64">
            <v>462.48</v>
          </cell>
        </row>
        <row r="65">
          <cell r="F65">
            <v>36346.14</v>
          </cell>
          <cell r="N65">
            <v>32431.829999999998</v>
          </cell>
        </row>
        <row r="66">
          <cell r="F66">
            <v>2900.09</v>
          </cell>
          <cell r="N66">
            <v>0</v>
          </cell>
        </row>
        <row r="67">
          <cell r="F67">
            <v>0</v>
          </cell>
          <cell r="N67">
            <v>0</v>
          </cell>
        </row>
        <row r="68">
          <cell r="F68">
            <v>399.06</v>
          </cell>
          <cell r="N68">
            <v>0</v>
          </cell>
        </row>
        <row r="69">
          <cell r="F69">
            <v>5994.46</v>
          </cell>
          <cell r="N69">
            <v>6907.6899999999987</v>
          </cell>
        </row>
        <row r="70">
          <cell r="F70">
            <v>1811.8300000000002</v>
          </cell>
          <cell r="N70">
            <v>3634.55</v>
          </cell>
        </row>
        <row r="71">
          <cell r="F71">
            <v>0</v>
          </cell>
          <cell r="N71">
            <v>952.90000000000009</v>
          </cell>
        </row>
        <row r="72">
          <cell r="F72">
            <v>39199.883333333339</v>
          </cell>
          <cell r="N72">
            <v>39199.899999999994</v>
          </cell>
        </row>
        <row r="73">
          <cell r="F73">
            <v>5806.2300000000005</v>
          </cell>
          <cell r="N73">
            <v>10350.869999999999</v>
          </cell>
        </row>
        <row r="74">
          <cell r="F74">
            <v>1179.54</v>
          </cell>
        </row>
        <row r="81">
          <cell r="F81">
            <v>46297.34</v>
          </cell>
          <cell r="N81">
            <v>31222.53</v>
          </cell>
        </row>
        <row r="82">
          <cell r="F82">
            <v>9451.0400000000009</v>
          </cell>
          <cell r="N82">
            <v>8697.48</v>
          </cell>
        </row>
        <row r="83">
          <cell r="F83">
            <v>10153.07</v>
          </cell>
          <cell r="N83">
            <v>3221.29</v>
          </cell>
        </row>
        <row r="84">
          <cell r="F84">
            <v>5921.02</v>
          </cell>
          <cell r="N84">
            <v>8174.06</v>
          </cell>
        </row>
        <row r="85">
          <cell r="F85">
            <v>6270.86</v>
          </cell>
          <cell r="N85">
            <v>0</v>
          </cell>
        </row>
        <row r="86">
          <cell r="F86">
            <v>1913.23</v>
          </cell>
          <cell r="N86">
            <v>1637.8500000000001</v>
          </cell>
        </row>
        <row r="87">
          <cell r="F87">
            <v>2080.4</v>
          </cell>
          <cell r="N87">
            <v>1018.8499999999999</v>
          </cell>
        </row>
        <row r="88">
          <cell r="F88">
            <v>901.2</v>
          </cell>
          <cell r="N88">
            <v>1599.68</v>
          </cell>
        </row>
        <row r="89">
          <cell r="F89">
            <v>880.69999999999993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554.78</v>
          </cell>
          <cell r="N97">
            <v>21.79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878.12</v>
          </cell>
          <cell r="N101">
            <v>1430.43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2545.4699999999998</v>
          </cell>
          <cell r="N104">
            <v>3658.23</v>
          </cell>
        </row>
        <row r="105">
          <cell r="F105">
            <v>0</v>
          </cell>
          <cell r="N105">
            <v>0</v>
          </cell>
        </row>
        <row r="117">
          <cell r="F117">
            <v>47345.49</v>
          </cell>
          <cell r="N117">
            <v>43439.39</v>
          </cell>
        </row>
        <row r="118">
          <cell r="F118">
            <v>6449.25</v>
          </cell>
          <cell r="N118">
            <v>6592.4699999999993</v>
          </cell>
        </row>
        <row r="119">
          <cell r="F119">
            <v>1329.02</v>
          </cell>
          <cell r="N119">
            <v>1346.13</v>
          </cell>
        </row>
        <row r="120">
          <cell r="F120">
            <v>4377.5</v>
          </cell>
          <cell r="N120">
            <v>4250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1206.55</v>
          </cell>
        </row>
        <row r="123">
          <cell r="F123">
            <v>4826.25</v>
          </cell>
          <cell r="N123">
            <v>4826.25</v>
          </cell>
        </row>
        <row r="124">
          <cell r="F124">
            <v>157.6</v>
          </cell>
          <cell r="N124">
            <v>153</v>
          </cell>
        </row>
        <row r="125">
          <cell r="F125">
            <v>44.75</v>
          </cell>
          <cell r="N125">
            <v>43.449999999999996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173.75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217.5</v>
          </cell>
        </row>
        <row r="132">
          <cell r="F132">
            <v>751.64</v>
          </cell>
          <cell r="N132">
            <v>487.94000000000005</v>
          </cell>
        </row>
        <row r="133">
          <cell r="F133">
            <v>88.68</v>
          </cell>
          <cell r="N133">
            <v>32.610000000000007</v>
          </cell>
        </row>
        <row r="134">
          <cell r="F134">
            <v>46.31</v>
          </cell>
          <cell r="N134">
            <v>34.370000000000005</v>
          </cell>
        </row>
        <row r="135">
          <cell r="F135">
            <v>62.370000000000005</v>
          </cell>
          <cell r="N135">
            <v>101.53</v>
          </cell>
        </row>
        <row r="136">
          <cell r="F136">
            <v>1482.8000000000002</v>
          </cell>
          <cell r="N136">
            <v>1468.7399999999998</v>
          </cell>
        </row>
        <row r="137">
          <cell r="F137">
            <v>25.62</v>
          </cell>
          <cell r="N137">
            <v>50.31</v>
          </cell>
        </row>
        <row r="138">
          <cell r="F138">
            <v>299.25</v>
          </cell>
          <cell r="N138">
            <v>469.58000000000004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901.3</v>
          </cell>
        </row>
        <row r="143">
          <cell r="F143">
            <v>5242.7299999999996</v>
          </cell>
          <cell r="N143">
            <v>3900</v>
          </cell>
        </row>
        <row r="144">
          <cell r="F144">
            <v>4600.62</v>
          </cell>
          <cell r="N144">
            <v>2559.0700000000002</v>
          </cell>
        </row>
        <row r="145">
          <cell r="F145">
            <v>2050.08</v>
          </cell>
          <cell r="N145">
            <v>1376.13</v>
          </cell>
        </row>
        <row r="146">
          <cell r="F146">
            <v>345.75</v>
          </cell>
          <cell r="N146">
            <v>600.92999999999995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2836.4300000000003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556.22</v>
          </cell>
        </row>
        <row r="152">
          <cell r="F152">
            <v>0</v>
          </cell>
          <cell r="N152">
            <v>3599.33</v>
          </cell>
        </row>
        <row r="153">
          <cell r="F153">
            <v>3888.3500000000004</v>
          </cell>
          <cell r="N153">
            <v>0</v>
          </cell>
        </row>
      </sheetData>
      <sheetData sheetId="10">
        <row r="8">
          <cell r="F8">
            <v>191311.33176991151</v>
          </cell>
          <cell r="J8">
            <v>263506.03495944297</v>
          </cell>
          <cell r="N8">
            <v>253065.94283185841</v>
          </cell>
        </row>
        <row r="9">
          <cell r="F9">
            <v>44.25</v>
          </cell>
          <cell r="J9">
            <v>1215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40795.517876106198</v>
          </cell>
          <cell r="N11">
            <v>19986.285221238941</v>
          </cell>
        </row>
        <row r="12">
          <cell r="F12">
            <v>2225.63</v>
          </cell>
          <cell r="J12">
            <v>2256.9299999999998</v>
          </cell>
          <cell r="N12">
            <v>2056.9299999999998</v>
          </cell>
        </row>
        <row r="13">
          <cell r="F13">
            <v>3326.71</v>
          </cell>
          <cell r="J13">
            <v>6269.65</v>
          </cell>
          <cell r="N13">
            <v>6269.65</v>
          </cell>
        </row>
        <row r="14">
          <cell r="F14">
            <v>500</v>
          </cell>
          <cell r="J14">
            <v>600</v>
          </cell>
          <cell r="N14">
            <v>600</v>
          </cell>
        </row>
        <row r="15">
          <cell r="F15">
            <v>1175.0900000000001</v>
          </cell>
          <cell r="J15">
            <v>2647.45</v>
          </cell>
          <cell r="N15">
            <v>529.49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336.3</v>
          </cell>
          <cell r="N17">
            <v>168.15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1398.2199999999998</v>
          </cell>
          <cell r="N21">
            <v>699.1099999999999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2225.4</v>
          </cell>
          <cell r="N25">
            <v>1112.7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250.7</v>
          </cell>
          <cell r="J28">
            <v>388.7</v>
          </cell>
          <cell r="N28">
            <v>194.35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264.43</v>
          </cell>
          <cell r="J30">
            <v>11493.72</v>
          </cell>
          <cell r="N30">
            <v>5580.39</v>
          </cell>
        </row>
        <row r="31">
          <cell r="F31">
            <v>-1281.8600000000001</v>
          </cell>
          <cell r="J31">
            <v>-1356.0300000000002</v>
          </cell>
          <cell r="N31">
            <v>-1356.0500000000002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230982.36</v>
          </cell>
          <cell r="N44">
            <v>280771.37900000002</v>
          </cell>
        </row>
        <row r="45">
          <cell r="F45">
            <v>17090.259999999998</v>
          </cell>
          <cell r="N45">
            <v>24796.760000000002</v>
          </cell>
        </row>
        <row r="46">
          <cell r="F46">
            <v>24880</v>
          </cell>
          <cell r="N46">
            <v>33311.75</v>
          </cell>
        </row>
        <row r="47">
          <cell r="F47">
            <v>14200.8</v>
          </cell>
          <cell r="N47">
            <v>17339.719999999998</v>
          </cell>
        </row>
        <row r="48">
          <cell r="F48">
            <v>3672.9500000000003</v>
          </cell>
          <cell r="N48">
            <v>5980.1399999999994</v>
          </cell>
        </row>
        <row r="49">
          <cell r="F49">
            <v>4508.5199999999995</v>
          </cell>
          <cell r="N49">
            <v>6569.4900000000007</v>
          </cell>
        </row>
        <row r="50">
          <cell r="F50">
            <v>3032.88</v>
          </cell>
          <cell r="N50">
            <v>4659.2300000000005</v>
          </cell>
        </row>
        <row r="51">
          <cell r="F51">
            <v>47267</v>
          </cell>
          <cell r="N51">
            <v>55889.96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1974.1200000000003</v>
          </cell>
        </row>
        <row r="54">
          <cell r="F54">
            <v>2427.5</v>
          </cell>
          <cell r="N54">
            <v>3788.0600000000004</v>
          </cell>
        </row>
        <row r="55">
          <cell r="F55">
            <v>3383.5</v>
          </cell>
          <cell r="N55">
            <v>3190.2089999999998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1833.0100000000002</v>
          </cell>
        </row>
        <row r="58">
          <cell r="F58">
            <v>287.06</v>
          </cell>
          <cell r="N58">
            <v>240.42000000000004</v>
          </cell>
        </row>
        <row r="59">
          <cell r="F59">
            <v>3780.7</v>
          </cell>
          <cell r="N59">
            <v>1059.69</v>
          </cell>
        </row>
        <row r="60">
          <cell r="F60">
            <v>363.25000000000006</v>
          </cell>
          <cell r="N60">
            <v>907.85999999999967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462.48</v>
          </cell>
        </row>
        <row r="65">
          <cell r="F65">
            <v>36346.14</v>
          </cell>
          <cell r="N65">
            <v>42977.17</v>
          </cell>
        </row>
        <row r="66">
          <cell r="F66">
            <v>2900.09</v>
          </cell>
          <cell r="N66">
            <v>353.98</v>
          </cell>
        </row>
        <row r="67">
          <cell r="F67">
            <v>0</v>
          </cell>
          <cell r="N67">
            <v>140</v>
          </cell>
        </row>
        <row r="68">
          <cell r="F68">
            <v>399.06</v>
          </cell>
          <cell r="N68">
            <v>0</v>
          </cell>
        </row>
        <row r="69">
          <cell r="F69">
            <v>5994.46</v>
          </cell>
          <cell r="N69">
            <v>9147.6799999999985</v>
          </cell>
        </row>
        <row r="70">
          <cell r="F70">
            <v>1811.8300000000002</v>
          </cell>
          <cell r="N70">
            <v>4352.18</v>
          </cell>
        </row>
        <row r="71">
          <cell r="F71">
            <v>0</v>
          </cell>
          <cell r="N71">
            <v>1356.0300000000002</v>
          </cell>
        </row>
        <row r="72">
          <cell r="F72">
            <v>47039.860000000008</v>
          </cell>
          <cell r="N72">
            <v>47039.87999999999</v>
          </cell>
        </row>
        <row r="73">
          <cell r="F73">
            <v>5806.2300000000005</v>
          </cell>
          <cell r="N73">
            <v>13282.48</v>
          </cell>
        </row>
        <row r="81">
          <cell r="D81">
            <v>0</v>
          </cell>
          <cell r="F81">
            <v>46297.34</v>
          </cell>
          <cell r="N81">
            <v>38145.430000000008</v>
          </cell>
        </row>
        <row r="82">
          <cell r="D82">
            <v>0</v>
          </cell>
          <cell r="F82">
            <v>9451.0400000000009</v>
          </cell>
          <cell r="N82">
            <v>10301.459999999999</v>
          </cell>
        </row>
        <row r="83">
          <cell r="D83">
            <v>0</v>
          </cell>
          <cell r="F83">
            <v>10153.07</v>
          </cell>
          <cell r="N83">
            <v>5806.59</v>
          </cell>
        </row>
        <row r="84">
          <cell r="D84">
            <v>0</v>
          </cell>
          <cell r="F84">
            <v>5921.02</v>
          </cell>
          <cell r="N84">
            <v>8738.77</v>
          </cell>
        </row>
        <row r="85">
          <cell r="D85">
            <v>0</v>
          </cell>
          <cell r="F85">
            <v>6270.86</v>
          </cell>
          <cell r="N85">
            <v>0</v>
          </cell>
        </row>
        <row r="86">
          <cell r="D86">
            <v>0</v>
          </cell>
          <cell r="F86">
            <v>1913.23</v>
          </cell>
          <cell r="N86">
            <v>2003.3600000000001</v>
          </cell>
        </row>
        <row r="87">
          <cell r="D87">
            <v>0</v>
          </cell>
          <cell r="F87">
            <v>2080.4</v>
          </cell>
          <cell r="N87">
            <v>1513.05</v>
          </cell>
        </row>
        <row r="88">
          <cell r="D88">
            <v>0</v>
          </cell>
          <cell r="F88">
            <v>901.2</v>
          </cell>
          <cell r="N88">
            <v>1699.15</v>
          </cell>
        </row>
        <row r="89">
          <cell r="D89">
            <v>0</v>
          </cell>
          <cell r="F89">
            <v>880.69999999999993</v>
          </cell>
          <cell r="N89">
            <v>0</v>
          </cell>
        </row>
        <row r="90">
          <cell r="D90">
            <v>0</v>
          </cell>
          <cell r="F90">
            <v>0</v>
          </cell>
          <cell r="N90">
            <v>0</v>
          </cell>
        </row>
        <row r="91">
          <cell r="D91">
            <v>0</v>
          </cell>
          <cell r="F91">
            <v>0</v>
          </cell>
          <cell r="N91">
            <v>0</v>
          </cell>
        </row>
        <row r="92">
          <cell r="D92">
            <v>0</v>
          </cell>
          <cell r="F92">
            <v>0</v>
          </cell>
          <cell r="N92">
            <v>0</v>
          </cell>
        </row>
        <row r="93">
          <cell r="D93">
            <v>0</v>
          </cell>
          <cell r="F93">
            <v>0</v>
          </cell>
          <cell r="N93">
            <v>0</v>
          </cell>
        </row>
        <row r="94">
          <cell r="D94">
            <v>0</v>
          </cell>
          <cell r="F94">
            <v>0</v>
          </cell>
          <cell r="N94">
            <v>0</v>
          </cell>
        </row>
        <row r="95">
          <cell r="D95">
            <v>0</v>
          </cell>
          <cell r="F95">
            <v>0</v>
          </cell>
          <cell r="N95">
            <v>0</v>
          </cell>
        </row>
        <row r="96">
          <cell r="D96">
            <v>0</v>
          </cell>
          <cell r="F96">
            <v>0</v>
          </cell>
          <cell r="N96">
            <v>246.76</v>
          </cell>
        </row>
        <row r="97">
          <cell r="D97">
            <v>0</v>
          </cell>
          <cell r="F97">
            <v>554.78</v>
          </cell>
          <cell r="N97">
            <v>94.289999999999992</v>
          </cell>
        </row>
        <row r="98">
          <cell r="D98">
            <v>0</v>
          </cell>
          <cell r="F98">
            <v>0</v>
          </cell>
          <cell r="N98">
            <v>0</v>
          </cell>
        </row>
        <row r="99">
          <cell r="D99">
            <v>0</v>
          </cell>
          <cell r="F99">
            <v>0</v>
          </cell>
          <cell r="N99">
            <v>0</v>
          </cell>
        </row>
        <row r="100">
          <cell r="D100">
            <v>0</v>
          </cell>
          <cell r="F100">
            <v>4747.45</v>
          </cell>
          <cell r="N100">
            <v>119.88</v>
          </cell>
        </row>
        <row r="101">
          <cell r="D101">
            <v>0</v>
          </cell>
          <cell r="F101">
            <v>878.12</v>
          </cell>
          <cell r="N101">
            <v>1567.66</v>
          </cell>
        </row>
        <row r="102">
          <cell r="D102">
            <v>0</v>
          </cell>
          <cell r="F102">
            <v>0</v>
          </cell>
          <cell r="N102">
            <v>0</v>
          </cell>
        </row>
        <row r="103">
          <cell r="D103">
            <v>0</v>
          </cell>
          <cell r="F103">
            <v>0</v>
          </cell>
          <cell r="N103">
            <v>1396.23</v>
          </cell>
        </row>
        <row r="104">
          <cell r="D104">
            <v>0</v>
          </cell>
          <cell r="F104">
            <v>2545.4699999999998</v>
          </cell>
          <cell r="N104">
            <v>4658.2299999999996</v>
          </cell>
        </row>
        <row r="105">
          <cell r="D105">
            <v>0</v>
          </cell>
          <cell r="F105">
            <v>0</v>
          </cell>
          <cell r="N105">
            <v>0</v>
          </cell>
        </row>
        <row r="117">
          <cell r="F117">
            <v>48123.159999999996</v>
          </cell>
          <cell r="N117">
            <v>49401.37000000001</v>
          </cell>
        </row>
        <row r="118">
          <cell r="F118">
            <v>6449.25</v>
          </cell>
          <cell r="N118">
            <v>7599.7699999999995</v>
          </cell>
        </row>
        <row r="119">
          <cell r="F119">
            <v>1329.02</v>
          </cell>
          <cell r="N119">
            <v>1586.64</v>
          </cell>
        </row>
        <row r="120">
          <cell r="F120">
            <v>4377.5</v>
          </cell>
          <cell r="N120">
            <v>5100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1447.86</v>
          </cell>
        </row>
        <row r="123">
          <cell r="F123">
            <v>4826.25</v>
          </cell>
          <cell r="N123">
            <v>5791.5</v>
          </cell>
        </row>
        <row r="124">
          <cell r="F124">
            <v>157.6</v>
          </cell>
          <cell r="N124">
            <v>183.6</v>
          </cell>
        </row>
        <row r="125">
          <cell r="F125">
            <v>44.75</v>
          </cell>
          <cell r="N125">
            <v>52.139999999999993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208.5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248.5</v>
          </cell>
        </row>
        <row r="132">
          <cell r="F132">
            <v>751.64</v>
          </cell>
          <cell r="N132">
            <v>678.65000000000009</v>
          </cell>
        </row>
        <row r="133">
          <cell r="F133">
            <v>88.68</v>
          </cell>
          <cell r="N133">
            <v>76.330000000000013</v>
          </cell>
        </row>
        <row r="134">
          <cell r="F134">
            <v>46.31</v>
          </cell>
          <cell r="N134">
            <v>33.320000000000007</v>
          </cell>
        </row>
        <row r="135">
          <cell r="F135">
            <v>62.370000000000005</v>
          </cell>
          <cell r="N135">
            <v>184.54000000000002</v>
          </cell>
        </row>
        <row r="136">
          <cell r="F136">
            <v>1482.8000000000002</v>
          </cell>
          <cell r="N136">
            <v>1835.6799999999998</v>
          </cell>
        </row>
        <row r="137">
          <cell r="F137">
            <v>25.62</v>
          </cell>
          <cell r="N137">
            <v>50.31</v>
          </cell>
        </row>
        <row r="138">
          <cell r="F138">
            <v>299.25</v>
          </cell>
          <cell r="N138">
            <v>469.58000000000004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901.3</v>
          </cell>
        </row>
        <row r="143">
          <cell r="F143">
            <v>5242.7299999999996</v>
          </cell>
          <cell r="N143">
            <v>4800</v>
          </cell>
        </row>
        <row r="144">
          <cell r="F144">
            <v>4600.62</v>
          </cell>
          <cell r="N144">
            <v>2559.0700000000002</v>
          </cell>
        </row>
        <row r="145">
          <cell r="F145">
            <v>2050.08</v>
          </cell>
          <cell r="N145">
            <v>1405.43</v>
          </cell>
        </row>
        <row r="146">
          <cell r="F146">
            <v>345.75</v>
          </cell>
          <cell r="N146">
            <v>713.29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2966.61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556.22</v>
          </cell>
        </row>
        <row r="152">
          <cell r="F152">
            <v>0</v>
          </cell>
          <cell r="N152">
            <v>4274</v>
          </cell>
        </row>
        <row r="153">
          <cell r="F153">
            <v>4666.0200000000004</v>
          </cell>
          <cell r="N153">
            <v>0</v>
          </cell>
        </row>
      </sheetData>
      <sheetData sheetId="11">
        <row r="8">
          <cell r="F8">
            <v>191311.33176991151</v>
          </cell>
          <cell r="J8">
            <v>333904.83628838381</v>
          </cell>
          <cell r="N8">
            <v>325810.4328318584</v>
          </cell>
        </row>
        <row r="9">
          <cell r="F9">
            <v>44.25</v>
          </cell>
          <cell r="J9">
            <v>1421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49399.737876106199</v>
          </cell>
          <cell r="N11">
            <v>24288.395221238941</v>
          </cell>
        </row>
        <row r="12">
          <cell r="F12">
            <v>2225.63</v>
          </cell>
          <cell r="J12">
            <v>2606.5899999999997</v>
          </cell>
          <cell r="N12">
            <v>2406.5899999999997</v>
          </cell>
        </row>
        <row r="13">
          <cell r="F13">
            <v>3326.71</v>
          </cell>
          <cell r="J13">
            <v>9277.07</v>
          </cell>
          <cell r="N13">
            <v>9277.07</v>
          </cell>
        </row>
        <row r="14">
          <cell r="F14">
            <v>500</v>
          </cell>
          <cell r="J14">
            <v>700</v>
          </cell>
          <cell r="N14">
            <v>700</v>
          </cell>
        </row>
        <row r="15">
          <cell r="F15">
            <v>1175.0900000000001</v>
          </cell>
          <cell r="J15">
            <v>3345</v>
          </cell>
          <cell r="N15">
            <v>669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513.29999999999995</v>
          </cell>
          <cell r="N17">
            <v>256.64999999999998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2021.2199999999998</v>
          </cell>
          <cell r="N21">
            <v>1010.6099999999999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3409.5</v>
          </cell>
          <cell r="N25">
            <v>1704.75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250.7</v>
          </cell>
          <cell r="J28">
            <v>839.5</v>
          </cell>
          <cell r="N28">
            <v>419.75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264.43</v>
          </cell>
          <cell r="J30">
            <v>11517.83</v>
          </cell>
          <cell r="N30">
            <v>5604.5</v>
          </cell>
        </row>
        <row r="31">
          <cell r="F31">
            <v>-1281.8600000000001</v>
          </cell>
          <cell r="J31">
            <v>-1739.3500000000001</v>
          </cell>
          <cell r="N31">
            <v>-1739.3700000000001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238822.33666666664</v>
          </cell>
          <cell r="N44">
            <v>331392.62899999996</v>
          </cell>
        </row>
        <row r="45">
          <cell r="F45">
            <v>17090.259999999998</v>
          </cell>
          <cell r="N45">
            <v>29360.210000000003</v>
          </cell>
        </row>
        <row r="46">
          <cell r="F46">
            <v>24880</v>
          </cell>
          <cell r="N46">
            <v>37162.480000000003</v>
          </cell>
        </row>
        <row r="47">
          <cell r="F47">
            <v>14200.8</v>
          </cell>
          <cell r="N47">
            <v>21203.399999999998</v>
          </cell>
        </row>
        <row r="48">
          <cell r="F48">
            <v>3672.9500000000003</v>
          </cell>
          <cell r="N48">
            <v>7038.6799999999994</v>
          </cell>
        </row>
        <row r="49">
          <cell r="F49">
            <v>4508.5199999999995</v>
          </cell>
          <cell r="N49">
            <v>7379.9000000000005</v>
          </cell>
        </row>
        <row r="50">
          <cell r="F50">
            <v>3032.88</v>
          </cell>
          <cell r="N50">
            <v>5484.17</v>
          </cell>
        </row>
        <row r="51">
          <cell r="F51">
            <v>47267</v>
          </cell>
          <cell r="N51">
            <v>65221.07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2302.4700000000003</v>
          </cell>
        </row>
        <row r="54">
          <cell r="F54">
            <v>2427.5</v>
          </cell>
          <cell r="N54">
            <v>3912.8500000000004</v>
          </cell>
        </row>
        <row r="55">
          <cell r="F55">
            <v>3383.5</v>
          </cell>
          <cell r="N55">
            <v>4382.0190000000002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2193.4</v>
          </cell>
        </row>
        <row r="58">
          <cell r="F58">
            <v>287.06</v>
          </cell>
          <cell r="N58">
            <v>319.00000000000006</v>
          </cell>
        </row>
        <row r="59">
          <cell r="F59">
            <v>3780.7</v>
          </cell>
          <cell r="N59">
            <v>1059.69</v>
          </cell>
        </row>
        <row r="60">
          <cell r="F60">
            <v>363.25000000000006</v>
          </cell>
          <cell r="N60">
            <v>1009.04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462.48</v>
          </cell>
        </row>
        <row r="65">
          <cell r="F65">
            <v>36346.14</v>
          </cell>
          <cell r="N65">
            <v>52982.080000000002</v>
          </cell>
        </row>
        <row r="66">
          <cell r="F66">
            <v>2900.09</v>
          </cell>
          <cell r="N66">
            <v>752.38</v>
          </cell>
        </row>
        <row r="67">
          <cell r="F67">
            <v>0</v>
          </cell>
          <cell r="N67">
            <v>228.5</v>
          </cell>
        </row>
        <row r="68">
          <cell r="F68">
            <v>399.06</v>
          </cell>
          <cell r="N68">
            <v>0</v>
          </cell>
        </row>
        <row r="69">
          <cell r="F69">
            <v>5994.46</v>
          </cell>
          <cell r="N69">
            <v>11123.619999999999</v>
          </cell>
        </row>
        <row r="70">
          <cell r="F70">
            <v>1811.8300000000002</v>
          </cell>
          <cell r="N70">
            <v>4352.18</v>
          </cell>
        </row>
        <row r="71">
          <cell r="F71">
            <v>0</v>
          </cell>
          <cell r="N71">
            <v>1739.3500000000001</v>
          </cell>
        </row>
        <row r="72">
          <cell r="F72">
            <v>54879.836666666677</v>
          </cell>
          <cell r="N72">
            <v>54879.859999999986</v>
          </cell>
        </row>
        <row r="73">
          <cell r="F73">
            <v>5806.2300000000005</v>
          </cell>
          <cell r="N73">
            <v>16724.72</v>
          </cell>
        </row>
        <row r="81">
          <cell r="D81">
            <v>0</v>
          </cell>
          <cell r="F81">
            <v>46297.34</v>
          </cell>
          <cell r="N81">
            <v>44921.570000000007</v>
          </cell>
        </row>
        <row r="82">
          <cell r="D82">
            <v>0</v>
          </cell>
          <cell r="F82">
            <v>9451.0400000000009</v>
          </cell>
          <cell r="N82">
            <v>11828.72</v>
          </cell>
        </row>
        <row r="83">
          <cell r="D83">
            <v>0</v>
          </cell>
          <cell r="F83">
            <v>10153.07</v>
          </cell>
          <cell r="N83">
            <v>6593.01</v>
          </cell>
        </row>
        <row r="84">
          <cell r="D84">
            <v>0</v>
          </cell>
          <cell r="F84">
            <v>5921.02</v>
          </cell>
          <cell r="N84">
            <v>10477.5</v>
          </cell>
        </row>
        <row r="85">
          <cell r="D85">
            <v>0</v>
          </cell>
          <cell r="F85">
            <v>6270.86</v>
          </cell>
          <cell r="N85">
            <v>0</v>
          </cell>
        </row>
        <row r="86">
          <cell r="D86">
            <v>0</v>
          </cell>
          <cell r="F86">
            <v>1913.23</v>
          </cell>
          <cell r="N86">
            <v>2343.79</v>
          </cell>
        </row>
        <row r="87">
          <cell r="D87">
            <v>0</v>
          </cell>
          <cell r="F87">
            <v>2080.4</v>
          </cell>
          <cell r="N87">
            <v>1688.34</v>
          </cell>
        </row>
        <row r="88">
          <cell r="D88">
            <v>0</v>
          </cell>
          <cell r="F88">
            <v>901.2</v>
          </cell>
          <cell r="N88">
            <v>1970.91</v>
          </cell>
        </row>
        <row r="89">
          <cell r="D89">
            <v>0</v>
          </cell>
          <cell r="F89">
            <v>880.69999999999993</v>
          </cell>
          <cell r="N89">
            <v>0</v>
          </cell>
        </row>
        <row r="90">
          <cell r="D90">
            <v>0</v>
          </cell>
          <cell r="F90">
            <v>0</v>
          </cell>
          <cell r="N90">
            <v>0</v>
          </cell>
        </row>
        <row r="91">
          <cell r="D91">
            <v>0</v>
          </cell>
          <cell r="F91">
            <v>0</v>
          </cell>
          <cell r="N91">
            <v>0</v>
          </cell>
        </row>
        <row r="92">
          <cell r="D92">
            <v>0</v>
          </cell>
          <cell r="F92">
            <v>0</v>
          </cell>
          <cell r="N92">
            <v>0</v>
          </cell>
        </row>
        <row r="93">
          <cell r="D93">
            <v>0</v>
          </cell>
          <cell r="F93">
            <v>0</v>
          </cell>
          <cell r="N93">
            <v>0</v>
          </cell>
        </row>
        <row r="94">
          <cell r="D94">
            <v>0</v>
          </cell>
          <cell r="F94">
            <v>0</v>
          </cell>
          <cell r="N94">
            <v>0</v>
          </cell>
        </row>
        <row r="95">
          <cell r="D95">
            <v>0</v>
          </cell>
          <cell r="F95">
            <v>0</v>
          </cell>
          <cell r="N95">
            <v>0</v>
          </cell>
        </row>
        <row r="96">
          <cell r="D96">
            <v>0</v>
          </cell>
          <cell r="F96">
            <v>0</v>
          </cell>
          <cell r="N96">
            <v>246.76</v>
          </cell>
        </row>
        <row r="97">
          <cell r="D97">
            <v>0</v>
          </cell>
          <cell r="F97">
            <v>554.78</v>
          </cell>
          <cell r="N97">
            <v>311.78999999999996</v>
          </cell>
        </row>
        <row r="98">
          <cell r="D98">
            <v>0</v>
          </cell>
          <cell r="F98">
            <v>0</v>
          </cell>
          <cell r="N98">
            <v>0</v>
          </cell>
        </row>
        <row r="99">
          <cell r="D99">
            <v>0</v>
          </cell>
          <cell r="F99">
            <v>0</v>
          </cell>
          <cell r="N99">
            <v>0</v>
          </cell>
        </row>
        <row r="100">
          <cell r="D100">
            <v>0</v>
          </cell>
          <cell r="F100">
            <v>4747.45</v>
          </cell>
          <cell r="N100">
            <v>119.88</v>
          </cell>
        </row>
        <row r="101">
          <cell r="D101">
            <v>0</v>
          </cell>
          <cell r="F101">
            <v>878.12</v>
          </cell>
          <cell r="N101">
            <v>1710.0700000000002</v>
          </cell>
        </row>
        <row r="102">
          <cell r="D102">
            <v>0</v>
          </cell>
          <cell r="F102">
            <v>0</v>
          </cell>
          <cell r="N102">
            <v>0</v>
          </cell>
        </row>
        <row r="103">
          <cell r="D103">
            <v>0</v>
          </cell>
          <cell r="F103">
            <v>0</v>
          </cell>
          <cell r="N103">
            <v>1396.23</v>
          </cell>
        </row>
        <row r="104">
          <cell r="D104">
            <v>0</v>
          </cell>
          <cell r="F104">
            <v>2545.4699999999998</v>
          </cell>
          <cell r="N104">
            <v>6234.57</v>
          </cell>
        </row>
        <row r="105">
          <cell r="D105">
            <v>0</v>
          </cell>
          <cell r="F105">
            <v>0</v>
          </cell>
          <cell r="N105">
            <v>0</v>
          </cell>
        </row>
        <row r="117">
          <cell r="F117">
            <v>48900.83</v>
          </cell>
          <cell r="N117">
            <v>57079.740000000013</v>
          </cell>
        </row>
        <row r="118">
          <cell r="F118">
            <v>6449.25</v>
          </cell>
          <cell r="N118">
            <v>8678.77</v>
          </cell>
        </row>
        <row r="119">
          <cell r="F119">
            <v>1329.02</v>
          </cell>
          <cell r="N119">
            <v>1827.15</v>
          </cell>
        </row>
        <row r="120">
          <cell r="F120">
            <v>4377.5</v>
          </cell>
          <cell r="N120">
            <v>5975.5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1689.1699999999998</v>
          </cell>
        </row>
        <row r="123">
          <cell r="F123">
            <v>4826.25</v>
          </cell>
          <cell r="N123">
            <v>6756.75</v>
          </cell>
        </row>
        <row r="124">
          <cell r="F124">
            <v>157.6</v>
          </cell>
          <cell r="N124">
            <v>215.12</v>
          </cell>
        </row>
        <row r="125">
          <cell r="F125">
            <v>44.75</v>
          </cell>
          <cell r="N125">
            <v>60.829999999999991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243.25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248.5</v>
          </cell>
        </row>
        <row r="132">
          <cell r="F132">
            <v>751.64</v>
          </cell>
          <cell r="N132">
            <v>944.33000000000015</v>
          </cell>
        </row>
        <row r="133">
          <cell r="F133">
            <v>88.68</v>
          </cell>
          <cell r="N133">
            <v>81.530000000000015</v>
          </cell>
        </row>
        <row r="134">
          <cell r="F134">
            <v>46.31</v>
          </cell>
          <cell r="N134">
            <v>34.190000000000005</v>
          </cell>
        </row>
        <row r="135">
          <cell r="F135">
            <v>62.370000000000005</v>
          </cell>
          <cell r="N135">
            <v>272.22000000000003</v>
          </cell>
        </row>
        <row r="136">
          <cell r="F136">
            <v>1482.8000000000002</v>
          </cell>
          <cell r="N136">
            <v>2088.25</v>
          </cell>
        </row>
        <row r="137">
          <cell r="F137">
            <v>25.62</v>
          </cell>
          <cell r="N137">
            <v>50.31</v>
          </cell>
        </row>
        <row r="138">
          <cell r="F138">
            <v>299.25</v>
          </cell>
          <cell r="N138">
            <v>469.58000000000004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1145.46</v>
          </cell>
        </row>
        <row r="143">
          <cell r="F143">
            <v>5242.7299999999996</v>
          </cell>
          <cell r="N143">
            <v>6050</v>
          </cell>
        </row>
        <row r="144">
          <cell r="F144">
            <v>4600.62</v>
          </cell>
          <cell r="N144">
            <v>3007.3</v>
          </cell>
        </row>
        <row r="145">
          <cell r="F145">
            <v>2050.08</v>
          </cell>
          <cell r="N145">
            <v>1602.3600000000001</v>
          </cell>
        </row>
        <row r="146">
          <cell r="F146">
            <v>345.75</v>
          </cell>
          <cell r="N146">
            <v>810.62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3361.2200000000003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929.62</v>
          </cell>
        </row>
        <row r="152">
          <cell r="F152">
            <v>0</v>
          </cell>
          <cell r="N152">
            <v>4814.63</v>
          </cell>
        </row>
        <row r="153">
          <cell r="F153">
            <v>5443.6900000000005</v>
          </cell>
          <cell r="N153">
            <v>0</v>
          </cell>
        </row>
      </sheetData>
      <sheetData sheetId="12">
        <row r="24">
          <cell r="F24">
            <v>0</v>
          </cell>
          <cell r="J24">
            <v>0</v>
          </cell>
          <cell r="N24">
            <v>0</v>
          </cell>
        </row>
      </sheetData>
      <sheetData sheetId="13">
        <row r="24">
          <cell r="F24">
            <v>0</v>
          </cell>
          <cell r="J24">
            <v>0</v>
          </cell>
          <cell r="N24">
            <v>0</v>
          </cell>
        </row>
      </sheetData>
      <sheetData sheetId="14">
        <row r="7">
          <cell r="N7">
            <v>595841.58495575259</v>
          </cell>
        </row>
        <row r="8">
          <cell r="F8">
            <v>191311.33176991151</v>
          </cell>
          <cell r="J8">
            <v>519037.13098440983</v>
          </cell>
          <cell r="N8">
            <v>524320.91150442488</v>
          </cell>
        </row>
        <row r="9">
          <cell r="F9">
            <v>44.25</v>
          </cell>
          <cell r="J9">
            <v>2045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77799.934336283186</v>
          </cell>
          <cell r="N11">
            <v>38503.953451327441</v>
          </cell>
        </row>
        <row r="12">
          <cell r="F12">
            <v>2225.63</v>
          </cell>
          <cell r="J12">
            <v>2884.7299999999996</v>
          </cell>
          <cell r="N12">
            <v>2684.7299999999996</v>
          </cell>
        </row>
        <row r="13">
          <cell r="F13">
            <v>3326.71</v>
          </cell>
          <cell r="J13">
            <v>16252.17</v>
          </cell>
          <cell r="N13">
            <v>16252.17</v>
          </cell>
        </row>
        <row r="14">
          <cell r="F14">
            <v>500</v>
          </cell>
          <cell r="J14">
            <v>1000</v>
          </cell>
          <cell r="N14">
            <v>1000</v>
          </cell>
        </row>
        <row r="15">
          <cell r="F15">
            <v>1175.0900000000001</v>
          </cell>
          <cell r="J15">
            <v>13195.65</v>
          </cell>
          <cell r="N15">
            <v>2639.13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1076.54</v>
          </cell>
          <cell r="N17">
            <v>538.27</v>
          </cell>
        </row>
        <row r="18">
          <cell r="F18">
            <v>0</v>
          </cell>
          <cell r="J18">
            <v>254.84</v>
          </cell>
          <cell r="N18">
            <v>112.9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5454.86</v>
          </cell>
          <cell r="N21">
            <v>2727.43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4873.7999999999993</v>
          </cell>
          <cell r="N25">
            <v>2436.8999999999996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225.8</v>
          </cell>
          <cell r="N27">
            <v>112.9</v>
          </cell>
        </row>
        <row r="28">
          <cell r="F28">
            <v>250.7</v>
          </cell>
          <cell r="J28">
            <v>1721.28</v>
          </cell>
          <cell r="N28">
            <v>860.64</v>
          </cell>
        </row>
        <row r="29">
          <cell r="F29">
            <v>0</v>
          </cell>
          <cell r="J29">
            <v>240.32</v>
          </cell>
          <cell r="N29">
            <v>120.16</v>
          </cell>
        </row>
        <row r="30">
          <cell r="F30">
            <v>264.43</v>
          </cell>
          <cell r="J30">
            <v>11720.5</v>
          </cell>
          <cell r="N30">
            <v>5807.17</v>
          </cell>
        </row>
        <row r="31">
          <cell r="F31">
            <v>-1281.8600000000001</v>
          </cell>
          <cell r="J31">
            <v>-2799.7200000000003</v>
          </cell>
          <cell r="N31">
            <v>-2799.7400000000002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262342.26666666666</v>
          </cell>
          <cell r="N44">
            <v>491354.58899999986</v>
          </cell>
        </row>
        <row r="45">
          <cell r="F45">
            <v>17090.259999999998</v>
          </cell>
          <cell r="N45">
            <v>45982.61</v>
          </cell>
        </row>
        <row r="46">
          <cell r="F46">
            <v>24880</v>
          </cell>
          <cell r="N46">
            <v>52949.680000000008</v>
          </cell>
        </row>
        <row r="47">
          <cell r="F47">
            <v>14200.8</v>
          </cell>
          <cell r="N47">
            <v>27450.219999999998</v>
          </cell>
        </row>
        <row r="48">
          <cell r="F48">
            <v>3672.9500000000003</v>
          </cell>
          <cell r="N48">
            <v>11003.119999999999</v>
          </cell>
        </row>
        <row r="49">
          <cell r="F49">
            <v>4508.5199999999995</v>
          </cell>
          <cell r="N49">
            <v>10701.36</v>
          </cell>
        </row>
        <row r="50">
          <cell r="F50">
            <v>3032.88</v>
          </cell>
          <cell r="N50">
            <v>7076.53</v>
          </cell>
        </row>
        <row r="51">
          <cell r="F51">
            <v>47267</v>
          </cell>
          <cell r="N51">
            <v>93683.029999999984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3287.52</v>
          </cell>
        </row>
        <row r="54">
          <cell r="F54">
            <v>2427.5</v>
          </cell>
          <cell r="N54">
            <v>5268.8100000000013</v>
          </cell>
        </row>
        <row r="55">
          <cell r="F55">
            <v>3383.5</v>
          </cell>
          <cell r="N55">
            <v>12529.589000000002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3272.1099999999997</v>
          </cell>
        </row>
        <row r="58">
          <cell r="F58">
            <v>287.06</v>
          </cell>
          <cell r="N58">
            <v>901.16000000000008</v>
          </cell>
        </row>
        <row r="59">
          <cell r="F59">
            <v>3780.7</v>
          </cell>
          <cell r="N59">
            <v>1443.08</v>
          </cell>
        </row>
        <row r="60">
          <cell r="F60">
            <v>363.25000000000006</v>
          </cell>
          <cell r="N60">
            <v>1065.56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36.68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524.34</v>
          </cell>
        </row>
        <row r="65">
          <cell r="F65">
            <v>36346.14</v>
          </cell>
          <cell r="N65">
            <v>79260.329999999987</v>
          </cell>
        </row>
        <row r="66">
          <cell r="F66">
            <v>2900.09</v>
          </cell>
          <cell r="N66">
            <v>2236.25</v>
          </cell>
        </row>
        <row r="67">
          <cell r="F67">
            <v>0</v>
          </cell>
          <cell r="N67">
            <v>228.5</v>
          </cell>
        </row>
        <row r="68">
          <cell r="F68">
            <v>399.06</v>
          </cell>
          <cell r="N68">
            <v>550.61</v>
          </cell>
        </row>
        <row r="69">
          <cell r="F69">
            <v>5994.46</v>
          </cell>
          <cell r="N69">
            <v>17181.84</v>
          </cell>
        </row>
        <row r="70">
          <cell r="F70">
            <v>1811.8300000000002</v>
          </cell>
          <cell r="N70">
            <v>7866.1100000000006</v>
          </cell>
        </row>
        <row r="71">
          <cell r="F71">
            <v>0</v>
          </cell>
          <cell r="N71">
            <v>2799.7200000000003</v>
          </cell>
        </row>
        <row r="72">
          <cell r="F72">
            <v>78399.766666666677</v>
          </cell>
          <cell r="N72">
            <v>78399.799999999974</v>
          </cell>
        </row>
        <row r="73">
          <cell r="F73">
            <v>5806.2300000000005</v>
          </cell>
          <cell r="N73">
            <v>25554.93</v>
          </cell>
        </row>
        <row r="81">
          <cell r="F81">
            <v>46297.34</v>
          </cell>
          <cell r="N81">
            <v>70147.799999999988</v>
          </cell>
        </row>
        <row r="82">
          <cell r="F82">
            <v>9451.0400000000009</v>
          </cell>
          <cell r="N82">
            <v>17769.309999999998</v>
          </cell>
        </row>
        <row r="83">
          <cell r="F83">
            <v>10153.07</v>
          </cell>
          <cell r="N83">
            <v>11825.35</v>
          </cell>
        </row>
        <row r="84">
          <cell r="F84">
            <v>5921.02</v>
          </cell>
          <cell r="N84">
            <v>17458.21</v>
          </cell>
        </row>
        <row r="85">
          <cell r="F85">
            <v>6270.86</v>
          </cell>
          <cell r="N85">
            <v>0</v>
          </cell>
        </row>
        <row r="86">
          <cell r="F86">
            <v>1913.23</v>
          </cell>
          <cell r="N86">
            <v>3643.3700000000003</v>
          </cell>
        </row>
        <row r="87">
          <cell r="F87">
            <v>2080.4</v>
          </cell>
          <cell r="N87">
            <v>2830.0600000000004</v>
          </cell>
        </row>
        <row r="88">
          <cell r="F88">
            <v>901.2</v>
          </cell>
          <cell r="N88">
            <v>3102.03</v>
          </cell>
        </row>
        <row r="89">
          <cell r="F89">
            <v>880.69999999999993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554.78</v>
          </cell>
          <cell r="N97">
            <v>385.39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878.12</v>
          </cell>
          <cell r="N101">
            <v>2136.6400000000003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2545.4699999999998</v>
          </cell>
          <cell r="N104">
            <v>9234.57</v>
          </cell>
        </row>
        <row r="105">
          <cell r="F105">
            <v>0</v>
          </cell>
          <cell r="N105">
            <v>0</v>
          </cell>
        </row>
        <row r="117">
          <cell r="F117">
            <v>51233.840000000004</v>
          </cell>
          <cell r="N117">
            <v>83521.100000000006</v>
          </cell>
        </row>
        <row r="118">
          <cell r="F118">
            <v>6449.25</v>
          </cell>
          <cell r="N118">
            <v>12455.27</v>
          </cell>
        </row>
        <row r="119">
          <cell r="F119">
            <v>1329.02</v>
          </cell>
          <cell r="N119">
            <v>2688.9300000000003</v>
          </cell>
        </row>
        <row r="120">
          <cell r="F120">
            <v>4377.5</v>
          </cell>
          <cell r="N120">
            <v>8602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2413.1</v>
          </cell>
        </row>
        <row r="123">
          <cell r="F123">
            <v>4826.25</v>
          </cell>
          <cell r="N123">
            <v>9652.5</v>
          </cell>
        </row>
        <row r="124">
          <cell r="F124">
            <v>157.6</v>
          </cell>
          <cell r="N124">
            <v>309.68</v>
          </cell>
        </row>
        <row r="125">
          <cell r="F125">
            <v>44.75</v>
          </cell>
          <cell r="N125">
            <v>103.77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347.5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372.5</v>
          </cell>
        </row>
        <row r="132">
          <cell r="F132">
            <v>751.64</v>
          </cell>
          <cell r="N132">
            <v>1560.2100000000003</v>
          </cell>
        </row>
        <row r="133">
          <cell r="F133">
            <v>88.68</v>
          </cell>
          <cell r="N133">
            <v>149.04000000000002</v>
          </cell>
        </row>
        <row r="134">
          <cell r="F134">
            <v>46.31</v>
          </cell>
          <cell r="N134">
            <v>35.56</v>
          </cell>
        </row>
        <row r="135">
          <cell r="F135">
            <v>62.370000000000005</v>
          </cell>
          <cell r="N135">
            <v>62.380000000000024</v>
          </cell>
        </row>
        <row r="136">
          <cell r="F136">
            <v>1482.8000000000002</v>
          </cell>
          <cell r="N136">
            <v>3277.9999999999995</v>
          </cell>
        </row>
        <row r="137">
          <cell r="F137">
            <v>25.62</v>
          </cell>
          <cell r="N137">
            <v>71.930000000000007</v>
          </cell>
        </row>
        <row r="138">
          <cell r="F138">
            <v>299.25</v>
          </cell>
          <cell r="N138">
            <v>544.29999999999995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1158.8500000000001</v>
          </cell>
        </row>
        <row r="143">
          <cell r="F143">
            <v>5242.7299999999996</v>
          </cell>
          <cell r="N143">
            <v>9590</v>
          </cell>
        </row>
        <row r="144">
          <cell r="F144">
            <v>4600.62</v>
          </cell>
          <cell r="N144">
            <v>3108.82</v>
          </cell>
        </row>
        <row r="145">
          <cell r="F145">
            <v>2050.08</v>
          </cell>
          <cell r="N145">
            <v>2083.8000000000002</v>
          </cell>
        </row>
        <row r="146">
          <cell r="F146">
            <v>345.75</v>
          </cell>
          <cell r="N146">
            <v>1073.8499999999999</v>
          </cell>
        </row>
        <row r="147">
          <cell r="F147">
            <v>0</v>
          </cell>
          <cell r="N147">
            <v>1530.96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4053.0400000000004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929.62</v>
          </cell>
        </row>
        <row r="152">
          <cell r="F152">
            <v>0</v>
          </cell>
          <cell r="N152">
            <v>6443.17</v>
          </cell>
        </row>
        <row r="153">
          <cell r="F153">
            <v>7776.7000000000007</v>
          </cell>
          <cell r="N153">
            <v>0</v>
          </cell>
        </row>
      </sheetData>
      <sheetData sheetId="15">
        <row r="8">
          <cell r="F8">
            <v>191311.33176991151</v>
          </cell>
          <cell r="J8">
            <v>569906.9184056028</v>
          </cell>
          <cell r="N8">
            <v>547376.98150442482</v>
          </cell>
        </row>
        <row r="9">
          <cell r="F9">
            <v>44.25</v>
          </cell>
          <cell r="J9">
            <v>2255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80171.594336283189</v>
          </cell>
          <cell r="N11">
            <v>39689.783451327443</v>
          </cell>
        </row>
        <row r="12">
          <cell r="F12">
            <v>2225.63</v>
          </cell>
          <cell r="J12">
            <v>2884.7299999999996</v>
          </cell>
          <cell r="N12">
            <v>2684.7299999999996</v>
          </cell>
        </row>
        <row r="13">
          <cell r="F13">
            <v>3326.71</v>
          </cell>
          <cell r="J13">
            <v>18746.12</v>
          </cell>
          <cell r="N13">
            <v>18746.12</v>
          </cell>
        </row>
        <row r="14">
          <cell r="F14">
            <v>500</v>
          </cell>
          <cell r="J14">
            <v>1100</v>
          </cell>
          <cell r="N14">
            <v>1100</v>
          </cell>
        </row>
        <row r="15">
          <cell r="F15">
            <v>1175.0900000000001</v>
          </cell>
          <cell r="J15">
            <v>13711.699999999999</v>
          </cell>
          <cell r="N15">
            <v>2742.34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1076.54</v>
          </cell>
          <cell r="N17">
            <v>538.27</v>
          </cell>
        </row>
        <row r="18">
          <cell r="F18">
            <v>0</v>
          </cell>
          <cell r="J18">
            <v>254.84</v>
          </cell>
          <cell r="N18">
            <v>112.9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5454.86</v>
          </cell>
          <cell r="N21">
            <v>2727.43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5075.3999999999996</v>
          </cell>
          <cell r="N25">
            <v>2537.6999999999998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225.8</v>
          </cell>
          <cell r="N27">
            <v>112.9</v>
          </cell>
        </row>
        <row r="28">
          <cell r="F28">
            <v>250.7</v>
          </cell>
          <cell r="J28">
            <v>2218.38</v>
          </cell>
          <cell r="N28">
            <v>1268.06</v>
          </cell>
        </row>
        <row r="29">
          <cell r="F29">
            <v>0</v>
          </cell>
          <cell r="J29">
            <v>240.32</v>
          </cell>
          <cell r="N29">
            <v>120.16</v>
          </cell>
        </row>
        <row r="30">
          <cell r="F30">
            <v>264.43</v>
          </cell>
          <cell r="J30">
            <v>12001</v>
          </cell>
          <cell r="N30">
            <v>6087.67</v>
          </cell>
        </row>
        <row r="31">
          <cell r="F31">
            <v>-1281.8600000000001</v>
          </cell>
          <cell r="J31">
            <v>-2920.3300000000004</v>
          </cell>
          <cell r="N31">
            <v>-2920.3500000000004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270182.24333333323</v>
          </cell>
          <cell r="N44">
            <v>536187.10899999994</v>
          </cell>
        </row>
        <row r="45">
          <cell r="F45">
            <v>17090.259999999998</v>
          </cell>
          <cell r="N45">
            <v>50199.25</v>
          </cell>
        </row>
        <row r="46">
          <cell r="F46">
            <v>24880</v>
          </cell>
          <cell r="N46">
            <v>58085.060000000005</v>
          </cell>
        </row>
        <row r="47">
          <cell r="F47">
            <v>14200.8</v>
          </cell>
          <cell r="N47">
            <v>29713.679999999997</v>
          </cell>
        </row>
        <row r="48">
          <cell r="F48">
            <v>3672.9500000000003</v>
          </cell>
          <cell r="N48">
            <v>11943.859999999999</v>
          </cell>
        </row>
        <row r="49">
          <cell r="F49">
            <v>4508.5199999999995</v>
          </cell>
          <cell r="N49">
            <v>11723.54</v>
          </cell>
        </row>
        <row r="50">
          <cell r="F50">
            <v>3032.88</v>
          </cell>
          <cell r="N50">
            <v>7648.5599999999995</v>
          </cell>
        </row>
        <row r="51">
          <cell r="F51">
            <v>47267</v>
          </cell>
          <cell r="N51">
            <v>102901.51999999999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3611.82</v>
          </cell>
        </row>
        <row r="54">
          <cell r="F54">
            <v>2427.5</v>
          </cell>
          <cell r="N54">
            <v>5445.4300000000012</v>
          </cell>
        </row>
        <row r="55">
          <cell r="F55">
            <v>3383.5</v>
          </cell>
          <cell r="N55">
            <v>13067.499000000002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3647.5899999999997</v>
          </cell>
        </row>
        <row r="58">
          <cell r="F58">
            <v>287.06</v>
          </cell>
          <cell r="N58">
            <v>1347.44</v>
          </cell>
        </row>
        <row r="59">
          <cell r="F59">
            <v>3780.7</v>
          </cell>
          <cell r="N59">
            <v>1443.08</v>
          </cell>
        </row>
        <row r="60">
          <cell r="F60">
            <v>363.25000000000006</v>
          </cell>
          <cell r="N60">
            <v>1238.2499999999998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36.68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524.34</v>
          </cell>
        </row>
        <row r="65">
          <cell r="F65">
            <v>36346.14</v>
          </cell>
          <cell r="N65">
            <v>88373.839999999982</v>
          </cell>
        </row>
        <row r="66">
          <cell r="F66">
            <v>2900.09</v>
          </cell>
          <cell r="N66">
            <v>2236.25</v>
          </cell>
        </row>
        <row r="67">
          <cell r="F67">
            <v>0</v>
          </cell>
          <cell r="N67">
            <v>228.5</v>
          </cell>
        </row>
        <row r="68">
          <cell r="F68">
            <v>399.06</v>
          </cell>
          <cell r="N68">
            <v>779.75</v>
          </cell>
        </row>
        <row r="69">
          <cell r="F69">
            <v>5994.46</v>
          </cell>
          <cell r="N69">
            <v>18137.490000000002</v>
          </cell>
        </row>
        <row r="70">
          <cell r="F70">
            <v>1811.8300000000002</v>
          </cell>
          <cell r="N70">
            <v>7866.1100000000006</v>
          </cell>
        </row>
        <row r="71">
          <cell r="F71">
            <v>0</v>
          </cell>
          <cell r="N71">
            <v>2920.3300000000004</v>
          </cell>
        </row>
        <row r="72">
          <cell r="F72">
            <v>86239.743333333347</v>
          </cell>
          <cell r="N72">
            <v>86239.77999999997</v>
          </cell>
        </row>
        <row r="73">
          <cell r="F73">
            <v>5806.2300000000005</v>
          </cell>
          <cell r="N73">
            <v>26726.36</v>
          </cell>
        </row>
        <row r="81">
          <cell r="F81">
            <v>46297.34</v>
          </cell>
          <cell r="N81">
            <v>77841.72</v>
          </cell>
        </row>
        <row r="82">
          <cell r="F82">
            <v>9451.0400000000009</v>
          </cell>
          <cell r="N82">
            <v>19360.269999999997</v>
          </cell>
        </row>
        <row r="83">
          <cell r="F83">
            <v>10153.07</v>
          </cell>
          <cell r="N83">
            <v>13429.35</v>
          </cell>
        </row>
        <row r="84">
          <cell r="F84">
            <v>5921.02</v>
          </cell>
          <cell r="N84">
            <v>19549.61</v>
          </cell>
        </row>
        <row r="85">
          <cell r="F85">
            <v>6270.86</v>
          </cell>
          <cell r="N85">
            <v>0</v>
          </cell>
        </row>
        <row r="86">
          <cell r="F86">
            <v>1913.23</v>
          </cell>
          <cell r="N86">
            <v>3975.7000000000003</v>
          </cell>
        </row>
        <row r="87">
          <cell r="F87">
            <v>2080.4</v>
          </cell>
          <cell r="N87">
            <v>3165.3</v>
          </cell>
        </row>
        <row r="88">
          <cell r="F88">
            <v>901.2</v>
          </cell>
          <cell r="N88">
            <v>3428.9300000000003</v>
          </cell>
        </row>
        <row r="89">
          <cell r="F89">
            <v>880.69999999999993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554.78</v>
          </cell>
          <cell r="N97">
            <v>386.19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878.12</v>
          </cell>
          <cell r="N101">
            <v>2291.9300000000003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2545.4699999999998</v>
          </cell>
          <cell r="N104">
            <v>10491.57</v>
          </cell>
        </row>
        <row r="105">
          <cell r="F105">
            <v>0</v>
          </cell>
          <cell r="N105">
            <v>0</v>
          </cell>
        </row>
        <row r="117">
          <cell r="F117">
            <v>52011.51</v>
          </cell>
          <cell r="N117">
            <v>95246.969999999987</v>
          </cell>
        </row>
        <row r="118">
          <cell r="F118">
            <v>6449.25</v>
          </cell>
          <cell r="N118">
            <v>13534.27</v>
          </cell>
        </row>
        <row r="119">
          <cell r="F119">
            <v>1329.02</v>
          </cell>
          <cell r="N119">
            <v>2929.4400000000005</v>
          </cell>
        </row>
        <row r="120">
          <cell r="F120">
            <v>4377.5</v>
          </cell>
          <cell r="N120">
            <v>9477.5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2654.41</v>
          </cell>
        </row>
        <row r="123">
          <cell r="F123">
            <v>4826.25</v>
          </cell>
          <cell r="N123">
            <v>10617.75</v>
          </cell>
        </row>
        <row r="124">
          <cell r="F124">
            <v>157.6</v>
          </cell>
          <cell r="N124">
            <v>341.2</v>
          </cell>
        </row>
        <row r="125">
          <cell r="F125">
            <v>44.75</v>
          </cell>
          <cell r="N125">
            <v>112.46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382.25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415.08</v>
          </cell>
        </row>
        <row r="132">
          <cell r="F132">
            <v>751.64</v>
          </cell>
          <cell r="N132">
            <v>1690.7900000000002</v>
          </cell>
        </row>
        <row r="133">
          <cell r="F133">
            <v>88.68</v>
          </cell>
          <cell r="N133">
            <v>173.55</v>
          </cell>
        </row>
        <row r="134">
          <cell r="F134">
            <v>46.31</v>
          </cell>
          <cell r="N134">
            <v>52.63</v>
          </cell>
        </row>
        <row r="135">
          <cell r="F135">
            <v>62.370000000000005</v>
          </cell>
          <cell r="N135">
            <v>81.930000000000021</v>
          </cell>
        </row>
        <row r="136">
          <cell r="F136">
            <v>1482.8000000000002</v>
          </cell>
          <cell r="N136">
            <v>3608.2299999999996</v>
          </cell>
        </row>
        <row r="137">
          <cell r="F137">
            <v>25.62</v>
          </cell>
          <cell r="N137">
            <v>99.52000000000001</v>
          </cell>
        </row>
        <row r="138">
          <cell r="F138">
            <v>299.25</v>
          </cell>
          <cell r="N138">
            <v>544.29999999999995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1192.2300000000002</v>
          </cell>
        </row>
        <row r="143">
          <cell r="F143">
            <v>5242.7299999999996</v>
          </cell>
          <cell r="N143">
            <v>10490</v>
          </cell>
        </row>
        <row r="144">
          <cell r="F144">
            <v>4600.62</v>
          </cell>
          <cell r="N144">
            <v>3137.6600000000003</v>
          </cell>
        </row>
        <row r="145">
          <cell r="F145">
            <v>2050.08</v>
          </cell>
          <cell r="N145">
            <v>3131.36</v>
          </cell>
        </row>
        <row r="146">
          <cell r="F146">
            <v>345.75</v>
          </cell>
          <cell r="N146">
            <v>1131.3799999999999</v>
          </cell>
        </row>
        <row r="147">
          <cell r="F147">
            <v>0</v>
          </cell>
          <cell r="N147">
            <v>6236.68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4529.2800000000007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929.62</v>
          </cell>
        </row>
        <row r="152">
          <cell r="F152">
            <v>0</v>
          </cell>
          <cell r="N152">
            <v>6780.03</v>
          </cell>
        </row>
        <row r="153">
          <cell r="F153">
            <v>8554.3700000000008</v>
          </cell>
          <cell r="N153">
            <v>0</v>
          </cell>
        </row>
      </sheetData>
      <sheetData sheetId="16"/>
      <sheetData sheetId="17"/>
      <sheetData sheetId="18">
        <row r="32">
          <cell r="F32" t="str">
            <v xml:space="preserve">ΠΡΑΓΜΑΤΟΠΟΙΗΘΕΝΤΑ ΜΗΝΟΣ ΤΡΕΧ. ΕΤΟΥΣ </v>
          </cell>
        </row>
        <row r="33">
          <cell r="D33">
            <v>2024</v>
          </cell>
        </row>
        <row r="34">
          <cell r="D34">
            <v>2025</v>
          </cell>
        </row>
        <row r="35">
          <cell r="F35" t="str">
            <v>ΠΡΟΥΠΟΛΟΓΙΣΜΟΣ ΤΡΕΧΟΝΤΟΣ ΕΤΟΥΣ</v>
          </cell>
        </row>
        <row r="68">
          <cell r="F68" t="str">
            <v>ΠΡΑΓΜΑΤΟΠΟΙΗΘΕΝΤΑ ΠΡΟΗΓΟΥΜΕΝΟΥ ΕΤΟΥΣ</v>
          </cell>
        </row>
        <row r="100">
          <cell r="F100" t="str">
            <v xml:space="preserve">ΣΥΓΚΡΙΣΕΙΣ </v>
          </cell>
        </row>
        <row r="106">
          <cell r="F106" t="str">
            <v xml:space="preserve">ΙΑΝΟΥΑΡΙΟΣ ΤΡΕΧΟΝ ΕΤΟΣ </v>
          </cell>
        </row>
        <row r="107">
          <cell r="F107" t="str">
            <v xml:space="preserve">ΦΕΒΡΟΥΑΡΙΟΣ ΤΡΕΧΟΝ ΕΤΟΣ </v>
          </cell>
        </row>
        <row r="108">
          <cell r="F108" t="str">
            <v xml:space="preserve">ΜΑΡΤΙΟΣ ΤΡΕΧΟΝ ΕΤΟΣ </v>
          </cell>
        </row>
        <row r="109">
          <cell r="F109" t="str">
            <v xml:space="preserve">ΑΠΡΙΛΙΟΣ ΤΡΕΧΟΝ ΕΤΟΣ </v>
          </cell>
        </row>
        <row r="110">
          <cell r="F110" t="str">
            <v xml:space="preserve">ΜΑΙΟΣ ΤΡΕΧΟΝ ΕΤΟΣ </v>
          </cell>
        </row>
        <row r="111">
          <cell r="F111" t="str">
            <v xml:space="preserve">ΙΟΥΝΙΟΣ ΤΡΕΧΟΝ ΕΤΟΣ </v>
          </cell>
        </row>
        <row r="112">
          <cell r="F112" t="str">
            <v xml:space="preserve">ΙΟΥΛΙΟΣ ΤΡΕΧΟΝ ΕΤΟΣ </v>
          </cell>
        </row>
        <row r="113">
          <cell r="F113" t="str">
            <v xml:space="preserve">ΑΥΓΟΥΣΤΟΣ ΤΡΕΧΟΝ ΕΤΟΣ </v>
          </cell>
        </row>
        <row r="114">
          <cell r="F114" t="str">
            <v xml:space="preserve">ΣΕΠΤΕΜΒΡΙΟΣ ΤΡΕΧΟΝ ΕΤΟΣ </v>
          </cell>
        </row>
        <row r="115">
          <cell r="F115" t="str">
            <v xml:space="preserve">ΟΚΤΩΒΡΙΟΣ ΤΡΕΧΟΝ ΕΤΟΣ </v>
          </cell>
        </row>
        <row r="116">
          <cell r="F116" t="str">
            <v xml:space="preserve">ΝΟΕΜΒΡΙΟΣ ΤΡΕΧΟΝ ΕΤΟΣ </v>
          </cell>
        </row>
        <row r="117">
          <cell r="F117" t="str">
            <v xml:space="preserve">ΔΕΚΕΜΒΡΙΟΣ ΤΡΕΧΟΝ ΕΤΟΣ </v>
          </cell>
        </row>
        <row r="120">
          <cell r="F120" t="str">
            <v xml:space="preserve">ΙΑΝΟΥΑΡΙΟΣ ΠΡΟΗΓΟΥΜΕΝΟΥ ΕΤΟΥΣ </v>
          </cell>
        </row>
        <row r="121">
          <cell r="F121" t="str">
            <v>ΦΕΒΡΟΥΑΡΙΟΣ ΠΡΟΗΓΟΥΜΕΝΟΥ ΕΤΟΥΣ</v>
          </cell>
        </row>
        <row r="122">
          <cell r="F122" t="str">
            <v>ΜΑΡΤΙΟΣ ΠΡΟΗΓΟΥΜΕΝΟΥ ΕΤΟΥΣ</v>
          </cell>
        </row>
        <row r="123">
          <cell r="F123" t="str">
            <v>ΑΠΡΙΛΙΟΣ ΠΡΟΗΓΟΥΜΕΝΟΥ ΕΤΟΥΣ</v>
          </cell>
        </row>
        <row r="124">
          <cell r="F124" t="str">
            <v>ΜΑΙΟΣ ΠΡΟΗΓΟΥΜΕΝΟΥ ΕΤΟΥΣ</v>
          </cell>
        </row>
        <row r="125">
          <cell r="F125" t="str">
            <v>ΙΟΥΝΙΟΣ ΠΡΟΗΓΟΥΜΕΝΟΥ ΕΤΟΥΣ</v>
          </cell>
        </row>
        <row r="126">
          <cell r="F126" t="str">
            <v>ΙΟΥΛΙΟΣ ΠΡΟΗΓΟΥΜΕΝΟΥ ΕΤΟΥΣ</v>
          </cell>
        </row>
        <row r="127">
          <cell r="F127" t="str">
            <v>ΑΥΓΟΥΣΤΟΣ ΠΡΟΗΓΟΥΜΕΝΟΥ ΕΤΟΥΣ</v>
          </cell>
        </row>
        <row r="128">
          <cell r="F128" t="str">
            <v>ΣΕΠΤΕΜΒΡΙΟΣ ΠΡΟΗΓΟΥΜΕΝΟΥ ΕΤΟΥΣ</v>
          </cell>
        </row>
        <row r="129">
          <cell r="F129" t="str">
            <v>ΟΚΤΩΒΡΙΟΣ ΠΡΟΗΓΟΥΜΕΝΟΥ ΕΤΟΥΣ</v>
          </cell>
        </row>
        <row r="130">
          <cell r="F130" t="str">
            <v>ΝΟΕΜΒΡΙΟΣ ΠΡΟΗΓΟΥΜΕΝΟΥ ΕΤΟΥΣ</v>
          </cell>
        </row>
        <row r="131">
          <cell r="F131" t="str">
            <v>ΔΕΚΕΜΒΡΙΟΣ ΠΡΟΗΓΟΥΜΕΝΟΥ ΕΤΟΥΣ</v>
          </cell>
        </row>
        <row r="141">
          <cell r="H141">
            <v>2024</v>
          </cell>
        </row>
        <row r="187">
          <cell r="F187" t="str">
            <v>Εσοδα Φιλοξενείας-Διαμονής</v>
          </cell>
          <cell r="I187" t="str">
            <v>Μικτές Αποδοχές H.Keepin (Α.Κ.Υπ.)</v>
          </cell>
          <cell r="L187" t="str">
            <v>Μικτές Αποδοχές Developent Department (A.K.Ddep)</v>
          </cell>
          <cell r="O187" t="str">
            <v>Μικτές Αποδοχές (Α.Κ.Διοικ.)</v>
          </cell>
        </row>
        <row r="188">
          <cell r="F188" t="str">
            <v>Early Check in/Check Out</v>
          </cell>
          <cell r="I188" t="str">
            <v>Μικτές Αποδοχές Operation (Α.Κ.Operation )</v>
          </cell>
          <cell r="L188" t="str">
            <v>Μικτές Αποδοχές Reservation department (Α.Κ.RDep )</v>
          </cell>
          <cell r="O188" t="str">
            <v>Ασφαλιστικές εισφορές  (Α.Κ.Διοικ.)</v>
          </cell>
        </row>
        <row r="189">
          <cell r="F189" t="str">
            <v xml:space="preserve">Πρωινό ( Εξτρα ) </v>
          </cell>
          <cell r="I189" t="str">
            <v>Μικτές Αποδοχές Maintenance (Α.Κ.Υπ.)</v>
          </cell>
          <cell r="L189" t="str">
            <v>Μικτές Αποδοχές Marketing (Α.Κ.MDep )</v>
          </cell>
          <cell r="O189" t="str">
            <v xml:space="preserve">Ενοίκια  Έδρας </v>
          </cell>
        </row>
        <row r="190">
          <cell r="F190" t="str">
            <v xml:space="preserve">Έσοδα Καθαριότητας </v>
          </cell>
          <cell r="I190" t="str">
            <v>Ασφαλιστικές εισφορές (Α.Κ.HOUSE KEEPING)</v>
          </cell>
          <cell r="L190" t="str">
            <v>Μικτές Αποδοχές Sales (Α.Κ.SDep )</v>
          </cell>
          <cell r="O190" t="str">
            <v>Ενοίκιο Αποθήκης Β</v>
          </cell>
        </row>
        <row r="191">
          <cell r="F191" t="str">
            <v>Cancellation Fees</v>
          </cell>
          <cell r="I191" t="str">
            <v>Ασφαλιστικές εισφορές (Α.Κ. OPERATION DEP )</v>
          </cell>
          <cell r="L191" t="str">
            <v>Ασφαλιστικές εισφορές (Α.Κ.DDep)</v>
          </cell>
          <cell r="O191" t="str">
            <v>Ενοίκιο Αποθήκης Α</v>
          </cell>
        </row>
        <row r="192">
          <cell r="F192" t="str">
            <v>Έσοδα Διαχείρισης καταλυμάτων 24%</v>
          </cell>
          <cell r="I192" t="str">
            <v>Ασφαλιστικές εισφορές (Α.Κ. MAINTENANCE DEP )</v>
          </cell>
          <cell r="L192" t="str">
            <v>Ασφαλιστικές εισφορές (Α.Κ.RDep)</v>
          </cell>
          <cell r="O192" t="str">
            <v>Ενοίκιο Αριστοφάνους 1</v>
          </cell>
        </row>
        <row r="193">
          <cell r="F193" t="str">
            <v>Έσοδα από Ενοίκια Ιππάρχου 24%</v>
          </cell>
          <cell r="I193" t="str">
            <v xml:space="preserve">Ενοίκια </v>
          </cell>
          <cell r="L193" t="str">
            <v>Ασφαλιστικές εισφορές (Α.Κ.MDep)</v>
          </cell>
          <cell r="O193" t="str">
            <v xml:space="preserve">Χαρτόσημο ενοικίου Έδρας </v>
          </cell>
        </row>
        <row r="194">
          <cell r="F194" t="str">
            <v>Πωλ.Φύλαξη Αποσκευών (DIRECT)</v>
          </cell>
          <cell r="I194" t="str">
            <v xml:space="preserve">Διαφορά Ενοικίου </v>
          </cell>
          <cell r="L194" t="str">
            <v>Ασφαλιστικές εισφορές (Α.Κ.SDep)</v>
          </cell>
          <cell r="O194" t="str">
            <v xml:space="preserve">Χαρτόσημο Ενοικίου Αποθήκης Α </v>
          </cell>
        </row>
        <row r="195">
          <cell r="F195" t="str">
            <v>Πωλ.Φύλαξη Αποσκευών  (ΤΡΙΤΩΝ) (RADICAL)</v>
          </cell>
          <cell r="I195" t="str">
            <v xml:space="preserve">Χαρτόσημο ενοικίων </v>
          </cell>
          <cell r="L195" t="str">
            <v>Ενοίκιο</v>
          </cell>
          <cell r="O195" t="str">
            <v xml:space="preserve">Χαρτόσημο Ενοικίου Αποθήκης Β </v>
          </cell>
        </row>
        <row r="196">
          <cell r="F196" t="str">
            <v>Πωλ. TRANSFER (Περιορισμένη Μίσθωση)</v>
          </cell>
          <cell r="I196" t="str">
            <v xml:space="preserve">Κοινόχρηστες Δαπάνες </v>
          </cell>
          <cell r="L196" t="str">
            <v xml:space="preserve">Χαρτόσημο ενοικίων </v>
          </cell>
          <cell r="O196" t="str">
            <v>Χαρτόσημο Ενοικίου Αριστοφάνους 1</v>
          </cell>
        </row>
        <row r="197">
          <cell r="F197" t="str">
            <v>Πωλ.Ενοικ.Μεταφ.Μέσων Αναψυχής (ποδήλατα)</v>
          </cell>
          <cell r="I197" t="str">
            <v xml:space="preserve">Ενέργεια </v>
          </cell>
          <cell r="L197" t="str">
            <v xml:space="preserve">Κοινόχρηστες Δαπάνες </v>
          </cell>
          <cell r="O197" t="str">
            <v xml:space="preserve">Κοινόχρηστες Δαπάνες Έδρας </v>
          </cell>
        </row>
        <row r="198">
          <cell r="F198" t="str">
            <v>Πωλ.Ενοικ.Μεταφ.Μέσων(αυτοκινητα)</v>
          </cell>
          <cell r="I198" t="str">
            <v>Φυσικό αέριο</v>
          </cell>
          <cell r="L198" t="str">
            <v xml:space="preserve">Ενέργεια </v>
          </cell>
          <cell r="O198" t="str">
            <v xml:space="preserve">Κοινόχρηστες Δαπάνες Αποθήκης Α </v>
          </cell>
        </row>
        <row r="199">
          <cell r="F199" t="str">
            <v>Πωλήσεις Καθαριότητας (ΤΡΙΤΩΝ)</v>
          </cell>
          <cell r="I199" t="str">
            <v xml:space="preserve">Τηλεπικοινωνίες (Τηλεφωνία &amp; Διαδίκτυο) </v>
          </cell>
          <cell r="L199" t="str">
            <v xml:space="preserve">Τηλεπικοινωνίες (Τηλεφωνία &amp; Διαδίκτυο) </v>
          </cell>
          <cell r="O199" t="str">
            <v xml:space="preserve">Κοινόχρηστες Δαπάνες Αποθήκης Β </v>
          </cell>
        </row>
        <row r="200">
          <cell r="F200" t="str">
            <v>Πωλ.Κρουαζιέρας</v>
          </cell>
          <cell r="I200" t="str">
            <v xml:space="preserve">Ύδρευση </v>
          </cell>
          <cell r="L200" t="str">
            <v xml:space="preserve">Ύδρευση </v>
          </cell>
          <cell r="O200" t="str">
            <v>Κοινόχρηστες Δαπάνες Αριστοφάνους 1</v>
          </cell>
        </row>
        <row r="201">
          <cell r="F201" t="str">
            <v>Πωλ. Μαθημάτων</v>
          </cell>
          <cell r="I201" t="str">
            <v xml:space="preserve">Ασφάλιστρα </v>
          </cell>
          <cell r="L201" t="str">
            <v xml:space="preserve">Ασφάλιστρα </v>
          </cell>
          <cell r="O201" t="str">
            <v xml:space="preserve">Ενέργεια  Έδρας </v>
          </cell>
        </row>
        <row r="202">
          <cell r="F202" t="str">
            <v>Πωλ.Κρουαζ.Transfer.MM. (ΠΑΚΕΤΟ)</v>
          </cell>
          <cell r="I202" t="str">
            <v xml:space="preserve">Αναλώσιμα τρόφιμα  </v>
          </cell>
          <cell r="L202" t="str">
            <v xml:space="preserve">Έντυπα και γραφική Ύλη </v>
          </cell>
          <cell r="O202" t="str">
            <v xml:space="preserve">Ενέργεια Αποθήκης Α </v>
          </cell>
        </row>
        <row r="203">
          <cell r="F203" t="str">
            <v>Υπηρεσίες Marketing</v>
          </cell>
        </row>
        <row r="204">
          <cell r="F204" t="str">
            <v>Προμ. Συστ.Πελ. Αυτοκ.</v>
          </cell>
          <cell r="I204" t="str">
            <v xml:space="preserve">Εντυπα και γραφική ύλη </v>
          </cell>
          <cell r="L204" t="str">
            <v xml:space="preserve">Υλικά Καθαριότητας </v>
          </cell>
          <cell r="O204" t="str">
            <v>Ενέργεια Αποθήκης Β (OPERATION)</v>
          </cell>
        </row>
        <row r="205">
          <cell r="F205" t="str">
            <v>Προμ. Συστ.Πελ. Γυμν.</v>
          </cell>
          <cell r="I205" t="str">
            <v xml:space="preserve">Υλικά Καθαριότητας </v>
          </cell>
          <cell r="L205" t="str">
            <v>Υλικά Φαρμακείου</v>
          </cell>
          <cell r="O205" t="str">
            <v>Ενέργεια Αριστοφάνους 1</v>
          </cell>
        </row>
        <row r="206">
          <cell r="F206" t="str">
            <v>Προμ.Σύστ.Πελ. TRANSFER</v>
          </cell>
          <cell r="I206" t="str">
            <v>Υλικά Φαρμακείου</v>
          </cell>
          <cell r="L206" t="str">
            <v xml:space="preserve">Αγορές εφαρμογών για Marketing </v>
          </cell>
          <cell r="O206" t="str">
            <v xml:space="preserve">Τηλεπικοινωνίες (Τηλεφωνία &amp; Διαδίκτυο) </v>
          </cell>
        </row>
        <row r="207">
          <cell r="F207" t="str">
            <v>Προμ.Σύστ.Πελ.Εκδρ.- Ξεναγ.</v>
          </cell>
          <cell r="I207" t="str">
            <v>Διάφορα αναλώσιμα</v>
          </cell>
          <cell r="L207" t="str">
            <v>Αμοιβές συνεργατών ( Συνδρομές για Marketing - Ιστοσελίδα _ Editing 3D  -)</v>
          </cell>
          <cell r="O207" t="str">
            <v xml:space="preserve">Υδρευση </v>
          </cell>
        </row>
        <row r="208">
          <cell r="F208" t="str">
            <v>Προμ.Συστ.Πελ.Κρουαζιέρας</v>
          </cell>
          <cell r="I208" t="str">
            <v>Αμοιβές συνεργατών ( Μέσα ανεύρεσης Πελατείας Booking Airbnb κλπ)</v>
          </cell>
          <cell r="L208" t="str">
            <v xml:space="preserve">Αμοιβές Τρίτων </v>
          </cell>
          <cell r="O208" t="str">
            <v xml:space="preserve">Ασφάλιστρα </v>
          </cell>
        </row>
        <row r="209">
          <cell r="F209" t="str">
            <v>Ασυνήθη έσοδα και κέρδη</v>
          </cell>
          <cell r="I209" t="str">
            <v>Εξοδα για Αναψυχή Πελατών (Κρουαζιέρες Ποδήλατα - Μαθήματα)</v>
          </cell>
          <cell r="L209" t="str">
            <v>Επισκευές - Συντηρήσεις</v>
          </cell>
          <cell r="O209" t="str">
            <v xml:space="preserve">Έντυπα και γραφική Ύλη </v>
          </cell>
        </row>
        <row r="210">
          <cell r="F210" t="str">
            <v>Φορος Παρεπιδημούντων</v>
          </cell>
          <cell r="I210" t="str">
            <v>Εξοδα για Μεταφορά Πελατών</v>
          </cell>
          <cell r="L210" t="str">
            <v xml:space="preserve">Εξοδα προβολής και διαφήμισης </v>
          </cell>
          <cell r="O210" t="str">
            <v xml:space="preserve">Υλικά Καθαριότητας </v>
          </cell>
        </row>
        <row r="211">
          <cell r="F211" t="str">
            <v xml:space="preserve">Πρόβλεψη </v>
          </cell>
          <cell r="I211" t="str">
            <v xml:space="preserve">Έξοδα για σύσταση πελατείας αποθήκευσης Αποσκευών ( Radical) </v>
          </cell>
          <cell r="L211" t="str">
            <v>Εξοδα εκθέσεων και επιδείξεων</v>
          </cell>
          <cell r="O211" t="str">
            <v>Υλικά Φαρμακείου</v>
          </cell>
        </row>
        <row r="212">
          <cell r="I212" t="str">
            <v>Αμοιβές Τρίτων ( Καθαριστήριο και άλλα άμεσα έξοδα )</v>
          </cell>
          <cell r="L212" t="str">
            <v>Αποσβέσεις ( Εξοπλισμού R.DEP. &amp; M.DEP.)</v>
          </cell>
          <cell r="O212" t="str">
            <v>Διάφορα αναλώσιμα</v>
          </cell>
        </row>
        <row r="213">
          <cell r="I213" t="str">
            <v>Επισκευές - Συντηρήσεις</v>
          </cell>
          <cell r="O213" t="str">
            <v>Αμοιβές συνεργατών ( Εξωτερικοί Συνεργάτες Λογιστής - Μισθοδοσία Δικηγόρος )</v>
          </cell>
        </row>
        <row r="214">
          <cell r="I214" t="str">
            <v>Φόρος Παρεπιδημούντων</v>
          </cell>
          <cell r="O214" t="str">
            <v>Αμοιβές Τρίτων (Αμοιβές - Συνδρομές για υποστήριξη Pylon Συναγερμός - Διατακτικές)</v>
          </cell>
        </row>
        <row r="215">
          <cell r="I215" t="str">
            <v>Αποσβέσεις ( Κτήρια - Μηχανήματα - Εξοπλισμός )</v>
          </cell>
          <cell r="O215" t="str">
            <v>Επισκευές - Συντηρήσεις</v>
          </cell>
        </row>
        <row r="216">
          <cell r="I216" t="str">
            <v>Αναλώσιμα τρόφιμα  (Ομάδα 2**)</v>
          </cell>
          <cell r="O216" t="str">
            <v xml:space="preserve">Εξοδα μεταφορών </v>
          </cell>
        </row>
        <row r="217">
          <cell r="O217" t="str">
            <v xml:space="preserve">Εξοδα ταξιδίων </v>
          </cell>
        </row>
        <row r="218">
          <cell r="O218" t="str">
            <v xml:space="preserve">Υλικά άμεσης ανάλωσης </v>
          </cell>
        </row>
        <row r="219">
          <cell r="O219" t="str">
            <v xml:space="preserve">Φόροι και τέλη </v>
          </cell>
        </row>
        <row r="220">
          <cell r="O220" t="str">
            <v>Εξοδα δημοσιεύσεων</v>
          </cell>
        </row>
        <row r="221">
          <cell r="O221" t="str">
            <v xml:space="preserve">Λοιπά Διάφορα έξοδα </v>
          </cell>
        </row>
        <row r="222">
          <cell r="O222" t="str">
            <v xml:space="preserve">Τόκοι και συναφή εξοδα </v>
          </cell>
        </row>
        <row r="223">
          <cell r="O223" t="str">
            <v xml:space="preserve">Αποσβέσεις ( Εξοπλισμού Διοίκησης και εγκαταστάσεων στην έδρα και αποθήκες ) </v>
          </cell>
        </row>
        <row r="224">
          <cell r="O224" t="str">
            <v xml:space="preserve">Ασυνήθη έξοδα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8CF434-757D-44D9-861D-D3C56E8874B9}">
  <we:reference id="WA200009404" version="1.0.0.4" store="Omex" storeType="OMEX"/>
  <we:alternateReferences>
    <we:reference id="WA200009404" version="1.0.0.4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0"/>
  <sheetViews>
    <sheetView topLeftCell="A83" zoomScale="85" zoomScaleNormal="85" workbookViewId="0">
      <selection activeCell="A85" sqref="A85:A110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</row>
    <row r="2" spans="1:17" ht="41.25" customHeight="1" x14ac:dyDescent="0.25">
      <c r="A2" s="57">
        <v>1</v>
      </c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/>
      <c r="H2" s="182" t="str">
        <f>[1]ΑΝΤΙΣΤΟΙΧΙΣΗ!$F$35</f>
        <v>ΠΡΟΥΠΟΛΟΓΙΣΜΟΣ ΤΡΕΧΟΝΤΟΣ ΕΤΟΥΣ</v>
      </c>
      <c r="I2" s="182"/>
      <c r="J2" s="182"/>
      <c r="K2" s="182"/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161</v>
      </c>
      <c r="D3" s="180" t="str">
        <f>[1]ΑΝΤΙΣΤΟΙΧΙΣΗ!$F$106</f>
        <v xml:space="preserve">ΙΑΝΟΥΑΡΙΟΣ ΤΡΕΧΟΝ ΕΤΟΣ </v>
      </c>
      <c r="E3" s="180"/>
      <c r="F3" s="180"/>
      <c r="G3" s="61">
        <f>[1]ΑΝΤΙΣΤΟΙΧΙΣΗ!$D$34</f>
        <v>2025</v>
      </c>
      <c r="H3" s="180" t="str">
        <f>[1]ΑΝΤΙΣΤΟΙΧΙΣΗ!$F$106</f>
        <v xml:space="preserve">ΙΑΝΟΥΑΡΙΟΣ ΤΡΕΧΟΝ ΕΤΟΣ </v>
      </c>
      <c r="I3" s="180"/>
      <c r="J3" s="180"/>
      <c r="K3" s="61">
        <f>[1]ΑΝΤΙΣΤΟΙΧΙΣΗ!$D$34</f>
        <v>2025</v>
      </c>
      <c r="L3" s="180" t="str">
        <f>[1]ΑΝΤΙΣΤΟΙΧΙΣΗ!$F$120</f>
        <v xml:space="preserve">ΙΑΝΟΥΑΡΙΟΣ ΠΡΟΗΓΟΥΜΕΝΟΥ ΕΤΟΥΣ </v>
      </c>
      <c r="M3" s="180"/>
      <c r="N3" s="180"/>
      <c r="O3" s="61">
        <f>[1]ΑΝΤΙΣΤΟΙΧΙΣΗ!$D$33</f>
        <v>2024</v>
      </c>
      <c r="P3" s="180"/>
      <c r="Q3" s="180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162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 ca="1">D7-D6</f>
        <v>-43020.486666666664</v>
      </c>
      <c r="E5" s="4"/>
      <c r="F5" s="3">
        <f>F7-F6</f>
        <v>-35555.036666666667</v>
      </c>
      <c r="G5" s="4"/>
      <c r="H5" s="3">
        <f ca="1">H159-H6</f>
        <v>0</v>
      </c>
      <c r="I5" s="4"/>
      <c r="J5" s="3">
        <f ca="1">J159-J6</f>
        <v>0</v>
      </c>
      <c r="K5" s="4"/>
      <c r="L5" s="3">
        <f ca="1">L7-L6</f>
        <v>-37643.963716814156</v>
      </c>
      <c r="M5" s="4"/>
      <c r="N5" s="3">
        <f ca="1">N7-N6</f>
        <v>-37643.963716814156</v>
      </c>
      <c r="O5" s="4"/>
      <c r="P5" s="3">
        <f ca="1">P159-P6</f>
        <v>5137.312949852505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 ca="1">D43+D84+D116</f>
        <v>63774.386666666658</v>
      </c>
      <c r="E6" s="4"/>
      <c r="F6" s="3">
        <f>F78+F111+F157</f>
        <v>56308.936666666661</v>
      </c>
      <c r="G6" s="4"/>
      <c r="H6" s="3">
        <f ca="1">H38-H43-H84</f>
        <v>0</v>
      </c>
      <c r="I6" s="4"/>
      <c r="J6" s="66">
        <f ca="1">J38-J43-J84</f>
        <v>0</v>
      </c>
      <c r="K6" s="4"/>
      <c r="L6" s="3">
        <f ca="1">L43+L84+L116</f>
        <v>54902.95</v>
      </c>
      <c r="M6" s="4"/>
      <c r="N6" s="66">
        <f ca="1">N78+N111+N157</f>
        <v>54902.95</v>
      </c>
      <c r="O6" s="4"/>
      <c r="P6" s="3">
        <f ca="1">P38-P43-P84</f>
        <v>-5137.312949852505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SUM(D8:D31)</f>
        <v>20753.899999999998</v>
      </c>
      <c r="E7" s="8"/>
      <c r="F7" s="7">
        <f>SUM(F8:F31)</f>
        <v>20753.899999999998</v>
      </c>
      <c r="G7" s="8"/>
      <c r="H7" s="7">
        <f>SUM(H8:H31)</f>
        <v>0</v>
      </c>
      <c r="I7" s="8"/>
      <c r="J7" s="7">
        <f>SUM(J8:J31)</f>
        <v>0</v>
      </c>
      <c r="K7" s="8"/>
      <c r="L7" s="7">
        <f>SUM(L8:L31)</f>
        <v>17258.986283185841</v>
      </c>
      <c r="M7" s="8"/>
      <c r="N7" s="7">
        <f>L7</f>
        <v>17258.986283185841</v>
      </c>
      <c r="O7" s="8"/>
      <c r="P7" s="7">
        <f>SUM(P8:P31)</f>
        <v>3494.9137168141606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'[1]2025_ΕΣΟΔΑ'!C2</f>
        <v>19279.13</v>
      </c>
      <c r="E8" s="11">
        <f>D8/$D$7</f>
        <v>0.92894010282404771</v>
      </c>
      <c r="F8" s="12">
        <f>D8</f>
        <v>19279.13</v>
      </c>
      <c r="G8" s="11">
        <f>F8/$F$7</f>
        <v>0.92894010282404771</v>
      </c>
      <c r="H8" s="12">
        <v>0</v>
      </c>
      <c r="I8" s="11" t="e">
        <f>H8/$H$7</f>
        <v>#DIV/0!</v>
      </c>
      <c r="J8" s="12">
        <f>H8</f>
        <v>0</v>
      </c>
      <c r="K8" s="11" t="e">
        <f>J8/$J$7</f>
        <v>#DIV/0!</v>
      </c>
      <c r="L8" s="68">
        <f>'[1]2024_60-69 ΕΞΟΔΑ+ΟΜ 2'!C114</f>
        <v>11109.16</v>
      </c>
      <c r="M8" s="11">
        <f>L8/$L$7</f>
        <v>0.64367395730668353</v>
      </c>
      <c r="N8" s="12">
        <f>L8</f>
        <v>11109.16</v>
      </c>
      <c r="O8" s="11">
        <f>N8/$N$7</f>
        <v>0.64367395730668353</v>
      </c>
      <c r="P8" s="12">
        <f>F8-N8</f>
        <v>8169.9700000000012</v>
      </c>
      <c r="Q8" s="11" t="e">
        <f>P8/J8</f>
        <v>#DIV/0!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'[1]2025_ΕΣΟΔΑ'!C3</f>
        <v>0</v>
      </c>
      <c r="E9" s="11">
        <f t="shared" ref="E9:E37" si="0">D9/$D$7</f>
        <v>0</v>
      </c>
      <c r="F9" s="12">
        <f t="shared" ref="F9:F37" si="1">D9</f>
        <v>0</v>
      </c>
      <c r="G9" s="11">
        <f t="shared" ref="G9:G37" si="2">F9/$F$7</f>
        <v>0</v>
      </c>
      <c r="H9" s="12"/>
      <c r="I9" s="11" t="e">
        <f t="shared" ref="I9:I37" si="3">H9/$H$7</f>
        <v>#DIV/0!</v>
      </c>
      <c r="J9" s="12">
        <f t="shared" ref="J9:J37" si="4">H9</f>
        <v>0</v>
      </c>
      <c r="K9" s="11" t="e">
        <f t="shared" ref="K9:K37" si="5">J9/$J$7</f>
        <v>#DIV/0!</v>
      </c>
      <c r="L9" s="68">
        <f>'[1]2024_60-69 ΕΞΟΔΑ+ΟΜ 2'!C115</f>
        <v>0</v>
      </c>
      <c r="M9" s="11">
        <f t="shared" ref="M9:M37" si="6">L9/$L$7</f>
        <v>0</v>
      </c>
      <c r="N9" s="12">
        <f t="shared" ref="N9:N37" si="7">L9</f>
        <v>0</v>
      </c>
      <c r="O9" s="11">
        <f t="shared" ref="O9:O37" si="8">N9/$N$7</f>
        <v>0</v>
      </c>
      <c r="P9" s="12">
        <f t="shared" ref="P9:P37" si="9">F9-N9</f>
        <v>0</v>
      </c>
      <c r="Q9" s="11" t="e">
        <f t="shared" ref="Q9:Q37" si="10">P9/J9</f>
        <v>#DIV/0!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'[1]2025_ΕΣΟΔΑ'!C4</f>
        <v>0</v>
      </c>
      <c r="E10" s="11">
        <f t="shared" si="0"/>
        <v>0</v>
      </c>
      <c r="F10" s="12">
        <f t="shared" si="1"/>
        <v>0</v>
      </c>
      <c r="G10" s="11">
        <f t="shared" si="2"/>
        <v>0</v>
      </c>
      <c r="H10" s="12"/>
      <c r="I10" s="11" t="e">
        <f t="shared" si="3"/>
        <v>#DIV/0!</v>
      </c>
      <c r="J10" s="12">
        <f t="shared" si="4"/>
        <v>0</v>
      </c>
      <c r="K10" s="11" t="e">
        <f t="shared" si="5"/>
        <v>#DIV/0!</v>
      </c>
      <c r="L10" s="68">
        <f>'[1]2024_60-69 ΕΞΟΔΑ+ΟΜ 2'!C116</f>
        <v>0</v>
      </c>
      <c r="M10" s="11">
        <f t="shared" si="6"/>
        <v>0</v>
      </c>
      <c r="N10" s="12">
        <f t="shared" si="7"/>
        <v>0</v>
      </c>
      <c r="O10" s="11">
        <f t="shared" si="8"/>
        <v>0</v>
      </c>
      <c r="P10" s="12">
        <f t="shared" si="9"/>
        <v>0</v>
      </c>
      <c r="Q10" s="11" t="e">
        <f t="shared" si="10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'[1]2025_ΕΣΟΔΑ'!C5</f>
        <v>1388.93</v>
      </c>
      <c r="E11" s="11">
        <f t="shared" si="0"/>
        <v>6.6923807091679166E-2</v>
      </c>
      <c r="F11" s="12">
        <f t="shared" si="1"/>
        <v>1388.93</v>
      </c>
      <c r="G11" s="11">
        <f t="shared" si="2"/>
        <v>6.6923807091679166E-2</v>
      </c>
      <c r="H11" s="12"/>
      <c r="I11" s="11" t="e">
        <f t="shared" si="3"/>
        <v>#DIV/0!</v>
      </c>
      <c r="J11" s="12">
        <f t="shared" si="4"/>
        <v>0</v>
      </c>
      <c r="K11" s="11" t="e">
        <f t="shared" si="5"/>
        <v>#DIV/0!</v>
      </c>
      <c r="L11" s="68">
        <f>'[1]2024_60-69 ΕΞΟΔΑ+ΟΜ 2'!C117</f>
        <v>774.33628318584078</v>
      </c>
      <c r="M11" s="11">
        <f t="shared" si="6"/>
        <v>4.4865687386299133E-2</v>
      </c>
      <c r="N11" s="12">
        <f t="shared" si="7"/>
        <v>774.33628318584078</v>
      </c>
      <c r="O11" s="11">
        <f t="shared" si="8"/>
        <v>4.4865687386299133E-2</v>
      </c>
      <c r="P11" s="12">
        <f t="shared" si="9"/>
        <v>614.59371681415928</v>
      </c>
      <c r="Q11" s="11" t="e">
        <f t="shared" si="10"/>
        <v>#DIV/0!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'[1]2025_ΕΣΟΔΑ'!C6</f>
        <v>0</v>
      </c>
      <c r="E12" s="11">
        <f t="shared" si="0"/>
        <v>0</v>
      </c>
      <c r="F12" s="12">
        <f t="shared" si="1"/>
        <v>0</v>
      </c>
      <c r="G12" s="11">
        <f t="shared" si="2"/>
        <v>0</v>
      </c>
      <c r="H12" s="12"/>
      <c r="I12" s="11" t="e">
        <f t="shared" si="3"/>
        <v>#DIV/0!</v>
      </c>
      <c r="J12" s="12">
        <f t="shared" si="4"/>
        <v>0</v>
      </c>
      <c r="K12" s="11" t="e">
        <f t="shared" si="5"/>
        <v>#DIV/0!</v>
      </c>
      <c r="L12" s="68">
        <f>'[1]2024_60-69 ΕΞΟΔΑ+ΟΜ 2'!C118</f>
        <v>0</v>
      </c>
      <c r="M12" s="11">
        <f t="shared" si="6"/>
        <v>0</v>
      </c>
      <c r="N12" s="12">
        <f t="shared" si="7"/>
        <v>0</v>
      </c>
      <c r="O12" s="11">
        <f t="shared" si="8"/>
        <v>0</v>
      </c>
      <c r="P12" s="12">
        <f t="shared" si="9"/>
        <v>0</v>
      </c>
      <c r="Q12" s="11" t="e">
        <f t="shared" si="10"/>
        <v>#DIV/0!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'[1]2025_ΕΣΟΔΑ'!C7</f>
        <v>0</v>
      </c>
      <c r="E13" s="11">
        <f t="shared" si="0"/>
        <v>0</v>
      </c>
      <c r="F13" s="12">
        <f t="shared" si="1"/>
        <v>0</v>
      </c>
      <c r="G13" s="11">
        <f t="shared" si="2"/>
        <v>0</v>
      </c>
      <c r="H13" s="12"/>
      <c r="I13" s="11" t="e">
        <f t="shared" si="3"/>
        <v>#DIV/0!</v>
      </c>
      <c r="J13" s="12">
        <f t="shared" si="4"/>
        <v>0</v>
      </c>
      <c r="K13" s="11" t="e">
        <f t="shared" si="5"/>
        <v>#DIV/0!</v>
      </c>
      <c r="L13" s="68">
        <f>'[1]2024_60-69 ΕΞΟΔΑ+ΟΜ 2'!C119</f>
        <v>0</v>
      </c>
      <c r="M13" s="11">
        <f t="shared" si="6"/>
        <v>0</v>
      </c>
      <c r="N13" s="12">
        <f t="shared" si="7"/>
        <v>0</v>
      </c>
      <c r="O13" s="11">
        <f t="shared" si="8"/>
        <v>0</v>
      </c>
      <c r="P13" s="12">
        <f t="shared" si="9"/>
        <v>0</v>
      </c>
      <c r="Q13" s="11" t="e">
        <f t="shared" si="10"/>
        <v>#DIV/0!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'[1]2025_ΕΣΟΔΑ'!C8</f>
        <v>100</v>
      </c>
      <c r="E14" s="11">
        <f t="shared" si="0"/>
        <v>4.8183714868048899E-3</v>
      </c>
      <c r="F14" s="12">
        <f t="shared" si="1"/>
        <v>100</v>
      </c>
      <c r="G14" s="11">
        <f t="shared" si="2"/>
        <v>4.8183714868048899E-3</v>
      </c>
      <c r="H14" s="12"/>
      <c r="I14" s="11" t="e">
        <f t="shared" si="3"/>
        <v>#DIV/0!</v>
      </c>
      <c r="J14" s="12">
        <f t="shared" si="4"/>
        <v>0</v>
      </c>
      <c r="K14" s="11" t="e">
        <f t="shared" si="5"/>
        <v>#DIV/0!</v>
      </c>
      <c r="L14" s="68">
        <f>'[1]2024_60-69 ΕΞΟΔΑ+ΟΜ 2'!C120</f>
        <v>100</v>
      </c>
      <c r="M14" s="11">
        <f t="shared" si="6"/>
        <v>5.7940830567449163E-3</v>
      </c>
      <c r="N14" s="12">
        <f t="shared" si="7"/>
        <v>100</v>
      </c>
      <c r="O14" s="11">
        <f t="shared" si="8"/>
        <v>5.7940830567449163E-3</v>
      </c>
      <c r="P14" s="12">
        <f t="shared" si="9"/>
        <v>0</v>
      </c>
      <c r="Q14" s="11" t="e">
        <f t="shared" si="10"/>
        <v>#DIV/0!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'[1]2025_ΕΣΟΔΑ'!C9</f>
        <v>68.550000000000011</v>
      </c>
      <c r="E15" s="11">
        <f t="shared" si="0"/>
        <v>3.3029936542047526E-3</v>
      </c>
      <c r="F15" s="12">
        <f t="shared" si="1"/>
        <v>68.550000000000011</v>
      </c>
      <c r="G15" s="11">
        <f t="shared" si="2"/>
        <v>3.3029936542047526E-3</v>
      </c>
      <c r="H15" s="12"/>
      <c r="I15" s="11" t="e">
        <f t="shared" si="3"/>
        <v>#DIV/0!</v>
      </c>
      <c r="J15" s="12">
        <f t="shared" si="4"/>
        <v>0</v>
      </c>
      <c r="K15" s="11" t="e">
        <f t="shared" si="5"/>
        <v>#DIV/0!</v>
      </c>
      <c r="L15" s="68">
        <f>'[1]2024_60-69 ΕΞΟΔΑ+ΟΜ 2'!C121</f>
        <v>0</v>
      </c>
      <c r="M15" s="11">
        <f t="shared" si="6"/>
        <v>0</v>
      </c>
      <c r="N15" s="12">
        <f t="shared" si="7"/>
        <v>0</v>
      </c>
      <c r="O15" s="11">
        <f t="shared" si="8"/>
        <v>0</v>
      </c>
      <c r="P15" s="12">
        <f t="shared" si="9"/>
        <v>68.550000000000011</v>
      </c>
      <c r="Q15" s="11" t="e">
        <f t="shared" si="10"/>
        <v>#DIV/0!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'[1]2025_ΕΣΟΔΑ'!C10</f>
        <v>16.12</v>
      </c>
      <c r="E16" s="11">
        <f t="shared" si="0"/>
        <v>7.7672148367294834E-4</v>
      </c>
      <c r="F16" s="12">
        <f t="shared" si="1"/>
        <v>16.12</v>
      </c>
      <c r="G16" s="11">
        <f t="shared" si="2"/>
        <v>7.7672148367294834E-4</v>
      </c>
      <c r="H16" s="12"/>
      <c r="I16" s="11" t="e">
        <f t="shared" si="3"/>
        <v>#DIV/0!</v>
      </c>
      <c r="J16" s="12">
        <f t="shared" si="4"/>
        <v>0</v>
      </c>
      <c r="K16" s="11" t="e">
        <f t="shared" si="5"/>
        <v>#DIV/0!</v>
      </c>
      <c r="L16" s="68">
        <f>'[1]2024_60-69 ΕΞΟΔΑ+ΟΜ 2'!C122</f>
        <v>0</v>
      </c>
      <c r="M16" s="11">
        <f t="shared" si="6"/>
        <v>0</v>
      </c>
      <c r="N16" s="12">
        <f t="shared" si="7"/>
        <v>0</v>
      </c>
      <c r="O16" s="11">
        <f t="shared" si="8"/>
        <v>0</v>
      </c>
      <c r="P16" s="12">
        <f t="shared" si="9"/>
        <v>16.12</v>
      </c>
      <c r="Q16" s="11" t="e">
        <f t="shared" si="10"/>
        <v>#DIV/0!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'[1]2025_ΕΣΟΔΑ'!C11</f>
        <v>0</v>
      </c>
      <c r="E17" s="11">
        <f t="shared" si="0"/>
        <v>0</v>
      </c>
      <c r="F17" s="12">
        <f t="shared" si="1"/>
        <v>0</v>
      </c>
      <c r="G17" s="11">
        <f t="shared" si="2"/>
        <v>0</v>
      </c>
      <c r="H17" s="12"/>
      <c r="I17" s="11" t="e">
        <f t="shared" si="3"/>
        <v>#DIV/0!</v>
      </c>
      <c r="J17" s="12">
        <f t="shared" si="4"/>
        <v>0</v>
      </c>
      <c r="K17" s="11" t="e">
        <f t="shared" si="5"/>
        <v>#DIV/0!</v>
      </c>
      <c r="L17" s="68">
        <f>'[1]2024_60-69 ΕΞΟΔΑ+ΟΜ 2'!C123</f>
        <v>0</v>
      </c>
      <c r="M17" s="11">
        <f t="shared" si="6"/>
        <v>0</v>
      </c>
      <c r="N17" s="12">
        <f t="shared" si="7"/>
        <v>0</v>
      </c>
      <c r="O17" s="11">
        <f t="shared" si="8"/>
        <v>0</v>
      </c>
      <c r="P17" s="12">
        <f t="shared" si="9"/>
        <v>0</v>
      </c>
      <c r="Q17" s="11" t="e">
        <f t="shared" si="10"/>
        <v>#DIV/0!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'[1]2025_ΕΣΟΔΑ'!C12</f>
        <v>0</v>
      </c>
      <c r="E18" s="11">
        <f t="shared" si="0"/>
        <v>0</v>
      </c>
      <c r="F18" s="12">
        <f t="shared" si="1"/>
        <v>0</v>
      </c>
      <c r="G18" s="11">
        <f t="shared" si="2"/>
        <v>0</v>
      </c>
      <c r="H18" s="12"/>
      <c r="I18" s="11" t="e">
        <f t="shared" si="3"/>
        <v>#DIV/0!</v>
      </c>
      <c r="J18" s="12">
        <f t="shared" si="4"/>
        <v>0</v>
      </c>
      <c r="K18" s="11" t="e">
        <f t="shared" si="5"/>
        <v>#DIV/0!</v>
      </c>
      <c r="L18" s="68">
        <f>'[1]2024_60-69 ΕΞΟΔΑ+ΟΜ 2'!C124</f>
        <v>0</v>
      </c>
      <c r="M18" s="11">
        <f t="shared" si="6"/>
        <v>0</v>
      </c>
      <c r="N18" s="12">
        <f t="shared" si="7"/>
        <v>0</v>
      </c>
      <c r="O18" s="11">
        <f t="shared" si="8"/>
        <v>0</v>
      </c>
      <c r="P18" s="12">
        <f t="shared" si="9"/>
        <v>0</v>
      </c>
      <c r="Q18" s="11" t="e">
        <f t="shared" si="10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'[1]2025_ΕΣΟΔΑ'!C13</f>
        <v>0</v>
      </c>
      <c r="E19" s="11">
        <f t="shared" si="0"/>
        <v>0</v>
      </c>
      <c r="F19" s="12">
        <f t="shared" si="1"/>
        <v>0</v>
      </c>
      <c r="G19" s="11">
        <f t="shared" si="2"/>
        <v>0</v>
      </c>
      <c r="H19" s="12"/>
      <c r="I19" s="11" t="e">
        <f t="shared" si="3"/>
        <v>#DIV/0!</v>
      </c>
      <c r="J19" s="12">
        <f t="shared" si="4"/>
        <v>0</v>
      </c>
      <c r="K19" s="11" t="e">
        <f t="shared" si="5"/>
        <v>#DIV/0!</v>
      </c>
      <c r="L19" s="68">
        <f>'[1]2024_60-69 ΕΞΟΔΑ+ΟΜ 2'!C125</f>
        <v>0</v>
      </c>
      <c r="M19" s="11">
        <f t="shared" si="6"/>
        <v>0</v>
      </c>
      <c r="N19" s="12">
        <f t="shared" si="7"/>
        <v>0</v>
      </c>
      <c r="O19" s="11">
        <f t="shared" si="8"/>
        <v>0</v>
      </c>
      <c r="P19" s="12">
        <f t="shared" si="9"/>
        <v>0</v>
      </c>
      <c r="Q19" s="11" t="e">
        <f t="shared" si="10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'[1]2025_ΕΣΟΔΑ'!C14</f>
        <v>0</v>
      </c>
      <c r="E20" s="11">
        <f t="shared" si="0"/>
        <v>0</v>
      </c>
      <c r="F20" s="12">
        <f t="shared" si="1"/>
        <v>0</v>
      </c>
      <c r="G20" s="11">
        <f t="shared" si="2"/>
        <v>0</v>
      </c>
      <c r="H20" s="12"/>
      <c r="I20" s="11" t="e">
        <f t="shared" si="3"/>
        <v>#DIV/0!</v>
      </c>
      <c r="J20" s="12">
        <f t="shared" si="4"/>
        <v>0</v>
      </c>
      <c r="K20" s="11" t="e">
        <f t="shared" si="5"/>
        <v>#DIV/0!</v>
      </c>
      <c r="L20" s="68">
        <f>'[1]2024_60-69 ΕΞΟΔΑ+ΟΜ 2'!C126</f>
        <v>0</v>
      </c>
      <c r="M20" s="11">
        <f t="shared" si="6"/>
        <v>0</v>
      </c>
      <c r="N20" s="12">
        <f t="shared" si="7"/>
        <v>0</v>
      </c>
      <c r="O20" s="11">
        <f t="shared" si="8"/>
        <v>0</v>
      </c>
      <c r="P20" s="12">
        <f t="shared" si="9"/>
        <v>0</v>
      </c>
      <c r="Q20" s="11" t="e">
        <f t="shared" si="10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'[1]2025_ΕΣΟΔΑ'!C15</f>
        <v>0</v>
      </c>
      <c r="E21" s="11">
        <f t="shared" si="0"/>
        <v>0</v>
      </c>
      <c r="F21" s="12">
        <f t="shared" si="1"/>
        <v>0</v>
      </c>
      <c r="G21" s="11">
        <f t="shared" si="2"/>
        <v>0</v>
      </c>
      <c r="H21" s="12"/>
      <c r="I21" s="11" t="e">
        <f t="shared" si="3"/>
        <v>#DIV/0!</v>
      </c>
      <c r="J21" s="12">
        <f t="shared" si="4"/>
        <v>0</v>
      </c>
      <c r="K21" s="11" t="e">
        <f t="shared" si="5"/>
        <v>#DIV/0!</v>
      </c>
      <c r="L21" s="68">
        <f>'[1]2024_60-69 ΕΞΟΔΑ+ΟΜ 2'!C127</f>
        <v>0</v>
      </c>
      <c r="M21" s="11">
        <f t="shared" si="6"/>
        <v>0</v>
      </c>
      <c r="N21" s="12">
        <f t="shared" si="7"/>
        <v>0</v>
      </c>
      <c r="O21" s="11">
        <f t="shared" si="8"/>
        <v>0</v>
      </c>
      <c r="P21" s="12">
        <f t="shared" si="9"/>
        <v>0</v>
      </c>
      <c r="Q21" s="11" t="e">
        <f t="shared" si="10"/>
        <v>#DIV/0!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'[1]2025_ΕΣΟΔΑ'!C16</f>
        <v>0</v>
      </c>
      <c r="E22" s="11">
        <f t="shared" si="0"/>
        <v>0</v>
      </c>
      <c r="F22" s="12">
        <f t="shared" si="1"/>
        <v>0</v>
      </c>
      <c r="G22" s="11">
        <f t="shared" si="2"/>
        <v>0</v>
      </c>
      <c r="H22" s="12"/>
      <c r="I22" s="11" t="e">
        <f t="shared" si="3"/>
        <v>#DIV/0!</v>
      </c>
      <c r="J22" s="12">
        <f t="shared" si="4"/>
        <v>0</v>
      </c>
      <c r="K22" s="11" t="e">
        <f t="shared" si="5"/>
        <v>#DIV/0!</v>
      </c>
      <c r="L22" s="68">
        <f>'[1]2024_60-69 ΕΞΟΔΑ+ΟΜ 2'!C128</f>
        <v>0</v>
      </c>
      <c r="M22" s="11">
        <f t="shared" si="6"/>
        <v>0</v>
      </c>
      <c r="N22" s="12">
        <f t="shared" si="7"/>
        <v>0</v>
      </c>
      <c r="O22" s="11">
        <f t="shared" si="8"/>
        <v>0</v>
      </c>
      <c r="P22" s="12">
        <f t="shared" si="9"/>
        <v>0</v>
      </c>
      <c r="Q22" s="11" t="e">
        <f t="shared" si="10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'[1]2025_ΕΣΟΔΑ'!C17</f>
        <v>0</v>
      </c>
      <c r="E23" s="11">
        <f t="shared" si="0"/>
        <v>0</v>
      </c>
      <c r="F23" s="12">
        <f t="shared" si="1"/>
        <v>0</v>
      </c>
      <c r="G23" s="11">
        <f t="shared" si="2"/>
        <v>0</v>
      </c>
      <c r="H23" s="12"/>
      <c r="I23" s="11" t="e">
        <f t="shared" si="3"/>
        <v>#DIV/0!</v>
      </c>
      <c r="J23" s="12">
        <f t="shared" si="4"/>
        <v>0</v>
      </c>
      <c r="K23" s="11" t="e">
        <f t="shared" si="5"/>
        <v>#DIV/0!</v>
      </c>
      <c r="L23" s="68">
        <f>'[1]2024_60-69 ΕΞΟΔΑ+ΟΜ 2'!C129</f>
        <v>0</v>
      </c>
      <c r="M23" s="11">
        <f t="shared" si="6"/>
        <v>0</v>
      </c>
      <c r="N23" s="12">
        <f t="shared" si="7"/>
        <v>0</v>
      </c>
      <c r="O23" s="11">
        <f t="shared" si="8"/>
        <v>0</v>
      </c>
      <c r="P23" s="12">
        <f t="shared" si="9"/>
        <v>0</v>
      </c>
      <c r="Q23" s="11" t="e">
        <f t="shared" si="10"/>
        <v>#DIV/0!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'[1]2025_ΕΣΟΔΑ'!C18</f>
        <v>0</v>
      </c>
      <c r="E24" s="11">
        <f>D24/$D$7</f>
        <v>0</v>
      </c>
      <c r="F24" s="12">
        <f>D24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</f>
        <v>0</v>
      </c>
      <c r="K24" s="11" t="e">
        <f>J24/$J$7</f>
        <v>#DIV/0!</v>
      </c>
      <c r="L24" s="68">
        <f>'[1]2024_60-69 ΕΞΟΔΑ+ΟΜ 2'!C130</f>
        <v>0</v>
      </c>
      <c r="M24" s="11">
        <f>L24/$L$7</f>
        <v>0</v>
      </c>
      <c r="N24" s="12">
        <f>L24</f>
        <v>0</v>
      </c>
      <c r="O24" s="11">
        <f>N24/$N$7</f>
        <v>0</v>
      </c>
      <c r="P24" s="12">
        <f>F24-N24</f>
        <v>0</v>
      </c>
      <c r="Q24" s="11" t="e">
        <f>F24/J24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'[1]2025_ΕΣΟΔΑ'!C19</f>
        <v>0</v>
      </c>
      <c r="E25" s="11">
        <f t="shared" si="0"/>
        <v>0</v>
      </c>
      <c r="F25" s="12">
        <f t="shared" si="1"/>
        <v>0</v>
      </c>
      <c r="G25" s="11">
        <f t="shared" si="2"/>
        <v>0</v>
      </c>
      <c r="H25" s="12"/>
      <c r="I25" s="11" t="e">
        <f t="shared" si="3"/>
        <v>#DIV/0!</v>
      </c>
      <c r="J25" s="12">
        <f t="shared" si="4"/>
        <v>0</v>
      </c>
      <c r="K25" s="11" t="e">
        <f t="shared" si="5"/>
        <v>#DIV/0!</v>
      </c>
      <c r="L25" s="68">
        <f>'[1]2024_60-69 ΕΞΟΔΑ+ΟΜ 2'!C131</f>
        <v>0</v>
      </c>
      <c r="M25" s="11">
        <f t="shared" si="6"/>
        <v>0</v>
      </c>
      <c r="N25" s="12">
        <f t="shared" si="7"/>
        <v>0</v>
      </c>
      <c r="O25" s="11">
        <f t="shared" si="8"/>
        <v>0</v>
      </c>
      <c r="P25" s="12">
        <f t="shared" si="9"/>
        <v>0</v>
      </c>
      <c r="Q25" s="11" t="e">
        <f t="shared" si="10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'[1]2025_ΕΣΟΔΑ'!C20</f>
        <v>0</v>
      </c>
      <c r="E26" s="11">
        <f t="shared" si="0"/>
        <v>0</v>
      </c>
      <c r="F26" s="12">
        <f t="shared" si="1"/>
        <v>0</v>
      </c>
      <c r="G26" s="11">
        <f t="shared" si="2"/>
        <v>0</v>
      </c>
      <c r="H26" s="12"/>
      <c r="I26" s="11" t="e">
        <f t="shared" si="3"/>
        <v>#DIV/0!</v>
      </c>
      <c r="J26" s="12">
        <f t="shared" si="4"/>
        <v>0</v>
      </c>
      <c r="K26" s="11" t="e">
        <f t="shared" si="5"/>
        <v>#DIV/0!</v>
      </c>
      <c r="L26" s="68">
        <f>'[1]2024_60-69 ΕΞΟΔΑ+ΟΜ 2'!C132</f>
        <v>0</v>
      </c>
      <c r="M26" s="11">
        <f t="shared" si="6"/>
        <v>0</v>
      </c>
      <c r="N26" s="12">
        <f t="shared" si="7"/>
        <v>0</v>
      </c>
      <c r="O26" s="11">
        <f t="shared" si="8"/>
        <v>0</v>
      </c>
      <c r="P26" s="12">
        <f t="shared" si="9"/>
        <v>0</v>
      </c>
      <c r="Q26" s="11" t="e">
        <f t="shared" si="10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'[1]2025_ΕΣΟΔΑ'!C21</f>
        <v>0</v>
      </c>
      <c r="E27" s="11">
        <f t="shared" si="0"/>
        <v>0</v>
      </c>
      <c r="F27" s="12">
        <f t="shared" si="1"/>
        <v>0</v>
      </c>
      <c r="G27" s="11">
        <f t="shared" si="2"/>
        <v>0</v>
      </c>
      <c r="H27" s="12"/>
      <c r="I27" s="11" t="e">
        <f t="shared" si="3"/>
        <v>#DIV/0!</v>
      </c>
      <c r="J27" s="12">
        <f t="shared" si="4"/>
        <v>0</v>
      </c>
      <c r="K27" s="11" t="e">
        <f t="shared" si="5"/>
        <v>#DIV/0!</v>
      </c>
      <c r="L27" s="68">
        <f>'[1]2024_60-69 ΕΞΟΔΑ+ΟΜ 2'!C133</f>
        <v>0</v>
      </c>
      <c r="M27" s="11">
        <f t="shared" si="6"/>
        <v>0</v>
      </c>
      <c r="N27" s="12">
        <f t="shared" si="7"/>
        <v>0</v>
      </c>
      <c r="O27" s="11">
        <f t="shared" si="8"/>
        <v>0</v>
      </c>
      <c r="P27" s="12">
        <f t="shared" si="9"/>
        <v>0</v>
      </c>
      <c r="Q27" s="11" t="e">
        <f t="shared" si="10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'[1]2025_ΕΣΟΔΑ'!C22</f>
        <v>0</v>
      </c>
      <c r="E28" s="11">
        <f t="shared" si="0"/>
        <v>0</v>
      </c>
      <c r="F28" s="12">
        <f t="shared" si="1"/>
        <v>0</v>
      </c>
      <c r="G28" s="11">
        <f t="shared" si="2"/>
        <v>0</v>
      </c>
      <c r="H28" s="12"/>
      <c r="I28" s="11" t="e">
        <f t="shared" si="3"/>
        <v>#DIV/0!</v>
      </c>
      <c r="J28" s="12">
        <f t="shared" si="4"/>
        <v>0</v>
      </c>
      <c r="K28" s="11" t="e">
        <f t="shared" si="5"/>
        <v>#DIV/0!</v>
      </c>
      <c r="L28" s="68">
        <f>'[1]2024_60-69 ΕΞΟΔΑ+ΟΜ 2'!C134</f>
        <v>0</v>
      </c>
      <c r="M28" s="11">
        <f t="shared" si="6"/>
        <v>0</v>
      </c>
      <c r="N28" s="12">
        <f t="shared" si="7"/>
        <v>0</v>
      </c>
      <c r="O28" s="11">
        <f t="shared" si="8"/>
        <v>0</v>
      </c>
      <c r="P28" s="12">
        <f t="shared" si="9"/>
        <v>0</v>
      </c>
      <c r="Q28" s="11" t="e">
        <f t="shared" si="10"/>
        <v>#DIV/0!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'[1]2025_ΕΣΟΔΑ'!C23</f>
        <v>0</v>
      </c>
      <c r="E29" s="11">
        <f t="shared" si="0"/>
        <v>0</v>
      </c>
      <c r="F29" s="12">
        <f t="shared" si="1"/>
        <v>0</v>
      </c>
      <c r="G29" s="11">
        <f t="shared" si="2"/>
        <v>0</v>
      </c>
      <c r="H29" s="12"/>
      <c r="I29" s="11" t="e">
        <f t="shared" si="3"/>
        <v>#DIV/0!</v>
      </c>
      <c r="J29" s="12">
        <f t="shared" si="4"/>
        <v>0</v>
      </c>
      <c r="K29" s="11" t="e">
        <f t="shared" si="5"/>
        <v>#DIV/0!</v>
      </c>
      <c r="L29" s="68">
        <f>'[1]2024_60-69 ΕΞΟΔΑ+ΟΜ 2'!C135</f>
        <v>5335.41</v>
      </c>
      <c r="M29" s="11">
        <f t="shared" si="6"/>
        <v>0.30913808681787391</v>
      </c>
      <c r="N29" s="12">
        <f t="shared" si="7"/>
        <v>5335.41</v>
      </c>
      <c r="O29" s="11">
        <f t="shared" si="8"/>
        <v>0.30913808681787391</v>
      </c>
      <c r="P29" s="12">
        <f t="shared" si="9"/>
        <v>-5335.41</v>
      </c>
      <c r="Q29" s="11" t="e">
        <f t="shared" si="10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'[1]2025_ΕΣΟΔΑ'!C24</f>
        <v>4</v>
      </c>
      <c r="E30" s="11">
        <f t="shared" si="0"/>
        <v>1.927348594721956E-4</v>
      </c>
      <c r="F30" s="12">
        <f t="shared" si="1"/>
        <v>4</v>
      </c>
      <c r="G30" s="11">
        <f t="shared" si="2"/>
        <v>1.927348594721956E-4</v>
      </c>
      <c r="H30" s="12"/>
      <c r="I30" s="11" t="e">
        <f t="shared" si="3"/>
        <v>#DIV/0!</v>
      </c>
      <c r="J30" s="12">
        <f t="shared" si="4"/>
        <v>0</v>
      </c>
      <c r="K30" s="11" t="e">
        <f t="shared" si="5"/>
        <v>#DIV/0!</v>
      </c>
      <c r="L30" s="68">
        <f>'[1]2024_60-69 ΕΞΟΔΑ+ΟΜ 2'!C136</f>
        <v>-59.92</v>
      </c>
      <c r="M30" s="11">
        <f t="shared" si="6"/>
        <v>-3.471814567601554E-3</v>
      </c>
      <c r="N30" s="12">
        <f t="shared" si="7"/>
        <v>-59.92</v>
      </c>
      <c r="O30" s="11">
        <f t="shared" si="8"/>
        <v>-3.471814567601554E-3</v>
      </c>
      <c r="P30" s="12">
        <f t="shared" si="9"/>
        <v>63.92</v>
      </c>
      <c r="Q30" s="11" t="e">
        <f t="shared" si="10"/>
        <v>#DIV/0!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'[1]2025_ΕΣΟΔΑ'!C25</f>
        <v>-102.83</v>
      </c>
      <c r="E31" s="11">
        <f t="shared" si="0"/>
        <v>-4.9547313998814686E-3</v>
      </c>
      <c r="F31" s="12">
        <f t="shared" si="1"/>
        <v>-102.83</v>
      </c>
      <c r="G31" s="11">
        <f t="shared" si="2"/>
        <v>-4.9547313998814686E-3</v>
      </c>
      <c r="H31" s="12"/>
      <c r="I31" s="11" t="e">
        <f t="shared" si="3"/>
        <v>#DIV/0!</v>
      </c>
      <c r="J31" s="12">
        <f t="shared" si="4"/>
        <v>0</v>
      </c>
      <c r="K31" s="11" t="e">
        <f t="shared" si="5"/>
        <v>#DIV/0!</v>
      </c>
      <c r="L31" s="68">
        <f>'[1]2024_60-69 ΕΞΟΔΑ+ΟΜ 2'!C137</f>
        <v>0</v>
      </c>
      <c r="M31" s="11">
        <f t="shared" si="6"/>
        <v>0</v>
      </c>
      <c r="N31" s="12">
        <f t="shared" si="7"/>
        <v>0</v>
      </c>
      <c r="O31" s="11">
        <f t="shared" si="8"/>
        <v>0</v>
      </c>
      <c r="P31" s="12">
        <f t="shared" si="9"/>
        <v>-102.83</v>
      </c>
      <c r="Q31" s="11" t="e">
        <f t="shared" si="10"/>
        <v>#DIV/0!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'[1]2025_ΕΣΟΔΑ'!C26</f>
        <v>0</v>
      </c>
      <c r="E32" s="11">
        <f t="shared" si="0"/>
        <v>0</v>
      </c>
      <c r="F32" s="12">
        <f t="shared" si="1"/>
        <v>0</v>
      </c>
      <c r="G32" s="11">
        <f t="shared" si="2"/>
        <v>0</v>
      </c>
      <c r="H32" s="12"/>
      <c r="I32" s="11" t="e">
        <f t="shared" si="3"/>
        <v>#DIV/0!</v>
      </c>
      <c r="J32" s="12">
        <f t="shared" si="4"/>
        <v>0</v>
      </c>
      <c r="K32" s="11" t="e">
        <f t="shared" si="5"/>
        <v>#DIV/0!</v>
      </c>
      <c r="L32" s="68">
        <f>'[1]2024_60-69 ΕΞΟΔΑ+ΟΜ 2'!C138</f>
        <v>0</v>
      </c>
      <c r="M32" s="11">
        <f t="shared" si="6"/>
        <v>0</v>
      </c>
      <c r="N32" s="12">
        <f t="shared" si="7"/>
        <v>0</v>
      </c>
      <c r="O32" s="11">
        <f t="shared" si="8"/>
        <v>0</v>
      </c>
      <c r="P32" s="12">
        <f t="shared" si="9"/>
        <v>0</v>
      </c>
      <c r="Q32" s="11" t="e">
        <f t="shared" si="10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'[1]2025_ΕΣΟΔΑ'!C27</f>
        <v>0</v>
      </c>
      <c r="E33" s="11">
        <f t="shared" si="0"/>
        <v>0</v>
      </c>
      <c r="F33" s="12">
        <f t="shared" si="1"/>
        <v>0</v>
      </c>
      <c r="G33" s="11">
        <f t="shared" si="2"/>
        <v>0</v>
      </c>
      <c r="H33" s="12"/>
      <c r="I33" s="11" t="e">
        <f t="shared" si="3"/>
        <v>#DIV/0!</v>
      </c>
      <c r="J33" s="12">
        <f t="shared" si="4"/>
        <v>0</v>
      </c>
      <c r="K33" s="11" t="e">
        <f t="shared" si="5"/>
        <v>#DIV/0!</v>
      </c>
      <c r="L33" s="68">
        <f>'[1]2024_60-69 ΕΞΟΔΑ+ΟΜ 2'!C139</f>
        <v>0</v>
      </c>
      <c r="M33" s="11">
        <f t="shared" si="6"/>
        <v>0</v>
      </c>
      <c r="N33" s="12">
        <f t="shared" si="7"/>
        <v>0</v>
      </c>
      <c r="O33" s="11">
        <f t="shared" si="8"/>
        <v>0</v>
      </c>
      <c r="P33" s="12">
        <f t="shared" si="9"/>
        <v>0</v>
      </c>
      <c r="Q33" s="11" t="e">
        <f t="shared" si="10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'[1]2025_ΕΣΟΔΑ'!C28</f>
        <v>0</v>
      </c>
      <c r="E34" s="11">
        <f t="shared" si="0"/>
        <v>0</v>
      </c>
      <c r="F34" s="12">
        <f t="shared" si="1"/>
        <v>0</v>
      </c>
      <c r="G34" s="11">
        <f t="shared" si="2"/>
        <v>0</v>
      </c>
      <c r="H34" s="12"/>
      <c r="I34" s="11" t="e">
        <f t="shared" si="3"/>
        <v>#DIV/0!</v>
      </c>
      <c r="J34" s="12">
        <f t="shared" si="4"/>
        <v>0</v>
      </c>
      <c r="K34" s="11" t="e">
        <f t="shared" si="5"/>
        <v>#DIV/0!</v>
      </c>
      <c r="L34" s="68">
        <f>'[1]2024_60-69 ΕΞΟΔΑ+ΟΜ 2'!C140</f>
        <v>0</v>
      </c>
      <c r="M34" s="11">
        <f t="shared" si="6"/>
        <v>0</v>
      </c>
      <c r="N34" s="12">
        <f t="shared" si="7"/>
        <v>0</v>
      </c>
      <c r="O34" s="11">
        <f t="shared" si="8"/>
        <v>0</v>
      </c>
      <c r="P34" s="12">
        <f t="shared" si="9"/>
        <v>0</v>
      </c>
      <c r="Q34" s="11" t="e">
        <f t="shared" si="10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'[1]2025_ΕΣΟΔΑ'!C29</f>
        <v>0</v>
      </c>
      <c r="E35" s="11">
        <f t="shared" si="0"/>
        <v>0</v>
      </c>
      <c r="F35" s="12">
        <f t="shared" si="1"/>
        <v>0</v>
      </c>
      <c r="G35" s="11">
        <f t="shared" si="2"/>
        <v>0</v>
      </c>
      <c r="H35" s="12"/>
      <c r="I35" s="11" t="e">
        <f t="shared" si="3"/>
        <v>#DIV/0!</v>
      </c>
      <c r="J35" s="12">
        <f t="shared" si="4"/>
        <v>0</v>
      </c>
      <c r="K35" s="11" t="e">
        <f t="shared" si="5"/>
        <v>#DIV/0!</v>
      </c>
      <c r="L35" s="68">
        <f>'[1]2024_60-69 ΕΞΟΔΑ+ΟΜ 2'!C141</f>
        <v>0</v>
      </c>
      <c r="M35" s="11">
        <f t="shared" si="6"/>
        <v>0</v>
      </c>
      <c r="N35" s="12">
        <f t="shared" si="7"/>
        <v>0</v>
      </c>
      <c r="O35" s="11">
        <f t="shared" si="8"/>
        <v>0</v>
      </c>
      <c r="P35" s="12">
        <f t="shared" si="9"/>
        <v>0</v>
      </c>
      <c r="Q35" s="11" t="e">
        <f t="shared" si="10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'[1]2025_ΕΣΟΔΑ'!C30</f>
        <v>0</v>
      </c>
      <c r="E36" s="11">
        <f t="shared" si="0"/>
        <v>0</v>
      </c>
      <c r="F36" s="12">
        <f t="shared" si="1"/>
        <v>0</v>
      </c>
      <c r="G36" s="11">
        <f t="shared" si="2"/>
        <v>0</v>
      </c>
      <c r="H36" s="12"/>
      <c r="I36" s="11" t="e">
        <f t="shared" si="3"/>
        <v>#DIV/0!</v>
      </c>
      <c r="J36" s="12">
        <f t="shared" si="4"/>
        <v>0</v>
      </c>
      <c r="K36" s="11" t="e">
        <f t="shared" si="5"/>
        <v>#DIV/0!</v>
      </c>
      <c r="L36" s="68">
        <f>'[1]2024_60-69 ΕΞΟΔΑ+ΟΜ 2'!C142</f>
        <v>0</v>
      </c>
      <c r="M36" s="11">
        <f t="shared" si="6"/>
        <v>0</v>
      </c>
      <c r="N36" s="12">
        <f t="shared" si="7"/>
        <v>0</v>
      </c>
      <c r="O36" s="11">
        <f t="shared" si="8"/>
        <v>0</v>
      </c>
      <c r="P36" s="12">
        <f t="shared" si="9"/>
        <v>0</v>
      </c>
      <c r="Q36" s="11" t="e">
        <f t="shared" si="10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'[1]2025_ΕΣΟΔΑ'!C31</f>
        <v>0</v>
      </c>
      <c r="E37" s="11">
        <f t="shared" si="0"/>
        <v>0</v>
      </c>
      <c r="F37" s="12">
        <f t="shared" si="1"/>
        <v>0</v>
      </c>
      <c r="G37" s="11">
        <f t="shared" si="2"/>
        <v>0</v>
      </c>
      <c r="H37" s="12"/>
      <c r="I37" s="11" t="e">
        <f t="shared" si="3"/>
        <v>#DIV/0!</v>
      </c>
      <c r="J37" s="12">
        <f t="shared" si="4"/>
        <v>0</v>
      </c>
      <c r="K37" s="11" t="e">
        <f t="shared" si="5"/>
        <v>#DIV/0!</v>
      </c>
      <c r="L37" s="68">
        <f>'[1]2024_60-69 ΕΞΟΔΑ+ΟΜ 2'!C143</f>
        <v>0</v>
      </c>
      <c r="M37" s="11">
        <f t="shared" si="6"/>
        <v>0</v>
      </c>
      <c r="N37" s="12">
        <f t="shared" si="7"/>
        <v>0</v>
      </c>
      <c r="O37" s="11">
        <f t="shared" si="8"/>
        <v>0</v>
      </c>
      <c r="P37" s="12">
        <f t="shared" si="9"/>
        <v>0</v>
      </c>
      <c r="Q37" s="11" t="e">
        <f t="shared" si="10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'[1]2025_ΕΣΟΔΑ'!C32</f>
        <v>0</v>
      </c>
      <c r="E38" s="8"/>
      <c r="F38" s="7" t="str">
        <f>'[1]2025_ΕΣΟΔΑ'!C34</f>
        <v>Ιανουάριος</v>
      </c>
      <c r="G38" s="8"/>
      <c r="H38" s="7">
        <f>SUM(H8:H30)</f>
        <v>0</v>
      </c>
      <c r="I38" s="8"/>
      <c r="J38" s="7">
        <f>SUM(J8:J30)</f>
        <v>0</v>
      </c>
      <c r="K38" s="8"/>
      <c r="L38" s="7">
        <f>SUM(L8:L31)</f>
        <v>17258.986283185841</v>
      </c>
      <c r="M38" s="8"/>
      <c r="N38" s="7">
        <f>SUM(N8:N31)</f>
        <v>17258.986283185841</v>
      </c>
      <c r="O38" s="8"/>
      <c r="P38" s="7">
        <f>SUM(P8:P30)</f>
        <v>3597.7437168141605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20753.899999999998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-102.82999999999993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0" t="str">
        <f>[1]ΑΝΤΙΣΤΟΙΧΙΣΗ!$F$106</f>
        <v xml:space="preserve">ΙΑΝΟΥΑΡΙΟΣ ΤΡΕΧΟΝ ΕΤΟΣ </v>
      </c>
      <c r="E41" s="180"/>
      <c r="F41" s="180"/>
      <c r="G41" s="61">
        <f>[1]ΑΝΤΙΣΤΟΙΧΙΣΗ!$D$34</f>
        <v>2025</v>
      </c>
      <c r="H41" s="180" t="str">
        <f>[1]ΑΝΤΙΣΤΟΙΧΙΣΗ!$F$106</f>
        <v xml:space="preserve">ΙΑΝΟΥΑΡΙΟΣ ΤΡΕΧΟΝ ΕΤΟΣ </v>
      </c>
      <c r="I41" s="180"/>
      <c r="J41" s="180"/>
      <c r="K41" s="61">
        <f>[1]ΑΝΤΙΣΤΟΙΧΙΣΗ!$D$34</f>
        <v>2025</v>
      </c>
      <c r="L41" s="180" t="str">
        <f>[1]ΑΝΤΙΣΤΟΙΧΙΣΗ!$F$120</f>
        <v xml:space="preserve">ΙΑΝΟΥΑΡΙΟΣ ΠΡΟΗΓΟΥΜΕΝΟΥ ΕΤΟΥΣ </v>
      </c>
      <c r="M41" s="180"/>
      <c r="N41" s="180"/>
      <c r="O41" s="61">
        <f>[1]ΑΝΤΙΣΤΟΙΧΙΣΗ!$D$33</f>
        <v>2024</v>
      </c>
      <c r="P41" s="180"/>
      <c r="Q41" s="180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 t="s">
        <v>162</v>
      </c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27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SUM(D44:D77)</f>
        <v>50596.416666666664</v>
      </c>
      <c r="E43" s="8"/>
      <c r="F43" s="7">
        <f>SUM(F44:F77)</f>
        <v>50596.416666666664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39502.679999999993</v>
      </c>
      <c r="M43" s="8"/>
      <c r="N43" s="7">
        <f>SUM(N44:N77)</f>
        <v>39502.679999999993</v>
      </c>
      <c r="O43" s="8"/>
      <c r="P43" s="7">
        <f>SUM(P44:P77)</f>
        <v>8735.0566666666655</v>
      </c>
      <c r="Q43" s="8"/>
    </row>
    <row r="44" spans="1:17" ht="53.2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2'!D4</f>
        <v>2197.7199999999998</v>
      </c>
      <c r="E44" s="15">
        <f t="shared" ref="E44:E77" si="11">D44/$D$43</f>
        <v>4.3436277602004095E-2</v>
      </c>
      <c r="F44" s="10">
        <f>D44</f>
        <v>2197.7199999999998</v>
      </c>
      <c r="G44" s="15">
        <f t="shared" ref="G44:G77" si="12">F44/$F$43</f>
        <v>4.3436277602004095E-2</v>
      </c>
      <c r="H44" s="14"/>
      <c r="I44" s="16" t="e">
        <f t="shared" ref="I44:I77" si="13">H44/$H$43</f>
        <v>#DIV/0!</v>
      </c>
      <c r="J44" s="10">
        <f>H44</f>
        <v>0</v>
      </c>
      <c r="K44" s="17" t="e">
        <f>J44/$J$38</f>
        <v>#DIV/0!</v>
      </c>
      <c r="L44" s="14">
        <f>'[1]2024_60-69 ΕΞΟΔΑ+ΟΜ 2'!D4</f>
        <v>3058.18</v>
      </c>
      <c r="M44" s="15">
        <f t="shared" ref="M44:M75" si="14">L44/$L$43</f>
        <v>7.7417025882800874E-2</v>
      </c>
      <c r="N44" s="10">
        <f>L44</f>
        <v>3058.18</v>
      </c>
      <c r="O44" s="15">
        <f t="shared" ref="O44:O77" si="15">N44/$N$43</f>
        <v>7.7417025882800874E-2</v>
      </c>
      <c r="P44" s="10">
        <f>F44-N44</f>
        <v>-860.46</v>
      </c>
      <c r="Q44" s="15">
        <f>N44/F44</f>
        <v>1.391523942995468</v>
      </c>
    </row>
    <row r="45" spans="1:17" ht="53.2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2'!D5</f>
        <v>3032.62</v>
      </c>
      <c r="E45" s="15">
        <f t="shared" si="11"/>
        <v>5.9937446163018791E-2</v>
      </c>
      <c r="F45" s="10">
        <f t="shared" ref="F45:F77" si="16">D45</f>
        <v>3032.62</v>
      </c>
      <c r="G45" s="15">
        <f t="shared" si="12"/>
        <v>5.9937446163018791E-2</v>
      </c>
      <c r="H45" s="14"/>
      <c r="I45" s="16" t="e">
        <f t="shared" si="13"/>
        <v>#DIV/0!</v>
      </c>
      <c r="J45" s="10">
        <f t="shared" ref="J45:J77" si="17">H45</f>
        <v>0</v>
      </c>
      <c r="K45" s="17" t="e">
        <f t="shared" ref="K45:K77" si="18">J45/$J$38</f>
        <v>#DIV/0!</v>
      </c>
      <c r="L45" s="14">
        <f>'[1]2024_60-69 ΕΞΟΔΑ+ΟΜ 2'!D5</f>
        <v>4189.99</v>
      </c>
      <c r="M45" s="15">
        <f t="shared" si="14"/>
        <v>0.10606849965622588</v>
      </c>
      <c r="N45" s="10">
        <f t="shared" ref="N45:N77" si="19">L45</f>
        <v>4189.99</v>
      </c>
      <c r="O45" s="15">
        <f t="shared" si="15"/>
        <v>0.10606849965622588</v>
      </c>
      <c r="P45" s="10">
        <f t="shared" ref="P45:P77" si="20">F45-N45</f>
        <v>-1157.3699999999999</v>
      </c>
      <c r="Q45" s="15">
        <f t="shared" ref="Q45:Q77" si="21">N45/F45</f>
        <v>1.3816402978282805</v>
      </c>
    </row>
    <row r="46" spans="1:17" ht="53.2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2'!D6</f>
        <v>1618.22</v>
      </c>
      <c r="E46" s="15">
        <f t="shared" si="11"/>
        <v>3.1982897339567856E-2</v>
      </c>
      <c r="F46" s="10">
        <f t="shared" si="16"/>
        <v>1618.22</v>
      </c>
      <c r="G46" s="15">
        <f t="shared" si="12"/>
        <v>3.1982897339567856E-2</v>
      </c>
      <c r="H46" s="14"/>
      <c r="I46" s="16" t="e">
        <f t="shared" si="13"/>
        <v>#DIV/0!</v>
      </c>
      <c r="J46" s="10">
        <f t="shared" si="17"/>
        <v>0</v>
      </c>
      <c r="K46" s="17" t="e">
        <f t="shared" si="18"/>
        <v>#DIV/0!</v>
      </c>
      <c r="L46" s="14">
        <f>'[1]2024_60-69 ΕΞΟΔΑ+ΟΜ 2'!D6</f>
        <v>2700.28</v>
      </c>
      <c r="M46" s="15">
        <f t="shared" si="14"/>
        <v>6.8356881102750511E-2</v>
      </c>
      <c r="N46" s="10">
        <f t="shared" si="19"/>
        <v>2700.28</v>
      </c>
      <c r="O46" s="15">
        <f t="shared" si="15"/>
        <v>6.8356881102750511E-2</v>
      </c>
      <c r="P46" s="10">
        <f t="shared" si="20"/>
        <v>-1082.0600000000002</v>
      </c>
      <c r="Q46" s="15">
        <f t="shared" si="21"/>
        <v>1.6686729863677374</v>
      </c>
    </row>
    <row r="47" spans="1:17" ht="53.25" customHeight="1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2'!D37</f>
        <v>1656.34</v>
      </c>
      <c r="E47" s="15">
        <f ca="1">D47/$D$84</f>
        <v>0.17219873227034224</v>
      </c>
      <c r="F47" s="79">
        <f>D47</f>
        <v>1656.34</v>
      </c>
      <c r="G47" s="15" t="e">
        <f>F47/$F$84</f>
        <v>#VALUE!</v>
      </c>
      <c r="H47" s="14"/>
      <c r="I47" s="26" t="e">
        <f ca="1">H47/$H$84</f>
        <v>#DIV/0!</v>
      </c>
      <c r="J47" s="27"/>
      <c r="K47" s="27" t="e">
        <f ca="1">J47/$J$84</f>
        <v>#DIV/0!</v>
      </c>
      <c r="L47" s="79">
        <f>'[1]2024_60-69 ΕΞΟΔΑ+ΟΜ 2'!D35</f>
        <v>1349.58</v>
      </c>
      <c r="M47" s="15">
        <f ca="1">L47/$L$84</f>
        <v>0.30555744229959375</v>
      </c>
      <c r="N47" s="10">
        <f>L47</f>
        <v>1349.58</v>
      </c>
      <c r="O47" s="15">
        <f ca="1">N47/$N$84</f>
        <v>0.30555744229959375</v>
      </c>
      <c r="P47" s="27"/>
      <c r="Q47" s="28" t="e">
        <f ca="1">SUM(D47:P47)</f>
        <v>#DIV/0!</v>
      </c>
    </row>
    <row r="48" spans="1:17" ht="53.25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2'!D38</f>
        <v>1671.24</v>
      </c>
      <c r="E48" s="15">
        <f ca="1">D48/$D$84</f>
        <v>0.17374778687919556</v>
      </c>
      <c r="F48" s="79">
        <f>D48</f>
        <v>1671.24</v>
      </c>
      <c r="G48" s="15" t="e">
        <f>F48/$F$84</f>
        <v>#VALUE!</v>
      </c>
      <c r="H48" s="14"/>
      <c r="I48" s="26" t="e">
        <f ca="1">H48/$H$84</f>
        <v>#DIV/0!</v>
      </c>
      <c r="J48" s="27"/>
      <c r="K48" s="27" t="e">
        <f ca="1">J48/$J$84</f>
        <v>#DIV/0!</v>
      </c>
      <c r="L48" s="79">
        <f>'[1]2024_60-69 ΕΞΟΔΑ+ΟΜ 2'!D36</f>
        <v>0</v>
      </c>
      <c r="M48" s="15">
        <f ca="1">L48/$L$84</f>
        <v>0</v>
      </c>
      <c r="N48" s="10">
        <f>L48</f>
        <v>0</v>
      </c>
      <c r="O48" s="15">
        <f ca="1">N48/$N$84</f>
        <v>0</v>
      </c>
      <c r="P48" s="27"/>
      <c r="Q48" s="28" t="e">
        <f ca="1">SUM(D48:P48)</f>
        <v>#DIV/0!</v>
      </c>
    </row>
    <row r="49" spans="1:17" ht="53.25" customHeight="1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2'!D7</f>
        <v>484.84</v>
      </c>
      <c r="E49" s="15">
        <f t="shared" si="11"/>
        <v>9.5824967841925558E-3</v>
      </c>
      <c r="F49" s="10">
        <f t="shared" si="16"/>
        <v>484.84</v>
      </c>
      <c r="G49" s="15">
        <f t="shared" si="12"/>
        <v>9.5824967841925558E-3</v>
      </c>
      <c r="H49" s="14"/>
      <c r="I49" s="16" t="e">
        <f t="shared" si="13"/>
        <v>#DIV/0!</v>
      </c>
      <c r="J49" s="10">
        <f t="shared" si="17"/>
        <v>0</v>
      </c>
      <c r="K49" s="17" t="e">
        <f t="shared" si="18"/>
        <v>#DIV/0!</v>
      </c>
      <c r="L49" s="14">
        <f>'[1]2024_60-69 ΕΞΟΔΑ+ΟΜ 2'!D7</f>
        <v>747.42000000000007</v>
      </c>
      <c r="M49" s="15">
        <f t="shared" si="14"/>
        <v>1.8920741580064952E-2</v>
      </c>
      <c r="N49" s="10">
        <f t="shared" si="19"/>
        <v>747.42000000000007</v>
      </c>
      <c r="O49" s="15">
        <f t="shared" si="15"/>
        <v>1.8920741580064952E-2</v>
      </c>
      <c r="P49" s="10">
        <f t="shared" si="20"/>
        <v>-262.5800000000001</v>
      </c>
      <c r="Q49" s="15">
        <f t="shared" si="21"/>
        <v>1.5415807276627342</v>
      </c>
    </row>
    <row r="50" spans="1:17" ht="53.25" customHeight="1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2'!D8</f>
        <v>513.09</v>
      </c>
      <c r="E50" s="15">
        <f t="shared" si="11"/>
        <v>1.0140836719332892E-2</v>
      </c>
      <c r="F50" s="10">
        <f t="shared" si="16"/>
        <v>513.09</v>
      </c>
      <c r="G50" s="15">
        <f t="shared" si="12"/>
        <v>1.0140836719332892E-2</v>
      </c>
      <c r="H50" s="14"/>
      <c r="I50" s="16" t="e">
        <f t="shared" si="13"/>
        <v>#DIV/0!</v>
      </c>
      <c r="J50" s="10">
        <f t="shared" si="17"/>
        <v>0</v>
      </c>
      <c r="K50" s="17" t="e">
        <f t="shared" si="18"/>
        <v>#DIV/0!</v>
      </c>
      <c r="L50" s="14">
        <f>'[1]2024_60-69 ΕΞΟΔΑ+ΟΜ 2'!D8</f>
        <v>933.94999999999993</v>
      </c>
      <c r="M50" s="15">
        <f t="shared" si="14"/>
        <v>2.3642699685185918E-2</v>
      </c>
      <c r="N50" s="10">
        <f t="shared" si="19"/>
        <v>933.94999999999993</v>
      </c>
      <c r="O50" s="15">
        <f t="shared" si="15"/>
        <v>2.3642699685185918E-2</v>
      </c>
      <c r="P50" s="10">
        <f t="shared" si="20"/>
        <v>-420.8599999999999</v>
      </c>
      <c r="Q50" s="15">
        <f t="shared" si="21"/>
        <v>1.8202459607476269</v>
      </c>
    </row>
    <row r="51" spans="1:17" ht="53.25" customHeight="1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2'!D9</f>
        <v>382.68</v>
      </c>
      <c r="E51" s="15">
        <f t="shared" si="11"/>
        <v>7.5633814647611741E-3</v>
      </c>
      <c r="F51" s="10">
        <f t="shared" si="16"/>
        <v>382.68</v>
      </c>
      <c r="G51" s="15">
        <f t="shared" si="12"/>
        <v>7.5633814647611741E-3</v>
      </c>
      <c r="H51" s="14"/>
      <c r="I51" s="16" t="e">
        <f t="shared" si="13"/>
        <v>#DIV/0!</v>
      </c>
      <c r="J51" s="10">
        <f t="shared" si="17"/>
        <v>0</v>
      </c>
      <c r="K51" s="17" t="e">
        <f t="shared" si="18"/>
        <v>#DIV/0!</v>
      </c>
      <c r="L51" s="14">
        <f>'[1]2024_60-69 ΕΞΟΔΑ+ΟΜ 2'!D9</f>
        <v>713.96</v>
      </c>
      <c r="M51" s="15">
        <f t="shared" si="14"/>
        <v>1.8073710441924452E-2</v>
      </c>
      <c r="N51" s="10">
        <f t="shared" si="19"/>
        <v>713.96</v>
      </c>
      <c r="O51" s="15">
        <f t="shared" si="15"/>
        <v>1.8073710441924452E-2</v>
      </c>
      <c r="P51" s="10">
        <f t="shared" si="20"/>
        <v>-331.28000000000003</v>
      </c>
      <c r="Q51" s="15">
        <f t="shared" si="21"/>
        <v>1.8656841225044425</v>
      </c>
    </row>
    <row r="52" spans="1:17" ht="53.25" customHeight="1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2'!D41</f>
        <v>339.13</v>
      </c>
      <c r="E52" s="15">
        <f ca="1">D52/$D$84</f>
        <v>3.5257106677880852E-2</v>
      </c>
      <c r="F52" s="79">
        <f>D52</f>
        <v>339.13</v>
      </c>
      <c r="G52" s="15" t="e">
        <f>F52/$F$84</f>
        <v>#VALUE!</v>
      </c>
      <c r="H52" s="14"/>
      <c r="I52" s="26" t="e">
        <f ca="1">H52/$H$84</f>
        <v>#DIV/0!</v>
      </c>
      <c r="J52" s="27"/>
      <c r="K52" s="27" t="e">
        <f ca="1">J52/$J$84</f>
        <v>#DIV/0!</v>
      </c>
      <c r="L52" s="79">
        <f>'[1]2024_60-69 ΕΞΟΔΑ+ΟΜ 2'!D39</f>
        <v>0</v>
      </c>
      <c r="M52" s="15">
        <f ca="1">L52/$L$84</f>
        <v>0</v>
      </c>
      <c r="N52" s="10">
        <f>L52</f>
        <v>0</v>
      </c>
      <c r="O52" s="15">
        <f ca="1">N52/$N$84</f>
        <v>0</v>
      </c>
      <c r="P52" s="27"/>
      <c r="Q52" s="28" t="e">
        <f ca="1">SUM(D52:P52)</f>
        <v>#DIV/0!</v>
      </c>
    </row>
    <row r="53" spans="1:17" ht="31.5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2'!D42</f>
        <v>342.37</v>
      </c>
      <c r="E53" s="15">
        <f ca="1">D53/$D$84</f>
        <v>3.5593948082759022E-2</v>
      </c>
      <c r="F53" s="79">
        <f>D53</f>
        <v>342.37</v>
      </c>
      <c r="G53" s="15" t="e">
        <f>F53/$F$84</f>
        <v>#VALUE!</v>
      </c>
      <c r="H53" s="14"/>
      <c r="I53" s="26" t="e">
        <f ca="1">H53/$H$84</f>
        <v>#DIV/0!</v>
      </c>
      <c r="J53" s="27"/>
      <c r="K53" s="27" t="e">
        <f ca="1">J53/$J$84</f>
        <v>#DIV/0!</v>
      </c>
      <c r="L53" s="79">
        <f>'[1]2024_60-69 ΕΞΟΔΑ+ΟΜ 2'!D40</f>
        <v>300.82</v>
      </c>
      <c r="M53" s="15">
        <f ca="1">L53/$L$84</f>
        <v>6.8108440990948149E-2</v>
      </c>
      <c r="N53" s="10">
        <f>L53</f>
        <v>300.82</v>
      </c>
      <c r="O53" s="15">
        <f ca="1">N53/$N$84</f>
        <v>6.8108440990948149E-2</v>
      </c>
      <c r="P53" s="27"/>
      <c r="Q53" s="28" t="e">
        <f ca="1">SUM(D53:P53)</f>
        <v>#DIV/0!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2'!D10</f>
        <v>9138.619999999999</v>
      </c>
      <c r="E54" s="15">
        <f t="shared" si="11"/>
        <v>0.18061792913529778</v>
      </c>
      <c r="F54" s="10">
        <f t="shared" si="16"/>
        <v>9138.619999999999</v>
      </c>
      <c r="G54" s="15">
        <f t="shared" si="12"/>
        <v>0.18061792913529778</v>
      </c>
      <c r="H54" s="14"/>
      <c r="I54" s="16" t="e">
        <f t="shared" si="13"/>
        <v>#DIV/0!</v>
      </c>
      <c r="J54" s="10">
        <f t="shared" si="17"/>
        <v>0</v>
      </c>
      <c r="K54" s="17" t="e">
        <f t="shared" si="18"/>
        <v>#DIV/0!</v>
      </c>
      <c r="L54" s="14">
        <f>'[1]2024_60-69 ΕΞΟΔΑ+ΟΜ 2'!D10</f>
        <v>9308.57</v>
      </c>
      <c r="M54" s="15">
        <f t="shared" si="14"/>
        <v>0.2356440120012111</v>
      </c>
      <c r="N54" s="10">
        <f t="shared" si="19"/>
        <v>9308.57</v>
      </c>
      <c r="O54" s="15">
        <f t="shared" si="15"/>
        <v>0.2356440120012111</v>
      </c>
      <c r="P54" s="10">
        <f t="shared" si="20"/>
        <v>-169.95000000000073</v>
      </c>
      <c r="Q54" s="15">
        <f t="shared" si="21"/>
        <v>1.0185968997507282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2'!D11</f>
        <v>0</v>
      </c>
      <c r="E55" s="15">
        <f t="shared" si="11"/>
        <v>0</v>
      </c>
      <c r="F55" s="10">
        <f t="shared" si="16"/>
        <v>0</v>
      </c>
      <c r="G55" s="15">
        <f t="shared" si="12"/>
        <v>0</v>
      </c>
      <c r="H55" s="14"/>
      <c r="I55" s="16" t="e">
        <f t="shared" si="13"/>
        <v>#DIV/0!</v>
      </c>
      <c r="J55" s="10">
        <f t="shared" si="17"/>
        <v>0</v>
      </c>
      <c r="K55" s="17" t="e">
        <f t="shared" si="18"/>
        <v>#DIV/0!</v>
      </c>
      <c r="L55" s="14">
        <f>'[1]2024_60-69 ΕΞΟΔΑ+ΟΜ 2'!D11</f>
        <v>0</v>
      </c>
      <c r="M55" s="15">
        <f t="shared" si="14"/>
        <v>0</v>
      </c>
      <c r="N55" s="10">
        <f t="shared" si="19"/>
        <v>0</v>
      </c>
      <c r="O55" s="15">
        <f t="shared" si="15"/>
        <v>0</v>
      </c>
      <c r="P55" s="10">
        <f t="shared" si="20"/>
        <v>0</v>
      </c>
      <c r="Q55" s="15" t="e">
        <f t="shared" si="21"/>
        <v>#DIV/0!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2'!D12</f>
        <v>321.41000000000003</v>
      </c>
      <c r="E56" s="15">
        <f t="shared" si="11"/>
        <v>6.3524261434851287E-3</v>
      </c>
      <c r="F56" s="10">
        <f t="shared" si="16"/>
        <v>321.41000000000003</v>
      </c>
      <c r="G56" s="15">
        <f t="shared" si="12"/>
        <v>6.3524261434851287E-3</v>
      </c>
      <c r="H56" s="14"/>
      <c r="I56" s="16" t="e">
        <f t="shared" si="13"/>
        <v>#DIV/0!</v>
      </c>
      <c r="J56" s="10">
        <f t="shared" si="17"/>
        <v>0</v>
      </c>
      <c r="K56" s="17" t="e">
        <f t="shared" si="18"/>
        <v>#DIV/0!</v>
      </c>
      <c r="L56" s="14">
        <f>'[1]2024_60-69 ΕΞΟΔΑ+ΟΜ 2'!D12</f>
        <v>335.09</v>
      </c>
      <c r="M56" s="15">
        <f t="shared" si="14"/>
        <v>8.4827156030932594E-3</v>
      </c>
      <c r="N56" s="10">
        <f t="shared" si="19"/>
        <v>335.09</v>
      </c>
      <c r="O56" s="15">
        <f t="shared" si="15"/>
        <v>8.4827156030932594E-3</v>
      </c>
      <c r="P56" s="10">
        <f t="shared" si="20"/>
        <v>-13.67999999999995</v>
      </c>
      <c r="Q56" s="15">
        <f t="shared" si="21"/>
        <v>1.042562459164307</v>
      </c>
    </row>
    <row r="57" spans="1:17" ht="15" customHeight="1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2'!D13</f>
        <v>321.45999999999998</v>
      </c>
      <c r="E57" s="15">
        <f t="shared" si="11"/>
        <v>6.3534143557597124E-3</v>
      </c>
      <c r="F57" s="10">
        <f t="shared" si="16"/>
        <v>321.45999999999998</v>
      </c>
      <c r="G57" s="15">
        <f t="shared" si="12"/>
        <v>6.3534143557597124E-3</v>
      </c>
      <c r="H57" s="14"/>
      <c r="I57" s="16" t="e">
        <f t="shared" si="13"/>
        <v>#DIV/0!</v>
      </c>
      <c r="J57" s="10">
        <f t="shared" si="17"/>
        <v>0</v>
      </c>
      <c r="K57" s="17" t="e">
        <f t="shared" si="18"/>
        <v>#DIV/0!</v>
      </c>
      <c r="L57" s="14">
        <f>'[1]2024_60-69 ΕΞΟΔΑ+ΟΜ 2'!D13</f>
        <v>535.22</v>
      </c>
      <c r="M57" s="15">
        <f t="shared" si="14"/>
        <v>1.3548954146908517E-2</v>
      </c>
      <c r="N57" s="10">
        <f t="shared" si="19"/>
        <v>535.22</v>
      </c>
      <c r="O57" s="15">
        <f t="shared" si="15"/>
        <v>1.3548954146908517E-2</v>
      </c>
      <c r="P57" s="10">
        <f t="shared" si="20"/>
        <v>-213.76000000000005</v>
      </c>
      <c r="Q57" s="15">
        <f t="shared" si="21"/>
        <v>1.6649660922043179</v>
      </c>
    </row>
    <row r="58" spans="1:17" ht="15" customHeight="1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2'!D14</f>
        <v>215.2</v>
      </c>
      <c r="E58" s="15">
        <f t="shared" si="11"/>
        <v>4.253265629812388E-3</v>
      </c>
      <c r="F58" s="10">
        <f t="shared" si="16"/>
        <v>215.2</v>
      </c>
      <c r="G58" s="15">
        <f t="shared" si="12"/>
        <v>4.253265629812388E-3</v>
      </c>
      <c r="H58" s="14"/>
      <c r="I58" s="16" t="e">
        <f t="shared" si="13"/>
        <v>#DIV/0!</v>
      </c>
      <c r="J58" s="10">
        <f t="shared" si="17"/>
        <v>0</v>
      </c>
      <c r="K58" s="17" t="e">
        <f t="shared" si="18"/>
        <v>#DIV/0!</v>
      </c>
      <c r="L58" s="14">
        <f>'[1]2024_60-69 ΕΞΟΔΑ+ΟΜ 2'!D14</f>
        <v>107.41</v>
      </c>
      <c r="M58" s="15">
        <f t="shared" si="14"/>
        <v>2.7190560235406816E-3</v>
      </c>
      <c r="N58" s="10">
        <f t="shared" si="19"/>
        <v>107.41</v>
      </c>
      <c r="O58" s="15">
        <f t="shared" si="15"/>
        <v>2.7190560235406816E-3</v>
      </c>
      <c r="P58" s="10">
        <f t="shared" si="20"/>
        <v>107.78999999999999</v>
      </c>
      <c r="Q58" s="15">
        <f t="shared" si="21"/>
        <v>0.49911710037174722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2'!D15</f>
        <v>0</v>
      </c>
      <c r="E59" s="15">
        <f t="shared" si="11"/>
        <v>0</v>
      </c>
      <c r="F59" s="10">
        <f t="shared" si="16"/>
        <v>0</v>
      </c>
      <c r="G59" s="15">
        <f t="shared" si="12"/>
        <v>0</v>
      </c>
      <c r="H59" s="14"/>
      <c r="I59" s="16" t="e">
        <f t="shared" si="13"/>
        <v>#DIV/0!</v>
      </c>
      <c r="J59" s="10"/>
      <c r="K59" s="17" t="e">
        <f t="shared" si="18"/>
        <v>#DIV/0!</v>
      </c>
      <c r="L59" s="14">
        <f>'[1]2024_60-69 ΕΞΟΔΑ+ΟΜ 2'!D15</f>
        <v>0</v>
      </c>
      <c r="M59" s="15">
        <f t="shared" si="14"/>
        <v>0</v>
      </c>
      <c r="N59" s="10">
        <f>L59</f>
        <v>0</v>
      </c>
      <c r="O59" s="15">
        <f t="shared" si="15"/>
        <v>0</v>
      </c>
      <c r="P59" s="10">
        <f t="shared" si="20"/>
        <v>0</v>
      </c>
      <c r="Q59" s="15" t="e">
        <f t="shared" si="21"/>
        <v>#DIV/0!</v>
      </c>
    </row>
    <row r="60" spans="1:17" ht="15" customHeight="1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2'!D16</f>
        <v>122.32</v>
      </c>
      <c r="E60" s="15">
        <f t="shared" si="11"/>
        <v>2.4175625085439186E-3</v>
      </c>
      <c r="F60" s="10">
        <f t="shared" si="16"/>
        <v>122.32</v>
      </c>
      <c r="G60" s="15">
        <f t="shared" si="12"/>
        <v>2.4175625085439186E-3</v>
      </c>
      <c r="H60" s="14"/>
      <c r="I60" s="16" t="e">
        <f t="shared" si="13"/>
        <v>#DIV/0!</v>
      </c>
      <c r="J60" s="10">
        <f t="shared" si="17"/>
        <v>0</v>
      </c>
      <c r="K60" s="17" t="e">
        <f t="shared" si="18"/>
        <v>#DIV/0!</v>
      </c>
      <c r="L60" s="14">
        <f>'[1]2024_60-69 ΕΞΟΔΑ+ΟΜ 2'!D16</f>
        <v>128.1</v>
      </c>
      <c r="M60" s="15">
        <f t="shared" si="14"/>
        <v>3.2428179556425038E-3</v>
      </c>
      <c r="N60" s="10">
        <f t="shared" si="19"/>
        <v>128.1</v>
      </c>
      <c r="O60" s="15">
        <f t="shared" si="15"/>
        <v>3.2428179556425038E-3</v>
      </c>
      <c r="P60" s="10">
        <f t="shared" si="20"/>
        <v>-5.7800000000000011</v>
      </c>
      <c r="Q60" s="15">
        <f t="shared" si="21"/>
        <v>1.0472531066056245</v>
      </c>
    </row>
    <row r="61" spans="1:17" ht="42.75" customHeight="1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2'!D17</f>
        <v>1.57</v>
      </c>
      <c r="E61" s="15">
        <f t="shared" si="11"/>
        <v>3.1029865421958411E-5</v>
      </c>
      <c r="F61" s="10">
        <f t="shared" si="16"/>
        <v>1.57</v>
      </c>
      <c r="G61" s="15">
        <f t="shared" si="12"/>
        <v>3.1029865421958411E-5</v>
      </c>
      <c r="H61" s="14"/>
      <c r="I61" s="16" t="e">
        <f t="shared" si="13"/>
        <v>#DIV/0!</v>
      </c>
      <c r="J61" s="10">
        <f t="shared" si="17"/>
        <v>0</v>
      </c>
      <c r="K61" s="17" t="e">
        <f t="shared" si="18"/>
        <v>#DIV/0!</v>
      </c>
      <c r="L61" s="14">
        <f>'[1]2024_60-69 ΕΞΟΔΑ+ΟΜ 2'!D17</f>
        <v>2.84</v>
      </c>
      <c r="M61" s="15">
        <f t="shared" si="14"/>
        <v>7.1893856315571509E-5</v>
      </c>
      <c r="N61" s="10">
        <f t="shared" si="19"/>
        <v>2.84</v>
      </c>
      <c r="O61" s="15">
        <f t="shared" si="15"/>
        <v>7.1893856315571509E-5</v>
      </c>
      <c r="P61" s="10">
        <f t="shared" si="20"/>
        <v>-1.2699999999999998</v>
      </c>
      <c r="Q61" s="15">
        <f>N61/F61</f>
        <v>1.8089171974522291</v>
      </c>
    </row>
    <row r="62" spans="1:17" ht="42.75" customHeight="1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2'!D18</f>
        <v>3780.7</v>
      </c>
      <c r="E62" s="15">
        <f t="shared" si="11"/>
        <v>7.4722682930444678E-2</v>
      </c>
      <c r="F62" s="10">
        <f t="shared" si="16"/>
        <v>3780.7</v>
      </c>
      <c r="G62" s="15">
        <f t="shared" si="12"/>
        <v>7.4722682930444678E-2</v>
      </c>
      <c r="H62" s="14"/>
      <c r="I62" s="16" t="e">
        <f t="shared" si="13"/>
        <v>#DIV/0!</v>
      </c>
      <c r="J62" s="10">
        <f t="shared" si="17"/>
        <v>0</v>
      </c>
      <c r="K62" s="17" t="e">
        <f t="shared" si="18"/>
        <v>#DIV/0!</v>
      </c>
      <c r="L62" s="14">
        <f>'[1]2024_60-69 ΕΞΟΔΑ+ΟΜ 2'!D18</f>
        <v>768.31000000000017</v>
      </c>
      <c r="M62" s="15">
        <f t="shared" si="14"/>
        <v>1.9449566459794634E-2</v>
      </c>
      <c r="N62" s="10">
        <f t="shared" si="19"/>
        <v>768.31000000000017</v>
      </c>
      <c r="O62" s="15">
        <f t="shared" si="15"/>
        <v>1.9449566459794634E-2</v>
      </c>
      <c r="P62" s="10">
        <f t="shared" si="20"/>
        <v>3012.3899999999994</v>
      </c>
      <c r="Q62" s="15">
        <f>N62/F62</f>
        <v>0.20321898061205601</v>
      </c>
    </row>
    <row r="63" spans="1:17" ht="15" customHeight="1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2'!D19</f>
        <v>35.32</v>
      </c>
      <c r="E63" s="15">
        <f t="shared" si="11"/>
        <v>6.980731507666057E-4</v>
      </c>
      <c r="F63" s="10">
        <f>D63</f>
        <v>35.32</v>
      </c>
      <c r="G63" s="15">
        <f t="shared" si="12"/>
        <v>6.980731507666057E-4</v>
      </c>
      <c r="H63" s="14"/>
      <c r="I63" s="16" t="e">
        <f t="shared" si="13"/>
        <v>#DIV/0!</v>
      </c>
      <c r="J63" s="10">
        <f t="shared" si="17"/>
        <v>0</v>
      </c>
      <c r="K63" s="17" t="e">
        <f t="shared" si="18"/>
        <v>#DIV/0!</v>
      </c>
      <c r="L63" s="14">
        <f>'[1]2024_60-69 ΕΞΟΔΑ+ΟΜ 2'!D19</f>
        <v>4.8399999999999181</v>
      </c>
      <c r="M63" s="15">
        <f t="shared" si="14"/>
        <v>1.2252333259414093E-4</v>
      </c>
      <c r="N63" s="10">
        <f t="shared" si="19"/>
        <v>4.8399999999999181</v>
      </c>
      <c r="O63" s="15">
        <f t="shared" si="15"/>
        <v>1.2252333259414093E-4</v>
      </c>
      <c r="P63" s="10">
        <f t="shared" si="20"/>
        <v>30.480000000000082</v>
      </c>
      <c r="Q63" s="15">
        <f t="shared" si="21"/>
        <v>0.13703284258210413</v>
      </c>
    </row>
    <row r="64" spans="1:17" ht="42.75" customHeight="1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2'!D20</f>
        <v>0</v>
      </c>
      <c r="E64" s="15">
        <f t="shared" si="11"/>
        <v>0</v>
      </c>
      <c r="F64" s="10">
        <f t="shared" si="16"/>
        <v>0</v>
      </c>
      <c r="G64" s="15">
        <f t="shared" si="12"/>
        <v>0</v>
      </c>
      <c r="H64" s="14"/>
      <c r="I64" s="16" t="e">
        <f t="shared" si="13"/>
        <v>#DIV/0!</v>
      </c>
      <c r="J64" s="10">
        <f t="shared" si="17"/>
        <v>0</v>
      </c>
      <c r="K64" s="17" t="e">
        <f t="shared" si="18"/>
        <v>#DIV/0!</v>
      </c>
      <c r="L64" s="14">
        <f>'[1]2024_60-69 ΕΞΟΔΑ+ΟΜ 2'!D20</f>
        <v>0</v>
      </c>
      <c r="M64" s="15">
        <f t="shared" si="14"/>
        <v>0</v>
      </c>
      <c r="N64" s="10">
        <f t="shared" si="19"/>
        <v>0</v>
      </c>
      <c r="O64" s="15">
        <f t="shared" si="15"/>
        <v>0</v>
      </c>
      <c r="P64" s="10">
        <f t="shared" si="20"/>
        <v>0</v>
      </c>
      <c r="Q64" s="15" t="e">
        <f t="shared" si="21"/>
        <v>#DIV/0!</v>
      </c>
    </row>
    <row r="65" spans="1:17" ht="28.5" customHeight="1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2'!D21+'[1]2025_60-69 ΕΞΟΔΑ+ΟΜ 2'!D184</f>
        <v>0</v>
      </c>
      <c r="E65" s="15">
        <f t="shared" si="11"/>
        <v>0</v>
      </c>
      <c r="F65" s="10">
        <f t="shared" si="16"/>
        <v>0</v>
      </c>
      <c r="G65" s="15">
        <f t="shared" si="12"/>
        <v>0</v>
      </c>
      <c r="H65" s="14"/>
      <c r="I65" s="16" t="e">
        <f t="shared" si="13"/>
        <v>#DIV/0!</v>
      </c>
      <c r="J65" s="10">
        <f t="shared" si="17"/>
        <v>0</v>
      </c>
      <c r="K65" s="17" t="e">
        <f t="shared" si="18"/>
        <v>#DIV/0!</v>
      </c>
      <c r="L65" s="14">
        <f>'[1]2024_60-69 ΕΞΟΔΑ+ΟΜ 2'!D21</f>
        <v>8.99</v>
      </c>
      <c r="M65" s="15">
        <f t="shared" si="14"/>
        <v>2.2757949587217885E-4</v>
      </c>
      <c r="N65" s="10">
        <f t="shared" si="19"/>
        <v>8.99</v>
      </c>
      <c r="O65" s="15">
        <f t="shared" si="15"/>
        <v>2.2757949587217885E-4</v>
      </c>
      <c r="P65" s="10">
        <f t="shared" si="20"/>
        <v>-8.99</v>
      </c>
      <c r="Q65" s="15" t="e">
        <f>N65/F65</f>
        <v>#DIV/0!</v>
      </c>
    </row>
    <row r="66" spans="1:17" ht="15" customHeight="1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2'!D22</f>
        <v>0</v>
      </c>
      <c r="E66" s="15">
        <f t="shared" si="11"/>
        <v>0</v>
      </c>
      <c r="F66" s="10">
        <f t="shared" si="16"/>
        <v>0</v>
      </c>
      <c r="G66" s="15">
        <f t="shared" si="12"/>
        <v>0</v>
      </c>
      <c r="H66" s="14"/>
      <c r="I66" s="16" t="e">
        <f t="shared" si="13"/>
        <v>#DIV/0!</v>
      </c>
      <c r="J66" s="10">
        <f t="shared" si="17"/>
        <v>0</v>
      </c>
      <c r="K66" s="17" t="e">
        <f t="shared" si="18"/>
        <v>#DIV/0!</v>
      </c>
      <c r="L66" s="14">
        <f>'[1]2024_60-69 ΕΞΟΔΑ+ΟΜ 2'!D22</f>
        <v>61.85</v>
      </c>
      <c r="M66" s="15">
        <f t="shared" si="14"/>
        <v>1.5657165539148233E-3</v>
      </c>
      <c r="N66" s="10">
        <f t="shared" si="19"/>
        <v>61.85</v>
      </c>
      <c r="O66" s="15">
        <f t="shared" si="15"/>
        <v>1.5657165539148233E-3</v>
      </c>
      <c r="P66" s="10">
        <f t="shared" si="20"/>
        <v>-61.85</v>
      </c>
      <c r="Q66" s="15" t="e">
        <f t="shared" si="21"/>
        <v>#DIV/0!</v>
      </c>
    </row>
    <row r="67" spans="1:17" ht="22.5" customHeight="1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2'!D23</f>
        <v>42.62</v>
      </c>
      <c r="E67" s="15">
        <f t="shared" si="11"/>
        <v>8.4235214285596641E-4</v>
      </c>
      <c r="F67" s="10">
        <f t="shared" si="16"/>
        <v>42.62</v>
      </c>
      <c r="G67" s="15">
        <f t="shared" si="12"/>
        <v>8.4235214285596641E-4</v>
      </c>
      <c r="H67" s="14"/>
      <c r="I67" s="16" t="e">
        <f t="shared" si="13"/>
        <v>#DIV/0!</v>
      </c>
      <c r="J67" s="10">
        <f t="shared" si="17"/>
        <v>0</v>
      </c>
      <c r="K67" s="17" t="e">
        <f t="shared" si="18"/>
        <v>#DIV/0!</v>
      </c>
      <c r="L67" s="14">
        <f>'[1]2024_60-69 ΕΞΟΔΑ+ΟΜ 2'!D23</f>
        <v>83.76</v>
      </c>
      <c r="M67" s="15">
        <f t="shared" si="14"/>
        <v>2.1203624665465741E-3</v>
      </c>
      <c r="N67" s="10">
        <f t="shared" si="19"/>
        <v>83.76</v>
      </c>
      <c r="O67" s="15">
        <f t="shared" si="15"/>
        <v>2.1203624665465741E-3</v>
      </c>
      <c r="P67" s="10">
        <f t="shared" si="20"/>
        <v>-41.140000000000008</v>
      </c>
      <c r="Q67" s="15">
        <f t="shared" si="21"/>
        <v>1.9652745190051621</v>
      </c>
    </row>
    <row r="68" spans="1:17" ht="36" customHeight="1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2'!D24</f>
        <v>14981.98</v>
      </c>
      <c r="E68" s="15">
        <f t="shared" si="11"/>
        <v>0.29610753067163847</v>
      </c>
      <c r="F68" s="10">
        <f t="shared" si="16"/>
        <v>14981.98</v>
      </c>
      <c r="G68" s="15">
        <f t="shared" si="12"/>
        <v>0.29610753067163847</v>
      </c>
      <c r="H68" s="14"/>
      <c r="I68" s="16" t="e">
        <f t="shared" si="13"/>
        <v>#DIV/0!</v>
      </c>
      <c r="J68" s="10">
        <f t="shared" si="17"/>
        <v>0</v>
      </c>
      <c r="K68" s="17" t="e">
        <f t="shared" si="18"/>
        <v>#DIV/0!</v>
      </c>
      <c r="L68" s="14">
        <f>'[1]2024_60-69 ΕΞΟΔΑ+ΟΜ 2'!D24</f>
        <v>3930.91</v>
      </c>
      <c r="M68" s="15">
        <f t="shared" si="14"/>
        <v>9.9509957299099727E-2</v>
      </c>
      <c r="N68" s="10">
        <f t="shared" si="19"/>
        <v>3930.91</v>
      </c>
      <c r="O68" s="15">
        <f t="shared" si="15"/>
        <v>9.9509957299099727E-2</v>
      </c>
      <c r="P68" s="10">
        <f t="shared" si="20"/>
        <v>11051.07</v>
      </c>
      <c r="Q68" s="15">
        <f t="shared" si="21"/>
        <v>0.26237586754220737</v>
      </c>
    </row>
    <row r="69" spans="1:17" ht="36" customHeight="1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2'!D25</f>
        <v>0</v>
      </c>
      <c r="E69" s="15">
        <f t="shared" si="11"/>
        <v>0</v>
      </c>
      <c r="F69" s="10">
        <f t="shared" si="16"/>
        <v>0</v>
      </c>
      <c r="G69" s="15">
        <f t="shared" si="12"/>
        <v>0</v>
      </c>
      <c r="H69" s="14"/>
      <c r="I69" s="16" t="e">
        <f t="shared" si="13"/>
        <v>#DIV/0!</v>
      </c>
      <c r="J69" s="10">
        <f t="shared" si="17"/>
        <v>0</v>
      </c>
      <c r="K69" s="17" t="e">
        <f t="shared" si="18"/>
        <v>#DIV/0!</v>
      </c>
      <c r="L69" s="14">
        <f>'[1]2024_60-69 ΕΞΟΔΑ+ΟΜ 2'!D25</f>
        <v>0</v>
      </c>
      <c r="M69" s="15">
        <f t="shared" si="14"/>
        <v>0</v>
      </c>
      <c r="N69" s="10">
        <f t="shared" si="19"/>
        <v>0</v>
      </c>
      <c r="O69" s="15">
        <f t="shared" si="15"/>
        <v>0</v>
      </c>
      <c r="P69" s="10">
        <f t="shared" si="20"/>
        <v>0</v>
      </c>
      <c r="Q69" s="15" t="e">
        <f t="shared" si="21"/>
        <v>#DIV/0!</v>
      </c>
    </row>
    <row r="70" spans="1:17" ht="36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2'!D26</f>
        <v>0</v>
      </c>
      <c r="E70" s="15">
        <f t="shared" si="11"/>
        <v>0</v>
      </c>
      <c r="F70" s="10">
        <f t="shared" si="16"/>
        <v>0</v>
      </c>
      <c r="G70" s="15">
        <f t="shared" si="12"/>
        <v>0</v>
      </c>
      <c r="H70" s="14"/>
      <c r="I70" s="16" t="e">
        <f t="shared" si="13"/>
        <v>#DIV/0!</v>
      </c>
      <c r="J70" s="10">
        <f t="shared" si="17"/>
        <v>0</v>
      </c>
      <c r="K70" s="17" t="e">
        <f t="shared" si="18"/>
        <v>#DIV/0!</v>
      </c>
      <c r="L70" s="14">
        <f>'[1]2024_60-69 ΕΞΟΔΑ+ΟΜ 2'!D26</f>
        <v>0</v>
      </c>
      <c r="M70" s="15">
        <f t="shared" si="14"/>
        <v>0</v>
      </c>
      <c r="N70" s="10">
        <f t="shared" si="19"/>
        <v>0</v>
      </c>
      <c r="O70" s="15">
        <f t="shared" si="15"/>
        <v>0</v>
      </c>
      <c r="P70" s="10">
        <f t="shared" si="20"/>
        <v>0</v>
      </c>
      <c r="Q70" s="15" t="e">
        <f t="shared" si="21"/>
        <v>#DIV/0!</v>
      </c>
    </row>
    <row r="71" spans="1:17" ht="15.75" customHeight="1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2'!D27</f>
        <v>0</v>
      </c>
      <c r="E71" s="15">
        <f t="shared" si="11"/>
        <v>0</v>
      </c>
      <c r="F71" s="10">
        <f t="shared" si="16"/>
        <v>0</v>
      </c>
      <c r="G71" s="15">
        <f t="shared" si="12"/>
        <v>0</v>
      </c>
      <c r="H71" s="14"/>
      <c r="I71" s="16" t="e">
        <f t="shared" si="13"/>
        <v>#DIV/0!</v>
      </c>
      <c r="J71" s="10">
        <f t="shared" si="17"/>
        <v>0</v>
      </c>
      <c r="K71" s="17" t="e">
        <f t="shared" si="18"/>
        <v>#DIV/0!</v>
      </c>
      <c r="L71" s="14">
        <f>'[1]2024_60-69 ΕΞΟΔΑ+ΟΜ 2'!D27</f>
        <v>0</v>
      </c>
      <c r="M71" s="15">
        <f t="shared" si="14"/>
        <v>0</v>
      </c>
      <c r="N71" s="10">
        <f t="shared" si="19"/>
        <v>0</v>
      </c>
      <c r="O71" s="15">
        <f t="shared" si="15"/>
        <v>0</v>
      </c>
      <c r="P71" s="10">
        <f t="shared" si="20"/>
        <v>0</v>
      </c>
      <c r="Q71" s="15" t="e">
        <f t="shared" si="21"/>
        <v>#DIV/0!</v>
      </c>
    </row>
    <row r="72" spans="1:17" ht="27.7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2'!D28</f>
        <v>684.1</v>
      </c>
      <c r="E72" s="15">
        <f t="shared" si="11"/>
        <v>1.3520720340867355E-2</v>
      </c>
      <c r="F72" s="10">
        <f t="shared" si="16"/>
        <v>684.1</v>
      </c>
      <c r="G72" s="15">
        <f t="shared" si="12"/>
        <v>1.3520720340867355E-2</v>
      </c>
      <c r="H72" s="14"/>
      <c r="I72" s="16" t="e">
        <f t="shared" si="13"/>
        <v>#DIV/0!</v>
      </c>
      <c r="J72" s="10">
        <f t="shared" si="17"/>
        <v>0</v>
      </c>
      <c r="K72" s="17" t="e">
        <f t="shared" si="18"/>
        <v>#DIV/0!</v>
      </c>
      <c r="L72" s="14">
        <f>'[1]2024_60-69 ΕΞΟΔΑ+ΟΜ 2'!D28</f>
        <v>648.03</v>
      </c>
      <c r="M72" s="15">
        <f t="shared" si="14"/>
        <v>1.6404709756401341E-2</v>
      </c>
      <c r="N72" s="10">
        <f t="shared" si="19"/>
        <v>648.03</v>
      </c>
      <c r="O72" s="15">
        <f t="shared" si="15"/>
        <v>1.6404709756401341E-2</v>
      </c>
      <c r="P72" s="10">
        <f t="shared" si="20"/>
        <v>36.07000000000005</v>
      </c>
      <c r="Q72" s="15">
        <f t="shared" si="21"/>
        <v>0.94727379038152315</v>
      </c>
    </row>
    <row r="73" spans="1:17" ht="78.75" customHeight="1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2'!D29</f>
        <v>0</v>
      </c>
      <c r="E73" s="15">
        <f t="shared" si="11"/>
        <v>0</v>
      </c>
      <c r="F73" s="10">
        <f t="shared" si="16"/>
        <v>0</v>
      </c>
      <c r="G73" s="15">
        <f t="shared" si="12"/>
        <v>0</v>
      </c>
      <c r="H73" s="14"/>
      <c r="I73" s="16" t="e">
        <f t="shared" si="13"/>
        <v>#DIV/0!</v>
      </c>
      <c r="J73" s="10">
        <f t="shared" si="17"/>
        <v>0</v>
      </c>
      <c r="K73" s="17" t="e">
        <f t="shared" si="18"/>
        <v>#DIV/0!</v>
      </c>
      <c r="L73" s="14">
        <f>'[1]2024_60-69 ΕΞΟΔΑ+ΟΜ 2'!D29</f>
        <v>659.73</v>
      </c>
      <c r="M73" s="15">
        <f t="shared" si="14"/>
        <v>1.6700892192630986E-2</v>
      </c>
      <c r="N73" s="10">
        <f t="shared" si="19"/>
        <v>659.73</v>
      </c>
      <c r="O73" s="15">
        <f t="shared" si="15"/>
        <v>1.6700892192630986E-2</v>
      </c>
      <c r="P73" s="10">
        <f t="shared" si="20"/>
        <v>-659.73</v>
      </c>
      <c r="Q73" s="15" t="e">
        <f t="shared" si="21"/>
        <v>#DIV/0!</v>
      </c>
    </row>
    <row r="74" spans="1:17" ht="30" customHeight="1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v>0</v>
      </c>
      <c r="E74" s="15">
        <f t="shared" si="11"/>
        <v>0</v>
      </c>
      <c r="F74" s="10">
        <f t="shared" si="16"/>
        <v>0</v>
      </c>
      <c r="G74" s="15">
        <f t="shared" si="12"/>
        <v>0</v>
      </c>
      <c r="H74" s="14"/>
      <c r="I74" s="16" t="e">
        <f t="shared" si="13"/>
        <v>#DIV/0!</v>
      </c>
      <c r="J74" s="10">
        <f t="shared" si="17"/>
        <v>0</v>
      </c>
      <c r="K74" s="17" t="e">
        <f t="shared" si="18"/>
        <v>#DIV/0!</v>
      </c>
      <c r="L74" s="14">
        <f>'[1]2024_60-69 ΕΞΟΔΑ+ΟΜ 2'!D30</f>
        <v>59.92</v>
      </c>
      <c r="M74" s="15">
        <f t="shared" si="14"/>
        <v>1.5168591093060019E-3</v>
      </c>
      <c r="N74" s="10">
        <f t="shared" si="19"/>
        <v>59.92</v>
      </c>
      <c r="O74" s="15">
        <f t="shared" si="15"/>
        <v>1.5168591093060019E-3</v>
      </c>
      <c r="P74" s="10">
        <f t="shared" si="20"/>
        <v>-59.92</v>
      </c>
      <c r="Q74" s="15" t="e">
        <f t="shared" si="21"/>
        <v>#DIV/0!</v>
      </c>
    </row>
    <row r="75" spans="1:17" ht="33.75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2'!D31</f>
        <v>7839.9766666666674</v>
      </c>
      <c r="E75" s="15">
        <f t="shared" si="11"/>
        <v>0.15495122348914697</v>
      </c>
      <c r="F75" s="10">
        <f t="shared" si="16"/>
        <v>7839.9766666666674</v>
      </c>
      <c r="G75" s="15">
        <f t="shared" si="12"/>
        <v>0.15495122348914697</v>
      </c>
      <c r="H75" s="14"/>
      <c r="I75" s="16" t="e">
        <f t="shared" si="13"/>
        <v>#DIV/0!</v>
      </c>
      <c r="J75" s="10">
        <f t="shared" si="17"/>
        <v>0</v>
      </c>
      <c r="K75" s="17" t="e">
        <f t="shared" si="18"/>
        <v>#DIV/0!</v>
      </c>
      <c r="L75" s="14">
        <f>'[1]2024_60-69 ΕΞΟΔΑ+ΟΜ 2'!D31</f>
        <v>7839.98</v>
      </c>
      <c r="M75" s="15">
        <f t="shared" si="14"/>
        <v>0.19846704071723745</v>
      </c>
      <c r="N75" s="10">
        <f t="shared" si="19"/>
        <v>7839.98</v>
      </c>
      <c r="O75" s="15">
        <f t="shared" si="15"/>
        <v>0.19846704071723745</v>
      </c>
      <c r="P75" s="10">
        <f t="shared" si="20"/>
        <v>-3.3333333321934333E-3</v>
      </c>
      <c r="Q75" s="15">
        <f t="shared" si="21"/>
        <v>1.0000004251713333</v>
      </c>
    </row>
    <row r="76" spans="1:17" ht="28.5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2'!D32</f>
        <v>872.89</v>
      </c>
      <c r="E76" s="15">
        <f t="shared" si="11"/>
        <v>1.7252012247244125E-2</v>
      </c>
      <c r="F76" s="10">
        <f t="shared" si="16"/>
        <v>872.89</v>
      </c>
      <c r="G76" s="15">
        <f t="shared" si="12"/>
        <v>1.7252012247244125E-2</v>
      </c>
      <c r="H76" s="14"/>
      <c r="I76" s="16" t="e">
        <f t="shared" si="13"/>
        <v>#DIV/0!</v>
      </c>
      <c r="J76" s="10">
        <f t="shared" si="17"/>
        <v>0</v>
      </c>
      <c r="K76" s="17" t="e">
        <f t="shared" si="18"/>
        <v>#DIV/0!</v>
      </c>
      <c r="L76" s="14">
        <f>'[1]2024_60-69 ΕΞΟΔΑ+ΟΜ 2'!D32</f>
        <v>1024.95</v>
      </c>
      <c r="M76" s="15"/>
      <c r="N76" s="10">
        <f t="shared" si="19"/>
        <v>1024.95</v>
      </c>
      <c r="O76" s="15">
        <f t="shared" si="15"/>
        <v>2.5946340855860926E-2</v>
      </c>
      <c r="P76" s="10">
        <f t="shared" si="20"/>
        <v>-152.06000000000006</v>
      </c>
      <c r="Q76" s="15">
        <f t="shared" si="21"/>
        <v>1.1742029350777303</v>
      </c>
    </row>
    <row r="77" spans="1:17" ht="28.5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2'!D33</f>
        <v>0</v>
      </c>
      <c r="E77" s="15">
        <f t="shared" si="11"/>
        <v>0</v>
      </c>
      <c r="F77" s="10">
        <f t="shared" si="16"/>
        <v>0</v>
      </c>
      <c r="G77" s="15">
        <f t="shared" si="12"/>
        <v>0</v>
      </c>
      <c r="H77" s="14"/>
      <c r="I77" s="16" t="e">
        <f t="shared" si="13"/>
        <v>#DIV/0!</v>
      </c>
      <c r="J77" s="10">
        <f t="shared" si="17"/>
        <v>0</v>
      </c>
      <c r="K77" s="17" t="e">
        <f t="shared" si="18"/>
        <v>#DIV/0!</v>
      </c>
      <c r="L77" s="14">
        <f>'[1]2024_60-69 ΕΞΟΔΑ+ΟΜ 2'!D33</f>
        <v>0</v>
      </c>
      <c r="M77" s="15"/>
      <c r="N77" s="10">
        <f t="shared" si="19"/>
        <v>0</v>
      </c>
      <c r="O77" s="15">
        <f t="shared" si="15"/>
        <v>0</v>
      </c>
      <c r="P77" s="10">
        <f t="shared" si="20"/>
        <v>0</v>
      </c>
      <c r="Q77" s="15" t="e">
        <f t="shared" si="21"/>
        <v>#DIV/0!</v>
      </c>
    </row>
    <row r="78" spans="1:17" ht="28.5" customHeight="1" x14ac:dyDescent="0.25">
      <c r="A78" s="60">
        <v>77</v>
      </c>
      <c r="B78" s="60"/>
      <c r="C78" s="75" t="s">
        <v>163</v>
      </c>
      <c r="D78" s="7">
        <f>'[1]2025_60-69 ΕΞΟΔΑ+ΟΜ 2'!D3</f>
        <v>46690.166666666657</v>
      </c>
      <c r="E78" s="21"/>
      <c r="F78" s="7">
        <f>'[1]2025_60-69 ΕΞΟΔΑ+ΟΜ 2'!Q3</f>
        <v>46690.166666666657</v>
      </c>
      <c r="G78" s="21"/>
      <c r="H78" s="7">
        <f>SUM(H44:H77)</f>
        <v>0</v>
      </c>
      <c r="I78" s="21"/>
      <c r="J78" s="7">
        <f>SUM(J44:J77)</f>
        <v>0</v>
      </c>
      <c r="K78" s="21"/>
      <c r="L78" s="7">
        <f>SUM(L44:L77)</f>
        <v>39502.679999999993</v>
      </c>
      <c r="M78" s="21"/>
      <c r="N78" s="7">
        <f>SUM(N44:N77)</f>
        <v>39502.679999999993</v>
      </c>
      <c r="O78" s="21"/>
      <c r="P78" s="7">
        <f>SUM(P44:P77)</f>
        <v>8735.0566666666655</v>
      </c>
      <c r="Q78" s="21"/>
    </row>
    <row r="79" spans="1:17" ht="33" customHeight="1" x14ac:dyDescent="0.25">
      <c r="A79" s="60">
        <v>78</v>
      </c>
      <c r="B79" s="60"/>
      <c r="C79" s="22" t="s">
        <v>18</v>
      </c>
      <c r="D79" s="7">
        <f>D43-D78</f>
        <v>3906.2500000000073</v>
      </c>
      <c r="E79" s="21"/>
      <c r="F79" s="7">
        <f>F43-F78</f>
        <v>3906.2500000000073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0</v>
      </c>
      <c r="M79" s="21"/>
      <c r="N79" s="7">
        <f>N43-N78</f>
        <v>0</v>
      </c>
      <c r="O79" s="21"/>
      <c r="P79" s="7">
        <f>P43-P78</f>
        <v>0</v>
      </c>
      <c r="Q79" s="21"/>
    </row>
    <row r="80" spans="1:17" ht="27" customHeight="1" x14ac:dyDescent="0.25">
      <c r="A80" s="76">
        <v>79</v>
      </c>
      <c r="B80" s="76"/>
      <c r="C80" s="13" t="s">
        <v>32</v>
      </c>
      <c r="D80" s="23">
        <f>D38-D78</f>
        <v>-46690.166666666657</v>
      </c>
      <c r="E80" s="24"/>
      <c r="F80" s="23" t="e">
        <f>F38-F78</f>
        <v>#VALUE!</v>
      </c>
      <c r="G80" s="24"/>
      <c r="H80" s="25">
        <f>H38-H78</f>
        <v>0</v>
      </c>
      <c r="I80" s="24"/>
      <c r="J80" s="25">
        <f>J38-J78</f>
        <v>0</v>
      </c>
      <c r="K80" s="24"/>
      <c r="L80" s="77">
        <f>L38-L78</f>
        <v>-22243.693716814152</v>
      </c>
      <c r="M80" s="24"/>
      <c r="N80" s="23">
        <f>N38-N78</f>
        <v>-22243.693716814152</v>
      </c>
      <c r="O80" s="24"/>
      <c r="P80" s="23">
        <f>P38-P78</f>
        <v>-5137.312949852505</v>
      </c>
      <c r="Q80" s="24"/>
    </row>
    <row r="81" spans="1:17" ht="30.75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</row>
    <row r="82" spans="1:17" ht="24.75" customHeight="1" x14ac:dyDescent="0.25">
      <c r="A82" s="19">
        <v>81</v>
      </c>
      <c r="B82" s="19"/>
      <c r="C82" s="5" t="s">
        <v>3</v>
      </c>
      <c r="D82" s="180" t="str">
        <f>[1]ΑΝΤΙΣΤΟΙΧΙΣΗ!$F$106</f>
        <v xml:space="preserve">ΙΑΝΟΥΑΡΙΟΣ ΤΡΕΧΟΝ ΕΤΟΣ </v>
      </c>
      <c r="E82" s="180"/>
      <c r="F82" s="180"/>
      <c r="G82" s="61">
        <f>[1]ΑΝΤΙΣΤΟΙΧΙΣΗ!$D$34</f>
        <v>2025</v>
      </c>
      <c r="H82" s="180" t="str">
        <f>[1]ΑΝΤΙΣΤΟΙΧΙΣΗ!$F$106</f>
        <v xml:space="preserve">ΙΑΝΟΥΑΡΙΟΣ ΤΡΕΧΟΝ ΕΤΟΣ </v>
      </c>
      <c r="I82" s="180"/>
      <c r="J82" s="180"/>
      <c r="K82" s="61">
        <f>[1]ΑΝΤΙΣΤΟΙΧΙΣΗ!$D$34</f>
        <v>2025</v>
      </c>
      <c r="L82" s="180" t="str">
        <f>[1]ΑΝΤΙΣΤΟΙΧΙΣΗ!$F$120</f>
        <v xml:space="preserve">ΙΑΝΟΥΑΡΙΟΣ ΠΡΟΗΓΟΥΜΕΝΟΥ ΕΤΟΥΣ </v>
      </c>
      <c r="M82" s="180"/>
      <c r="N82" s="180"/>
      <c r="O82" s="61">
        <f>[1]ΑΝΤΙΣΤΟΙΧΙΣΗ!$D$33</f>
        <v>2024</v>
      </c>
      <c r="P82" s="180"/>
      <c r="Q82" s="180"/>
    </row>
    <row r="83" spans="1:17" ht="78.75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</row>
    <row r="84" spans="1:17" ht="15" customHeight="1" x14ac:dyDescent="0.25">
      <c r="A84" s="19">
        <v>83</v>
      </c>
      <c r="B84" s="19" t="s">
        <v>2</v>
      </c>
      <c r="C84" s="75" t="s">
        <v>165</v>
      </c>
      <c r="D84" s="7">
        <f ca="1">SUM(D47:D110)</f>
        <v>9618.77</v>
      </c>
      <c r="E84" s="8"/>
      <c r="F84" s="7" t="e">
        <f>SUM(F47:F110)</f>
        <v>#VALUE!</v>
      </c>
      <c r="G84" s="8"/>
      <c r="H84" s="7">
        <f ca="1">SUM(H47:H110)</f>
        <v>0</v>
      </c>
      <c r="I84" s="8"/>
      <c r="J84" s="7">
        <f ca="1">SUM(J47:J110)</f>
        <v>0</v>
      </c>
      <c r="K84" s="8"/>
      <c r="L84" s="7">
        <f ca="1">SUM(L47:L110)</f>
        <v>4416.7800000000007</v>
      </c>
      <c r="M84" s="8"/>
      <c r="N84" s="7">
        <f ca="1">SUM(N47:N110)</f>
        <v>4416.7800000000007</v>
      </c>
      <c r="O84" s="8"/>
      <c r="P84" s="7">
        <f ca="1">SUM(P47:P110)</f>
        <v>0</v>
      </c>
      <c r="Q84" s="8"/>
    </row>
    <row r="85" spans="1:17" ht="31.5" customHeight="1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2'!D39</f>
        <v>1021.94</v>
      </c>
      <c r="E85" s="15">
        <f t="shared" ref="E85:E105" ca="1" si="22">D85/$D$84</f>
        <v>0.10624435348802394</v>
      </c>
      <c r="F85" s="79">
        <f t="shared" ref="F85:F105" si="23">D85</f>
        <v>1021.94</v>
      </c>
      <c r="G85" s="15" t="e">
        <f t="shared" ref="G85:G105" si="24">F85/$F$84</f>
        <v>#VALUE!</v>
      </c>
      <c r="H85" s="14"/>
      <c r="I85" s="26" t="e">
        <f t="shared" ref="I85:I105" ca="1" si="25">H85/$H$84</f>
        <v>#DIV/0!</v>
      </c>
      <c r="J85" s="27"/>
      <c r="K85" s="27" t="e">
        <f t="shared" ref="K85:K105" ca="1" si="26">J85/$J$84</f>
        <v>#DIV/0!</v>
      </c>
      <c r="L85" s="79">
        <f>'[1]2024_60-69 ΕΞΟΔΑ+ΟΜ 2'!D37</f>
        <v>930.01</v>
      </c>
      <c r="M85" s="15">
        <f t="shared" ref="M85:M105" ca="1" si="27">L85/$L$84</f>
        <v>0.21056289876335246</v>
      </c>
      <c r="N85" s="10">
        <f t="shared" ref="N85:N105" si="28">L85</f>
        <v>930.01</v>
      </c>
      <c r="O85" s="15">
        <f t="shared" ref="O85:O105" ca="1" si="29">N85/$N$84</f>
        <v>0.21056289876335246</v>
      </c>
      <c r="P85" s="27"/>
      <c r="Q85" s="28" t="e">
        <f t="shared" ref="Q85:Q105" ca="1" si="30">SUM(D85:P85)</f>
        <v>#DIV/0!</v>
      </c>
    </row>
    <row r="86" spans="1:17" ht="31.5" customHeight="1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2'!D40</f>
        <v>1077.96</v>
      </c>
      <c r="E86" s="15">
        <f t="shared" ca="1" si="22"/>
        <v>0.11206838296372613</v>
      </c>
      <c r="F86" s="79">
        <f t="shared" si="23"/>
        <v>1077.96</v>
      </c>
      <c r="G86" s="15" t="e">
        <f t="shared" si="24"/>
        <v>#VALUE!</v>
      </c>
      <c r="H86" s="14"/>
      <c r="I86" s="26" t="e">
        <f t="shared" ca="1" si="25"/>
        <v>#DIV/0!</v>
      </c>
      <c r="J86" s="27"/>
      <c r="K86" s="27" t="e">
        <f t="shared" ca="1" si="26"/>
        <v>#DIV/0!</v>
      </c>
      <c r="L86" s="79">
        <f>'[1]2024_60-69 ΕΞΟΔΑ+ΟΜ 2'!D38</f>
        <v>0</v>
      </c>
      <c r="M86" s="15">
        <f t="shared" ca="1" si="27"/>
        <v>0</v>
      </c>
      <c r="N86" s="10">
        <f t="shared" si="28"/>
        <v>0</v>
      </c>
      <c r="O86" s="15">
        <f t="shared" ca="1" si="29"/>
        <v>0</v>
      </c>
      <c r="P86" s="27"/>
      <c r="Q86" s="28" t="e">
        <f t="shared" ca="1" si="30"/>
        <v>#DIV/0!</v>
      </c>
    </row>
    <row r="87" spans="1:17" ht="31.5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2'!D43</f>
        <v>154.62</v>
      </c>
      <c r="E87" s="15">
        <f t="shared" ca="1" si="22"/>
        <v>1.6074820377241582E-2</v>
      </c>
      <c r="F87" s="79">
        <f t="shared" si="23"/>
        <v>154.62</v>
      </c>
      <c r="G87" s="15" t="e">
        <f t="shared" si="24"/>
        <v>#VALUE!</v>
      </c>
      <c r="H87" s="14"/>
      <c r="I87" s="26" t="e">
        <f t="shared" ca="1" si="25"/>
        <v>#DIV/0!</v>
      </c>
      <c r="J87" s="27"/>
      <c r="K87" s="27" t="e">
        <f t="shared" ca="1" si="26"/>
        <v>#DIV/0!</v>
      </c>
      <c r="L87" s="79">
        <f>'[1]2024_60-69 ΕΞΟΔΑ+ΟΜ 2'!D41</f>
        <v>176.37</v>
      </c>
      <c r="M87" s="15">
        <f t="shared" ca="1" si="27"/>
        <v>3.9931805523480905E-2</v>
      </c>
      <c r="N87" s="10">
        <f t="shared" si="28"/>
        <v>176.37</v>
      </c>
      <c r="O87" s="15">
        <f t="shared" ca="1" si="29"/>
        <v>3.9931805523480905E-2</v>
      </c>
      <c r="P87" s="27"/>
      <c r="Q87" s="28" t="e">
        <f t="shared" ca="1" si="30"/>
        <v>#DIV/0!</v>
      </c>
    </row>
    <row r="88" spans="1:17" ht="31.5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2'!D44</f>
        <v>163.1</v>
      </c>
      <c r="E88" s="15">
        <f t="shared" ca="1" si="22"/>
        <v>1.6956429980132595E-2</v>
      </c>
      <c r="F88" s="79">
        <f t="shared" si="23"/>
        <v>163.1</v>
      </c>
      <c r="G88" s="15" t="e">
        <f t="shared" si="24"/>
        <v>#VALUE!</v>
      </c>
      <c r="H88" s="14"/>
      <c r="I88" s="26" t="e">
        <f t="shared" ca="1" si="25"/>
        <v>#DIV/0!</v>
      </c>
      <c r="J88" s="27"/>
      <c r="K88" s="27" t="e">
        <f t="shared" ca="1" si="26"/>
        <v>#DIV/0!</v>
      </c>
      <c r="L88" s="79">
        <f>'[1]2024_60-69 ΕΞΟΔΑ+ΟΜ 2'!D42</f>
        <v>0</v>
      </c>
      <c r="M88" s="15">
        <f t="shared" ca="1" si="27"/>
        <v>0</v>
      </c>
      <c r="N88" s="10">
        <f t="shared" si="28"/>
        <v>0</v>
      </c>
      <c r="O88" s="15">
        <f t="shared" ca="1" si="29"/>
        <v>0</v>
      </c>
      <c r="P88" s="27"/>
      <c r="Q88" s="28" t="e">
        <f t="shared" ca="1" si="30"/>
        <v>#DIV/0!</v>
      </c>
    </row>
    <row r="89" spans="1:17" ht="28.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2'!D45</f>
        <v>0</v>
      </c>
      <c r="E89" s="15">
        <f t="shared" ca="1" si="22"/>
        <v>0</v>
      </c>
      <c r="F89" s="79">
        <f t="shared" si="23"/>
        <v>0</v>
      </c>
      <c r="G89" s="15" t="e">
        <f t="shared" si="24"/>
        <v>#VALUE!</v>
      </c>
      <c r="H89" s="80"/>
      <c r="I89" s="26" t="e">
        <f t="shared" ca="1" si="25"/>
        <v>#DIV/0!</v>
      </c>
      <c r="J89" s="80"/>
      <c r="K89" s="27" t="e">
        <f t="shared" ca="1" si="26"/>
        <v>#DIV/0!</v>
      </c>
      <c r="L89" s="79">
        <f>'[1]2024_60-69 ΕΞΟΔΑ+ΟΜ 2'!D43</f>
        <v>0</v>
      </c>
      <c r="M89" s="15">
        <f t="shared" ca="1" si="27"/>
        <v>0</v>
      </c>
      <c r="N89" s="10">
        <f t="shared" si="28"/>
        <v>0</v>
      </c>
      <c r="O89" s="15">
        <f t="shared" ca="1" si="29"/>
        <v>0</v>
      </c>
      <c r="P89" s="80"/>
      <c r="Q89" s="28" t="e">
        <f t="shared" ca="1" si="30"/>
        <v>#DIV/0!</v>
      </c>
    </row>
    <row r="90" spans="1:17" ht="42.75" customHeight="1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2'!D46</f>
        <v>0</v>
      </c>
      <c r="E90" s="15">
        <f t="shared" ca="1" si="22"/>
        <v>0</v>
      </c>
      <c r="F90" s="79">
        <f t="shared" si="23"/>
        <v>0</v>
      </c>
      <c r="G90" s="15" t="e">
        <f t="shared" si="24"/>
        <v>#VALUE!</v>
      </c>
      <c r="H90" s="80"/>
      <c r="I90" s="26" t="e">
        <f t="shared" ca="1" si="25"/>
        <v>#DIV/0!</v>
      </c>
      <c r="J90" s="80"/>
      <c r="K90" s="27" t="e">
        <f t="shared" ca="1" si="26"/>
        <v>#DIV/0!</v>
      </c>
      <c r="L90" s="79">
        <f>'[1]2024_60-69 ΕΞΟΔΑ+ΟΜ 2'!D44</f>
        <v>0</v>
      </c>
      <c r="M90" s="15">
        <f t="shared" ca="1" si="27"/>
        <v>0</v>
      </c>
      <c r="N90" s="10">
        <f t="shared" si="28"/>
        <v>0</v>
      </c>
      <c r="O90" s="15">
        <f t="shared" ca="1" si="29"/>
        <v>0</v>
      </c>
      <c r="P90" s="80"/>
      <c r="Q90" s="28" t="e">
        <f t="shared" ca="1" si="30"/>
        <v>#DIV/0!</v>
      </c>
    </row>
    <row r="91" spans="1:17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2'!D47</f>
        <v>0</v>
      </c>
      <c r="E91" s="15">
        <f t="shared" ca="1" si="22"/>
        <v>0</v>
      </c>
      <c r="F91" s="79">
        <f t="shared" si="23"/>
        <v>0</v>
      </c>
      <c r="G91" s="15" t="e">
        <f t="shared" si="24"/>
        <v>#VALUE!</v>
      </c>
      <c r="H91" s="80"/>
      <c r="I91" s="26" t="e">
        <f t="shared" ca="1" si="25"/>
        <v>#DIV/0!</v>
      </c>
      <c r="J91" s="80"/>
      <c r="K91" s="27" t="e">
        <f t="shared" ca="1" si="26"/>
        <v>#DIV/0!</v>
      </c>
      <c r="L91" s="79">
        <f>'[1]2024_60-69 ΕΞΟΔΑ+ΟΜ 2'!D45</f>
        <v>0</v>
      </c>
      <c r="M91" s="15">
        <f t="shared" ca="1" si="27"/>
        <v>0</v>
      </c>
      <c r="N91" s="10">
        <f t="shared" si="28"/>
        <v>0</v>
      </c>
      <c r="O91" s="15">
        <f t="shared" ca="1" si="29"/>
        <v>0</v>
      </c>
      <c r="P91" s="80"/>
      <c r="Q91" s="28" t="e">
        <f t="shared" ca="1" si="30"/>
        <v>#DIV/0!</v>
      </c>
    </row>
    <row r="92" spans="1:17" ht="15" customHeight="1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2'!D48</f>
        <v>0</v>
      </c>
      <c r="E92" s="15">
        <f t="shared" ca="1" si="22"/>
        <v>0</v>
      </c>
      <c r="F92" s="79">
        <f t="shared" si="23"/>
        <v>0</v>
      </c>
      <c r="G92" s="15" t="e">
        <f t="shared" si="24"/>
        <v>#VALUE!</v>
      </c>
      <c r="H92" s="14"/>
      <c r="I92" s="26" t="e">
        <f t="shared" ca="1" si="25"/>
        <v>#DIV/0!</v>
      </c>
      <c r="J92" s="27"/>
      <c r="K92" s="27" t="e">
        <f t="shared" ca="1" si="26"/>
        <v>#DIV/0!</v>
      </c>
      <c r="L92" s="79">
        <f>'[1]2024_60-69 ΕΞΟΔΑ+ΟΜ 2'!D46</f>
        <v>0</v>
      </c>
      <c r="M92" s="15">
        <f t="shared" ca="1" si="27"/>
        <v>0</v>
      </c>
      <c r="N92" s="10">
        <f t="shared" si="28"/>
        <v>0</v>
      </c>
      <c r="O92" s="15">
        <f t="shared" ca="1" si="29"/>
        <v>0</v>
      </c>
      <c r="P92" s="27"/>
      <c r="Q92" s="28" t="e">
        <f t="shared" ca="1" si="30"/>
        <v>#DIV/0!</v>
      </c>
    </row>
    <row r="93" spans="1:17" ht="15" customHeight="1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2'!D49</f>
        <v>0</v>
      </c>
      <c r="E93" s="15">
        <f t="shared" ca="1" si="22"/>
        <v>0</v>
      </c>
      <c r="F93" s="79">
        <f t="shared" si="23"/>
        <v>0</v>
      </c>
      <c r="G93" s="15" t="e">
        <f t="shared" si="24"/>
        <v>#VALUE!</v>
      </c>
      <c r="H93" s="14"/>
      <c r="I93" s="26" t="e">
        <f t="shared" ca="1" si="25"/>
        <v>#DIV/0!</v>
      </c>
      <c r="J93" s="27"/>
      <c r="K93" s="27" t="e">
        <f t="shared" ca="1" si="26"/>
        <v>#DIV/0!</v>
      </c>
      <c r="L93" s="79">
        <f>'[1]2024_60-69 ΕΞΟΔΑ+ΟΜ 2'!D47</f>
        <v>0</v>
      </c>
      <c r="M93" s="15">
        <f t="shared" ca="1" si="27"/>
        <v>0</v>
      </c>
      <c r="N93" s="10">
        <f t="shared" si="28"/>
        <v>0</v>
      </c>
      <c r="O93" s="15">
        <f t="shared" ca="1" si="29"/>
        <v>0</v>
      </c>
      <c r="P93" s="27"/>
      <c r="Q93" s="28" t="e">
        <f t="shared" ca="1" si="30"/>
        <v>#DIV/0!</v>
      </c>
    </row>
    <row r="94" spans="1:17" ht="1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2'!D50</f>
        <v>0</v>
      </c>
      <c r="E94" s="15">
        <f t="shared" ca="1" si="22"/>
        <v>0</v>
      </c>
      <c r="F94" s="79">
        <f t="shared" si="23"/>
        <v>0</v>
      </c>
      <c r="G94" s="15" t="e">
        <f t="shared" si="24"/>
        <v>#VALUE!</v>
      </c>
      <c r="H94" s="81"/>
      <c r="I94" s="26" t="e">
        <f t="shared" ca="1" si="25"/>
        <v>#DIV/0!</v>
      </c>
      <c r="J94" s="81"/>
      <c r="K94" s="27" t="e">
        <f t="shared" ca="1" si="26"/>
        <v>#DIV/0!</v>
      </c>
      <c r="L94" s="79">
        <f>'[1]2024_60-69 ΕΞΟΔΑ+ΟΜ 2'!D48</f>
        <v>0</v>
      </c>
      <c r="M94" s="15">
        <f t="shared" ca="1" si="27"/>
        <v>0</v>
      </c>
      <c r="N94" s="10">
        <f t="shared" si="28"/>
        <v>0</v>
      </c>
      <c r="O94" s="15">
        <f t="shared" ca="1" si="29"/>
        <v>0</v>
      </c>
      <c r="P94" s="81"/>
      <c r="Q94" s="28" t="e">
        <f t="shared" ca="1" si="30"/>
        <v>#DIV/0!</v>
      </c>
    </row>
    <row r="95" spans="1:17" ht="28.5" customHeight="1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2'!D51</f>
        <v>0</v>
      </c>
      <c r="E95" s="15">
        <f t="shared" ca="1" si="22"/>
        <v>0</v>
      </c>
      <c r="F95" s="79">
        <f t="shared" si="23"/>
        <v>0</v>
      </c>
      <c r="G95" s="15" t="e">
        <f t="shared" si="24"/>
        <v>#VALUE!</v>
      </c>
      <c r="H95" s="14"/>
      <c r="I95" s="26" t="e">
        <f t="shared" ca="1" si="25"/>
        <v>#DIV/0!</v>
      </c>
      <c r="J95" s="27"/>
      <c r="K95" s="27" t="e">
        <f t="shared" ca="1" si="26"/>
        <v>#DIV/0!</v>
      </c>
      <c r="L95" s="79">
        <f>'[1]2024_60-69 ΕΞΟΔΑ+ΟΜ 2'!D49</f>
        <v>0</v>
      </c>
      <c r="M95" s="15">
        <f t="shared" ca="1" si="27"/>
        <v>0</v>
      </c>
      <c r="N95" s="10">
        <f t="shared" si="28"/>
        <v>0</v>
      </c>
      <c r="O95" s="15">
        <f t="shared" ca="1" si="29"/>
        <v>0</v>
      </c>
      <c r="P95" s="27"/>
      <c r="Q95" s="28" t="e">
        <f t="shared" ca="1" si="30"/>
        <v>#DIV/0!</v>
      </c>
    </row>
    <row r="96" spans="1:17" ht="15" customHeight="1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2'!D52</f>
        <v>82.13</v>
      </c>
      <c r="E96" s="15">
        <f t="shared" ca="1" si="22"/>
        <v>8.5385137600753527E-3</v>
      </c>
      <c r="F96" s="79">
        <f t="shared" si="23"/>
        <v>82.13</v>
      </c>
      <c r="G96" s="15" t="e">
        <f t="shared" si="24"/>
        <v>#VALUE!</v>
      </c>
      <c r="H96" s="14"/>
      <c r="I96" s="26" t="e">
        <f t="shared" ca="1" si="25"/>
        <v>#DIV/0!</v>
      </c>
      <c r="J96" s="27"/>
      <c r="K96" s="27" t="e">
        <f t="shared" ca="1" si="26"/>
        <v>#DIV/0!</v>
      </c>
      <c r="L96" s="79">
        <f>'[1]2024_60-69 ΕΞΟΔΑ+ΟΜ 2'!D50</f>
        <v>0</v>
      </c>
      <c r="M96" s="15">
        <f t="shared" ca="1" si="27"/>
        <v>0</v>
      </c>
      <c r="N96" s="10">
        <f t="shared" si="28"/>
        <v>0</v>
      </c>
      <c r="O96" s="15">
        <f t="shared" ca="1" si="29"/>
        <v>0</v>
      </c>
      <c r="P96" s="27"/>
      <c r="Q96" s="28" t="e">
        <f t="shared" ca="1" si="30"/>
        <v>#DIV/0!</v>
      </c>
    </row>
    <row r="97" spans="1:17" ht="15" customHeight="1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2'!D53</f>
        <v>0</v>
      </c>
      <c r="E97" s="15">
        <f t="shared" ca="1" si="22"/>
        <v>0</v>
      </c>
      <c r="F97" s="79">
        <f t="shared" si="23"/>
        <v>0</v>
      </c>
      <c r="G97" s="15" t="e">
        <f t="shared" si="24"/>
        <v>#VALUE!</v>
      </c>
      <c r="H97" s="14"/>
      <c r="I97" s="26" t="e">
        <f t="shared" ca="1" si="25"/>
        <v>#DIV/0!</v>
      </c>
      <c r="J97" s="27"/>
      <c r="K97" s="27" t="e">
        <f t="shared" ca="1" si="26"/>
        <v>#DIV/0!</v>
      </c>
      <c r="L97" s="79">
        <f>'[1]2024_60-69 ΕΞΟΔΑ+ΟΜ 2'!D51</f>
        <v>0</v>
      </c>
      <c r="M97" s="15">
        <f t="shared" ca="1" si="27"/>
        <v>0</v>
      </c>
      <c r="N97" s="10">
        <f t="shared" si="28"/>
        <v>0</v>
      </c>
      <c r="O97" s="15">
        <f t="shared" ca="1" si="29"/>
        <v>0</v>
      </c>
      <c r="P97" s="27"/>
      <c r="Q97" s="28" t="e">
        <f t="shared" ca="1" si="30"/>
        <v>#DIV/0!</v>
      </c>
    </row>
    <row r="98" spans="1:17" ht="15" customHeight="1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2'!D54</f>
        <v>0</v>
      </c>
      <c r="E98" s="15">
        <f t="shared" ca="1" si="22"/>
        <v>0</v>
      </c>
      <c r="F98" s="79">
        <f t="shared" si="23"/>
        <v>0</v>
      </c>
      <c r="G98" s="15" t="e">
        <f t="shared" si="24"/>
        <v>#VALUE!</v>
      </c>
      <c r="H98" s="14"/>
      <c r="I98" s="26" t="e">
        <f t="shared" ca="1" si="25"/>
        <v>#DIV/0!</v>
      </c>
      <c r="J98" s="27"/>
      <c r="K98" s="27" t="e">
        <f t="shared" ca="1" si="26"/>
        <v>#DIV/0!</v>
      </c>
      <c r="L98" s="79">
        <f>'[1]2024_60-69 ΕΞΟΔΑ+ΟΜ 2'!D52</f>
        <v>0</v>
      </c>
      <c r="M98" s="15">
        <f t="shared" ca="1" si="27"/>
        <v>0</v>
      </c>
      <c r="N98" s="10">
        <f t="shared" si="28"/>
        <v>0</v>
      </c>
      <c r="O98" s="15">
        <f t="shared" ca="1" si="29"/>
        <v>0</v>
      </c>
      <c r="P98" s="27"/>
      <c r="Q98" s="28" t="e">
        <f t="shared" ca="1" si="30"/>
        <v>#DIV/0!</v>
      </c>
    </row>
    <row r="99" spans="1:17" ht="1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2'!D55</f>
        <v>1972.45</v>
      </c>
      <c r="E99" s="15">
        <f t="shared" ca="1" si="22"/>
        <v>0.20506260155924302</v>
      </c>
      <c r="F99" s="79">
        <f t="shared" si="23"/>
        <v>1972.45</v>
      </c>
      <c r="G99" s="15" t="e">
        <f t="shared" si="24"/>
        <v>#VALUE!</v>
      </c>
      <c r="H99" s="14"/>
      <c r="I99" s="26" t="e">
        <f t="shared" ca="1" si="25"/>
        <v>#DIV/0!</v>
      </c>
      <c r="J99" s="27"/>
      <c r="K99" s="27" t="e">
        <f t="shared" ca="1" si="26"/>
        <v>#DIV/0!</v>
      </c>
      <c r="L99" s="79">
        <f>'[1]2024_60-69 ΕΞΟΔΑ+ΟΜ 2'!D53</f>
        <v>0</v>
      </c>
      <c r="M99" s="15">
        <f t="shared" ca="1" si="27"/>
        <v>0</v>
      </c>
      <c r="N99" s="10">
        <f t="shared" si="28"/>
        <v>0</v>
      </c>
      <c r="O99" s="15">
        <f t="shared" ca="1" si="29"/>
        <v>0</v>
      </c>
      <c r="P99" s="27"/>
      <c r="Q99" s="28" t="e">
        <f t="shared" ca="1" si="30"/>
        <v>#DIV/0!</v>
      </c>
    </row>
    <row r="100" spans="1:17" ht="15" customHeight="1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2'!D56</f>
        <v>96.02</v>
      </c>
      <c r="E100" s="15">
        <f t="shared" ca="1" si="22"/>
        <v>9.9825653383956575E-3</v>
      </c>
      <c r="F100" s="79">
        <f t="shared" si="23"/>
        <v>96.02</v>
      </c>
      <c r="G100" s="15" t="e">
        <f t="shared" si="24"/>
        <v>#VALUE!</v>
      </c>
      <c r="H100" s="14"/>
      <c r="I100" s="26" t="e">
        <f t="shared" ca="1" si="25"/>
        <v>#DIV/0!</v>
      </c>
      <c r="J100" s="27"/>
      <c r="K100" s="27" t="e">
        <f t="shared" ca="1" si="26"/>
        <v>#DIV/0!</v>
      </c>
      <c r="L100" s="79">
        <f>'[1]2024_60-69 ΕΞΟΔΑ+ΟΜ 2'!D54</f>
        <v>660</v>
      </c>
      <c r="M100" s="15">
        <f t="shared" ca="1" si="27"/>
        <v>0.14943012783068205</v>
      </c>
      <c r="N100" s="10">
        <f t="shared" si="28"/>
        <v>660</v>
      </c>
      <c r="O100" s="15">
        <f t="shared" ca="1" si="29"/>
        <v>0.14943012783068205</v>
      </c>
      <c r="P100" s="27"/>
      <c r="Q100" s="28" t="e">
        <f t="shared" ca="1" si="30"/>
        <v>#DIV/0!</v>
      </c>
    </row>
    <row r="101" spans="1:17" ht="25.5" customHeight="1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2'!D57</f>
        <v>0</v>
      </c>
      <c r="E101" s="15">
        <f t="shared" ca="1" si="22"/>
        <v>0</v>
      </c>
      <c r="F101" s="79">
        <f t="shared" si="23"/>
        <v>0</v>
      </c>
      <c r="G101" s="15" t="e">
        <f t="shared" si="24"/>
        <v>#VALUE!</v>
      </c>
      <c r="H101" s="14"/>
      <c r="I101" s="26" t="e">
        <f t="shared" ca="1" si="25"/>
        <v>#DIV/0!</v>
      </c>
      <c r="J101" s="27"/>
      <c r="K101" s="27" t="e">
        <f t="shared" ca="1" si="26"/>
        <v>#DIV/0!</v>
      </c>
      <c r="L101" s="79">
        <f>'[1]2024_60-69 ΕΞΟΔΑ+ΟΜ 2'!D55</f>
        <v>0</v>
      </c>
      <c r="M101" s="15">
        <f t="shared" ca="1" si="27"/>
        <v>0</v>
      </c>
      <c r="N101" s="10">
        <f t="shared" si="28"/>
        <v>0</v>
      </c>
      <c r="O101" s="15">
        <f t="shared" ca="1" si="29"/>
        <v>0</v>
      </c>
      <c r="P101" s="27"/>
      <c r="Q101" s="28" t="e">
        <f t="shared" ca="1" si="30"/>
        <v>#DIV/0!</v>
      </c>
    </row>
    <row r="102" spans="1:17" ht="24" customHeight="1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2'!D58</f>
        <v>0</v>
      </c>
      <c r="E102" s="15">
        <f t="shared" ca="1" si="22"/>
        <v>0</v>
      </c>
      <c r="F102" s="79">
        <f t="shared" si="23"/>
        <v>0</v>
      </c>
      <c r="G102" s="15" t="e">
        <f t="shared" si="24"/>
        <v>#VALUE!</v>
      </c>
      <c r="H102" s="14"/>
      <c r="I102" s="26" t="e">
        <f t="shared" ca="1" si="25"/>
        <v>#DIV/0!</v>
      </c>
      <c r="J102" s="27"/>
      <c r="K102" s="27" t="e">
        <f t="shared" ca="1" si="26"/>
        <v>#DIV/0!</v>
      </c>
      <c r="L102" s="79">
        <f>'[1]2024_60-69 ΕΞΟΔΑ+ΟΜ 2'!D56</f>
        <v>0</v>
      </c>
      <c r="M102" s="15">
        <f t="shared" ca="1" si="27"/>
        <v>0</v>
      </c>
      <c r="N102" s="10">
        <f t="shared" si="28"/>
        <v>0</v>
      </c>
      <c r="O102" s="15">
        <f t="shared" ca="1" si="29"/>
        <v>0</v>
      </c>
      <c r="P102" s="27"/>
      <c r="Q102" s="28" t="e">
        <f t="shared" ca="1" si="30"/>
        <v>#DIV/0!</v>
      </c>
    </row>
    <row r="103" spans="1:17" ht="15.75" hidden="1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2'!D59</f>
        <v>1041.47</v>
      </c>
      <c r="E103" s="15">
        <f t="shared" ca="1" si="22"/>
        <v>0.10827475862298402</v>
      </c>
      <c r="F103" s="79">
        <f t="shared" si="23"/>
        <v>1041.47</v>
      </c>
      <c r="G103" s="15" t="e">
        <f t="shared" si="24"/>
        <v>#VALUE!</v>
      </c>
      <c r="H103" s="14"/>
      <c r="I103" s="26" t="e">
        <f t="shared" ca="1" si="25"/>
        <v>#DIV/0!</v>
      </c>
      <c r="J103" s="27"/>
      <c r="K103" s="27" t="e">
        <f t="shared" ca="1" si="26"/>
        <v>#DIV/0!</v>
      </c>
      <c r="L103" s="79">
        <f>'[1]2024_60-69 ΕΞΟΔΑ+ΟΜ 2'!D57</f>
        <v>1000</v>
      </c>
      <c r="M103" s="15">
        <f t="shared" ca="1" si="27"/>
        <v>0.22640928459194251</v>
      </c>
      <c r="N103" s="10">
        <f t="shared" si="28"/>
        <v>1000</v>
      </c>
      <c r="O103" s="15">
        <f t="shared" ca="1" si="29"/>
        <v>0.22640928459194251</v>
      </c>
      <c r="P103" s="27"/>
      <c r="Q103" s="28" t="e">
        <f t="shared" ca="1" si="30"/>
        <v>#DIV/0!</v>
      </c>
    </row>
    <row r="104" spans="1:17" ht="15.75" hidden="1" customHeight="1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2'!D60</f>
        <v>0</v>
      </c>
      <c r="E104" s="15">
        <f t="shared" ca="1" si="22"/>
        <v>0</v>
      </c>
      <c r="F104" s="79">
        <f t="shared" si="23"/>
        <v>0</v>
      </c>
      <c r="G104" s="15" t="e">
        <f t="shared" si="24"/>
        <v>#VALUE!</v>
      </c>
      <c r="H104" s="14"/>
      <c r="I104" s="26" t="e">
        <f t="shared" ca="1" si="25"/>
        <v>#DIV/0!</v>
      </c>
      <c r="J104" s="27"/>
      <c r="K104" s="27" t="e">
        <f t="shared" ca="1" si="26"/>
        <v>#DIV/0!</v>
      </c>
      <c r="L104" s="79">
        <f>'[1]2024_60-69 ΕΞΟΔΑ+ΟΜ 2'!D58</f>
        <v>0</v>
      </c>
      <c r="M104" s="15">
        <f t="shared" ca="1" si="27"/>
        <v>0</v>
      </c>
      <c r="N104" s="10">
        <f t="shared" si="28"/>
        <v>0</v>
      </c>
      <c r="O104" s="15">
        <f t="shared" ca="1" si="29"/>
        <v>0</v>
      </c>
      <c r="P104" s="27"/>
      <c r="Q104" s="28" t="e">
        <f t="shared" ca="1" si="30"/>
        <v>#DIV/0!</v>
      </c>
    </row>
    <row r="105" spans="1:17" ht="31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2'!D61</f>
        <v>0</v>
      </c>
      <c r="E105" s="15">
        <f t="shared" ca="1" si="22"/>
        <v>0</v>
      </c>
      <c r="F105" s="79">
        <f t="shared" si="23"/>
        <v>0</v>
      </c>
      <c r="G105" s="15" t="e">
        <f t="shared" si="24"/>
        <v>#VALUE!</v>
      </c>
      <c r="H105" s="14"/>
      <c r="I105" s="26" t="e">
        <f t="shared" ca="1" si="25"/>
        <v>#DIV/0!</v>
      </c>
      <c r="J105" s="27"/>
      <c r="K105" s="27" t="e">
        <f t="shared" ca="1" si="26"/>
        <v>#DIV/0!</v>
      </c>
      <c r="L105" s="79">
        <f>'[1]2024_60-69 ΕΞΟΔΑ+ΟΜ 2'!D59</f>
        <v>0</v>
      </c>
      <c r="M105" s="15">
        <f t="shared" ca="1" si="27"/>
        <v>0</v>
      </c>
      <c r="N105" s="10">
        <f t="shared" si="28"/>
        <v>0</v>
      </c>
      <c r="O105" s="15">
        <f t="shared" ca="1" si="29"/>
        <v>0</v>
      </c>
      <c r="P105" s="27"/>
      <c r="Q105" s="28" t="e">
        <f t="shared" ca="1" si="30"/>
        <v>#DIV/0!</v>
      </c>
    </row>
    <row r="106" spans="1:17" ht="45" customHeight="1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26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2'!D36</f>
        <v>9618.77</v>
      </c>
      <c r="E111" s="8"/>
      <c r="F111" s="7">
        <f>'[1]2025_60-69 ΕΞΟΔΑ+ΟΜ 2'!Q36</f>
        <v>9618.77</v>
      </c>
      <c r="G111" s="8"/>
      <c r="H111" s="7">
        <f ca="1">SUM(H47:H110)</f>
        <v>0</v>
      </c>
      <c r="I111" s="8"/>
      <c r="J111" s="7">
        <f ca="1">SUM(J47:J110)</f>
        <v>0</v>
      </c>
      <c r="K111" s="8"/>
      <c r="L111" s="7">
        <f ca="1">SUM(L47:L110)</f>
        <v>4416.7800000000007</v>
      </c>
      <c r="M111" s="8"/>
      <c r="N111" s="7">
        <f ca="1">SUM(N47:N110)</f>
        <v>4416.7800000000007</v>
      </c>
      <c r="O111" s="8"/>
      <c r="P111" s="7">
        <f ca="1">SUM(P47:P110)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 ca="1">D84-D111</f>
        <v>0</v>
      </c>
      <c r="E112" s="8"/>
      <c r="F112" s="7" t="e">
        <f>F84-F111</f>
        <v>#VALUE!</v>
      </c>
      <c r="G112" s="8"/>
      <c r="H112" s="7">
        <f ca="1">H84-H111</f>
        <v>0</v>
      </c>
      <c r="I112" s="8"/>
      <c r="J112" s="7">
        <f ca="1">J84-J111</f>
        <v>0</v>
      </c>
      <c r="K112" s="8"/>
      <c r="L112" s="7">
        <f ca="1">L84-L111</f>
        <v>0</v>
      </c>
      <c r="M112" s="8"/>
      <c r="N112" s="7">
        <f ca="1">N84-N111</f>
        <v>0</v>
      </c>
      <c r="O112" s="8"/>
      <c r="P112" s="7">
        <f ca="1">P84-P111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0" t="str">
        <f>[1]ΑΝΤΙΣΤΟΙΧΙΣΗ!$F$106</f>
        <v xml:space="preserve">ΙΑΝΟΥΑΡΙΟΣ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[1]ΑΝΤΙΣΤΟΙΧΙΣΗ!$F$106</f>
        <v xml:space="preserve">ΙΑΝΟΥΑΡΙΟΣ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[1]ΑΝΤΙΣΤΟΙΧΙΣΗ!$F$120</f>
        <v xml:space="preserve">ΙΑΝΟΥΑΡΙΟΣ ΠΡΟΗΓΟΥΜΕΝΟΥ ΕΤΟΥΣ </v>
      </c>
      <c r="M114" s="180"/>
      <c r="N114" s="180"/>
      <c r="O114" s="61">
        <f>[1]ΑΝΤΙΣΤΟΙΧΙΣΗ!$D$33</f>
        <v>2024</v>
      </c>
      <c r="P114" s="180"/>
      <c r="Q114" s="180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7568.28</v>
      </c>
      <c r="E116" s="8"/>
      <c r="F116" s="7">
        <f>SUM(F117:F156)</f>
        <v>7568.28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12633.890000000001</v>
      </c>
      <c r="M116" s="8"/>
      <c r="N116" s="7">
        <f>SUM(N117:N156)</f>
        <v>12633.890000000001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2'!D74</f>
        <v>0</v>
      </c>
      <c r="E117" s="15">
        <f>D117/$D$116</f>
        <v>0</v>
      </c>
      <c r="F117" s="10">
        <f>D117</f>
        <v>0</v>
      </c>
      <c r="G117" s="15">
        <f>F117/$F$116</f>
        <v>0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2'!D66</f>
        <v>1223.8900000000001</v>
      </c>
      <c r="M117" s="15">
        <f>L117/$L$116</f>
        <v>9.6873567840150582E-2</v>
      </c>
      <c r="N117" s="10">
        <f>L117</f>
        <v>1223.8900000000001</v>
      </c>
      <c r="O117" s="15">
        <f>N117/$N$116</f>
        <v>9.6873567840150582E-2</v>
      </c>
      <c r="P117" s="10"/>
      <c r="Q117" s="30" t="e">
        <f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2'!D75</f>
        <v>248.55</v>
      </c>
      <c r="E118" s="15">
        <f t="shared" ref="E118:E153" si="31">D118/$D$116</f>
        <v>3.2841015395836309E-2</v>
      </c>
      <c r="F118" s="10">
        <f t="shared" ref="F118:F153" si="32">D118</f>
        <v>248.55</v>
      </c>
      <c r="G118" s="15">
        <f t="shared" ref="G118:G153" si="33">F118/$F$116</f>
        <v>3.2841015395836309E-2</v>
      </c>
      <c r="H118" s="14"/>
      <c r="I118" s="29" t="e">
        <f t="shared" ref="I118:I153" si="34">H118/$H$116</f>
        <v>#DIV/0!</v>
      </c>
      <c r="J118" s="10"/>
      <c r="K118" s="10" t="e">
        <f t="shared" ref="K118:K153" si="35">J118/$J$116</f>
        <v>#DIV/0!</v>
      </c>
      <c r="L118" s="14">
        <f>'[1]2024_60-69 ΕΞΟΔΑ+ΟΜ 2'!D67</f>
        <v>272.81</v>
      </c>
      <c r="M118" s="15">
        <f t="shared" ref="M118:M153" si="36">L118/$L$116</f>
        <v>2.1593507621168143E-2</v>
      </c>
      <c r="N118" s="10">
        <f t="shared" ref="N118:N153" si="37">L118</f>
        <v>272.81</v>
      </c>
      <c r="O118" s="15">
        <f t="shared" ref="O118:O153" si="38">N118/$N$116</f>
        <v>2.1593507621168143E-2</v>
      </c>
      <c r="P118" s="10"/>
      <c r="Q118" s="30" t="e">
        <f t="shared" ref="Q118:Q153" si="39">SUM(D118:P118)</f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2'!D76</f>
        <v>965.25</v>
      </c>
      <c r="E119" s="15">
        <f t="shared" si="31"/>
        <v>0.12753888598201971</v>
      </c>
      <c r="F119" s="10">
        <f t="shared" si="32"/>
        <v>965.25</v>
      </c>
      <c r="G119" s="15">
        <f t="shared" si="33"/>
        <v>0.12753888598201971</v>
      </c>
      <c r="H119" s="14"/>
      <c r="I119" s="29" t="e">
        <f t="shared" si="34"/>
        <v>#DIV/0!</v>
      </c>
      <c r="J119" s="10"/>
      <c r="K119" s="10" t="e">
        <f t="shared" si="35"/>
        <v>#DIV/0!</v>
      </c>
      <c r="L119" s="14">
        <f>'[1]2024_60-69 ΕΞΟΔΑ+ΟΜ 2'!D68</f>
        <v>850</v>
      </c>
      <c r="M119" s="15">
        <f t="shared" si="36"/>
        <v>6.7279357347578603E-2</v>
      </c>
      <c r="N119" s="10">
        <f t="shared" si="37"/>
        <v>850</v>
      </c>
      <c r="O119" s="15">
        <f t="shared" si="38"/>
        <v>6.7279357347578603E-2</v>
      </c>
      <c r="P119" s="10"/>
      <c r="Q119" s="30" t="e">
        <f t="shared" si="39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2'!D77</f>
        <v>31.52</v>
      </c>
      <c r="E120" s="15">
        <f t="shared" si="31"/>
        <v>4.1647507756055538E-3</v>
      </c>
      <c r="F120" s="10">
        <f t="shared" si="32"/>
        <v>31.52</v>
      </c>
      <c r="G120" s="15">
        <f t="shared" si="33"/>
        <v>4.1647507756055538E-3</v>
      </c>
      <c r="H120" s="14"/>
      <c r="I120" s="29" t="e">
        <f t="shared" si="34"/>
        <v>#DIV/0!</v>
      </c>
      <c r="J120" s="10"/>
      <c r="K120" s="10" t="e">
        <f t="shared" si="35"/>
        <v>#DIV/0!</v>
      </c>
      <c r="L120" s="14">
        <f>'[1]2024_60-69 ΕΞΟΔΑ+ΟΜ 2'!D69</f>
        <v>0</v>
      </c>
      <c r="M120" s="15">
        <f t="shared" si="36"/>
        <v>0</v>
      </c>
      <c r="N120" s="10">
        <f t="shared" si="37"/>
        <v>0</v>
      </c>
      <c r="O120" s="15">
        <f t="shared" si="38"/>
        <v>0</v>
      </c>
      <c r="P120" s="10"/>
      <c r="Q120" s="30" t="e">
        <f t="shared" si="39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2'!D78</f>
        <v>8.9499999999999993</v>
      </c>
      <c r="E121" s="15">
        <f t="shared" si="31"/>
        <v>1.1825672411697242E-3</v>
      </c>
      <c r="F121" s="10">
        <f t="shared" si="32"/>
        <v>8.9499999999999993</v>
      </c>
      <c r="G121" s="15">
        <f t="shared" si="33"/>
        <v>1.1825672411697242E-3</v>
      </c>
      <c r="H121" s="14"/>
      <c r="I121" s="29" t="e">
        <f t="shared" si="34"/>
        <v>#DIV/0!</v>
      </c>
      <c r="J121" s="10"/>
      <c r="K121" s="10" t="e">
        <f t="shared" si="35"/>
        <v>#DIV/0!</v>
      </c>
      <c r="L121" s="14">
        <f>'[1]2024_60-69 ΕΞΟΔΑ+ΟΜ 2'!D70</f>
        <v>241.31</v>
      </c>
      <c r="M121" s="15">
        <f t="shared" si="36"/>
        <v>1.9100213790051994E-2</v>
      </c>
      <c r="N121" s="10">
        <f t="shared" si="37"/>
        <v>241.31</v>
      </c>
      <c r="O121" s="15">
        <f t="shared" si="38"/>
        <v>1.9100213790051994E-2</v>
      </c>
      <c r="P121" s="10"/>
      <c r="Q121" s="30" t="e">
        <f t="shared" si="39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2'!D79</f>
        <v>0</v>
      </c>
      <c r="E122" s="15">
        <f t="shared" si="31"/>
        <v>0</v>
      </c>
      <c r="F122" s="10">
        <f t="shared" si="32"/>
        <v>0</v>
      </c>
      <c r="G122" s="15">
        <f t="shared" si="33"/>
        <v>0</v>
      </c>
      <c r="H122" s="14"/>
      <c r="I122" s="29" t="e">
        <f t="shared" si="34"/>
        <v>#DIV/0!</v>
      </c>
      <c r="J122" s="10"/>
      <c r="K122" s="10" t="e">
        <f t="shared" si="35"/>
        <v>#DIV/0!</v>
      </c>
      <c r="L122" s="14">
        <f>'[1]2024_60-69 ΕΞΟΔΑ+ΟΜ 2'!D71</f>
        <v>965.25</v>
      </c>
      <c r="M122" s="15">
        <f t="shared" si="36"/>
        <v>7.6401646682059121E-2</v>
      </c>
      <c r="N122" s="10">
        <f t="shared" si="37"/>
        <v>965.25</v>
      </c>
      <c r="O122" s="15">
        <f t="shared" si="38"/>
        <v>7.6401646682059121E-2</v>
      </c>
      <c r="P122" s="10"/>
      <c r="Q122" s="30" t="e">
        <f t="shared" si="39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2'!D80</f>
        <v>34.75</v>
      </c>
      <c r="E123" s="15">
        <f t="shared" si="31"/>
        <v>4.5915320257707169E-3</v>
      </c>
      <c r="F123" s="10">
        <f t="shared" si="32"/>
        <v>34.75</v>
      </c>
      <c r="G123" s="15">
        <f t="shared" si="33"/>
        <v>4.5915320257707169E-3</v>
      </c>
      <c r="H123" s="14"/>
      <c r="I123" s="29" t="e">
        <f t="shared" si="34"/>
        <v>#DIV/0!</v>
      </c>
      <c r="J123" s="10"/>
      <c r="K123" s="10" t="e">
        <f t="shared" si="35"/>
        <v>#DIV/0!</v>
      </c>
      <c r="L123" s="14">
        <f>'[1]2024_60-69 ΕΞΟΔΑ+ΟΜ 2'!D72</f>
        <v>30.6</v>
      </c>
      <c r="M123" s="15">
        <f t="shared" si="36"/>
        <v>2.4220568645128299E-3</v>
      </c>
      <c r="N123" s="10">
        <f t="shared" si="37"/>
        <v>30.6</v>
      </c>
      <c r="O123" s="15">
        <f t="shared" si="38"/>
        <v>2.4220568645128299E-3</v>
      </c>
      <c r="P123" s="10"/>
      <c r="Q123" s="30" t="e">
        <f t="shared" si="39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2'!D81</f>
        <v>0</v>
      </c>
      <c r="E124" s="15">
        <f t="shared" si="31"/>
        <v>0</v>
      </c>
      <c r="F124" s="10">
        <f t="shared" si="32"/>
        <v>0</v>
      </c>
      <c r="G124" s="15">
        <f t="shared" si="33"/>
        <v>0</v>
      </c>
      <c r="H124" s="14"/>
      <c r="I124" s="29" t="e">
        <f t="shared" si="34"/>
        <v>#DIV/0!</v>
      </c>
      <c r="J124" s="10"/>
      <c r="K124" s="10" t="e">
        <f t="shared" si="35"/>
        <v>#DIV/0!</v>
      </c>
      <c r="L124" s="14">
        <f>'[1]2024_60-69 ΕΞΟΔΑ+ΟΜ 2'!D73</f>
        <v>8.69</v>
      </c>
      <c r="M124" s="15">
        <f t="shared" si="36"/>
        <v>6.8783248864759774E-4</v>
      </c>
      <c r="N124" s="10">
        <f t="shared" si="37"/>
        <v>8.69</v>
      </c>
      <c r="O124" s="15">
        <f t="shared" si="38"/>
        <v>6.8783248864759774E-4</v>
      </c>
      <c r="P124" s="10"/>
      <c r="Q124" s="30" t="e">
        <f t="shared" si="39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2'!D82</f>
        <v>0</v>
      </c>
      <c r="E125" s="15">
        <f t="shared" si="31"/>
        <v>0</v>
      </c>
      <c r="F125" s="10">
        <f t="shared" si="32"/>
        <v>0</v>
      </c>
      <c r="G125" s="15">
        <f t="shared" si="33"/>
        <v>0</v>
      </c>
      <c r="H125" s="14"/>
      <c r="I125" s="29" t="e">
        <f t="shared" si="34"/>
        <v>#DIV/0!</v>
      </c>
      <c r="J125" s="10"/>
      <c r="K125" s="10" t="e">
        <f t="shared" si="35"/>
        <v>#DIV/0!</v>
      </c>
      <c r="L125" s="14">
        <f>'[1]2024_60-69 ΕΞΟΔΑ+ΟΜ 2'!D74</f>
        <v>0</v>
      </c>
      <c r="M125" s="15">
        <f t="shared" si="36"/>
        <v>0</v>
      </c>
      <c r="N125" s="10">
        <f t="shared" si="37"/>
        <v>0</v>
      </c>
      <c r="O125" s="15">
        <f t="shared" si="38"/>
        <v>0</v>
      </c>
      <c r="P125" s="10"/>
      <c r="Q125" s="30" t="e">
        <f t="shared" si="39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2'!D83</f>
        <v>0</v>
      </c>
      <c r="E126" s="15">
        <f t="shared" si="31"/>
        <v>0</v>
      </c>
      <c r="F126" s="10">
        <f t="shared" si="32"/>
        <v>0</v>
      </c>
      <c r="G126" s="15">
        <f t="shared" si="33"/>
        <v>0</v>
      </c>
      <c r="H126" s="14"/>
      <c r="I126" s="29" t="e">
        <f t="shared" si="34"/>
        <v>#DIV/0!</v>
      </c>
      <c r="J126" s="10"/>
      <c r="K126" s="10" t="e">
        <f t="shared" si="35"/>
        <v>#DIV/0!</v>
      </c>
      <c r="L126" s="14">
        <f>'[1]2024_60-69 ΕΞΟΔΑ+ΟΜ 2'!D75</f>
        <v>34.75</v>
      </c>
      <c r="M126" s="15">
        <f t="shared" si="36"/>
        <v>2.7505384327392432E-3</v>
      </c>
      <c r="N126" s="10">
        <f t="shared" si="37"/>
        <v>34.75</v>
      </c>
      <c r="O126" s="15">
        <f t="shared" si="38"/>
        <v>2.7505384327392432E-3</v>
      </c>
      <c r="P126" s="10"/>
      <c r="Q126" s="30" t="e">
        <f t="shared" si="39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2'!D84</f>
        <v>38</v>
      </c>
      <c r="E127" s="15">
        <f t="shared" si="31"/>
        <v>5.0209558842960354E-3</v>
      </c>
      <c r="F127" s="10">
        <f t="shared" si="32"/>
        <v>38</v>
      </c>
      <c r="G127" s="15">
        <f t="shared" si="33"/>
        <v>5.0209558842960354E-3</v>
      </c>
      <c r="H127" s="14"/>
      <c r="I127" s="29" t="e">
        <f t="shared" si="34"/>
        <v>#DIV/0!</v>
      </c>
      <c r="J127" s="10"/>
      <c r="K127" s="10" t="e">
        <f t="shared" si="35"/>
        <v>#DIV/0!</v>
      </c>
      <c r="L127" s="14">
        <f>'[1]2024_60-69 ΕΞΟΔΑ+ΟΜ 2'!D76</f>
        <v>0</v>
      </c>
      <c r="M127" s="15">
        <f t="shared" si="36"/>
        <v>0</v>
      </c>
      <c r="N127" s="10">
        <f t="shared" si="37"/>
        <v>0</v>
      </c>
      <c r="O127" s="15">
        <f t="shared" si="38"/>
        <v>0</v>
      </c>
      <c r="P127" s="10"/>
      <c r="Q127" s="30" t="e">
        <f t="shared" si="39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2'!D85</f>
        <v>70.83</v>
      </c>
      <c r="E128" s="15">
        <f t="shared" si="31"/>
        <v>9.3587975074917954E-3</v>
      </c>
      <c r="F128" s="10">
        <f t="shared" si="32"/>
        <v>70.83</v>
      </c>
      <c r="G128" s="15">
        <f t="shared" si="33"/>
        <v>9.3587975074917954E-3</v>
      </c>
      <c r="H128" s="14"/>
      <c r="I128" s="29" t="e">
        <f t="shared" si="34"/>
        <v>#DIV/0!</v>
      </c>
      <c r="J128" s="10"/>
      <c r="K128" s="10" t="e">
        <f t="shared" si="35"/>
        <v>#DIV/0!</v>
      </c>
      <c r="L128" s="14">
        <f>'[1]2024_60-69 ΕΞΟΔΑ+ΟΜ 2'!D77</f>
        <v>0</v>
      </c>
      <c r="M128" s="15">
        <f t="shared" si="36"/>
        <v>0</v>
      </c>
      <c r="N128" s="10">
        <f t="shared" si="37"/>
        <v>0</v>
      </c>
      <c r="O128" s="15">
        <f t="shared" si="38"/>
        <v>0</v>
      </c>
      <c r="P128" s="10"/>
      <c r="Q128" s="30" t="e">
        <f t="shared" si="39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2'!D86</f>
        <v>6.55</v>
      </c>
      <c r="E129" s="15">
        <f t="shared" si="31"/>
        <v>8.6545423795102714E-4</v>
      </c>
      <c r="F129" s="10">
        <f t="shared" si="32"/>
        <v>6.55</v>
      </c>
      <c r="G129" s="15">
        <f t="shared" si="33"/>
        <v>8.6545423795102714E-4</v>
      </c>
      <c r="H129" s="14"/>
      <c r="I129" s="29" t="e">
        <f t="shared" si="34"/>
        <v>#DIV/0!</v>
      </c>
      <c r="J129" s="10"/>
      <c r="K129" s="10" t="e">
        <f t="shared" si="35"/>
        <v>#DIV/0!</v>
      </c>
      <c r="L129" s="14">
        <f>'[1]2024_60-69 ΕΞΟΔΑ+ΟΜ 2'!D78</f>
        <v>0</v>
      </c>
      <c r="M129" s="15">
        <f t="shared" si="36"/>
        <v>0</v>
      </c>
      <c r="N129" s="10">
        <f t="shared" si="37"/>
        <v>0</v>
      </c>
      <c r="O129" s="15">
        <f t="shared" si="38"/>
        <v>0</v>
      </c>
      <c r="P129" s="10"/>
      <c r="Q129" s="30" t="e">
        <f t="shared" si="39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2'!D87</f>
        <v>3.86</v>
      </c>
      <c r="E130" s="15">
        <f t="shared" si="31"/>
        <v>5.1002341351007098E-4</v>
      </c>
      <c r="F130" s="10">
        <f t="shared" si="32"/>
        <v>3.86</v>
      </c>
      <c r="G130" s="15">
        <f t="shared" si="33"/>
        <v>5.1002341351007098E-4</v>
      </c>
      <c r="H130" s="14"/>
      <c r="I130" s="29" t="e">
        <f t="shared" si="34"/>
        <v>#DIV/0!</v>
      </c>
      <c r="J130" s="10"/>
      <c r="K130" s="10" t="e">
        <f t="shared" si="35"/>
        <v>#DIV/0!</v>
      </c>
      <c r="L130" s="14">
        <f>'[1]2024_60-69 ΕΞΟΔΑ+ΟΜ 2'!D79</f>
        <v>21</v>
      </c>
      <c r="M130" s="15">
        <f t="shared" si="36"/>
        <v>1.6621958874107657E-3</v>
      </c>
      <c r="N130" s="10">
        <f t="shared" si="37"/>
        <v>21</v>
      </c>
      <c r="O130" s="15">
        <f t="shared" si="38"/>
        <v>1.6621958874107657E-3</v>
      </c>
      <c r="P130" s="10"/>
      <c r="Q130" s="30" t="e">
        <f t="shared" si="39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2'!D88</f>
        <v>0</v>
      </c>
      <c r="E131" s="15">
        <f t="shared" si="31"/>
        <v>0</v>
      </c>
      <c r="F131" s="10">
        <f t="shared" si="32"/>
        <v>0</v>
      </c>
      <c r="G131" s="15">
        <f t="shared" si="33"/>
        <v>0</v>
      </c>
      <c r="H131" s="14"/>
      <c r="I131" s="29" t="e">
        <f t="shared" si="34"/>
        <v>#DIV/0!</v>
      </c>
      <c r="J131" s="10"/>
      <c r="K131" s="10" t="e">
        <f t="shared" si="35"/>
        <v>#DIV/0!</v>
      </c>
      <c r="L131" s="14">
        <f>'[1]2024_60-69 ΕΞΟΔΑ+ΟΜ 2'!D80</f>
        <v>64.239999999999995</v>
      </c>
      <c r="M131" s="15">
        <f t="shared" si="36"/>
        <v>5.0847363717746461E-3</v>
      </c>
      <c r="N131" s="10">
        <f t="shared" si="37"/>
        <v>64.239999999999995</v>
      </c>
      <c r="O131" s="15">
        <f t="shared" si="38"/>
        <v>5.0847363717746461E-3</v>
      </c>
      <c r="P131" s="10"/>
      <c r="Q131" s="30" t="e">
        <f t="shared" si="39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2'!D89</f>
        <v>232.19</v>
      </c>
      <c r="E132" s="15">
        <f t="shared" si="31"/>
        <v>3.0679361757228855E-2</v>
      </c>
      <c r="F132" s="10">
        <f t="shared" si="32"/>
        <v>232.19</v>
      </c>
      <c r="G132" s="15">
        <f t="shared" si="33"/>
        <v>3.0679361757228855E-2</v>
      </c>
      <c r="H132" s="14"/>
      <c r="I132" s="29" t="e">
        <f t="shared" si="34"/>
        <v>#DIV/0!</v>
      </c>
      <c r="J132" s="10"/>
      <c r="K132" s="10" t="e">
        <f t="shared" si="35"/>
        <v>#DIV/0!</v>
      </c>
      <c r="L132" s="14">
        <f>'[1]2024_60-69 ΕΞΟΔΑ+ΟΜ 2'!D81</f>
        <v>5.14</v>
      </c>
      <c r="M132" s="15">
        <f t="shared" si="36"/>
        <v>4.0684223149006359E-4</v>
      </c>
      <c r="N132" s="10">
        <f t="shared" si="37"/>
        <v>5.14</v>
      </c>
      <c r="O132" s="15">
        <f t="shared" si="38"/>
        <v>4.0684223149006359E-4</v>
      </c>
      <c r="P132" s="10"/>
      <c r="Q132" s="30" t="e">
        <f t="shared" si="39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2'!D90</f>
        <v>0</v>
      </c>
      <c r="E133" s="15">
        <f t="shared" si="31"/>
        <v>0</v>
      </c>
      <c r="F133" s="10">
        <f t="shared" si="32"/>
        <v>0</v>
      </c>
      <c r="G133" s="15">
        <f t="shared" si="33"/>
        <v>0</v>
      </c>
      <c r="H133" s="14"/>
      <c r="I133" s="29" t="e">
        <f t="shared" si="34"/>
        <v>#DIV/0!</v>
      </c>
      <c r="J133" s="10"/>
      <c r="K133" s="10" t="e">
        <f t="shared" si="35"/>
        <v>#DIV/0!</v>
      </c>
      <c r="L133" s="14">
        <f>'[1]2024_60-69 ΕΞΟΔΑ+ΟΜ 2'!D82</f>
        <v>3.77</v>
      </c>
      <c r="M133" s="15">
        <f t="shared" si="36"/>
        <v>2.9840373788278985E-4</v>
      </c>
      <c r="N133" s="10">
        <f t="shared" si="37"/>
        <v>3.77</v>
      </c>
      <c r="O133" s="15">
        <f t="shared" si="38"/>
        <v>2.9840373788278985E-4</v>
      </c>
      <c r="P133" s="10"/>
      <c r="Q133" s="30" t="e">
        <f t="shared" si="39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2'!D91</f>
        <v>224.75</v>
      </c>
      <c r="E134" s="15">
        <f t="shared" si="31"/>
        <v>2.9696311447250896E-2</v>
      </c>
      <c r="F134" s="10">
        <f t="shared" si="32"/>
        <v>224.75</v>
      </c>
      <c r="G134" s="15">
        <f t="shared" si="33"/>
        <v>2.9696311447250896E-2</v>
      </c>
      <c r="H134" s="14"/>
      <c r="I134" s="29" t="e">
        <f t="shared" si="34"/>
        <v>#DIV/0!</v>
      </c>
      <c r="J134" s="10"/>
      <c r="K134" s="10" t="e">
        <f t="shared" si="35"/>
        <v>#DIV/0!</v>
      </c>
      <c r="L134" s="14">
        <f>'[1]2024_60-69 ΕΞΟΔΑ+ΟΜ 2'!D83</f>
        <v>0</v>
      </c>
      <c r="M134" s="15">
        <f t="shared" si="36"/>
        <v>0</v>
      </c>
      <c r="N134" s="10">
        <f t="shared" si="37"/>
        <v>0</v>
      </c>
      <c r="O134" s="15">
        <f t="shared" si="38"/>
        <v>0</v>
      </c>
      <c r="P134" s="10"/>
      <c r="Q134" s="30" t="e">
        <f t="shared" si="39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2'!D92</f>
        <v>0</v>
      </c>
      <c r="E135" s="15">
        <f t="shared" si="31"/>
        <v>0</v>
      </c>
      <c r="F135" s="10">
        <f t="shared" si="32"/>
        <v>0</v>
      </c>
      <c r="G135" s="15">
        <f t="shared" si="33"/>
        <v>0</v>
      </c>
      <c r="H135" s="14"/>
      <c r="I135" s="29" t="e">
        <f t="shared" si="34"/>
        <v>#DIV/0!</v>
      </c>
      <c r="J135" s="10"/>
      <c r="K135" s="10" t="e">
        <f t="shared" si="35"/>
        <v>#DIV/0!</v>
      </c>
      <c r="L135" s="14">
        <f>'[1]2024_60-69 ΕΞΟΔΑ+ΟΜ 2'!D84</f>
        <v>167.16</v>
      </c>
      <c r="M135" s="15">
        <f t="shared" si="36"/>
        <v>1.3231079263789695E-2</v>
      </c>
      <c r="N135" s="10">
        <f t="shared" si="37"/>
        <v>167.16</v>
      </c>
      <c r="O135" s="15">
        <f t="shared" si="38"/>
        <v>1.3231079263789695E-2</v>
      </c>
      <c r="P135" s="10"/>
      <c r="Q135" s="30" t="e">
        <f t="shared" si="39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2'!D93</f>
        <v>0</v>
      </c>
      <c r="E136" s="15">
        <f t="shared" si="31"/>
        <v>0</v>
      </c>
      <c r="F136" s="10">
        <f t="shared" si="32"/>
        <v>0</v>
      </c>
      <c r="G136" s="15">
        <f t="shared" si="33"/>
        <v>0</v>
      </c>
      <c r="H136" s="14"/>
      <c r="I136" s="29" t="e">
        <f t="shared" si="34"/>
        <v>#DIV/0!</v>
      </c>
      <c r="J136" s="10"/>
      <c r="K136" s="10" t="e">
        <f t="shared" si="35"/>
        <v>#DIV/0!</v>
      </c>
      <c r="L136" s="14">
        <f>'[1]2024_60-69 ΕΞΟΔΑ+ΟΜ 2'!D85</f>
        <v>0</v>
      </c>
      <c r="M136" s="15">
        <f t="shared" si="36"/>
        <v>0</v>
      </c>
      <c r="N136" s="10">
        <f t="shared" si="37"/>
        <v>0</v>
      </c>
      <c r="O136" s="15">
        <f t="shared" si="38"/>
        <v>0</v>
      </c>
      <c r="P136" s="10"/>
      <c r="Q136" s="30" t="e">
        <f t="shared" si="39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2'!D94</f>
        <v>0</v>
      </c>
      <c r="E137" s="15">
        <f t="shared" si="31"/>
        <v>0</v>
      </c>
      <c r="F137" s="10">
        <f t="shared" si="32"/>
        <v>0</v>
      </c>
      <c r="G137" s="15">
        <f t="shared" si="33"/>
        <v>0</v>
      </c>
      <c r="H137" s="14"/>
      <c r="I137" s="29" t="e">
        <f t="shared" si="34"/>
        <v>#DIV/0!</v>
      </c>
      <c r="J137" s="10"/>
      <c r="K137" s="10" t="e">
        <f t="shared" si="35"/>
        <v>#DIV/0!</v>
      </c>
      <c r="L137" s="14">
        <f>'[1]2024_60-69 ΕΞΟΔΑ+ΟΜ 2'!D86</f>
        <v>316.24</v>
      </c>
      <c r="M137" s="15">
        <f t="shared" si="36"/>
        <v>2.5031087020703835E-2</v>
      </c>
      <c r="N137" s="10">
        <f t="shared" si="37"/>
        <v>316.24</v>
      </c>
      <c r="O137" s="15">
        <f t="shared" si="38"/>
        <v>2.5031087020703835E-2</v>
      </c>
      <c r="P137" s="10"/>
      <c r="Q137" s="30" t="e">
        <f t="shared" si="39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2'!D95</f>
        <v>120.01</v>
      </c>
      <c r="E138" s="15">
        <f t="shared" si="31"/>
        <v>1.5856971465114927E-2</v>
      </c>
      <c r="F138" s="10">
        <f t="shared" si="32"/>
        <v>120.01</v>
      </c>
      <c r="G138" s="15">
        <f t="shared" si="33"/>
        <v>1.5856971465114927E-2</v>
      </c>
      <c r="H138" s="14"/>
      <c r="I138" s="29" t="e">
        <f t="shared" si="34"/>
        <v>#DIV/0!</v>
      </c>
      <c r="J138" s="10"/>
      <c r="K138" s="10" t="e">
        <f t="shared" si="35"/>
        <v>#DIV/0!</v>
      </c>
      <c r="L138" s="14">
        <f>'[1]2024_60-69 ΕΞΟΔΑ+ΟΜ 2'!D87</f>
        <v>0</v>
      </c>
      <c r="M138" s="15">
        <f t="shared" si="36"/>
        <v>0</v>
      </c>
      <c r="N138" s="10">
        <f t="shared" si="37"/>
        <v>0</v>
      </c>
      <c r="O138" s="15">
        <f t="shared" si="38"/>
        <v>0</v>
      </c>
      <c r="P138" s="10"/>
      <c r="Q138" s="30" t="e">
        <f t="shared" si="39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2'!D96</f>
        <v>950</v>
      </c>
      <c r="E139" s="15">
        <f t="shared" si="31"/>
        <v>0.12552389710740089</v>
      </c>
      <c r="F139" s="10">
        <f t="shared" si="32"/>
        <v>950</v>
      </c>
      <c r="G139" s="15">
        <f t="shared" si="33"/>
        <v>0.12552389710740089</v>
      </c>
      <c r="H139" s="14"/>
      <c r="I139" s="29" t="e">
        <f t="shared" si="34"/>
        <v>#DIV/0!</v>
      </c>
      <c r="J139" s="10"/>
      <c r="K139" s="10" t="e">
        <f t="shared" si="35"/>
        <v>#DIV/0!</v>
      </c>
      <c r="L139" s="14">
        <f>'[1]2024_60-69 ΕΞΟΔΑ+ΟΜ 2'!D88</f>
        <v>0</v>
      </c>
      <c r="M139" s="15">
        <f t="shared" si="36"/>
        <v>0</v>
      </c>
      <c r="N139" s="10">
        <f t="shared" si="37"/>
        <v>0</v>
      </c>
      <c r="O139" s="15">
        <f t="shared" si="38"/>
        <v>0</v>
      </c>
      <c r="P139" s="10"/>
      <c r="Q139" s="30" t="e">
        <f t="shared" si="39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2'!D97</f>
        <v>957.54000000000008</v>
      </c>
      <c r="E140" s="15">
        <f t="shared" si="31"/>
        <v>0.12652016045917963</v>
      </c>
      <c r="F140" s="10">
        <f t="shared" si="32"/>
        <v>957.54000000000008</v>
      </c>
      <c r="G140" s="15">
        <f t="shared" si="33"/>
        <v>0.12652016045917963</v>
      </c>
      <c r="H140" s="14"/>
      <c r="I140" s="29" t="e">
        <f t="shared" si="34"/>
        <v>#DIV/0!</v>
      </c>
      <c r="J140" s="10"/>
      <c r="K140" s="10" t="e">
        <f t="shared" si="35"/>
        <v>#DIV/0!</v>
      </c>
      <c r="L140" s="14">
        <f>'[1]2024_60-69 ΕΞΟΔΑ+ΟΜ 2'!D89</f>
        <v>0</v>
      </c>
      <c r="M140" s="15">
        <f t="shared" si="36"/>
        <v>0</v>
      </c>
      <c r="N140" s="10">
        <f t="shared" si="37"/>
        <v>0</v>
      </c>
      <c r="O140" s="15">
        <f t="shared" si="38"/>
        <v>0</v>
      </c>
      <c r="P140" s="10"/>
      <c r="Q140" s="30" t="e">
        <f t="shared" si="39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2'!D98</f>
        <v>234.05</v>
      </c>
      <c r="E141" s="15">
        <f t="shared" si="31"/>
        <v>3.0925124334723348E-2</v>
      </c>
      <c r="F141" s="10">
        <f t="shared" si="32"/>
        <v>234.05</v>
      </c>
      <c r="G141" s="15">
        <f t="shared" si="33"/>
        <v>3.0925124334723348E-2</v>
      </c>
      <c r="H141" s="14"/>
      <c r="I141" s="29" t="e">
        <f t="shared" si="34"/>
        <v>#DIV/0!</v>
      </c>
      <c r="J141" s="10"/>
      <c r="K141" s="10" t="e">
        <f t="shared" si="35"/>
        <v>#DIV/0!</v>
      </c>
      <c r="L141" s="14">
        <f>'[1]2024_60-69 ΕΞΟΔΑ+ΟΜ 2'!D90</f>
        <v>0</v>
      </c>
      <c r="M141" s="15">
        <f t="shared" si="36"/>
        <v>0</v>
      </c>
      <c r="N141" s="10">
        <f t="shared" si="37"/>
        <v>0</v>
      </c>
      <c r="O141" s="15">
        <f t="shared" si="38"/>
        <v>0</v>
      </c>
      <c r="P141" s="10"/>
      <c r="Q141" s="30" t="e">
        <f t="shared" si="39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2'!D99</f>
        <v>62.44</v>
      </c>
      <c r="E142" s="15">
        <f t="shared" si="31"/>
        <v>8.2502233004064333E-3</v>
      </c>
      <c r="F142" s="10">
        <f t="shared" si="32"/>
        <v>62.44</v>
      </c>
      <c r="G142" s="15">
        <f t="shared" si="33"/>
        <v>8.2502233004064333E-3</v>
      </c>
      <c r="H142" s="14"/>
      <c r="I142" s="29" t="e">
        <f t="shared" si="34"/>
        <v>#DIV/0!</v>
      </c>
      <c r="J142" s="10"/>
      <c r="K142" s="10" t="e">
        <f t="shared" si="35"/>
        <v>#DIV/0!</v>
      </c>
      <c r="L142" s="14">
        <f>'[1]2024_60-69 ΕΞΟΔΑ+ΟΜ 2'!D91</f>
        <v>700</v>
      </c>
      <c r="M142" s="15">
        <f t="shared" si="36"/>
        <v>5.5406529580358854E-2</v>
      </c>
      <c r="N142" s="10">
        <f t="shared" si="37"/>
        <v>700</v>
      </c>
      <c r="O142" s="15">
        <f t="shared" si="38"/>
        <v>5.5406529580358854E-2</v>
      </c>
      <c r="P142" s="10"/>
      <c r="Q142" s="30" t="e">
        <f t="shared" si="39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2'!D100</f>
        <v>0</v>
      </c>
      <c r="E143" s="15">
        <f t="shared" si="31"/>
        <v>0</v>
      </c>
      <c r="F143" s="10">
        <f t="shared" si="32"/>
        <v>0</v>
      </c>
      <c r="G143" s="15">
        <f t="shared" si="33"/>
        <v>0</v>
      </c>
      <c r="H143" s="14"/>
      <c r="I143" s="29" t="e">
        <f t="shared" si="34"/>
        <v>#DIV/0!</v>
      </c>
      <c r="J143" s="10"/>
      <c r="K143" s="10" t="e">
        <f t="shared" si="35"/>
        <v>#DIV/0!</v>
      </c>
      <c r="L143" s="14">
        <f>'[1]2024_60-69 ΕΞΟΔΑ+ΟΜ 2'!D92</f>
        <v>1639.47</v>
      </c>
      <c r="M143" s="15">
        <f t="shared" si="36"/>
        <v>0.12976763293015847</v>
      </c>
      <c r="N143" s="10">
        <f t="shared" si="37"/>
        <v>1639.47</v>
      </c>
      <c r="O143" s="15">
        <f t="shared" si="38"/>
        <v>0.12976763293015847</v>
      </c>
      <c r="P143" s="10"/>
      <c r="Q143" s="30" t="e">
        <f t="shared" si="39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2'!D101</f>
        <v>0</v>
      </c>
      <c r="E144" s="15">
        <f t="shared" si="31"/>
        <v>0</v>
      </c>
      <c r="F144" s="10">
        <f t="shared" si="32"/>
        <v>0</v>
      </c>
      <c r="G144" s="15">
        <f t="shared" si="33"/>
        <v>0</v>
      </c>
      <c r="H144" s="14"/>
      <c r="I144" s="29" t="e">
        <f t="shared" si="34"/>
        <v>#DIV/0!</v>
      </c>
      <c r="J144" s="10"/>
      <c r="K144" s="10" t="e">
        <f t="shared" si="35"/>
        <v>#DIV/0!</v>
      </c>
      <c r="L144" s="14">
        <f>'[1]2024_60-69 ΕΞΟΔΑ+ΟΜ 2'!D93</f>
        <v>0</v>
      </c>
      <c r="M144" s="15">
        <f t="shared" si="36"/>
        <v>0</v>
      </c>
      <c r="N144" s="10">
        <f t="shared" si="37"/>
        <v>0</v>
      </c>
      <c r="O144" s="15">
        <f t="shared" si="38"/>
        <v>0</v>
      </c>
      <c r="P144" s="10"/>
      <c r="Q144" s="30" t="e">
        <f t="shared" si="39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2'!D102</f>
        <v>499.48</v>
      </c>
      <c r="E145" s="15">
        <f t="shared" si="31"/>
        <v>6.5996501186531165E-2</v>
      </c>
      <c r="F145" s="10">
        <f t="shared" si="32"/>
        <v>499.48</v>
      </c>
      <c r="G145" s="15">
        <f t="shared" si="33"/>
        <v>6.5996501186531165E-2</v>
      </c>
      <c r="H145" s="14"/>
      <c r="I145" s="29" t="e">
        <f t="shared" si="34"/>
        <v>#DIV/0!</v>
      </c>
      <c r="J145" s="10"/>
      <c r="K145" s="10" t="e">
        <f t="shared" si="35"/>
        <v>#DIV/0!</v>
      </c>
      <c r="L145" s="14">
        <f>'[1]2024_60-69 ΕΞΟΔΑ+ΟΜ 2'!D94</f>
        <v>95.86</v>
      </c>
      <c r="M145" s="15">
        <f t="shared" si="36"/>
        <v>7.5875284651045708E-3</v>
      </c>
      <c r="N145" s="10">
        <f t="shared" si="37"/>
        <v>95.86</v>
      </c>
      <c r="O145" s="15">
        <f t="shared" si="38"/>
        <v>7.5875284651045708E-3</v>
      </c>
      <c r="P145" s="10"/>
      <c r="Q145" s="30" t="e">
        <f t="shared" si="39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2'!D103</f>
        <v>0</v>
      </c>
      <c r="E146" s="15">
        <f t="shared" si="31"/>
        <v>0</v>
      </c>
      <c r="F146" s="10">
        <f t="shared" si="32"/>
        <v>0</v>
      </c>
      <c r="G146" s="15">
        <f t="shared" si="33"/>
        <v>0</v>
      </c>
      <c r="H146" s="14"/>
      <c r="I146" s="29" t="e">
        <f t="shared" si="34"/>
        <v>#DIV/0!</v>
      </c>
      <c r="J146" s="10"/>
      <c r="K146" s="10" t="e">
        <f t="shared" si="35"/>
        <v>#DIV/0!</v>
      </c>
      <c r="L146" s="14">
        <f>'[1]2024_60-69 ΕΞΟΔΑ+ΟΜ 2'!D95</f>
        <v>0</v>
      </c>
      <c r="M146" s="15">
        <f t="shared" si="36"/>
        <v>0</v>
      </c>
      <c r="N146" s="10">
        <f t="shared" si="37"/>
        <v>0</v>
      </c>
      <c r="O146" s="15">
        <f t="shared" si="38"/>
        <v>0</v>
      </c>
      <c r="P146" s="10"/>
      <c r="Q146" s="30" t="e">
        <f t="shared" si="39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2'!D104</f>
        <v>613.27</v>
      </c>
      <c r="E147" s="15">
        <f t="shared" si="31"/>
        <v>8.1031621451637628E-2</v>
      </c>
      <c r="F147" s="10">
        <f t="shared" si="32"/>
        <v>613.27</v>
      </c>
      <c r="G147" s="15">
        <f t="shared" si="33"/>
        <v>8.1031621451637628E-2</v>
      </c>
      <c r="H147" s="14"/>
      <c r="I147" s="29" t="e">
        <f t="shared" si="34"/>
        <v>#DIV/0!</v>
      </c>
      <c r="J147" s="10"/>
      <c r="K147" s="10" t="e">
        <f t="shared" si="35"/>
        <v>#DIV/0!</v>
      </c>
      <c r="L147" s="14">
        <f>'[1]2024_60-69 ΕΞΟΔΑ+ΟΜ 2'!D96</f>
        <v>0</v>
      </c>
      <c r="M147" s="15">
        <f t="shared" si="36"/>
        <v>0</v>
      </c>
      <c r="N147" s="10">
        <f t="shared" si="37"/>
        <v>0</v>
      </c>
      <c r="O147" s="15">
        <f t="shared" si="38"/>
        <v>0</v>
      </c>
      <c r="P147" s="10"/>
      <c r="Q147" s="30" t="e">
        <f t="shared" si="39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2'!D105</f>
        <v>0</v>
      </c>
      <c r="E148" s="15">
        <f t="shared" si="31"/>
        <v>0</v>
      </c>
      <c r="F148" s="10">
        <f t="shared" si="32"/>
        <v>0</v>
      </c>
      <c r="G148" s="15">
        <f t="shared" si="33"/>
        <v>0</v>
      </c>
      <c r="H148" s="14"/>
      <c r="I148" s="29" t="e">
        <f t="shared" si="34"/>
        <v>#DIV/0!</v>
      </c>
      <c r="J148" s="10"/>
      <c r="K148" s="10" t="e">
        <f t="shared" si="35"/>
        <v>#DIV/0!</v>
      </c>
      <c r="L148" s="14">
        <f>'[1]2024_60-69 ΕΞΟΔΑ+ΟΜ 2'!D97</f>
        <v>601.70999999999992</v>
      </c>
      <c r="M148" s="15">
        <f t="shared" si="36"/>
        <v>4.7626661305425318E-2</v>
      </c>
      <c r="N148" s="10">
        <f t="shared" si="37"/>
        <v>601.70999999999992</v>
      </c>
      <c r="O148" s="15">
        <f t="shared" si="38"/>
        <v>4.7626661305425318E-2</v>
      </c>
      <c r="P148" s="10"/>
      <c r="Q148" s="30" t="e">
        <f t="shared" si="39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2'!D106</f>
        <v>777.67000000000007</v>
      </c>
      <c r="E149" s="15">
        <f t="shared" si="31"/>
        <v>0.10275386217211838</v>
      </c>
      <c r="F149" s="10">
        <f t="shared" si="32"/>
        <v>777.67000000000007</v>
      </c>
      <c r="G149" s="15">
        <f t="shared" si="33"/>
        <v>0.10275386217211838</v>
      </c>
      <c r="H149" s="14"/>
      <c r="I149" s="29" t="e">
        <f t="shared" si="34"/>
        <v>#DIV/0!</v>
      </c>
      <c r="J149" s="10"/>
      <c r="K149" s="10" t="e">
        <f t="shared" si="35"/>
        <v>#DIV/0!</v>
      </c>
      <c r="L149" s="14">
        <f>'[1]2024_60-69 ΕΞΟΔΑ+ΟΜ 2'!D98</f>
        <v>0</v>
      </c>
      <c r="M149" s="15">
        <f t="shared" si="36"/>
        <v>0</v>
      </c>
      <c r="N149" s="10">
        <f t="shared" si="37"/>
        <v>0</v>
      </c>
      <c r="O149" s="15">
        <f t="shared" si="38"/>
        <v>0</v>
      </c>
      <c r="P149" s="10"/>
      <c r="Q149" s="30" t="e">
        <f t="shared" si="39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2'!D107</f>
        <v>1488.62</v>
      </c>
      <c r="E150" s="15">
        <f t="shared" si="31"/>
        <v>0.19669198285475695</v>
      </c>
      <c r="F150" s="10">
        <f t="shared" si="32"/>
        <v>1488.62</v>
      </c>
      <c r="G150" s="15">
        <f t="shared" si="33"/>
        <v>0.19669198285475695</v>
      </c>
      <c r="H150" s="14"/>
      <c r="I150" s="29" t="e">
        <f t="shared" si="34"/>
        <v>#DIV/0!</v>
      </c>
      <c r="J150" s="10"/>
      <c r="K150" s="10" t="e">
        <f t="shared" si="35"/>
        <v>#DIV/0!</v>
      </c>
      <c r="L150" s="14">
        <f>'[1]2024_60-69 ΕΞΟΔΑ+ΟΜ 2'!D99</f>
        <v>556.22</v>
      </c>
      <c r="M150" s="15">
        <f t="shared" si="36"/>
        <v>4.402602840455315E-2</v>
      </c>
      <c r="N150" s="10">
        <f t="shared" si="37"/>
        <v>556.22</v>
      </c>
      <c r="O150" s="15">
        <f t="shared" si="38"/>
        <v>4.402602840455315E-2</v>
      </c>
      <c r="P150" s="10"/>
      <c r="Q150" s="30" t="e">
        <f t="shared" si="39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2'!D108</f>
        <v>0</v>
      </c>
      <c r="E151" s="15">
        <f t="shared" si="31"/>
        <v>0</v>
      </c>
      <c r="F151" s="10">
        <f t="shared" si="32"/>
        <v>0</v>
      </c>
      <c r="G151" s="15">
        <f t="shared" si="33"/>
        <v>0</v>
      </c>
      <c r="H151" s="14"/>
      <c r="I151" s="29" t="e">
        <f t="shared" si="34"/>
        <v>#DIV/0!</v>
      </c>
      <c r="J151" s="10"/>
      <c r="K151" s="10" t="e">
        <f t="shared" si="35"/>
        <v>#DIV/0!</v>
      </c>
      <c r="L151" s="14">
        <f>'[1]2024_60-69 ΕΞΟΔΑ+ΟΜ 2'!D100</f>
        <v>429.25</v>
      </c>
      <c r="M151" s="15">
        <f t="shared" si="36"/>
        <v>3.3976075460527201E-2</v>
      </c>
      <c r="N151" s="10">
        <f t="shared" si="37"/>
        <v>429.25</v>
      </c>
      <c r="O151" s="15">
        <f t="shared" si="38"/>
        <v>3.3976075460527201E-2</v>
      </c>
      <c r="P151" s="10"/>
      <c r="Q151" s="30" t="e">
        <f t="shared" si="39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2'!D109</f>
        <v>0</v>
      </c>
      <c r="E152" s="15">
        <f t="shared" si="31"/>
        <v>0</v>
      </c>
      <c r="F152" s="10">
        <f t="shared" si="32"/>
        <v>0</v>
      </c>
      <c r="G152" s="15">
        <f t="shared" si="33"/>
        <v>0</v>
      </c>
      <c r="H152" s="14"/>
      <c r="I152" s="29" t="e">
        <f t="shared" si="34"/>
        <v>#DIV/0!</v>
      </c>
      <c r="J152" s="10"/>
      <c r="K152" s="10" t="e">
        <f t="shared" si="35"/>
        <v>#DIV/0!</v>
      </c>
      <c r="L152" s="14">
        <f>'[1]2024_60-69 ΕΞΟΔΑ+ΟΜ 2'!D101</f>
        <v>0</v>
      </c>
      <c r="M152" s="15">
        <f t="shared" si="36"/>
        <v>0</v>
      </c>
      <c r="N152" s="10">
        <f t="shared" si="37"/>
        <v>0</v>
      </c>
      <c r="O152" s="15">
        <f t="shared" si="38"/>
        <v>0</v>
      </c>
      <c r="P152" s="10"/>
      <c r="Q152" s="30" t="e">
        <f t="shared" si="39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2'!D110</f>
        <v>0</v>
      </c>
      <c r="E153" s="15">
        <f t="shared" si="31"/>
        <v>0</v>
      </c>
      <c r="F153" s="10">
        <f t="shared" si="32"/>
        <v>0</v>
      </c>
      <c r="G153" s="15">
        <f t="shared" si="33"/>
        <v>0</v>
      </c>
      <c r="H153" s="14"/>
      <c r="I153" s="29" t="e">
        <f t="shared" si="34"/>
        <v>#DIV/0!</v>
      </c>
      <c r="J153" s="10"/>
      <c r="K153" s="10" t="e">
        <f t="shared" si="35"/>
        <v>#DIV/0!</v>
      </c>
      <c r="L153" s="14">
        <f>'[1]2024_60-69 ΕΞΟΔΑ+ΟΜ 2'!D102</f>
        <v>4406.5300000000007</v>
      </c>
      <c r="M153" s="15">
        <f t="shared" si="36"/>
        <v>0.34878647827391246</v>
      </c>
      <c r="N153" s="10">
        <f t="shared" si="37"/>
        <v>4406.5300000000007</v>
      </c>
      <c r="O153" s="15">
        <f t="shared" si="38"/>
        <v>0.34878647827391246</v>
      </c>
      <c r="P153" s="10"/>
      <c r="Q153" s="30" t="e">
        <f t="shared" si="39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2'!D73</f>
        <v>875.5</v>
      </c>
      <c r="E157" s="8"/>
      <c r="F157" s="7">
        <f>'[1]2025_60-69 ΕΞΟΔΑ+ΟΜ 2'!Q73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12633.890000000001</v>
      </c>
      <c r="M157" s="8"/>
      <c r="N157" s="7">
        <f>SUM(N117:N156)</f>
        <v>12633.890000000001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6692.78</v>
      </c>
      <c r="E158" s="8"/>
      <c r="F158" s="7">
        <f>F116-F157</f>
        <v>7568.28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D7-D78-D111-D157</f>
        <v>-36430.53666666666</v>
      </c>
      <c r="E159" s="4"/>
      <c r="F159" s="31">
        <f>F7-F78-F111-F157</f>
        <v>-35555.03666666666</v>
      </c>
      <c r="G159" s="4"/>
      <c r="H159" s="31">
        <f ca="1">H7-H78-H111-H157</f>
        <v>0</v>
      </c>
      <c r="I159" s="4"/>
      <c r="J159" s="31">
        <f ca="1">J7-J78-J111-J157</f>
        <v>0</v>
      </c>
      <c r="K159" s="4"/>
      <c r="L159" s="31">
        <f ca="1">L7-L78-L111-L157</f>
        <v>-37643.963716814156</v>
      </c>
      <c r="M159" s="4"/>
      <c r="N159" s="31">
        <f ca="1">N7-N78-N111-N157</f>
        <v>-37643.963716814156</v>
      </c>
      <c r="O159" s="4"/>
      <c r="P159" s="31"/>
      <c r="Q159" s="4"/>
    </row>
    <row r="160" spans="1:17" ht="18" x14ac:dyDescent="0.25">
      <c r="A160" s="181"/>
      <c r="B160" s="181"/>
      <c r="C160" s="181"/>
      <c r="D160" s="181"/>
      <c r="E160" s="181"/>
      <c r="F160" s="181"/>
      <c r="G160" s="181"/>
      <c r="H160" s="181"/>
      <c r="I160" s="181"/>
      <c r="J160" s="181"/>
      <c r="K160" s="181"/>
      <c r="L160" s="181"/>
      <c r="M160" s="181"/>
      <c r="N160" s="181"/>
      <c r="O160" s="181"/>
      <c r="P160" s="181"/>
      <c r="Q160" s="181"/>
    </row>
  </sheetData>
  <mergeCells count="34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81:G81"/>
    <mergeCell ref="H81:K81"/>
    <mergeCell ref="L81:O81"/>
    <mergeCell ref="P81:Q81"/>
    <mergeCell ref="D82:F82"/>
    <mergeCell ref="H82:J82"/>
    <mergeCell ref="L82:N82"/>
    <mergeCell ref="P82:Q82"/>
    <mergeCell ref="A160:Q160"/>
    <mergeCell ref="D113:G113"/>
    <mergeCell ref="H113:K113"/>
    <mergeCell ref="L113:O113"/>
    <mergeCell ref="P113:Q113"/>
    <mergeCell ref="D114:F114"/>
    <mergeCell ref="H114:J114"/>
    <mergeCell ref="L114:N114"/>
    <mergeCell ref="P114:Q1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C190E-8A8D-4253-B28A-F527FDC82215}">
  <dimension ref="A1:V159"/>
  <sheetViews>
    <sheetView topLeftCell="A106" zoomScale="70" zoomScaleNormal="70" workbookViewId="0">
      <selection activeCell="B85" sqref="B85:B110"/>
    </sheetView>
  </sheetViews>
  <sheetFormatPr defaultColWidth="9.140625" defaultRowHeight="12" x14ac:dyDescent="0.25"/>
  <cols>
    <col min="1" max="1" width="4.7109375" style="88" customWidth="1"/>
    <col min="2" max="2" width="4.7109375" style="90" customWidth="1"/>
    <col min="3" max="3" width="30.7109375" style="89" customWidth="1"/>
    <col min="4" max="4" width="13.85546875" style="89" customWidth="1"/>
    <col min="5" max="5" width="10.85546875" style="89" customWidth="1"/>
    <col min="6" max="6" width="20.140625" style="89" bestFit="1" customWidth="1"/>
    <col min="7" max="7" width="11.7109375" style="89" customWidth="1"/>
    <col min="8" max="9" width="8.85546875" style="89" customWidth="1"/>
    <col min="10" max="10" width="11.42578125" style="89" customWidth="1"/>
    <col min="11" max="11" width="10.7109375" style="89" customWidth="1"/>
    <col min="12" max="12" width="12.7109375" style="89" customWidth="1"/>
    <col min="13" max="13" width="11.7109375" style="89" customWidth="1"/>
    <col min="14" max="14" width="14.5703125" style="89" customWidth="1"/>
    <col min="15" max="16" width="13.28515625" style="89" customWidth="1"/>
    <col min="17" max="18" width="11.42578125" style="88" customWidth="1"/>
    <col min="19" max="21" width="9.140625" style="88"/>
    <col min="22" max="22" width="33.85546875" style="88" customWidth="1"/>
    <col min="23" max="16384" width="9.140625" style="88"/>
  </cols>
  <sheetData>
    <row r="1" spans="1:22" ht="15" customHeight="1" x14ac:dyDescent="0.25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55"/>
    </row>
    <row r="2" spans="1:22" ht="41.25" customHeight="1" x14ac:dyDescent="0.2">
      <c r="A2" s="154">
        <v>1</v>
      </c>
      <c r="B2" s="147"/>
      <c r="C2" s="147" t="s">
        <v>160</v>
      </c>
      <c r="D2" s="184" t="str">
        <f>[1]ΑΝΤΙΣΤΟΙΧΙΣΗ!$F$32</f>
        <v xml:space="preserve">ΠΡΑΓΜΑΤΟΠΟΙΗΘΕΝΤΑ ΜΗΝΟΣ ΤΡΕΧ. ΕΤΟΥΣ </v>
      </c>
      <c r="E2" s="184"/>
      <c r="F2" s="184"/>
      <c r="G2" s="184">
        <f>[1]ΑΝΤΙΣΤΟΙΧΙΣΗ!$D$34</f>
        <v>2025</v>
      </c>
      <c r="H2" s="184" t="str">
        <f>[1]ΑΝΤΙΣΤΟΙΧΙΣΗ!$F$35</f>
        <v>ΠΡΟΥΠΟΛΟΓΙΣΜΟΣ ΤΡΕΧΟΝΤΟΣ ΕΤΟΥΣ</v>
      </c>
      <c r="I2" s="184"/>
      <c r="J2" s="184"/>
      <c r="K2" s="184">
        <f>[1]ΑΝΤΙΣΤΟΙΧΙΣΗ!$D$34</f>
        <v>2025</v>
      </c>
      <c r="L2" s="184" t="str">
        <f>[1]ΑΝΤΙΣΤΟΙΧΙΣΗ!$F$68</f>
        <v>ΠΡΑΓΜΑΤΟΠΟΙΗΘΕΝΤΑ ΠΡΟΗΓΟΥΜΕΝΟΥ ΕΤΟΥΣ</v>
      </c>
      <c r="M2" s="184"/>
      <c r="N2" s="184"/>
      <c r="O2" s="184">
        <f>[1]ΑΝΤΙΣΤΟΙΧΙΣΗ!$D$33</f>
        <v>2024</v>
      </c>
      <c r="P2" s="185" t="str">
        <f>[1]ΑΝΤΙΣΤΟΙΧΙΣΗ!$F$100</f>
        <v xml:space="preserve">ΣΥΓΚΡΙΣΕΙΣ </v>
      </c>
      <c r="Q2" s="185">
        <f>[1]ΑΝΤΙΣΤΟΙΧΙΣΗ!$H$141</f>
        <v>2024</v>
      </c>
      <c r="R2" s="91"/>
      <c r="S2" s="91"/>
      <c r="T2" s="91"/>
      <c r="U2" s="91"/>
      <c r="V2" s="91"/>
    </row>
    <row r="3" spans="1:22" ht="16.5" customHeight="1" x14ac:dyDescent="0.2">
      <c r="A3" s="153">
        <v>2</v>
      </c>
      <c r="B3" s="113"/>
      <c r="C3" s="118" t="s">
        <v>3</v>
      </c>
      <c r="D3" s="186" t="str">
        <f>[1]ΑΝΤΙΣΤΟΙΧΙΣΗ!$F$107</f>
        <v xml:space="preserve">ΦΕΒΡΟΥΑΡΙΟΣ ΤΡΕΧΟΝ ΕΤΟΣ </v>
      </c>
      <c r="E3" s="186"/>
      <c r="F3" s="186"/>
      <c r="G3" s="117">
        <f>[1]ΑΝΤΙΣΤΟΙΧΙΣΗ!$D$34</f>
        <v>2025</v>
      </c>
      <c r="H3" s="186" t="str">
        <f>[1]ΑΝΤΙΣΤΟΙΧΙΣΗ!$F$107</f>
        <v xml:space="preserve">ΦΕΒΡΟΥΑΡΙΟΣ ΤΡΕΧΟΝ ΕΤΟΣ </v>
      </c>
      <c r="I3" s="186"/>
      <c r="J3" s="186"/>
      <c r="K3" s="117">
        <f>[1]ΑΝΤΙΣΤΟΙΧΙΣΗ!$D$34</f>
        <v>2025</v>
      </c>
      <c r="L3" s="186" t="str">
        <f>[1]ΑΝΤΙΣΤΟΙΧΙΣΗ!$F$121</f>
        <v>ΦΕΒΡΟΥΑΡΙΟΣ ΠΡΟΗΓΟΥΜΕΝΟΥ ΕΤΟΥΣ</v>
      </c>
      <c r="M3" s="186"/>
      <c r="N3" s="186"/>
      <c r="O3" s="117">
        <f>[1]ΑΝΤΙΣΤΟΙΧΙΣΗ!$D$33</f>
        <v>2024</v>
      </c>
      <c r="P3" s="186"/>
      <c r="Q3" s="186"/>
      <c r="R3" s="91"/>
      <c r="S3" s="91"/>
      <c r="T3" s="91"/>
      <c r="U3" s="91"/>
      <c r="V3" s="91"/>
    </row>
    <row r="4" spans="1:22" ht="78.75" x14ac:dyDescent="0.2">
      <c r="A4" s="115">
        <v>3</v>
      </c>
      <c r="B4" s="115" t="s">
        <v>1</v>
      </c>
      <c r="C4" s="115" t="s">
        <v>86</v>
      </c>
      <c r="D4" s="115" t="s">
        <v>4</v>
      </c>
      <c r="E4" s="114" t="s">
        <v>5</v>
      </c>
      <c r="F4" s="114" t="s">
        <v>6</v>
      </c>
      <c r="G4" s="114" t="s">
        <v>7</v>
      </c>
      <c r="H4" s="114" t="s">
        <v>4</v>
      </c>
      <c r="I4" s="114" t="s">
        <v>8</v>
      </c>
      <c r="J4" s="114" t="s">
        <v>9</v>
      </c>
      <c r="K4" s="114" t="s">
        <v>7</v>
      </c>
      <c r="L4" s="114" t="s">
        <v>10</v>
      </c>
      <c r="M4" s="114" t="s">
        <v>5</v>
      </c>
      <c r="N4" s="114" t="s">
        <v>11</v>
      </c>
      <c r="O4" s="114" t="s">
        <v>7</v>
      </c>
      <c r="P4" s="114" t="s">
        <v>12</v>
      </c>
      <c r="Q4" s="114" t="s">
        <v>13</v>
      </c>
      <c r="R4" s="91"/>
      <c r="S4" s="91"/>
      <c r="T4" s="91"/>
      <c r="U4" s="91"/>
      <c r="V4" s="91"/>
    </row>
    <row r="5" spans="1:22" ht="30" x14ac:dyDescent="0.2">
      <c r="A5" s="152">
        <v>4</v>
      </c>
      <c r="B5" s="151"/>
      <c r="C5" s="94" t="s">
        <v>14</v>
      </c>
      <c r="D5" s="149">
        <f ca="1">D7-D6</f>
        <v>-28847.232241887905</v>
      </c>
      <c r="E5" s="92"/>
      <c r="F5" s="149">
        <f>F7-F6</f>
        <v>-57337.478908554571</v>
      </c>
      <c r="G5" s="92"/>
      <c r="H5" s="149">
        <f ca="1">H159-H6</f>
        <v>0</v>
      </c>
      <c r="I5" s="92"/>
      <c r="J5" s="149">
        <f ca="1">J159-J6</f>
        <v>0</v>
      </c>
      <c r="K5" s="92"/>
      <c r="L5" s="149">
        <f ca="1">L7-L6</f>
        <v>-34608.539292035442</v>
      </c>
      <c r="M5" s="92"/>
      <c r="N5" s="149">
        <f ca="1">N7-N6</f>
        <v>-122748.92300884958</v>
      </c>
      <c r="O5" s="92"/>
      <c r="P5" s="149">
        <f ca="1">P159-P6</f>
        <v>3186.5525663716253</v>
      </c>
      <c r="Q5" s="92"/>
      <c r="R5" s="91"/>
      <c r="S5" s="91"/>
      <c r="T5" s="91"/>
      <c r="U5" s="91"/>
      <c r="V5" s="91"/>
    </row>
    <row r="6" spans="1:22" ht="25.5" customHeight="1" x14ac:dyDescent="0.2">
      <c r="A6" s="152">
        <v>5</v>
      </c>
      <c r="B6" s="151"/>
      <c r="C6" s="94" t="s">
        <v>15</v>
      </c>
      <c r="D6" s="149">
        <f ca="1">D43+D84+D116</f>
        <v>51426.006666666668</v>
      </c>
      <c r="E6" s="92"/>
      <c r="F6" s="149">
        <f>F78+F111+F157</f>
        <v>100670.15333333334</v>
      </c>
      <c r="G6" s="92"/>
      <c r="H6" s="149">
        <f ca="1">H38-H43-H84</f>
        <v>0</v>
      </c>
      <c r="I6" s="92"/>
      <c r="J6" s="150">
        <f ca="1">J38-J43-J84</f>
        <v>41232.310011828573</v>
      </c>
      <c r="K6" s="92"/>
      <c r="L6" s="149">
        <f ca="1">L43+L84+L116</f>
        <v>51679.18</v>
      </c>
      <c r="M6" s="92"/>
      <c r="N6" s="150">
        <f ca="1">N78+N111+N157</f>
        <v>157078.54999999999</v>
      </c>
      <c r="O6" s="92"/>
      <c r="P6" s="149">
        <f ca="1">P38-P43-P84</f>
        <v>-3186.5525663716253</v>
      </c>
      <c r="Q6" s="92"/>
      <c r="R6" s="91"/>
      <c r="S6" s="91"/>
      <c r="T6" s="91"/>
      <c r="U6" s="91"/>
      <c r="V6" s="91"/>
    </row>
    <row r="7" spans="1:22" ht="15.75" x14ac:dyDescent="0.2">
      <c r="A7" s="112">
        <v>6</v>
      </c>
      <c r="B7" s="112" t="s">
        <v>2</v>
      </c>
      <c r="C7" s="98" t="s">
        <v>16</v>
      </c>
      <c r="D7" s="97">
        <f>SUM(D8:D37)</f>
        <v>22578.774424778763</v>
      </c>
      <c r="E7" s="96"/>
      <c r="F7" s="97">
        <f>SUM(F8:F37)</f>
        <v>43332.674424778765</v>
      </c>
      <c r="G7" s="96"/>
      <c r="H7" s="97">
        <f>SUM(H8:H31)</f>
        <v>0</v>
      </c>
      <c r="I7" s="96"/>
      <c r="J7" s="97">
        <f>SUM(J8:J31)</f>
        <v>41232.310011828573</v>
      </c>
      <c r="K7" s="96"/>
      <c r="L7" s="97">
        <f>SUM(L8:L31)</f>
        <v>17070.640707964558</v>
      </c>
      <c r="M7" s="96"/>
      <c r="N7" s="97">
        <f>L7+'[1]2025 Ιανουάριος'!N7</f>
        <v>34329.626991150399</v>
      </c>
      <c r="O7" s="96"/>
      <c r="P7" s="97">
        <f>SUM(P8:P31)</f>
        <v>9003.047433628366</v>
      </c>
      <c r="Q7" s="96"/>
      <c r="R7" s="91"/>
      <c r="S7" s="91"/>
      <c r="T7" s="91"/>
      <c r="U7" s="91"/>
      <c r="V7" s="91"/>
    </row>
    <row r="8" spans="1:22" ht="18.75" customHeight="1" x14ac:dyDescent="0.2">
      <c r="A8" s="106">
        <v>7</v>
      </c>
      <c r="B8" s="106">
        <v>1</v>
      </c>
      <c r="C8" s="111" t="str">
        <f>[1]ΑΝΤΙΣΤΟΙΧΙΣΗ!F187</f>
        <v>Εσοδα Φιλοξενείας-Διαμονής</v>
      </c>
      <c r="D8" s="101">
        <f>'[1]2025_ΕΣΟΔΑ'!D2</f>
        <v>19216.580000000002</v>
      </c>
      <c r="E8" s="126">
        <f>D8/$D$7</f>
        <v>0.85109048163885426</v>
      </c>
      <c r="F8" s="127">
        <f>'[1]2025 Ιανουάριος'!F8+'2025 Φεβρουάριος'!D8</f>
        <v>38495.710000000006</v>
      </c>
      <c r="G8" s="126">
        <f>F8/$F$7</f>
        <v>0.88837604673638937</v>
      </c>
      <c r="H8" s="127"/>
      <c r="I8" s="126" t="e">
        <f>H8/$H$7</f>
        <v>#DIV/0!</v>
      </c>
      <c r="J8" s="127">
        <f>H8+'[1]2025 Ιανουάριος'!J8</f>
        <v>27171.870011828574</v>
      </c>
      <c r="K8" s="126">
        <f>J8/$J$7</f>
        <v>0.65899460893735051</v>
      </c>
      <c r="L8" s="148">
        <f>'[1]2024_60-69 ΕΞΟΔΑ+ΟΜ 2'!D114</f>
        <v>15707.256637168099</v>
      </c>
      <c r="M8" s="126">
        <f>L8/$L$7</f>
        <v>0.92013281199455199</v>
      </c>
      <c r="N8" s="127">
        <f>L8+'[1]2025 Ιανουάριος'!N8</f>
        <v>26816.416637168099</v>
      </c>
      <c r="O8" s="126">
        <f>N8/$N$7</f>
        <v>0.78114500469465986</v>
      </c>
      <c r="P8" s="127">
        <f t="shared" ref="P8:P17" si="0">F8-N8</f>
        <v>11679.293362831908</v>
      </c>
      <c r="Q8" s="126">
        <f t="shared" ref="Q8:Q17" si="1">N8/F8</f>
        <v>0.69660792428995577</v>
      </c>
      <c r="R8" s="91"/>
      <c r="S8" s="91"/>
      <c r="T8" s="91"/>
      <c r="U8" s="91"/>
      <c r="V8" s="91"/>
    </row>
    <row r="9" spans="1:22" ht="16.5" customHeight="1" x14ac:dyDescent="0.2">
      <c r="A9" s="106">
        <v>8</v>
      </c>
      <c r="B9" s="106">
        <v>2</v>
      </c>
      <c r="C9" s="111" t="str">
        <f>[1]ΑΝΤΙΣΤΟΙΧΙΣΗ!F188</f>
        <v>Early Check in/Check Out</v>
      </c>
      <c r="D9" s="101">
        <f>'[1]2025_ΕΣΟΔΑ'!D3</f>
        <v>0</v>
      </c>
      <c r="E9" s="126">
        <f t="shared" ref="E9:E37" si="2">D9/$D$7</f>
        <v>0</v>
      </c>
      <c r="F9" s="127">
        <f>'[1]2025 Ιανουάριος'!F9+'2025 Φεβρουάριος'!D9</f>
        <v>0</v>
      </c>
      <c r="G9" s="126">
        <f t="shared" ref="G9:G37" si="3">F9/$F$7</f>
        <v>0</v>
      </c>
      <c r="H9" s="127"/>
      <c r="I9" s="126" t="e">
        <f t="shared" ref="I9:I37" si="4">H9/$H$7</f>
        <v>#DIV/0!</v>
      </c>
      <c r="J9" s="127">
        <f>H9+'[1]2025 Ιανουάριος'!J9</f>
        <v>200</v>
      </c>
      <c r="K9" s="126">
        <f t="shared" ref="K9:K37" si="5">J9/$J$7</f>
        <v>4.850565004546792E-3</v>
      </c>
      <c r="L9" s="148">
        <f>'[1]2024_60-69 ΕΞΟΔΑ+ΟΜ 2'!D115</f>
        <v>0</v>
      </c>
      <c r="M9" s="126">
        <f t="shared" ref="M9:M37" si="6">L9/$L$7</f>
        <v>0</v>
      </c>
      <c r="N9" s="127">
        <f>L9+'[1]2025 Ιανουάριος'!N9</f>
        <v>0</v>
      </c>
      <c r="O9" s="126">
        <f t="shared" ref="O9:O37" si="7">N9/$N$7</f>
        <v>0</v>
      </c>
      <c r="P9" s="127">
        <f t="shared" si="0"/>
        <v>0</v>
      </c>
      <c r="Q9" s="126" t="e">
        <f t="shared" si="1"/>
        <v>#DIV/0!</v>
      </c>
      <c r="R9" s="91"/>
      <c r="S9" s="91"/>
      <c r="T9" s="91"/>
      <c r="U9" s="91"/>
      <c r="V9" s="91"/>
    </row>
    <row r="10" spans="1:22" ht="16.5" customHeight="1" x14ac:dyDescent="0.2">
      <c r="A10" s="106">
        <v>9</v>
      </c>
      <c r="B10" s="106">
        <v>3</v>
      </c>
      <c r="C10" s="111" t="str">
        <f>[1]ΑΝΤΙΣΤΟΙΧΙΣΗ!F189</f>
        <v xml:space="preserve">Πρωινό ( Εξτρα ) </v>
      </c>
      <c r="D10" s="101">
        <f>'[1]2025_ΕΣΟΔΑ'!D4</f>
        <v>0</v>
      </c>
      <c r="E10" s="126">
        <f t="shared" si="2"/>
        <v>0</v>
      </c>
      <c r="F10" s="127">
        <f>'[1]2025 Ιανουάριος'!F10+'2025 Φεβρουάριος'!D10</f>
        <v>0</v>
      </c>
      <c r="G10" s="126">
        <f t="shared" si="3"/>
        <v>0</v>
      </c>
      <c r="H10" s="127"/>
      <c r="I10" s="126" t="e">
        <f t="shared" si="4"/>
        <v>#DIV/0!</v>
      </c>
      <c r="J10" s="127">
        <f>H10+'[1]2025 Ιανουάριος'!J10</f>
        <v>0</v>
      </c>
      <c r="K10" s="126">
        <f t="shared" si="5"/>
        <v>0</v>
      </c>
      <c r="L10" s="148">
        <f>'[1]2024_60-69 ΕΞΟΔΑ+ΟΜ 2'!D116</f>
        <v>0</v>
      </c>
      <c r="M10" s="126">
        <f t="shared" si="6"/>
        <v>0</v>
      </c>
      <c r="N10" s="127">
        <f>L10+'[1]2025 Ιανουάριος'!N10</f>
        <v>0</v>
      </c>
      <c r="O10" s="126">
        <f t="shared" si="7"/>
        <v>0</v>
      </c>
      <c r="P10" s="127">
        <f t="shared" si="0"/>
        <v>0</v>
      </c>
      <c r="Q10" s="126" t="e">
        <f t="shared" si="1"/>
        <v>#DIV/0!</v>
      </c>
      <c r="R10" s="91"/>
      <c r="S10" s="91"/>
      <c r="T10" s="91"/>
      <c r="U10" s="91"/>
      <c r="V10" s="91"/>
    </row>
    <row r="11" spans="1:22" ht="14.25" x14ac:dyDescent="0.2">
      <c r="A11" s="106">
        <v>10</v>
      </c>
      <c r="B11" s="106">
        <v>4</v>
      </c>
      <c r="C11" s="111" t="str">
        <f>[1]ΑΝΤΙΣΤΟΙΧΙΣΗ!F190</f>
        <v xml:space="preserve">Έσοδα Καθαριότητας </v>
      </c>
      <c r="D11" s="101">
        <f>'[1]2025_ΕΣΟΔΑ'!D5</f>
        <v>1411.53442477876</v>
      </c>
      <c r="E11" s="126">
        <f t="shared" si="2"/>
        <v>6.2515989496298399E-2</v>
      </c>
      <c r="F11" s="127">
        <f>'[1]2025 Ιανουάριος'!F11+'2025 Φεβρουάριος'!D11</f>
        <v>2800.4644247787601</v>
      </c>
      <c r="G11" s="126">
        <f t="shared" si="3"/>
        <v>6.462708480271831E-2</v>
      </c>
      <c r="H11" s="127"/>
      <c r="I11" s="126" t="e">
        <f t="shared" si="4"/>
        <v>#DIV/0!</v>
      </c>
      <c r="J11" s="127">
        <f>H11+'[1]2025 Ιανουάριος'!J11</f>
        <v>2371.62</v>
      </c>
      <c r="K11" s="126">
        <f t="shared" si="5"/>
        <v>5.7518484880416311E-2</v>
      </c>
      <c r="L11" s="148">
        <f>'[1]2024_60-69 ΕΞΟΔΑ+ΟΜ 2'!D117</f>
        <v>1318.5840707964601</v>
      </c>
      <c r="M11" s="126">
        <f t="shared" si="6"/>
        <v>7.7242799104854654E-2</v>
      </c>
      <c r="N11" s="127">
        <f>L11+'[1]2025 Ιανουάριος'!N11</f>
        <v>2092.9203539823011</v>
      </c>
      <c r="O11" s="126">
        <f t="shared" si="7"/>
        <v>6.0965426583918923E-2</v>
      </c>
      <c r="P11" s="127">
        <f t="shared" si="0"/>
        <v>707.54407079645898</v>
      </c>
      <c r="Q11" s="126">
        <f t="shared" si="1"/>
        <v>0.74734759544308238</v>
      </c>
      <c r="R11" s="91"/>
      <c r="S11" s="91"/>
      <c r="T11" s="91"/>
      <c r="U11" s="91"/>
      <c r="V11" s="91"/>
    </row>
    <row r="12" spans="1:22" ht="17.25" customHeight="1" x14ac:dyDescent="0.2">
      <c r="A12" s="106">
        <v>11</v>
      </c>
      <c r="B12" s="106">
        <v>5</v>
      </c>
      <c r="C12" s="111" t="str">
        <f>[1]ΑΝΤΙΣΤΟΙΧΙΣΗ!F191</f>
        <v>Cancellation Fees</v>
      </c>
      <c r="D12" s="101">
        <f>'[1]2025_ΕΣΟΔΑ'!D6</f>
        <v>1638.42</v>
      </c>
      <c r="E12" s="126">
        <f t="shared" si="2"/>
        <v>7.2564611753326111E-2</v>
      </c>
      <c r="F12" s="127">
        <f>'[1]2025 Ιανουάριος'!F12+'2025 Φεβρουάριος'!D12</f>
        <v>1638.42</v>
      </c>
      <c r="G12" s="126">
        <f t="shared" si="3"/>
        <v>3.7810267234812268E-2</v>
      </c>
      <c r="H12" s="127"/>
      <c r="I12" s="126" t="e">
        <f t="shared" si="4"/>
        <v>#DIV/0!</v>
      </c>
      <c r="J12" s="127">
        <f>H12+'[1]2025 Ιανουάριος'!J12</f>
        <v>200</v>
      </c>
      <c r="K12" s="126">
        <f t="shared" si="5"/>
        <v>4.850565004546792E-3</v>
      </c>
      <c r="L12" s="148">
        <f>'[1]2024_60-69 ΕΞΟΔΑ+ΟΜ 2'!D118</f>
        <v>0</v>
      </c>
      <c r="M12" s="126">
        <f t="shared" si="6"/>
        <v>0</v>
      </c>
      <c r="N12" s="127">
        <f>L12+'[1]2025 Ιανουάριος'!N12</f>
        <v>0</v>
      </c>
      <c r="O12" s="126">
        <f t="shared" si="7"/>
        <v>0</v>
      </c>
      <c r="P12" s="127">
        <f t="shared" si="0"/>
        <v>1638.42</v>
      </c>
      <c r="Q12" s="126">
        <f t="shared" si="1"/>
        <v>0</v>
      </c>
      <c r="R12" s="91"/>
      <c r="S12" s="91"/>
      <c r="T12" s="91"/>
      <c r="U12" s="91"/>
      <c r="V12" s="91"/>
    </row>
    <row r="13" spans="1:22" ht="31.5" customHeight="1" x14ac:dyDescent="0.2">
      <c r="A13" s="106">
        <v>12</v>
      </c>
      <c r="B13" s="106">
        <v>6</v>
      </c>
      <c r="C13" s="111" t="str">
        <f>[1]ΑΝΤΙΣΤΟΙΧΙΣΗ!F192</f>
        <v>Έσοδα Διαχείρισης καταλυμάτων 24%</v>
      </c>
      <c r="D13" s="101">
        <f>'[1]2025_ΕΣΟΔΑ'!D7</f>
        <v>251.43</v>
      </c>
      <c r="E13" s="126">
        <f t="shared" si="2"/>
        <v>1.1135679699429196E-2</v>
      </c>
      <c r="F13" s="127">
        <f>'[1]2025 Ιανουάριος'!F13+'2025 Φεβρουάριος'!D13</f>
        <v>251.43</v>
      </c>
      <c r="G13" s="126">
        <f t="shared" si="3"/>
        <v>5.8023189968682319E-3</v>
      </c>
      <c r="H13" s="127"/>
      <c r="I13" s="126" t="e">
        <f t="shared" si="4"/>
        <v>#DIV/0!</v>
      </c>
      <c r="J13" s="127">
        <f>H13+'[1]2025 Ιανουάριος'!J13</f>
        <v>0</v>
      </c>
      <c r="K13" s="126">
        <f t="shared" si="5"/>
        <v>0</v>
      </c>
      <c r="L13" s="148">
        <f>'[1]2024_60-69 ΕΞΟΔΑ+ΟΜ 2'!D119</f>
        <v>0</v>
      </c>
      <c r="M13" s="126">
        <f t="shared" si="6"/>
        <v>0</v>
      </c>
      <c r="N13" s="127">
        <f>L13+'[1]2025 Ιανουάριος'!N13</f>
        <v>0</v>
      </c>
      <c r="O13" s="126">
        <f t="shared" si="7"/>
        <v>0</v>
      </c>
      <c r="P13" s="127">
        <f t="shared" si="0"/>
        <v>251.43</v>
      </c>
      <c r="Q13" s="126">
        <f t="shared" si="1"/>
        <v>0</v>
      </c>
      <c r="R13" s="91"/>
      <c r="S13" s="91"/>
      <c r="T13" s="91"/>
      <c r="U13" s="91"/>
      <c r="V13" s="91"/>
    </row>
    <row r="14" spans="1:22" ht="32.25" customHeight="1" x14ac:dyDescent="0.2">
      <c r="A14" s="106">
        <v>13</v>
      </c>
      <c r="B14" s="106">
        <v>7</v>
      </c>
      <c r="C14" s="111" t="str">
        <f>[1]ΑΝΤΙΣΤΟΙΧΙΣΗ!F193</f>
        <v>Έσοδα από Ενοίκια Ιππάρχου 24%</v>
      </c>
      <c r="D14" s="101">
        <f>'[1]2025_ΕΣΟΔΑ'!D8</f>
        <v>100</v>
      </c>
      <c r="E14" s="126">
        <f t="shared" si="2"/>
        <v>4.4289383523959738E-3</v>
      </c>
      <c r="F14" s="127">
        <f>'[1]2025 Ιανουάριος'!F14+'2025 Φεβρουάριος'!D14</f>
        <v>200</v>
      </c>
      <c r="G14" s="126">
        <f t="shared" si="3"/>
        <v>4.6154547960611161E-3</v>
      </c>
      <c r="H14" s="127"/>
      <c r="I14" s="126" t="e">
        <f t="shared" si="4"/>
        <v>#DIV/0!</v>
      </c>
      <c r="J14" s="127">
        <f>H14+'[1]2025 Ιανουάριος'!J14</f>
        <v>100</v>
      </c>
      <c r="K14" s="126">
        <f t="shared" si="5"/>
        <v>2.425282502273396E-3</v>
      </c>
      <c r="L14" s="148">
        <f>'[1]2024_60-69 ΕΞΟΔΑ+ΟΜ 2'!D120</f>
        <v>100</v>
      </c>
      <c r="M14" s="126">
        <f t="shared" si="6"/>
        <v>5.8580109388245479E-3</v>
      </c>
      <c r="N14" s="127">
        <f>L14+'[1]2025 Ιανουάριος'!N14</f>
        <v>200</v>
      </c>
      <c r="O14" s="126">
        <f t="shared" si="7"/>
        <v>5.8258716312751266E-3</v>
      </c>
      <c r="P14" s="127">
        <f t="shared" si="0"/>
        <v>0</v>
      </c>
      <c r="Q14" s="126">
        <f t="shared" si="1"/>
        <v>1</v>
      </c>
      <c r="R14" s="91"/>
      <c r="S14" s="91"/>
      <c r="T14" s="91"/>
      <c r="U14" s="91"/>
      <c r="V14" s="91"/>
    </row>
    <row r="15" spans="1:22" ht="30.75" customHeight="1" x14ac:dyDescent="0.2">
      <c r="A15" s="106">
        <v>14</v>
      </c>
      <c r="B15" s="106">
        <v>8</v>
      </c>
      <c r="C15" s="111" t="str">
        <f>[1]ΑΝΤΙΣΤΟΙΧΙΣΗ!F194</f>
        <v>Πωλ.Φύλαξη Αποσκευών (DIRECT)</v>
      </c>
      <c r="D15" s="101">
        <f>'[1]2025_ΕΣΟΔΑ'!D9</f>
        <v>29.03</v>
      </c>
      <c r="E15" s="126">
        <f t="shared" si="2"/>
        <v>1.2857208037005512E-3</v>
      </c>
      <c r="F15" s="127">
        <f>'[1]2025 Ιανουάριος'!F15+'2025 Φεβρουάριος'!D15</f>
        <v>97.580000000000013</v>
      </c>
      <c r="G15" s="126">
        <f t="shared" si="3"/>
        <v>2.2518803949982185E-3</v>
      </c>
      <c r="H15" s="127"/>
      <c r="I15" s="126" t="e">
        <f t="shared" si="4"/>
        <v>#DIV/0!</v>
      </c>
      <c r="J15" s="127">
        <f>H15+'[1]2025 Ιανουάριος'!J15</f>
        <v>0</v>
      </c>
      <c r="K15" s="126">
        <f t="shared" si="5"/>
        <v>0</v>
      </c>
      <c r="L15" s="148">
        <f>'[1]2024_60-69 ΕΞΟΔΑ+ΟΜ 2'!D121</f>
        <v>0</v>
      </c>
      <c r="M15" s="126">
        <f t="shared" si="6"/>
        <v>0</v>
      </c>
      <c r="N15" s="127">
        <f>L15+'[1]2025 Ιανουάριος'!N15</f>
        <v>0</v>
      </c>
      <c r="O15" s="126">
        <f t="shared" si="7"/>
        <v>0</v>
      </c>
      <c r="P15" s="127">
        <f t="shared" si="0"/>
        <v>97.580000000000013</v>
      </c>
      <c r="Q15" s="126">
        <f t="shared" si="1"/>
        <v>0</v>
      </c>
      <c r="R15" s="91"/>
      <c r="S15" s="91"/>
      <c r="T15" s="91"/>
      <c r="U15" s="91"/>
      <c r="V15" s="91"/>
    </row>
    <row r="16" spans="1:22" ht="29.25" customHeight="1" x14ac:dyDescent="0.2">
      <c r="A16" s="106">
        <v>15</v>
      </c>
      <c r="B16" s="106">
        <v>9</v>
      </c>
      <c r="C16" s="111" t="str">
        <f>[1]ΑΝΤΙΣΤΟΙΧΙΣΗ!F195</f>
        <v>Πωλ.Φύλαξη Αποσκευών  (ΤΡΙΤΩΝ) (RADICAL)</v>
      </c>
      <c r="D16" s="101">
        <f>'[1]2025_ΕΣΟΔΑ'!D10</f>
        <v>20.16</v>
      </c>
      <c r="E16" s="126">
        <f t="shared" si="2"/>
        <v>8.9287397184302823E-4</v>
      </c>
      <c r="F16" s="127">
        <f>'[1]2025 Ιανουάριος'!F16+'2025 Φεβρουάριος'!D16</f>
        <v>36.28</v>
      </c>
      <c r="G16" s="126">
        <f t="shared" si="3"/>
        <v>8.3724350000548644E-4</v>
      </c>
      <c r="H16" s="127"/>
      <c r="I16" s="126" t="e">
        <f t="shared" si="4"/>
        <v>#DIV/0!</v>
      </c>
      <c r="J16" s="127">
        <f>H16+'[1]2025 Ιανουάριος'!J16</f>
        <v>0</v>
      </c>
      <c r="K16" s="126">
        <f t="shared" si="5"/>
        <v>0</v>
      </c>
      <c r="L16" s="148">
        <f>'[1]2024_60-69 ΕΞΟΔΑ+ΟΜ 2'!D122</f>
        <v>0</v>
      </c>
      <c r="M16" s="126">
        <f t="shared" si="6"/>
        <v>0</v>
      </c>
      <c r="N16" s="127">
        <f>L16+'[1]2025 Ιανουάριος'!N16</f>
        <v>0</v>
      </c>
      <c r="O16" s="126">
        <f t="shared" si="7"/>
        <v>0</v>
      </c>
      <c r="P16" s="127">
        <f t="shared" si="0"/>
        <v>36.28</v>
      </c>
      <c r="Q16" s="126">
        <f t="shared" si="1"/>
        <v>0</v>
      </c>
      <c r="R16" s="91"/>
      <c r="S16" s="91"/>
      <c r="T16" s="91"/>
      <c r="U16" s="91"/>
      <c r="V16" s="91"/>
    </row>
    <row r="17" spans="1:22" ht="34.5" customHeight="1" x14ac:dyDescent="0.2">
      <c r="A17" s="106">
        <v>16</v>
      </c>
      <c r="B17" s="106">
        <v>10</v>
      </c>
      <c r="C17" s="111" t="str">
        <f>[1]ΑΝΤΙΣΤΟΙΧΙΣΗ!F196</f>
        <v>Πωλ. TRANSFER (Περιορισμένη Μίσθωση)</v>
      </c>
      <c r="D17" s="101">
        <f>'[1]2025_ΕΣΟΔΑ'!D11</f>
        <v>0</v>
      </c>
      <c r="E17" s="126">
        <f t="shared" si="2"/>
        <v>0</v>
      </c>
      <c r="F17" s="127">
        <f>'[1]2025 Ιανουάριος'!F17+'2025 Φεβρουάριος'!D17</f>
        <v>0</v>
      </c>
      <c r="G17" s="126">
        <f t="shared" si="3"/>
        <v>0</v>
      </c>
      <c r="H17" s="127"/>
      <c r="I17" s="126" t="e">
        <f t="shared" si="4"/>
        <v>#DIV/0!</v>
      </c>
      <c r="J17" s="127">
        <f>H17+'[1]2025 Ιανουάριος'!J17</f>
        <v>0</v>
      </c>
      <c r="K17" s="126">
        <f t="shared" si="5"/>
        <v>0</v>
      </c>
      <c r="L17" s="148">
        <f>'[1]2024_60-69 ΕΞΟΔΑ+ΟΜ 2'!D123</f>
        <v>0</v>
      </c>
      <c r="M17" s="126">
        <f t="shared" si="6"/>
        <v>0</v>
      </c>
      <c r="N17" s="127">
        <f>L17+'[1]2025 Ιανουάριος'!N17</f>
        <v>0</v>
      </c>
      <c r="O17" s="126">
        <f t="shared" si="7"/>
        <v>0</v>
      </c>
      <c r="P17" s="127">
        <f t="shared" si="0"/>
        <v>0</v>
      </c>
      <c r="Q17" s="126" t="e">
        <f t="shared" si="1"/>
        <v>#DIV/0!</v>
      </c>
      <c r="R17" s="91"/>
      <c r="S17" s="91"/>
      <c r="T17" s="91"/>
      <c r="U17" s="91"/>
      <c r="V17" s="91"/>
    </row>
    <row r="18" spans="1:22" ht="27" customHeight="1" x14ac:dyDescent="0.2">
      <c r="A18" s="106">
        <v>17</v>
      </c>
      <c r="B18" s="106">
        <v>11</v>
      </c>
      <c r="C18" s="111" t="str">
        <f>[1]ΑΝΤΙΣΤΟΙΧΙΣΗ!F197</f>
        <v>Πωλ.Ενοικ.Μεταφ.Μέσων Αναψυχής (ποδήλατα)</v>
      </c>
      <c r="D18" s="101">
        <f>'[1]2025_ΕΣΟΔΑ'!D12</f>
        <v>0</v>
      </c>
      <c r="E18" s="126">
        <f t="shared" si="2"/>
        <v>0</v>
      </c>
      <c r="F18" s="127">
        <f>'[1]2025 Ιανουάριος'!F18+'2025 Φεβρουάριος'!D18</f>
        <v>0</v>
      </c>
      <c r="G18" s="126">
        <f t="shared" si="3"/>
        <v>0</v>
      </c>
      <c r="H18" s="127"/>
      <c r="I18" s="126" t="e">
        <f t="shared" si="4"/>
        <v>#DIV/0!</v>
      </c>
      <c r="J18" s="127">
        <f>H18+'[1]2025 Ιανουάριος'!J18</f>
        <v>0</v>
      </c>
      <c r="K18" s="126">
        <f t="shared" si="5"/>
        <v>0</v>
      </c>
      <c r="L18" s="148">
        <f>'[1]2024_60-69 ΕΞΟΔΑ+ΟΜ 2'!D124</f>
        <v>0</v>
      </c>
      <c r="M18" s="126">
        <f t="shared" si="6"/>
        <v>0</v>
      </c>
      <c r="N18" s="127">
        <f>L18+'[1]2025 Ιανουάριος'!N18</f>
        <v>0</v>
      </c>
      <c r="O18" s="126">
        <f t="shared" si="7"/>
        <v>0</v>
      </c>
      <c r="P18" s="127">
        <f>F18-N18</f>
        <v>0</v>
      </c>
      <c r="Q18" s="126" t="e">
        <f>N18/F18</f>
        <v>#DIV/0!</v>
      </c>
      <c r="R18" s="91"/>
      <c r="S18" s="91"/>
      <c r="T18" s="91"/>
      <c r="U18" s="91"/>
      <c r="V18" s="91"/>
    </row>
    <row r="19" spans="1:22" ht="33" customHeight="1" x14ac:dyDescent="0.2">
      <c r="A19" s="106">
        <v>18</v>
      </c>
      <c r="B19" s="106">
        <v>12</v>
      </c>
      <c r="C19" s="111" t="str">
        <f>[1]ΑΝΤΙΣΤΟΙΧΙΣΗ!F198</f>
        <v>Πωλ.Ενοικ.Μεταφ.Μέσων(αυτοκινητα)</v>
      </c>
      <c r="D19" s="101">
        <f>'[1]2025_ΕΣΟΔΑ'!D13</f>
        <v>0</v>
      </c>
      <c r="E19" s="126">
        <f t="shared" si="2"/>
        <v>0</v>
      </c>
      <c r="F19" s="127">
        <f>'[1]2025 Ιανουάριος'!F19+'2025 Φεβρουάριος'!D19</f>
        <v>0</v>
      </c>
      <c r="G19" s="126">
        <f t="shared" si="3"/>
        <v>0</v>
      </c>
      <c r="H19" s="127"/>
      <c r="I19" s="126" t="e">
        <f t="shared" si="4"/>
        <v>#DIV/0!</v>
      </c>
      <c r="J19" s="127">
        <f>H19+'[1]2025 Ιανουάριος'!J19</f>
        <v>0</v>
      </c>
      <c r="K19" s="126">
        <f t="shared" si="5"/>
        <v>0</v>
      </c>
      <c r="L19" s="148">
        <f>'[1]2024_60-69 ΕΞΟΔΑ+ΟΜ 2'!D125</f>
        <v>0</v>
      </c>
      <c r="M19" s="126">
        <f t="shared" si="6"/>
        <v>0</v>
      </c>
      <c r="N19" s="127">
        <f>L19+'[1]2025 Ιανουάριος'!N19</f>
        <v>0</v>
      </c>
      <c r="O19" s="126">
        <f t="shared" si="7"/>
        <v>0</v>
      </c>
      <c r="P19" s="127">
        <f t="shared" ref="P19:P37" si="8">F19-N19</f>
        <v>0</v>
      </c>
      <c r="Q19" s="126" t="e">
        <f t="shared" ref="Q19:Q37" si="9">N19/F19</f>
        <v>#DIV/0!</v>
      </c>
      <c r="R19" s="91"/>
      <c r="S19" s="91"/>
      <c r="T19" s="91"/>
      <c r="U19" s="91"/>
      <c r="V19" s="91"/>
    </row>
    <row r="20" spans="1:22" ht="31.5" customHeight="1" x14ac:dyDescent="0.2">
      <c r="A20" s="106">
        <v>19</v>
      </c>
      <c r="B20" s="106">
        <v>13</v>
      </c>
      <c r="C20" s="111" t="str">
        <f>[1]ΑΝΤΙΣΤΟΙΧΙΣΗ!F199</f>
        <v>Πωλήσεις Καθαριότητας (ΤΡΙΤΩΝ)</v>
      </c>
      <c r="D20" s="101">
        <f>'[1]2025_ΕΣΟΔΑ'!D14</f>
        <v>0</v>
      </c>
      <c r="E20" s="126">
        <f t="shared" si="2"/>
        <v>0</v>
      </c>
      <c r="F20" s="127">
        <f>'[1]2025 Ιανουάριος'!F20+'2025 Φεβρουάριος'!D20</f>
        <v>0</v>
      </c>
      <c r="G20" s="126">
        <f t="shared" si="3"/>
        <v>0</v>
      </c>
      <c r="H20" s="127"/>
      <c r="I20" s="126" t="e">
        <f t="shared" si="4"/>
        <v>#DIV/0!</v>
      </c>
      <c r="J20" s="127">
        <f>H20+'[1]2025 Ιανουάριος'!J20</f>
        <v>0</v>
      </c>
      <c r="K20" s="126">
        <f t="shared" si="5"/>
        <v>0</v>
      </c>
      <c r="L20" s="148">
        <f>'[1]2024_60-69 ΕΞΟΔΑ+ΟΜ 2'!D126</f>
        <v>0</v>
      </c>
      <c r="M20" s="126">
        <f t="shared" si="6"/>
        <v>0</v>
      </c>
      <c r="N20" s="127">
        <f>L20+'[1]2025 Ιανουάριος'!N20</f>
        <v>0</v>
      </c>
      <c r="O20" s="126">
        <f t="shared" si="7"/>
        <v>0</v>
      </c>
      <c r="P20" s="127">
        <f t="shared" si="8"/>
        <v>0</v>
      </c>
      <c r="Q20" s="126" t="e">
        <f t="shared" si="9"/>
        <v>#DIV/0!</v>
      </c>
      <c r="R20" s="91"/>
      <c r="S20" s="91"/>
      <c r="T20" s="91"/>
      <c r="U20" s="91"/>
      <c r="V20" s="91"/>
    </row>
    <row r="21" spans="1:22" ht="21" customHeight="1" x14ac:dyDescent="0.2">
      <c r="A21" s="106">
        <v>20</v>
      </c>
      <c r="B21" s="106">
        <v>14</v>
      </c>
      <c r="C21" s="111" t="str">
        <f>[1]ΑΝΤΙΣΤΟΙΧΙΣΗ!F200</f>
        <v>Πωλ.Κρουαζιέρας</v>
      </c>
      <c r="D21" s="101">
        <f>'[1]2025_ΕΣΟΔΑ'!D15</f>
        <v>0</v>
      </c>
      <c r="E21" s="126">
        <f t="shared" si="2"/>
        <v>0</v>
      </c>
      <c r="F21" s="127">
        <f>'[1]2025 Ιανουάριος'!F21+'2025 Φεβρουάριος'!D21</f>
        <v>0</v>
      </c>
      <c r="G21" s="126">
        <f t="shared" si="3"/>
        <v>0</v>
      </c>
      <c r="H21" s="127"/>
      <c r="I21" s="126" t="e">
        <f t="shared" si="4"/>
        <v>#DIV/0!</v>
      </c>
      <c r="J21" s="127">
        <f>H21+'[1]2025 Ιανουάριος'!J21</f>
        <v>0</v>
      </c>
      <c r="K21" s="126">
        <f t="shared" si="5"/>
        <v>0</v>
      </c>
      <c r="L21" s="148">
        <f>'[1]2024_60-69 ΕΞΟΔΑ+ΟΜ 2'!D127</f>
        <v>0</v>
      </c>
      <c r="M21" s="126">
        <f t="shared" si="6"/>
        <v>0</v>
      </c>
      <c r="N21" s="127">
        <f>L21+'[1]2025 Ιανουάριος'!N21</f>
        <v>0</v>
      </c>
      <c r="O21" s="126">
        <f t="shared" si="7"/>
        <v>0</v>
      </c>
      <c r="P21" s="127">
        <f t="shared" si="8"/>
        <v>0</v>
      </c>
      <c r="Q21" s="126" t="e">
        <f t="shared" si="9"/>
        <v>#DIV/0!</v>
      </c>
      <c r="R21" s="91"/>
      <c r="S21" s="91"/>
      <c r="T21" s="91"/>
      <c r="U21" s="91"/>
      <c r="V21" s="91"/>
    </row>
    <row r="22" spans="1:22" ht="18.75" customHeight="1" x14ac:dyDescent="0.2">
      <c r="A22" s="106">
        <v>21</v>
      </c>
      <c r="B22" s="106">
        <v>15</v>
      </c>
      <c r="C22" s="111" t="str">
        <f>[1]ΑΝΤΙΣΤΟΙΧΙΣΗ!F201</f>
        <v>Πωλ. Μαθημάτων</v>
      </c>
      <c r="D22" s="101">
        <f>'[1]2025_ΕΣΟΔΑ'!D16</f>
        <v>0</v>
      </c>
      <c r="E22" s="126">
        <f t="shared" si="2"/>
        <v>0</v>
      </c>
      <c r="F22" s="127">
        <f>'[1]2025 Ιανουάριος'!F22+'2025 Φεβρουάριος'!D22</f>
        <v>0</v>
      </c>
      <c r="G22" s="126">
        <f t="shared" si="3"/>
        <v>0</v>
      </c>
      <c r="H22" s="127"/>
      <c r="I22" s="126" t="e">
        <f t="shared" si="4"/>
        <v>#DIV/0!</v>
      </c>
      <c r="J22" s="127">
        <f>H22+'[1]2025 Ιανουάριος'!J22</f>
        <v>0</v>
      </c>
      <c r="K22" s="126">
        <f t="shared" si="5"/>
        <v>0</v>
      </c>
      <c r="L22" s="148">
        <f>'[1]2024_60-69 ΕΞΟΔΑ+ΟΜ 2'!D128</f>
        <v>0</v>
      </c>
      <c r="M22" s="126">
        <f t="shared" si="6"/>
        <v>0</v>
      </c>
      <c r="N22" s="127">
        <f>L22+'[1]2025 Ιανουάριος'!N22</f>
        <v>0</v>
      </c>
      <c r="O22" s="126">
        <f t="shared" si="7"/>
        <v>0</v>
      </c>
      <c r="P22" s="127">
        <f t="shared" si="8"/>
        <v>0</v>
      </c>
      <c r="Q22" s="126" t="e">
        <f t="shared" si="9"/>
        <v>#DIV/0!</v>
      </c>
      <c r="R22" s="91"/>
      <c r="S22" s="91"/>
      <c r="T22" s="91"/>
      <c r="U22" s="91"/>
      <c r="V22" s="91"/>
    </row>
    <row r="23" spans="1:22" ht="31.5" customHeight="1" x14ac:dyDescent="0.2">
      <c r="A23" s="106">
        <v>22</v>
      </c>
      <c r="B23" s="106">
        <v>16</v>
      </c>
      <c r="C23" s="111" t="str">
        <f>[1]ΑΝΤΙΣΤΟΙΧΙΣΗ!F202</f>
        <v>Πωλ.Κρουαζ.Transfer.MM. (ΠΑΚΕΤΟ)</v>
      </c>
      <c r="D23" s="101">
        <f>'[1]2025_ΕΣΟΔΑ'!D17</f>
        <v>0</v>
      </c>
      <c r="E23" s="126">
        <f t="shared" si="2"/>
        <v>0</v>
      </c>
      <c r="F23" s="127">
        <f>'[1]2025 Ιανουάριος'!F23+'2025 Φεβρουάριος'!D23</f>
        <v>0</v>
      </c>
      <c r="G23" s="126">
        <f t="shared" si="3"/>
        <v>0</v>
      </c>
      <c r="H23" s="127"/>
      <c r="I23" s="126" t="e">
        <f t="shared" si="4"/>
        <v>#DIV/0!</v>
      </c>
      <c r="J23" s="127">
        <f>H23+'[1]2025 Ιανουάριος'!J23</f>
        <v>0</v>
      </c>
      <c r="K23" s="126">
        <f t="shared" si="5"/>
        <v>0</v>
      </c>
      <c r="L23" s="148">
        <f>'[1]2024_60-69 ΕΞΟΔΑ+ΟΜ 2'!D129</f>
        <v>0</v>
      </c>
      <c r="M23" s="126">
        <f t="shared" si="6"/>
        <v>0</v>
      </c>
      <c r="N23" s="127">
        <f>L23+'[1]2025 Ιανουάριος'!N23</f>
        <v>0</v>
      </c>
      <c r="O23" s="126">
        <f t="shared" si="7"/>
        <v>0</v>
      </c>
      <c r="P23" s="127">
        <f t="shared" si="8"/>
        <v>0</v>
      </c>
      <c r="Q23" s="126" t="e">
        <f t="shared" si="9"/>
        <v>#DIV/0!</v>
      </c>
      <c r="R23" s="91"/>
      <c r="S23" s="91"/>
      <c r="T23" s="91"/>
      <c r="U23" s="91"/>
      <c r="V23" s="91"/>
    </row>
    <row r="24" spans="1:22" ht="31.5" customHeight="1" x14ac:dyDescent="0.2">
      <c r="A24" s="106">
        <v>23</v>
      </c>
      <c r="B24" s="106">
        <v>17</v>
      </c>
      <c r="C24" s="111" t="str">
        <f>[1]ΑΝΤΙΣΤΟΙΧΙΣΗ!F203</f>
        <v>Υπηρεσίες Marketing</v>
      </c>
      <c r="D24" s="101">
        <f>'[1]2025_ΕΣΟΔΑ'!D18</f>
        <v>0</v>
      </c>
      <c r="E24" s="126">
        <f>D24/$D$7</f>
        <v>0</v>
      </c>
      <c r="F24" s="127">
        <f>'[1]2025 Ιανουάριος'!F24+'2025 Φεβρουάριος'!D24</f>
        <v>0</v>
      </c>
      <c r="G24" s="126">
        <f>F24/$F$7</f>
        <v>0</v>
      </c>
      <c r="H24" s="127">
        <f>[1]ΠΡΟΥΠΟΛΟΓΙΣΜΟΣ_ΕΣΟΔΑ!E225</f>
        <v>0</v>
      </c>
      <c r="I24" s="126" t="e">
        <f>H24/$H$7</f>
        <v>#DIV/0!</v>
      </c>
      <c r="J24" s="127">
        <f>H24+'[1]2025 Ιανουάριος'!J24</f>
        <v>0</v>
      </c>
      <c r="K24" s="126">
        <f>J24/$J$7</f>
        <v>0</v>
      </c>
      <c r="L24" s="148">
        <f>'[1]2024_60-69 ΕΞΟΔΑ+ΟΜ 2'!D130</f>
        <v>15</v>
      </c>
      <c r="M24" s="126">
        <f>L24/$L$7</f>
        <v>8.7870164082368217E-4</v>
      </c>
      <c r="N24" s="127">
        <f>L24+'[1]2025 Ιανουάριος'!N24</f>
        <v>15</v>
      </c>
      <c r="O24" s="126">
        <f>N24/$N$7</f>
        <v>4.369403723456345E-4</v>
      </c>
      <c r="P24" s="127">
        <f>F24-N24</f>
        <v>-15</v>
      </c>
      <c r="Q24" s="126" t="e">
        <f>N24/F24</f>
        <v>#DIV/0!</v>
      </c>
      <c r="R24" s="91"/>
      <c r="S24" s="91"/>
      <c r="T24" s="91"/>
      <c r="U24" s="91"/>
      <c r="V24" s="91"/>
    </row>
    <row r="25" spans="1:22" ht="20.25" customHeight="1" x14ac:dyDescent="0.2">
      <c r="A25" s="106">
        <v>24</v>
      </c>
      <c r="B25" s="106">
        <v>18</v>
      </c>
      <c r="C25" s="111" t="str">
        <f>[1]ΑΝΤΙΣΤΟΙΧΙΣΗ!F204</f>
        <v>Προμ. Συστ.Πελ. Αυτοκ.</v>
      </c>
      <c r="D25" s="101">
        <f>'[1]2025_ΕΣΟΔΑ'!D19</f>
        <v>0</v>
      </c>
      <c r="E25" s="126">
        <f t="shared" si="2"/>
        <v>0</v>
      </c>
      <c r="F25" s="127">
        <f>'[1]2025 Ιανουάριος'!F25+'2025 Φεβρουάριος'!D25</f>
        <v>0</v>
      </c>
      <c r="G25" s="126">
        <f t="shared" si="3"/>
        <v>0</v>
      </c>
      <c r="H25" s="127"/>
      <c r="I25" s="126" t="e">
        <f t="shared" si="4"/>
        <v>#DIV/0!</v>
      </c>
      <c r="J25" s="127">
        <f>H25+'[1]2025 Ιανουάριος'!J25</f>
        <v>0</v>
      </c>
      <c r="K25" s="126">
        <f t="shared" si="5"/>
        <v>0</v>
      </c>
      <c r="L25" s="148">
        <f>'[1]2024_60-69 ΕΞΟΔΑ+ΟΜ 2'!D131</f>
        <v>0</v>
      </c>
      <c r="M25" s="126">
        <f t="shared" si="6"/>
        <v>0</v>
      </c>
      <c r="N25" s="127">
        <f>L25+'[1]2025 Ιανουάριος'!N25</f>
        <v>0</v>
      </c>
      <c r="O25" s="126">
        <f t="shared" si="7"/>
        <v>0</v>
      </c>
      <c r="P25" s="127">
        <f t="shared" si="8"/>
        <v>0</v>
      </c>
      <c r="Q25" s="126" t="e">
        <f t="shared" si="9"/>
        <v>#DIV/0!</v>
      </c>
      <c r="R25" s="91"/>
      <c r="S25" s="91"/>
      <c r="T25" s="91"/>
      <c r="U25" s="91"/>
      <c r="V25" s="91"/>
    </row>
    <row r="26" spans="1:22" ht="18.75" customHeight="1" x14ac:dyDescent="0.2">
      <c r="A26" s="106">
        <v>25</v>
      </c>
      <c r="B26" s="106">
        <v>19</v>
      </c>
      <c r="C26" s="111" t="str">
        <f>[1]ΑΝΤΙΣΤΟΙΧΙΣΗ!F205</f>
        <v>Προμ. Συστ.Πελ. Γυμν.</v>
      </c>
      <c r="D26" s="101">
        <f>'[1]2025_ΕΣΟΔΑ'!D20</f>
        <v>0</v>
      </c>
      <c r="E26" s="126">
        <f t="shared" si="2"/>
        <v>0</v>
      </c>
      <c r="F26" s="127">
        <f>'[1]2025 Ιανουάριος'!F26+'2025 Φεβρουάριος'!D26</f>
        <v>0</v>
      </c>
      <c r="G26" s="126">
        <f t="shared" si="3"/>
        <v>0</v>
      </c>
      <c r="H26" s="127"/>
      <c r="I26" s="126" t="e">
        <f t="shared" si="4"/>
        <v>#DIV/0!</v>
      </c>
      <c r="J26" s="127">
        <f>H26+'[1]2025 Ιανουάριος'!J26</f>
        <v>0</v>
      </c>
      <c r="K26" s="126">
        <f t="shared" si="5"/>
        <v>0</v>
      </c>
      <c r="L26" s="148">
        <f>'[1]2024_60-69 ΕΞΟΔΑ+ΟΜ 2'!D132</f>
        <v>0</v>
      </c>
      <c r="M26" s="126">
        <f t="shared" si="6"/>
        <v>0</v>
      </c>
      <c r="N26" s="127">
        <f>L26+'[1]2025 Ιανουάριος'!N26</f>
        <v>0</v>
      </c>
      <c r="O26" s="126">
        <f t="shared" si="7"/>
        <v>0</v>
      </c>
      <c r="P26" s="127">
        <f t="shared" si="8"/>
        <v>0</v>
      </c>
      <c r="Q26" s="126" t="e">
        <f t="shared" si="9"/>
        <v>#DIV/0!</v>
      </c>
      <c r="R26" s="91"/>
      <c r="S26" s="91"/>
      <c r="T26" s="91"/>
      <c r="U26" s="91"/>
      <c r="V26" s="91"/>
    </row>
    <row r="27" spans="1:22" ht="23.25" customHeight="1" x14ac:dyDescent="0.2">
      <c r="A27" s="106">
        <v>26</v>
      </c>
      <c r="B27" s="106">
        <v>20</v>
      </c>
      <c r="C27" s="111" t="str">
        <f>[1]ΑΝΤΙΣΤΟΙΧΙΣΗ!F206</f>
        <v>Προμ.Σύστ.Πελ. TRANSFER</v>
      </c>
      <c r="D27" s="101">
        <f>'[1]2025_ΕΣΟΔΑ'!D21</f>
        <v>0</v>
      </c>
      <c r="E27" s="126">
        <f t="shared" si="2"/>
        <v>0</v>
      </c>
      <c r="F27" s="127">
        <f>'[1]2025 Ιανουάριος'!F27+'2025 Φεβρουάριος'!D27</f>
        <v>0</v>
      </c>
      <c r="G27" s="126">
        <f t="shared" si="3"/>
        <v>0</v>
      </c>
      <c r="H27" s="127"/>
      <c r="I27" s="126" t="e">
        <f t="shared" si="4"/>
        <v>#DIV/0!</v>
      </c>
      <c r="J27" s="127">
        <f>H27+'[1]2025 Ιανουάριος'!J27</f>
        <v>0</v>
      </c>
      <c r="K27" s="126">
        <f t="shared" si="5"/>
        <v>0</v>
      </c>
      <c r="L27" s="148">
        <f>'[1]2024_60-69 ΕΞΟΔΑ+ΟΜ 2'!D133</f>
        <v>0</v>
      </c>
      <c r="M27" s="126">
        <f t="shared" si="6"/>
        <v>0</v>
      </c>
      <c r="N27" s="127">
        <f>L27+'[1]2025 Ιανουάριος'!N27</f>
        <v>0</v>
      </c>
      <c r="O27" s="126">
        <f t="shared" si="7"/>
        <v>0</v>
      </c>
      <c r="P27" s="127">
        <f t="shared" si="8"/>
        <v>0</v>
      </c>
      <c r="Q27" s="126" t="e">
        <f t="shared" si="9"/>
        <v>#DIV/0!</v>
      </c>
      <c r="R27" s="91"/>
      <c r="S27" s="91"/>
      <c r="T27" s="91"/>
      <c r="U27" s="91"/>
      <c r="V27" s="91"/>
    </row>
    <row r="28" spans="1:22" ht="23.25" customHeight="1" x14ac:dyDescent="0.2">
      <c r="A28" s="106">
        <v>27</v>
      </c>
      <c r="B28" s="106">
        <v>21</v>
      </c>
      <c r="C28" s="111" t="str">
        <f>[1]ΑΝΤΙΣΤΟΙΧΙΣΗ!F207</f>
        <v>Προμ.Σύστ.Πελ.Εκδρ.- Ξεναγ.</v>
      </c>
      <c r="D28" s="101">
        <f>'[1]2025_ΕΣΟΔΑ'!D22</f>
        <v>14.25</v>
      </c>
      <c r="E28" s="126">
        <f t="shared" si="2"/>
        <v>6.3112371521642627E-4</v>
      </c>
      <c r="F28" s="127">
        <f>'[1]2025 Ιανουάριος'!F28+'2025 Φεβρουάριος'!D28</f>
        <v>14.25</v>
      </c>
      <c r="G28" s="126">
        <f t="shared" si="3"/>
        <v>3.2885115421935448E-4</v>
      </c>
      <c r="H28" s="127"/>
      <c r="I28" s="126" t="e">
        <f t="shared" si="4"/>
        <v>#DIV/0!</v>
      </c>
      <c r="J28" s="127">
        <f>H28+'[1]2025 Ιανουάριος'!J28</f>
        <v>0</v>
      </c>
      <c r="K28" s="126">
        <f t="shared" si="5"/>
        <v>0</v>
      </c>
      <c r="L28" s="148">
        <f>'[1]2024_60-69 ΕΞΟΔΑ+ΟΜ 2'!D134</f>
        <v>0</v>
      </c>
      <c r="M28" s="126">
        <f t="shared" si="6"/>
        <v>0</v>
      </c>
      <c r="N28" s="127">
        <f>L28+'[1]2025 Ιανουάριος'!N28</f>
        <v>0</v>
      </c>
      <c r="O28" s="126">
        <f t="shared" si="7"/>
        <v>0</v>
      </c>
      <c r="P28" s="127">
        <f t="shared" si="8"/>
        <v>14.25</v>
      </c>
      <c r="Q28" s="126">
        <f t="shared" si="9"/>
        <v>0</v>
      </c>
      <c r="R28" s="91"/>
      <c r="S28" s="91"/>
      <c r="T28" s="91"/>
      <c r="U28" s="91"/>
      <c r="V28" s="91"/>
    </row>
    <row r="29" spans="1:22" ht="23.25" customHeight="1" x14ac:dyDescent="0.2">
      <c r="A29" s="106">
        <v>28</v>
      </c>
      <c r="B29" s="106">
        <v>22</v>
      </c>
      <c r="C29" s="111" t="str">
        <f>[1]ΑΝΤΙΣΤΟΙΧΙΣΗ!F208</f>
        <v>Προμ.Συστ.Πελ.Κρουαζιέρας</v>
      </c>
      <c r="D29" s="101">
        <f>'[1]2025_ΕΣΟΔΑ'!D23</f>
        <v>0</v>
      </c>
      <c r="E29" s="126">
        <f t="shared" si="2"/>
        <v>0</v>
      </c>
      <c r="F29" s="127">
        <f>'[1]2025 Ιανουάριος'!F29+'2025 Φεβρουάριος'!D29</f>
        <v>0</v>
      </c>
      <c r="G29" s="126">
        <f t="shared" si="3"/>
        <v>0</v>
      </c>
      <c r="H29" s="127"/>
      <c r="I29" s="126" t="e">
        <f t="shared" si="4"/>
        <v>#DIV/0!</v>
      </c>
      <c r="J29" s="127">
        <f>H29+'[1]2025 Ιανουάριος'!J29</f>
        <v>0</v>
      </c>
      <c r="K29" s="126">
        <f t="shared" si="5"/>
        <v>0</v>
      </c>
      <c r="L29" s="148">
        <f>'[1]2024_60-69 ΕΞΟΔΑ+ΟΜ 2'!D135</f>
        <v>15.01</v>
      </c>
      <c r="M29" s="126">
        <f t="shared" si="6"/>
        <v>8.7928744191756458E-4</v>
      </c>
      <c r="N29" s="127">
        <f>L29+'[1]2025 Ιανουάριος'!N29</f>
        <v>15.01</v>
      </c>
      <c r="O29" s="126">
        <f t="shared" si="7"/>
        <v>4.3723166592719826E-4</v>
      </c>
      <c r="P29" s="127">
        <f t="shared" si="8"/>
        <v>-15.01</v>
      </c>
      <c r="Q29" s="126" t="e">
        <f t="shared" si="9"/>
        <v>#DIV/0!</v>
      </c>
      <c r="R29" s="91"/>
      <c r="S29" s="91"/>
      <c r="T29" s="91"/>
      <c r="U29" s="91"/>
      <c r="V29" s="91"/>
    </row>
    <row r="30" spans="1:22" ht="25.5" customHeight="1" x14ac:dyDescent="0.2">
      <c r="A30" s="106">
        <v>29</v>
      </c>
      <c r="B30" s="106">
        <v>23</v>
      </c>
      <c r="C30" s="111" t="str">
        <f>[1]ΑΝΤΙΣΤΟΙΧΙΣΗ!F209</f>
        <v>Ασυνήθη έσοδα και κέρδη</v>
      </c>
      <c r="D30" s="101">
        <f>'[1]2025_ΕΣΟΔΑ'!D24</f>
        <v>0</v>
      </c>
      <c r="E30" s="126">
        <f t="shared" si="2"/>
        <v>0</v>
      </c>
      <c r="F30" s="127">
        <f>'[1]2025 Ιανουάριος'!F30+'2025 Φεβρουάριος'!D30</f>
        <v>4</v>
      </c>
      <c r="G30" s="126">
        <f t="shared" si="3"/>
        <v>9.2309095921222313E-5</v>
      </c>
      <c r="H30" s="127"/>
      <c r="I30" s="126" t="e">
        <f t="shared" si="4"/>
        <v>#DIV/0!</v>
      </c>
      <c r="J30" s="127">
        <f>H30+'[1]2025 Ιανουάριος'!J30</f>
        <v>11248.74</v>
      </c>
      <c r="K30" s="126">
        <f t="shared" si="5"/>
        <v>0.27281372294622841</v>
      </c>
      <c r="L30" s="148">
        <f>'[1]2024_60-69 ΕΞΟΔΑ+ΟΜ 2'!D136</f>
        <v>-85.21</v>
      </c>
      <c r="M30" s="126">
        <f t="shared" si="6"/>
        <v>-4.991611120972397E-3</v>
      </c>
      <c r="N30" s="127">
        <f>L30+'[1]2025 Ιανουάριος'!N30</f>
        <v>5250.2</v>
      </c>
      <c r="O30" s="126">
        <f t="shared" si="7"/>
        <v>0.15293495619260336</v>
      </c>
      <c r="P30" s="127">
        <f t="shared" si="8"/>
        <v>-5246.2</v>
      </c>
      <c r="Q30" s="126">
        <f t="shared" si="9"/>
        <v>1312.55</v>
      </c>
      <c r="R30" s="91"/>
      <c r="S30" s="91"/>
      <c r="T30" s="91"/>
      <c r="U30" s="91"/>
      <c r="V30" s="91"/>
    </row>
    <row r="31" spans="1:22" ht="24" customHeight="1" x14ac:dyDescent="0.2">
      <c r="A31" s="106">
        <v>30</v>
      </c>
      <c r="B31" s="106">
        <v>24</v>
      </c>
      <c r="C31" s="111" t="str">
        <f>[1]ΑΝΤΙΣΤΟΙΧΙΣΗ!F210</f>
        <v>Φορος Παρεπιδημούντων</v>
      </c>
      <c r="D31" s="101">
        <f>'[1]2025_ΕΣΟΔΑ'!D25</f>
        <v>-102.63</v>
      </c>
      <c r="E31" s="126">
        <f t="shared" si="2"/>
        <v>-4.5454194310639877E-3</v>
      </c>
      <c r="F31" s="127">
        <f>'[1]2025 Ιανουάριος'!F31+'2025 Φεβρουάριος'!D31</f>
        <v>-205.45999999999998</v>
      </c>
      <c r="G31" s="126">
        <f t="shared" si="3"/>
        <v>-4.7414567119935837E-3</v>
      </c>
      <c r="H31" s="127"/>
      <c r="I31" s="126" t="e">
        <f t="shared" si="4"/>
        <v>#DIV/0!</v>
      </c>
      <c r="J31" s="127">
        <f>H31+'[1]2025 Ιανουάριος'!J31</f>
        <v>-59.92</v>
      </c>
      <c r="K31" s="126">
        <f t="shared" si="5"/>
        <v>-1.453229275362219E-3</v>
      </c>
      <c r="L31" s="148">
        <f>'[1]2024_60-69 ΕΞΟΔΑ+ΟΜ 2'!D137</f>
        <v>0</v>
      </c>
      <c r="M31" s="126">
        <f t="shared" si="6"/>
        <v>0</v>
      </c>
      <c r="N31" s="127">
        <f>L31+'[1]2025 Ιανουάριος'!N31</f>
        <v>-59.92</v>
      </c>
      <c r="O31" s="126">
        <f t="shared" si="7"/>
        <v>-1.7454311407300281E-3</v>
      </c>
      <c r="P31" s="127">
        <f t="shared" si="8"/>
        <v>-145.53999999999996</v>
      </c>
      <c r="Q31" s="126">
        <f t="shared" si="9"/>
        <v>0.29163827509004192</v>
      </c>
      <c r="R31" s="91"/>
      <c r="S31" s="91"/>
      <c r="T31" s="91"/>
      <c r="U31" s="91"/>
      <c r="V31" s="91"/>
    </row>
    <row r="32" spans="1:22" ht="24" customHeight="1" x14ac:dyDescent="0.2">
      <c r="A32" s="106">
        <v>31</v>
      </c>
      <c r="B32" s="106">
        <v>25</v>
      </c>
      <c r="C32" s="111" t="str">
        <f>[1]ΑΝΤΙΣΤΟΙΧΙΣΗ!F211</f>
        <v xml:space="preserve">Πρόβλεψη </v>
      </c>
      <c r="D32" s="101">
        <f>'[1]2025_ΕΣΟΔΑ'!D26</f>
        <v>0</v>
      </c>
      <c r="E32" s="126">
        <f t="shared" si="2"/>
        <v>0</v>
      </c>
      <c r="F32" s="127">
        <f>'[1]2025 Ιανουάριος'!F32+'2025 Φεβρουάριος'!D32</f>
        <v>0</v>
      </c>
      <c r="G32" s="126">
        <f t="shared" si="3"/>
        <v>0</v>
      </c>
      <c r="H32" s="127"/>
      <c r="I32" s="126" t="e">
        <f t="shared" si="4"/>
        <v>#DIV/0!</v>
      </c>
      <c r="J32" s="127">
        <f>H32+'[1]2025 Ιανουάριος'!J32</f>
        <v>0</v>
      </c>
      <c r="K32" s="126">
        <f t="shared" si="5"/>
        <v>0</v>
      </c>
      <c r="L32" s="148">
        <f>'[1]2024_60-69 ΕΞΟΔΑ+ΟΜ 2'!D138</f>
        <v>0</v>
      </c>
      <c r="M32" s="126">
        <f t="shared" si="6"/>
        <v>0</v>
      </c>
      <c r="N32" s="127">
        <f>L32+'[1]2025 Ιανουάριος'!N32</f>
        <v>0</v>
      </c>
      <c r="O32" s="126">
        <f t="shared" si="7"/>
        <v>0</v>
      </c>
      <c r="P32" s="127">
        <f t="shared" si="8"/>
        <v>0</v>
      </c>
      <c r="Q32" s="126" t="e">
        <f t="shared" si="9"/>
        <v>#DIV/0!</v>
      </c>
      <c r="R32" s="91"/>
      <c r="S32" s="91"/>
      <c r="T32" s="91"/>
      <c r="U32" s="91"/>
      <c r="V32" s="91"/>
    </row>
    <row r="33" spans="1:22" ht="24" customHeight="1" x14ac:dyDescent="0.2">
      <c r="A33" s="106">
        <v>32</v>
      </c>
      <c r="B33" s="106">
        <v>26</v>
      </c>
      <c r="C33" s="111">
        <f>[1]ΑΝΤΙΣΤΟΙΧΙΣΗ!F212</f>
        <v>0</v>
      </c>
      <c r="D33" s="101">
        <f>'[1]2025_ΕΣΟΔΑ'!D27</f>
        <v>0</v>
      </c>
      <c r="E33" s="126">
        <f t="shared" si="2"/>
        <v>0</v>
      </c>
      <c r="F33" s="127">
        <f>'[1]2025 Ιανουάριος'!F33+'2025 Φεβρουάριος'!D33</f>
        <v>0</v>
      </c>
      <c r="G33" s="126">
        <f t="shared" si="3"/>
        <v>0</v>
      </c>
      <c r="H33" s="127"/>
      <c r="I33" s="126" t="e">
        <f t="shared" si="4"/>
        <v>#DIV/0!</v>
      </c>
      <c r="J33" s="127">
        <f>H33+'[1]2025 Ιανουάριος'!J33</f>
        <v>0</v>
      </c>
      <c r="K33" s="126">
        <f t="shared" si="5"/>
        <v>0</v>
      </c>
      <c r="L33" s="148">
        <f>'[1]2024_60-69 ΕΞΟΔΑ+ΟΜ 2'!D139</f>
        <v>0</v>
      </c>
      <c r="M33" s="126">
        <f t="shared" si="6"/>
        <v>0</v>
      </c>
      <c r="N33" s="127">
        <f>L33+'[1]2025 Ιανουάριος'!N33</f>
        <v>0</v>
      </c>
      <c r="O33" s="126">
        <f t="shared" si="7"/>
        <v>0</v>
      </c>
      <c r="P33" s="127">
        <f t="shared" si="8"/>
        <v>0</v>
      </c>
      <c r="Q33" s="126" t="e">
        <f t="shared" si="9"/>
        <v>#DIV/0!</v>
      </c>
      <c r="R33" s="91"/>
      <c r="S33" s="91"/>
      <c r="T33" s="91"/>
      <c r="U33" s="91"/>
      <c r="V33" s="91"/>
    </row>
    <row r="34" spans="1:22" ht="24" customHeight="1" x14ac:dyDescent="0.2">
      <c r="A34" s="106">
        <v>33</v>
      </c>
      <c r="B34" s="106">
        <v>27</v>
      </c>
      <c r="C34" s="111">
        <f>[1]ΑΝΤΙΣΤΟΙΧΙΣΗ!F213</f>
        <v>0</v>
      </c>
      <c r="D34" s="101">
        <f>'[1]2025_ΕΣΟΔΑ'!D28</f>
        <v>0</v>
      </c>
      <c r="E34" s="126">
        <f t="shared" si="2"/>
        <v>0</v>
      </c>
      <c r="F34" s="127">
        <f>'[1]2025 Ιανουάριος'!F34+'2025 Φεβρουάριος'!D34</f>
        <v>0</v>
      </c>
      <c r="G34" s="126">
        <f t="shared" si="3"/>
        <v>0</v>
      </c>
      <c r="H34" s="127"/>
      <c r="I34" s="126" t="e">
        <f t="shared" si="4"/>
        <v>#DIV/0!</v>
      </c>
      <c r="J34" s="127">
        <f>H34+'[1]2025 Ιανουάριος'!J34</f>
        <v>0</v>
      </c>
      <c r="K34" s="126">
        <f t="shared" si="5"/>
        <v>0</v>
      </c>
      <c r="L34" s="148">
        <f>'[1]2024_60-69 ΕΞΟΔΑ+ΟΜ 2'!D140</f>
        <v>0</v>
      </c>
      <c r="M34" s="126">
        <f t="shared" si="6"/>
        <v>0</v>
      </c>
      <c r="N34" s="127">
        <f>L34+'[1]2025 Ιανουάριος'!N34</f>
        <v>0</v>
      </c>
      <c r="O34" s="126">
        <f t="shared" si="7"/>
        <v>0</v>
      </c>
      <c r="P34" s="127">
        <f t="shared" si="8"/>
        <v>0</v>
      </c>
      <c r="Q34" s="126" t="e">
        <f t="shared" si="9"/>
        <v>#DIV/0!</v>
      </c>
      <c r="R34" s="91"/>
      <c r="S34" s="91"/>
      <c r="T34" s="91"/>
      <c r="U34" s="91"/>
      <c r="V34" s="91"/>
    </row>
    <row r="35" spans="1:22" ht="24" customHeight="1" x14ac:dyDescent="0.2">
      <c r="A35" s="106">
        <v>34</v>
      </c>
      <c r="B35" s="106">
        <v>28</v>
      </c>
      <c r="C35" s="111">
        <f>[1]ΑΝΤΙΣΤΟΙΧΙΣΗ!F214</f>
        <v>0</v>
      </c>
      <c r="D35" s="101">
        <f>'[1]2025_ΕΣΟΔΑ'!D29</f>
        <v>0</v>
      </c>
      <c r="E35" s="126">
        <f t="shared" si="2"/>
        <v>0</v>
      </c>
      <c r="F35" s="127">
        <f>'[1]2025 Ιανουάριος'!F35+'2025 Φεβρουάριος'!D35</f>
        <v>0</v>
      </c>
      <c r="G35" s="126">
        <f t="shared" si="3"/>
        <v>0</v>
      </c>
      <c r="H35" s="127"/>
      <c r="I35" s="126" t="e">
        <f t="shared" si="4"/>
        <v>#DIV/0!</v>
      </c>
      <c r="J35" s="127">
        <f>H35+'[1]2025 Ιανουάριος'!J35</f>
        <v>0</v>
      </c>
      <c r="K35" s="126">
        <f t="shared" si="5"/>
        <v>0</v>
      </c>
      <c r="L35" s="148">
        <f>'[1]2024_60-69 ΕΞΟΔΑ+ΟΜ 2'!D141</f>
        <v>0</v>
      </c>
      <c r="M35" s="126">
        <f t="shared" si="6"/>
        <v>0</v>
      </c>
      <c r="N35" s="127">
        <f>L35+'[1]2025 Ιανουάριος'!N35</f>
        <v>0</v>
      </c>
      <c r="O35" s="126">
        <f t="shared" si="7"/>
        <v>0</v>
      </c>
      <c r="P35" s="127">
        <f t="shared" si="8"/>
        <v>0</v>
      </c>
      <c r="Q35" s="126" t="e">
        <f t="shared" si="9"/>
        <v>#DIV/0!</v>
      </c>
      <c r="R35" s="91"/>
      <c r="S35" s="91"/>
      <c r="T35" s="91"/>
      <c r="U35" s="91"/>
      <c r="V35" s="91"/>
    </row>
    <row r="36" spans="1:22" ht="24" customHeight="1" x14ac:dyDescent="0.2">
      <c r="A36" s="106">
        <v>35</v>
      </c>
      <c r="B36" s="106">
        <v>29</v>
      </c>
      <c r="C36" s="111">
        <f>[1]ΑΝΤΙΣΤΟΙΧΙΣΗ!F215</f>
        <v>0</v>
      </c>
      <c r="D36" s="101">
        <f>'[1]2025_ΕΣΟΔΑ'!D30</f>
        <v>0</v>
      </c>
      <c r="E36" s="126">
        <f t="shared" si="2"/>
        <v>0</v>
      </c>
      <c r="F36" s="127">
        <f>'[1]2025 Ιανουάριος'!F36+'2025 Φεβρουάριος'!D36</f>
        <v>0</v>
      </c>
      <c r="G36" s="126">
        <f t="shared" si="3"/>
        <v>0</v>
      </c>
      <c r="H36" s="127"/>
      <c r="I36" s="126" t="e">
        <f t="shared" si="4"/>
        <v>#DIV/0!</v>
      </c>
      <c r="J36" s="127">
        <f>H36+'[1]2025 Ιανουάριος'!J36</f>
        <v>0</v>
      </c>
      <c r="K36" s="126">
        <f t="shared" si="5"/>
        <v>0</v>
      </c>
      <c r="L36" s="148">
        <f>'[1]2024_60-69 ΕΞΟΔΑ+ΟΜ 2'!D142</f>
        <v>0</v>
      </c>
      <c r="M36" s="126">
        <f t="shared" si="6"/>
        <v>0</v>
      </c>
      <c r="N36" s="127">
        <f>L36+'[1]2025 Ιανουάριος'!N36</f>
        <v>0</v>
      </c>
      <c r="O36" s="126">
        <f t="shared" si="7"/>
        <v>0</v>
      </c>
      <c r="P36" s="127">
        <f t="shared" si="8"/>
        <v>0</v>
      </c>
      <c r="Q36" s="126" t="e">
        <f t="shared" si="9"/>
        <v>#DIV/0!</v>
      </c>
      <c r="R36" s="91"/>
      <c r="S36" s="91"/>
      <c r="T36" s="91"/>
      <c r="U36" s="91"/>
      <c r="V36" s="91"/>
    </row>
    <row r="37" spans="1:22" ht="24" customHeight="1" x14ac:dyDescent="0.2">
      <c r="A37" s="106">
        <v>36</v>
      </c>
      <c r="B37" s="106">
        <v>30</v>
      </c>
      <c r="C37" s="111">
        <f>[1]ΑΝΤΙΣΤΟΙΧΙΣΗ!F216</f>
        <v>0</v>
      </c>
      <c r="D37" s="101">
        <f>'[1]2025_ΕΣΟΔΑ'!D31</f>
        <v>0</v>
      </c>
      <c r="E37" s="126">
        <f t="shared" si="2"/>
        <v>0</v>
      </c>
      <c r="F37" s="127">
        <f>'[1]2025 Ιανουάριος'!F37+'2025 Φεβρουάριος'!D37</f>
        <v>0</v>
      </c>
      <c r="G37" s="126">
        <f t="shared" si="3"/>
        <v>0</v>
      </c>
      <c r="H37" s="127"/>
      <c r="I37" s="126" t="e">
        <f t="shared" si="4"/>
        <v>#DIV/0!</v>
      </c>
      <c r="J37" s="127">
        <f>H37+'[1]2025 Ιανουάριος'!J37</f>
        <v>0</v>
      </c>
      <c r="K37" s="126">
        <f t="shared" si="5"/>
        <v>0</v>
      </c>
      <c r="L37" s="148">
        <f>'[1]2024_60-69 ΕΞΟΔΑ+ΟΜ 2'!D143</f>
        <v>0</v>
      </c>
      <c r="M37" s="126">
        <f t="shared" si="6"/>
        <v>0</v>
      </c>
      <c r="N37" s="127">
        <f>L37+'[1]2025 Ιανουάριος'!N37</f>
        <v>0</v>
      </c>
      <c r="O37" s="126">
        <f t="shared" si="7"/>
        <v>0</v>
      </c>
      <c r="P37" s="127">
        <f t="shared" si="8"/>
        <v>0</v>
      </c>
      <c r="Q37" s="126" t="e">
        <f t="shared" si="9"/>
        <v>#DIV/0!</v>
      </c>
      <c r="R37" s="91"/>
      <c r="S37" s="91"/>
      <c r="T37" s="91"/>
      <c r="U37" s="91"/>
      <c r="V37" s="91"/>
    </row>
    <row r="38" spans="1:22" ht="15" customHeight="1" x14ac:dyDescent="0.2">
      <c r="A38" s="113">
        <v>37</v>
      </c>
      <c r="B38" s="113"/>
      <c r="C38" s="98" t="s">
        <v>17</v>
      </c>
      <c r="D38" s="97">
        <f>'[1]2025_ΕΣΟΔΑ'!D32</f>
        <v>0</v>
      </c>
      <c r="E38" s="96"/>
      <c r="F38" s="97" t="str">
        <f>'[1]2025_ΕΣΟΔΑ'!D34</f>
        <v>Φεβρουάριος</v>
      </c>
      <c r="G38" s="96"/>
      <c r="H38" s="97">
        <f>SUM(H8:H31)</f>
        <v>0</v>
      </c>
      <c r="I38" s="96"/>
      <c r="J38" s="97">
        <f>SUM(J8:J31)</f>
        <v>41232.310011828573</v>
      </c>
      <c r="K38" s="96"/>
      <c r="L38" s="97">
        <f>SUM(L8:L31)</f>
        <v>17070.640707964558</v>
      </c>
      <c r="M38" s="96"/>
      <c r="N38" s="97">
        <f>SUM(N8:N31)</f>
        <v>34329.626991150399</v>
      </c>
      <c r="O38" s="96"/>
      <c r="P38" s="97">
        <f>SUM(P8:P31)</f>
        <v>9003.047433628366</v>
      </c>
      <c r="Q38" s="96"/>
      <c r="R38" s="91"/>
      <c r="S38" s="91"/>
      <c r="T38" s="91"/>
      <c r="U38" s="91"/>
      <c r="V38" s="91"/>
    </row>
    <row r="39" spans="1:22" ht="29.25" customHeight="1" x14ac:dyDescent="0.2">
      <c r="A39" s="113">
        <v>38</v>
      </c>
      <c r="B39" s="113"/>
      <c r="C39" s="98" t="s">
        <v>18</v>
      </c>
      <c r="D39" s="97">
        <f>D7-D38</f>
        <v>22578.774424778763</v>
      </c>
      <c r="E39" s="96"/>
      <c r="F39" s="97" t="e">
        <f>F7-F38</f>
        <v>#VALUE!</v>
      </c>
      <c r="G39" s="96"/>
      <c r="H39" s="97">
        <f>H7-H38</f>
        <v>0</v>
      </c>
      <c r="I39" s="96"/>
      <c r="J39" s="97">
        <f>J7-J38</f>
        <v>0</v>
      </c>
      <c r="K39" s="96"/>
      <c r="L39" s="97">
        <f>L7-L38</f>
        <v>0</v>
      </c>
      <c r="M39" s="96"/>
      <c r="N39" s="97">
        <f>N7-N38</f>
        <v>0</v>
      </c>
      <c r="O39" s="96"/>
      <c r="P39" s="97">
        <f>P7-P38</f>
        <v>0</v>
      </c>
      <c r="Q39" s="96"/>
      <c r="R39" s="91"/>
      <c r="S39" s="91"/>
      <c r="T39" s="91"/>
      <c r="U39" s="91"/>
      <c r="V39" s="91"/>
    </row>
    <row r="40" spans="1:22" ht="41.25" customHeight="1" x14ac:dyDescent="0.2">
      <c r="A40" s="147">
        <v>39</v>
      </c>
      <c r="B40" s="147"/>
      <c r="C40" s="147" t="s">
        <v>160</v>
      </c>
      <c r="D40" s="184" t="str">
        <f>[1]ΑΝΤΙΣΤΟΙΧΙΣΗ!$F$32</f>
        <v xml:space="preserve">ΠΡΑΓΜΑΤΟΠΟΙΗΘΕΝΤΑ ΜΗΝΟΣ ΤΡΕΧ. ΕΤΟΥΣ </v>
      </c>
      <c r="E40" s="184"/>
      <c r="F40" s="184"/>
      <c r="G40" s="184"/>
      <c r="H40" s="184" t="str">
        <f>[1]ΑΝΤΙΣΤΟΙΧΙΣΗ!$F$35</f>
        <v>ΠΡΟΥΠΟΛΟΓΙΣΜΟΣ ΤΡΕΧΟΝΤΟΣ ΕΤΟΥΣ</v>
      </c>
      <c r="I40" s="184"/>
      <c r="J40" s="184"/>
      <c r="K40" s="184"/>
      <c r="L40" s="184" t="str">
        <f>[1]ΑΝΤΙΣΤΟΙΧΙΣΗ!$F$68</f>
        <v>ΠΡΑΓΜΑΤΟΠΟΙΗΘΕΝΤΑ ΠΡΟΗΓΟΥΜΕΝΟΥ ΕΤΟΥΣ</v>
      </c>
      <c r="M40" s="184"/>
      <c r="N40" s="184"/>
      <c r="O40" s="184">
        <f>[1]ΑΝΤΙΣΤΟΙΧΙΣΗ!$D$33</f>
        <v>2024</v>
      </c>
      <c r="P40" s="185" t="str">
        <f>[1]ΑΝΤΙΣΤΟΙΧΙΣΗ!$F$100</f>
        <v xml:space="preserve">ΣΥΓΚΡΙΣΕΙΣ </v>
      </c>
      <c r="Q40" s="185">
        <f>[1]ΑΝΤΙΣΤΟΙΧΙΣΗ!$H$141</f>
        <v>2024</v>
      </c>
      <c r="R40" s="91"/>
      <c r="S40" s="91"/>
      <c r="T40" s="91"/>
      <c r="U40" s="91"/>
      <c r="V40" s="91"/>
    </row>
    <row r="41" spans="1:22" ht="31.5" customHeight="1" x14ac:dyDescent="0.2">
      <c r="A41" s="113">
        <v>40</v>
      </c>
      <c r="B41" s="113"/>
      <c r="C41" s="118" t="s">
        <v>161</v>
      </c>
      <c r="D41" s="186" t="str">
        <f>[1]ΑΝΤΙΣΤΟΙΧΙΣΗ!$F$107</f>
        <v xml:space="preserve">ΦΕΒΡΟΥΑΡΙΟΣ ΤΡΕΧΟΝ ΕΤΟΣ </v>
      </c>
      <c r="E41" s="186"/>
      <c r="F41" s="186"/>
      <c r="G41" s="117">
        <f>[1]ΑΝΤΙΣΤΟΙΧΙΣΗ!$D$34</f>
        <v>2025</v>
      </c>
      <c r="H41" s="186" t="str">
        <f>[1]ΑΝΤΙΣΤΟΙΧΙΣΗ!$F$107</f>
        <v xml:space="preserve">ΦΕΒΡΟΥΑΡΙΟΣ ΤΡΕΧΟΝ ΕΤΟΣ </v>
      </c>
      <c r="I41" s="186"/>
      <c r="J41" s="186"/>
      <c r="K41" s="117">
        <f>[1]ΑΝΤΙΣΤΟΙΧΙΣΗ!$D$34</f>
        <v>2025</v>
      </c>
      <c r="L41" s="186" t="str">
        <f>[1]ΑΝΤΙΣΤΟΙΧΙΣΗ!$F$121</f>
        <v>ΦΕΒΡΟΥΑΡΙΟΣ ΠΡΟΗΓΟΥΜΕΝΟΥ ΕΤΟΥΣ</v>
      </c>
      <c r="M41" s="186"/>
      <c r="N41" s="186"/>
      <c r="O41" s="117">
        <f>[1]ΑΝΤΙΣΤΟΙΧΙΣΗ!$D$33</f>
        <v>2024</v>
      </c>
      <c r="P41" s="186"/>
      <c r="Q41" s="186"/>
      <c r="R41" s="91"/>
      <c r="S41" s="91"/>
      <c r="T41" s="91"/>
      <c r="U41" s="91"/>
      <c r="V41" s="91"/>
    </row>
    <row r="42" spans="1:22" ht="72" customHeight="1" x14ac:dyDescent="0.2">
      <c r="A42" s="116">
        <v>41</v>
      </c>
      <c r="B42" s="116" t="s">
        <v>19</v>
      </c>
      <c r="C42" s="115" t="s">
        <v>20</v>
      </c>
      <c r="D42" s="115" t="s">
        <v>162</v>
      </c>
      <c r="E42" s="114" t="s">
        <v>22</v>
      </c>
      <c r="F42" s="114" t="s">
        <v>23</v>
      </c>
      <c r="G42" s="114" t="s">
        <v>24</v>
      </c>
      <c r="H42" s="114" t="s">
        <v>21</v>
      </c>
      <c r="I42" s="114" t="s">
        <v>22</v>
      </c>
      <c r="J42" s="114" t="s">
        <v>23</v>
      </c>
      <c r="K42" s="114" t="s">
        <v>24</v>
      </c>
      <c r="L42" s="114" t="s">
        <v>21</v>
      </c>
      <c r="M42" s="114" t="s">
        <v>25</v>
      </c>
      <c r="N42" s="114" t="s">
        <v>26</v>
      </c>
      <c r="O42" s="114" t="s">
        <v>27</v>
      </c>
      <c r="P42" s="114" t="s">
        <v>28</v>
      </c>
      <c r="Q42" s="114" t="s">
        <v>29</v>
      </c>
      <c r="R42" s="91"/>
      <c r="S42" s="91"/>
      <c r="T42" s="91"/>
      <c r="U42" s="91"/>
      <c r="V42" s="91"/>
    </row>
    <row r="43" spans="1:22" ht="18" x14ac:dyDescent="0.2">
      <c r="A43" s="113">
        <v>42</v>
      </c>
      <c r="B43" s="146" t="s">
        <v>2</v>
      </c>
      <c r="C43" s="98" t="s">
        <v>31</v>
      </c>
      <c r="D43" s="97">
        <f>SUM(D44:D77)</f>
        <v>39705.08666666667</v>
      </c>
      <c r="E43" s="96"/>
      <c r="F43" s="97">
        <f>SUM(F44:F77)</f>
        <v>145571.96000000002</v>
      </c>
      <c r="G43" s="96"/>
      <c r="H43" s="97">
        <f>SUM(H44:H77)</f>
        <v>0</v>
      </c>
      <c r="I43" s="96"/>
      <c r="J43" s="97">
        <f>SUM(J44:J77)</f>
        <v>0</v>
      </c>
      <c r="K43" s="96"/>
      <c r="L43" s="97">
        <f>SUM(L44:L77)</f>
        <v>42258.86</v>
      </c>
      <c r="M43" s="96"/>
      <c r="N43" s="97">
        <f>SUM(N44:N77)</f>
        <v>123729.78</v>
      </c>
      <c r="O43" s="96"/>
      <c r="P43" s="97">
        <f>SUM(P44:P77)</f>
        <v>12189.599999999991</v>
      </c>
      <c r="Q43" s="96"/>
      <c r="R43" s="91"/>
      <c r="S43" s="91"/>
      <c r="T43" s="91"/>
      <c r="U43" s="91"/>
      <c r="V43" s="91"/>
    </row>
    <row r="44" spans="1:22" ht="28.5" x14ac:dyDescent="0.2">
      <c r="A44" s="106">
        <v>43</v>
      </c>
      <c r="B44" s="106">
        <v>1</v>
      </c>
      <c r="C44" s="111" t="str">
        <f>[1]ΑΝΤΙΣΤΟΙΧΙΣΗ!I187</f>
        <v>Μικτές Αποδοχές H.Keepin (Α.Κ.Υπ.)</v>
      </c>
      <c r="D44" s="103">
        <f>'[1]2025_60-69 ΕΞΟΔΑ+ΟΜ 2'!E4</f>
        <v>2149.4899999999998</v>
      </c>
      <c r="E44" s="102">
        <f>D44/$D$78</f>
        <v>6.0370442284240516E-2</v>
      </c>
      <c r="F44" s="101">
        <f>'[1]2025 Ιανουάριος'!F44+'2025 Φεβρουάριος'!D44</f>
        <v>48736.82666666666</v>
      </c>
      <c r="G44" s="102">
        <f>F44/$F$43</f>
        <v>0.33479542809389018</v>
      </c>
      <c r="H44" s="103"/>
      <c r="I44" s="144" t="e">
        <f>H44/$H$43</f>
        <v>#DIV/0!</v>
      </c>
      <c r="J44" s="101">
        <f>H44</f>
        <v>0</v>
      </c>
      <c r="K44" s="143">
        <f>J44/$J$38</f>
        <v>0</v>
      </c>
      <c r="L44" s="103">
        <f>'[1]2024_60-69 ΕΞΟΔΑ+ΟΜ 2'!E4</f>
        <v>2874.37</v>
      </c>
      <c r="M44" s="102">
        <f>L44/$L$43</f>
        <v>6.8018162345127142E-2</v>
      </c>
      <c r="N44" s="101">
        <f>L44+'[1]2025 Ιανουάριος'!L44</f>
        <v>40726.65</v>
      </c>
      <c r="O44" s="102">
        <f>N44/$N$43</f>
        <v>0.32915802485060591</v>
      </c>
      <c r="P44" s="101">
        <f>F44-N44</f>
        <v>8010.176666666659</v>
      </c>
      <c r="Q44" s="102">
        <f>N44/F44</f>
        <v>0.83564427119041007</v>
      </c>
      <c r="R44" s="91"/>
      <c r="S44" s="91"/>
      <c r="T44" s="91"/>
      <c r="U44" s="91"/>
      <c r="V44" s="91"/>
    </row>
    <row r="45" spans="1:22" ht="28.5" x14ac:dyDescent="0.2">
      <c r="A45" s="106">
        <v>44</v>
      </c>
      <c r="B45" s="106">
        <v>2</v>
      </c>
      <c r="C45" s="111" t="str">
        <f>[1]ΑΝΤΙΣΤΟΙΧΙΣΗ!I188</f>
        <v>Μικτές Αποδοχές Operation (Α.Κ.Operation )</v>
      </c>
      <c r="D45" s="103">
        <f>'[1]2025_60-69 ΕΞΟΔΑ+ΟΜ 2'!E5</f>
        <v>4249.6499999999996</v>
      </c>
      <c r="E45" s="102">
        <f t="shared" ref="E45:E77" si="10">D45/$D$78</f>
        <v>0.11935540526042118</v>
      </c>
      <c r="F45" s="101">
        <f>'[1]2025 Ιανουάριος'!F45+'2025 Φεβρουάριος'!D45</f>
        <v>6447.369999999999</v>
      </c>
      <c r="G45" s="102">
        <f t="shared" ref="G45:G77" si="11">F45/$F$43</f>
        <v>4.4289916821893434E-2</v>
      </c>
      <c r="H45" s="103"/>
      <c r="I45" s="144" t="e">
        <f t="shared" ref="I45:I77" si="12">H45/$H$43</f>
        <v>#DIV/0!</v>
      </c>
      <c r="J45" s="101">
        <f t="shared" ref="J45:J77" si="13">H45</f>
        <v>0</v>
      </c>
      <c r="K45" s="143">
        <f t="shared" ref="K45:K77" si="14">J45/$J$38</f>
        <v>0</v>
      </c>
      <c r="L45" s="103">
        <f>'[1]2024_60-69 ΕΞΟΔΑ+ΟΜ 2'!E5</f>
        <v>4702.76</v>
      </c>
      <c r="M45" s="102">
        <f t="shared" ref="M45:M77" si="15">L45/$L$43</f>
        <v>0.11128459215416601</v>
      </c>
      <c r="N45" s="101">
        <f>L45+'[1]2025 Ιανουάριος'!L45</f>
        <v>7760.9400000000005</v>
      </c>
      <c r="O45" s="102">
        <f t="shared" ref="O45:O77" si="16">N45/$N$43</f>
        <v>6.2724915537714532E-2</v>
      </c>
      <c r="P45" s="101">
        <f t="shared" ref="P45:P77" si="17">F45-N45</f>
        <v>-1313.5700000000015</v>
      </c>
      <c r="Q45" s="102">
        <f t="shared" ref="Q45:Q77" si="18">N45/F45</f>
        <v>1.2037373378602441</v>
      </c>
      <c r="R45" s="91"/>
      <c r="S45" s="91"/>
      <c r="T45" s="91"/>
      <c r="U45" s="91"/>
      <c r="V45" s="91"/>
    </row>
    <row r="46" spans="1:22" ht="28.5" x14ac:dyDescent="0.2">
      <c r="A46" s="106">
        <v>45</v>
      </c>
      <c r="B46" s="106">
        <v>3</v>
      </c>
      <c r="C46" s="111" t="str">
        <f>[1]ΑΝΤΙΣΤΟΙΧΙΣΗ!I189</f>
        <v>Μικτές Αποδοχές Maintenance (Α.Κ.Υπ.)</v>
      </c>
      <c r="D46" s="103">
        <f>'[1]2025_60-69 ΕΞΟΔΑ+ΟΜ 2'!E6</f>
        <v>1990.56</v>
      </c>
      <c r="E46" s="102">
        <f t="shared" si="10"/>
        <v>5.5906744201330461E-2</v>
      </c>
      <c r="F46" s="101">
        <f>'[1]2025 Ιανουάριος'!F46+'2025 Φεβρουάριος'!D46</f>
        <v>5023.18</v>
      </c>
      <c r="G46" s="102">
        <f t="shared" si="11"/>
        <v>3.4506507984092535E-2</v>
      </c>
      <c r="H46" s="103"/>
      <c r="I46" s="144" t="e">
        <f t="shared" si="12"/>
        <v>#DIV/0!</v>
      </c>
      <c r="J46" s="101">
        <f t="shared" si="13"/>
        <v>0</v>
      </c>
      <c r="K46" s="143">
        <f t="shared" si="14"/>
        <v>0</v>
      </c>
      <c r="L46" s="103">
        <f>'[1]2024_60-69 ΕΞΟΔΑ+ΟΜ 2'!E6</f>
        <v>2652.85</v>
      </c>
      <c r="M46" s="102">
        <f t="shared" si="15"/>
        <v>6.2776184686477582E-2</v>
      </c>
      <c r="N46" s="101">
        <f>L46+'[1]2025 Ιανουάριος'!L46</f>
        <v>6842.84</v>
      </c>
      <c r="O46" s="102">
        <f t="shared" si="16"/>
        <v>5.5304713222637268E-2</v>
      </c>
      <c r="P46" s="101">
        <f t="shared" si="17"/>
        <v>-1819.6599999999999</v>
      </c>
      <c r="Q46" s="102">
        <f t="shared" si="18"/>
        <v>1.3622525969604911</v>
      </c>
      <c r="R46" s="91"/>
      <c r="S46" s="91"/>
      <c r="T46" s="91"/>
      <c r="U46" s="91"/>
      <c r="V46" s="91"/>
    </row>
    <row r="47" spans="1:22" ht="28.5" x14ac:dyDescent="0.2">
      <c r="A47" s="106">
        <v>46</v>
      </c>
      <c r="B47" s="106">
        <v>4</v>
      </c>
      <c r="C47" s="132" t="str">
        <f>[1]ΑΝΤΙΣΤΟΙΧΙΣΗ!L187</f>
        <v>Μικτές Αποδοχές Developent Department (A.K.Ddep)</v>
      </c>
      <c r="D47" s="125">
        <f>'[1]2025_60-69 ΕΞΟΔΑ+ΟΜ 2'!E37</f>
        <v>1739.37</v>
      </c>
      <c r="E47" s="102">
        <f>D47/$D$111</f>
        <v>0.19864416225741499</v>
      </c>
      <c r="F47" s="125">
        <f>'[1]2025 Ιανουάριος'!F81+'2025 Φεβρουάριος'!D47</f>
        <v>11358.14</v>
      </c>
      <c r="G47" s="102" t="e">
        <f>F47/$F$84</f>
        <v>#VALUE!</v>
      </c>
      <c r="H47" s="103"/>
      <c r="I47" s="131" t="e">
        <f ca="1">H47/$H$84</f>
        <v>#DIV/0!</v>
      </c>
      <c r="J47" s="130"/>
      <c r="K47" s="130" t="e">
        <f ca="1">J47/$J$84</f>
        <v>#DIV/0!</v>
      </c>
      <c r="L47" s="125">
        <f>'[1]2024_60-69 ΕΞΟΔΑ+ΟΜ 2'!E35</f>
        <v>1349.58</v>
      </c>
      <c r="M47" s="102">
        <f ca="1">L47/$L$84</f>
        <v>0.28791838493654215</v>
      </c>
      <c r="N47" s="101">
        <f>L47+'[1]2025 Ιανουάριος'!L81</f>
        <v>5766.3600000000006</v>
      </c>
      <c r="O47" s="102">
        <f ca="1">N47/$N$84</f>
        <v>0.42647658112274822</v>
      </c>
      <c r="P47" s="130"/>
      <c r="Q47" s="123" t="e">
        <f>SUM(D47:P47)</f>
        <v>#VALUE!</v>
      </c>
      <c r="R47" s="91"/>
      <c r="S47" s="91"/>
      <c r="T47" s="91"/>
      <c r="U47" s="91"/>
      <c r="V47" s="91"/>
    </row>
    <row r="48" spans="1:22" ht="28.5" x14ac:dyDescent="0.2">
      <c r="A48" s="106">
        <v>47</v>
      </c>
      <c r="B48" s="106">
        <v>5</v>
      </c>
      <c r="C48" s="111" t="str">
        <f>[1]ΑΝΤΙΣΤΟΙΧΙΣΗ!L188</f>
        <v>Μικτές Αποδοχές Reservation department (Α.Κ.RDep )</v>
      </c>
      <c r="D48" s="125">
        <f>'[1]2025_60-69 ΕΞΟΔΑ+ΟΜ 2'!E38</f>
        <v>1747.2</v>
      </c>
      <c r="E48" s="102">
        <f>D48/$D$111</f>
        <v>0.19953838475778904</v>
      </c>
      <c r="F48" s="125">
        <f>'[1]2025 Ιανουάριος'!F82+'2025 Φεβρουάριος'!D48</f>
        <v>3403.54</v>
      </c>
      <c r="G48" s="102" t="e">
        <f>F48/$F$84</f>
        <v>#VALUE!</v>
      </c>
      <c r="H48" s="103"/>
      <c r="I48" s="131" t="e">
        <f ca="1">H48/$H$84</f>
        <v>#DIV/0!</v>
      </c>
      <c r="J48" s="130"/>
      <c r="K48" s="130" t="e">
        <f ca="1">J48/$J$84</f>
        <v>#DIV/0!</v>
      </c>
      <c r="L48" s="125">
        <f>'[1]2024_60-69 ΕΞΟΔΑ+ΟΜ 2'!E36</f>
        <v>0</v>
      </c>
      <c r="M48" s="102">
        <f ca="1">L48/$L$84</f>
        <v>0</v>
      </c>
      <c r="N48" s="101">
        <f>L48+'[1]2025 Ιανουάριος'!L82</f>
        <v>1349.58</v>
      </c>
      <c r="O48" s="102">
        <f ca="1">N48/$N$84</f>
        <v>9.9814140003683174E-2</v>
      </c>
      <c r="P48" s="130"/>
      <c r="Q48" s="123" t="e">
        <f>SUM(D48:P48)</f>
        <v>#VALUE!</v>
      </c>
      <c r="R48" s="91"/>
      <c r="S48" s="91"/>
      <c r="T48" s="91"/>
      <c r="U48" s="91"/>
      <c r="V48" s="91"/>
    </row>
    <row r="49" spans="1:22" ht="28.5" x14ac:dyDescent="0.2">
      <c r="A49" s="106">
        <v>48</v>
      </c>
      <c r="B49" s="106">
        <v>6</v>
      </c>
      <c r="C49" s="110" t="str">
        <f>[1]ΑΝΤΙΣΤΟΙΧΙΣΗ!I190</f>
        <v>Ασφαλιστικές εισφορές (Α.Κ.HOUSE KEEPING)</v>
      </c>
      <c r="D49" s="103">
        <f>'[1]2025_60-69 ΕΞΟΔΑ+ΟΜ 2'!E7</f>
        <v>439.85</v>
      </c>
      <c r="E49" s="102">
        <f t="shared" si="10"/>
        <v>1.2353599709104577E-2</v>
      </c>
      <c r="F49" s="101">
        <f>'[1]2025 Ιανουάριος'!F47+'2025 Φεβρουάριος'!D49</f>
        <v>2058.0700000000002</v>
      </c>
      <c r="G49" s="102">
        <f t="shared" si="11"/>
        <v>1.413781884917947E-2</v>
      </c>
      <c r="H49" s="103"/>
      <c r="I49" s="144" t="e">
        <f t="shared" si="12"/>
        <v>#DIV/0!</v>
      </c>
      <c r="J49" s="101">
        <f t="shared" si="13"/>
        <v>0</v>
      </c>
      <c r="K49" s="143">
        <f t="shared" si="14"/>
        <v>0</v>
      </c>
      <c r="L49" s="103">
        <f>'[1]2024_60-69 ΕΞΟΔΑ+ΟΜ 2'!E7</f>
        <v>698.88999999999987</v>
      </c>
      <c r="M49" s="102">
        <f t="shared" si="15"/>
        <v>1.653830699644997E-2</v>
      </c>
      <c r="N49" s="101">
        <f>L49+'[1]2025 Ιανουάριος'!L47</f>
        <v>3399.17</v>
      </c>
      <c r="O49" s="102">
        <f t="shared" si="16"/>
        <v>2.7472529248819485E-2</v>
      </c>
      <c r="P49" s="101">
        <f t="shared" si="17"/>
        <v>-1341.1</v>
      </c>
      <c r="Q49" s="102">
        <f t="shared" si="18"/>
        <v>1.6516299251240238</v>
      </c>
      <c r="R49" s="91"/>
      <c r="S49" s="91"/>
      <c r="T49" s="91"/>
      <c r="U49" s="91"/>
      <c r="V49" s="109"/>
    </row>
    <row r="50" spans="1:22" ht="28.5" x14ac:dyDescent="0.2">
      <c r="A50" s="106">
        <v>49</v>
      </c>
      <c r="B50" s="106">
        <v>7</v>
      </c>
      <c r="C50" s="110" t="str">
        <f>[1]ΑΝΤΙΣΤΟΙΧΙΣΗ!I191</f>
        <v>Ασφαλιστικές εισφορές (Α.Κ. OPERATION DEP )</v>
      </c>
      <c r="D50" s="103">
        <f>'[1]2025_60-69 ΕΞΟΔΑ+ΟΜ 2'!E8</f>
        <v>734.17000000000007</v>
      </c>
      <c r="E50" s="102">
        <f t="shared" si="10"/>
        <v>2.0619852900837347E-2</v>
      </c>
      <c r="F50" s="101">
        <f>'[1]2025 Ιανουάριος'!F48+'2025 Φεβρουάριος'!D50</f>
        <v>1219.01</v>
      </c>
      <c r="G50" s="102">
        <f t="shared" si="11"/>
        <v>8.3739341010452828E-3</v>
      </c>
      <c r="H50" s="103"/>
      <c r="I50" s="144" t="e">
        <f t="shared" si="12"/>
        <v>#DIV/0!</v>
      </c>
      <c r="J50" s="101">
        <f t="shared" si="13"/>
        <v>0</v>
      </c>
      <c r="K50" s="143">
        <f t="shared" si="14"/>
        <v>0</v>
      </c>
      <c r="L50" s="103">
        <f>'[1]2024_60-69 ΕΞΟΔΑ+ΟΜ 2'!E8</f>
        <v>1048.25</v>
      </c>
      <c r="M50" s="102">
        <f t="shared" si="15"/>
        <v>2.4805449082156972E-2</v>
      </c>
      <c r="N50" s="101">
        <f>L50+'[1]2025 Ιανουάριος'!L48</f>
        <v>1795.67</v>
      </c>
      <c r="O50" s="102">
        <f t="shared" si="16"/>
        <v>1.4512835955903261E-2</v>
      </c>
      <c r="P50" s="101">
        <f t="shared" si="17"/>
        <v>-576.66000000000008</v>
      </c>
      <c r="Q50" s="102">
        <f t="shared" si="18"/>
        <v>1.4730560044626377</v>
      </c>
      <c r="R50" s="91"/>
      <c r="S50" s="91"/>
      <c r="T50" s="91"/>
      <c r="U50" s="91"/>
      <c r="V50" s="109"/>
    </row>
    <row r="51" spans="1:22" ht="28.5" x14ac:dyDescent="0.2">
      <c r="A51" s="106">
        <v>50</v>
      </c>
      <c r="B51" s="106">
        <v>8</v>
      </c>
      <c r="C51" s="110" t="str">
        <f>[1]ΑΝΤΙΣΤΟΙΧΙΣΗ!I192</f>
        <v>Ασφαλιστικές εισφορές (Α.Κ. MAINTENANCE DEP )</v>
      </c>
      <c r="D51" s="103">
        <f>'[1]2025_60-69 ΕΞΟΔΑ+ΟΜ 2'!E9</f>
        <v>490.41</v>
      </c>
      <c r="E51" s="102">
        <f t="shared" si="10"/>
        <v>1.3773624720568318E-2</v>
      </c>
      <c r="F51" s="101">
        <f>'[1]2025 Ιανουάριος'!F49+'2025 Φεβρουάριος'!D51</f>
        <v>1003.5</v>
      </c>
      <c r="G51" s="102">
        <f t="shared" si="11"/>
        <v>6.8934978961607708E-3</v>
      </c>
      <c r="H51" s="103"/>
      <c r="I51" s="144" t="e">
        <f t="shared" si="12"/>
        <v>#DIV/0!</v>
      </c>
      <c r="J51" s="101">
        <f t="shared" si="13"/>
        <v>0</v>
      </c>
      <c r="K51" s="143">
        <f t="shared" si="14"/>
        <v>0</v>
      </c>
      <c r="L51" s="103">
        <f>'[1]2024_60-69 ΕΞΟΔΑ+ΟΜ 2'!E9</f>
        <v>701.41</v>
      </c>
      <c r="M51" s="102">
        <f t="shared" si="15"/>
        <v>1.6597939461689217E-2</v>
      </c>
      <c r="N51" s="101">
        <f>L51+'[1]2025 Ιανουάριος'!L49</f>
        <v>1635.36</v>
      </c>
      <c r="O51" s="102">
        <f t="shared" si="16"/>
        <v>1.3217189911757703E-2</v>
      </c>
      <c r="P51" s="101">
        <f t="shared" si="17"/>
        <v>-631.8599999999999</v>
      </c>
      <c r="Q51" s="102">
        <f t="shared" si="18"/>
        <v>1.6296562032884903</v>
      </c>
      <c r="R51" s="91"/>
      <c r="S51" s="91"/>
      <c r="T51" s="91"/>
      <c r="U51" s="91"/>
      <c r="V51" s="109"/>
    </row>
    <row r="52" spans="1:22" ht="27" customHeight="1" x14ac:dyDescent="0.2">
      <c r="A52" s="106">
        <v>51</v>
      </c>
      <c r="B52" s="106">
        <v>9</v>
      </c>
      <c r="C52" s="111" t="str">
        <f>[1]ΑΝΤΙΣΤΟΙΧΙΣΗ!L191</f>
        <v>Ασφαλιστικές εισφορές (Α.Κ.DDep)</v>
      </c>
      <c r="D52" s="125">
        <f>'[1]2025_60-69 ΕΞΟΔΑ+ΟΜ 2'!E41</f>
        <v>357.22</v>
      </c>
      <c r="E52" s="102">
        <f>D52/$D$111</f>
        <v>4.0796189218851531E-2</v>
      </c>
      <c r="F52" s="125">
        <f>'[1]2025 Ιανουάριος'!F85+'2025 Φεβρουάριος'!D52</f>
        <v>1435.18</v>
      </c>
      <c r="G52" s="102" t="e">
        <f>F52/$F$84</f>
        <v>#VALUE!</v>
      </c>
      <c r="H52" s="103"/>
      <c r="I52" s="131" t="e">
        <f ca="1">H52/$H$84</f>
        <v>#DIV/0!</v>
      </c>
      <c r="J52" s="130"/>
      <c r="K52" s="130" t="e">
        <f ca="1">J52/$J$84</f>
        <v>#DIV/0!</v>
      </c>
      <c r="L52" s="125">
        <f>'[1]2024_60-69 ΕΞΟΔΑ+ΟΜ 2'!E39</f>
        <v>300.82</v>
      </c>
      <c r="M52" s="102">
        <f ca="1">L52/$L$84</f>
        <v>6.4176713167511834E-2</v>
      </c>
      <c r="N52" s="101">
        <f>L52+'[1]2025 Ιανουάριος'!L85</f>
        <v>300.82</v>
      </c>
      <c r="O52" s="102">
        <f ca="1">N52/$N$84</f>
        <v>2.2248469594916918E-2</v>
      </c>
      <c r="P52" s="130"/>
      <c r="Q52" s="123" t="e">
        <f>SUM(D52:P52)</f>
        <v>#VALUE!</v>
      </c>
      <c r="R52" s="91"/>
      <c r="S52" s="91"/>
      <c r="T52" s="91"/>
      <c r="U52" s="91"/>
      <c r="V52" s="91"/>
    </row>
    <row r="53" spans="1:22" ht="30.75" customHeight="1" x14ac:dyDescent="0.2">
      <c r="A53" s="106">
        <v>52</v>
      </c>
      <c r="B53" s="106">
        <v>10</v>
      </c>
      <c r="C53" s="110" t="str">
        <f>[1]ΑΝΤΙΣΤΟΙΧΙΣΗ!L192</f>
        <v>Ασφαλιστικές εισφορές (Α.Κ.RDep)</v>
      </c>
      <c r="D53" s="125">
        <f>'[1]2025_60-69 ΕΞΟΔΑ+ΟΜ 2'!E42</f>
        <v>358.92</v>
      </c>
      <c r="E53" s="102">
        <f>D53/$D$111</f>
        <v>4.0990337143581523E-2</v>
      </c>
      <c r="F53" s="125">
        <f>'[1]2025 Ιανουάριος'!F86+'2025 Φεβρουάριος'!D53</f>
        <v>698.05</v>
      </c>
      <c r="G53" s="102" t="e">
        <f>F53/$F$84</f>
        <v>#VALUE!</v>
      </c>
      <c r="H53" s="103"/>
      <c r="I53" s="131" t="e">
        <f ca="1">H53/$H$84</f>
        <v>#DIV/0!</v>
      </c>
      <c r="J53" s="130"/>
      <c r="K53" s="130" t="e">
        <f ca="1">J53/$J$84</f>
        <v>#DIV/0!</v>
      </c>
      <c r="L53" s="125">
        <f>'[1]2024_60-69 ΕΞΟΔΑ+ΟΜ 2'!E40</f>
        <v>0</v>
      </c>
      <c r="M53" s="102">
        <f ca="1">L53/$L$84</f>
        <v>0</v>
      </c>
      <c r="N53" s="101">
        <f>L53+'[1]2025 Ιανουάριος'!L86</f>
        <v>0</v>
      </c>
      <c r="O53" s="102">
        <f ca="1">N53/$N$84</f>
        <v>0</v>
      </c>
      <c r="P53" s="130"/>
      <c r="Q53" s="123" t="e">
        <f>SUM(D53:P53)</f>
        <v>#VALUE!</v>
      </c>
      <c r="R53" s="91"/>
      <c r="S53" s="91"/>
      <c r="T53" s="91"/>
      <c r="U53" s="91"/>
      <c r="V53" s="109"/>
    </row>
    <row r="54" spans="1:22" ht="15" x14ac:dyDescent="0.2">
      <c r="A54" s="106">
        <v>53</v>
      </c>
      <c r="B54" s="106">
        <v>11</v>
      </c>
      <c r="C54" s="132" t="str">
        <f>[1]ΑΝΤΙΣΤΟΙΧΙΣΗ!I193</f>
        <v xml:space="preserve">Ενοίκια </v>
      </c>
      <c r="D54" s="103">
        <f>'[1]2025_60-69 ΕΞΟΔΑ+ΟΜ 2'!E10</f>
        <v>9138.619999999999</v>
      </c>
      <c r="E54" s="102">
        <f t="shared" si="10"/>
        <v>0.25666671222829884</v>
      </c>
      <c r="F54" s="101">
        <f>'[1]2025 Ιανουάριος'!F50+'2025 Φεβρουάριος'!D54</f>
        <v>9521.2999999999993</v>
      </c>
      <c r="G54" s="102">
        <f t="shared" si="11"/>
        <v>6.5406140028615389E-2</v>
      </c>
      <c r="H54" s="103"/>
      <c r="I54" s="144" t="e">
        <f t="shared" si="12"/>
        <v>#DIV/0!</v>
      </c>
      <c r="J54" s="101">
        <f t="shared" si="13"/>
        <v>0</v>
      </c>
      <c r="K54" s="143">
        <f t="shared" si="14"/>
        <v>0</v>
      </c>
      <c r="L54" s="103">
        <f>'[1]2024_60-69 ΕΞΟΔΑ+ΟΜ 2'!E10</f>
        <v>9312.57</v>
      </c>
      <c r="M54" s="102">
        <f t="shared" si="15"/>
        <v>0.22036964556071792</v>
      </c>
      <c r="N54" s="101">
        <f>L54+'[1]2025 Ιανουάριος'!L50</f>
        <v>10026.529999999999</v>
      </c>
      <c r="O54" s="102">
        <f t="shared" si="16"/>
        <v>8.103570538959981E-2</v>
      </c>
      <c r="P54" s="101">
        <f t="shared" si="17"/>
        <v>-505.22999999999956</v>
      </c>
      <c r="Q54" s="102">
        <f t="shared" si="18"/>
        <v>1.0530631321353177</v>
      </c>
      <c r="R54" s="91"/>
      <c r="S54" s="91"/>
      <c r="T54" s="91"/>
      <c r="U54" s="91"/>
      <c r="V54" s="91"/>
    </row>
    <row r="55" spans="1:22" ht="15" x14ac:dyDescent="0.2">
      <c r="A55" s="106">
        <v>54</v>
      </c>
      <c r="B55" s="106">
        <v>12</v>
      </c>
      <c r="C55" s="132" t="str">
        <f>[1]ΑΝΤΙΣΤΟΙΧΙΣΗ!I194</f>
        <v xml:space="preserve">Διαφορά Ενοικίου </v>
      </c>
      <c r="D55" s="103">
        <f>'[1]2025_60-69 ΕΞΟΔΑ+ΟΜ 2'!E11</f>
        <v>0</v>
      </c>
      <c r="E55" s="102">
        <f t="shared" si="10"/>
        <v>0</v>
      </c>
      <c r="F55" s="101">
        <f>'[1]2025 Ιανουάριος'!F51+'2025 Φεβρουάριος'!D55</f>
        <v>9138.619999999999</v>
      </c>
      <c r="G55" s="102">
        <f t="shared" si="11"/>
        <v>6.2777337064088432E-2</v>
      </c>
      <c r="H55" s="103"/>
      <c r="I55" s="144" t="e">
        <f t="shared" si="12"/>
        <v>#DIV/0!</v>
      </c>
      <c r="J55" s="101">
        <f t="shared" si="13"/>
        <v>0</v>
      </c>
      <c r="K55" s="143">
        <f t="shared" si="14"/>
        <v>0</v>
      </c>
      <c r="L55" s="103">
        <f>'[1]2024_60-69 ΕΞΟΔΑ+ΟΜ 2'!E11</f>
        <v>0</v>
      </c>
      <c r="M55" s="102">
        <f t="shared" si="15"/>
        <v>0</v>
      </c>
      <c r="N55" s="101">
        <f>L55+'[1]2025 Ιανουάριος'!L51</f>
        <v>9308.57</v>
      </c>
      <c r="O55" s="102">
        <f t="shared" si="16"/>
        <v>7.5233060302863225E-2</v>
      </c>
      <c r="P55" s="101">
        <f t="shared" si="17"/>
        <v>-169.95000000000073</v>
      </c>
      <c r="Q55" s="102">
        <f t="shared" si="18"/>
        <v>1.0185968997507282</v>
      </c>
      <c r="R55" s="91"/>
      <c r="S55" s="91"/>
      <c r="T55" s="91"/>
      <c r="U55" s="91"/>
      <c r="V55" s="91"/>
    </row>
    <row r="56" spans="1:22" ht="15" x14ac:dyDescent="0.2">
      <c r="A56" s="106">
        <v>55</v>
      </c>
      <c r="B56" s="106">
        <v>13</v>
      </c>
      <c r="C56" s="132" t="str">
        <f>[1]ΑΝΤΙΣΤΟΙΧΙΣΗ!I195</f>
        <v xml:space="preserve">Χαρτόσημο ενοικίων </v>
      </c>
      <c r="D56" s="103">
        <f>'[1]2025_60-69 ΕΞΟΔΑ+ΟΜ 2'!E12</f>
        <v>321.41000000000003</v>
      </c>
      <c r="E56" s="102">
        <f t="shared" si="10"/>
        <v>9.0271012447500319E-3</v>
      </c>
      <c r="F56" s="101">
        <f>'[1]2025 Ιανουάριος'!F52+'2025 Φεβρουάριος'!D56</f>
        <v>321.41000000000003</v>
      </c>
      <c r="G56" s="102">
        <f t="shared" si="11"/>
        <v>2.2079114686647068E-3</v>
      </c>
      <c r="H56" s="103"/>
      <c r="I56" s="144" t="e">
        <f t="shared" si="12"/>
        <v>#DIV/0!</v>
      </c>
      <c r="J56" s="101">
        <f t="shared" si="13"/>
        <v>0</v>
      </c>
      <c r="K56" s="143">
        <f t="shared" si="14"/>
        <v>0</v>
      </c>
      <c r="L56" s="103">
        <f>'[1]2024_60-69 ΕΞΟΔΑ+ΟΜ 2'!E12</f>
        <v>327.67</v>
      </c>
      <c r="M56" s="102">
        <f t="shared" si="15"/>
        <v>7.7538769384692353E-3</v>
      </c>
      <c r="N56" s="101">
        <f>L56+'[1]2025 Ιανουάριος'!L52</f>
        <v>327.67</v>
      </c>
      <c r="O56" s="102">
        <f t="shared" si="16"/>
        <v>2.6482710952852257E-3</v>
      </c>
      <c r="P56" s="101">
        <f t="shared" si="17"/>
        <v>-6.2599999999999909</v>
      </c>
      <c r="Q56" s="102">
        <f t="shared" si="18"/>
        <v>1.019476680874895</v>
      </c>
      <c r="R56" s="91"/>
      <c r="S56" s="91"/>
      <c r="T56" s="91"/>
      <c r="U56" s="91"/>
      <c r="V56" s="91"/>
    </row>
    <row r="57" spans="1:22" ht="15" x14ac:dyDescent="0.2">
      <c r="A57" s="106">
        <v>56</v>
      </c>
      <c r="B57" s="106">
        <v>14</v>
      </c>
      <c r="C57" s="132" t="str">
        <f>[1]ΑΝΤΙΣΤΟΙΧΙΣΗ!I196</f>
        <v xml:space="preserve">Κοινόχρηστες Δαπάνες </v>
      </c>
      <c r="D57" s="103">
        <f>'[1]2025_60-69 ΕΞΟΔΑ+ΟΜ 2'!E13</f>
        <v>433.18</v>
      </c>
      <c r="E57" s="102">
        <f t="shared" si="10"/>
        <v>1.2166266504467251E-2</v>
      </c>
      <c r="F57" s="101">
        <f>'[1]2025 Ιανουάριος'!F53+'2025 Φεβρουάριος'!D57</f>
        <v>754.59</v>
      </c>
      <c r="G57" s="102">
        <f t="shared" si="11"/>
        <v>5.1836219008111169E-3</v>
      </c>
      <c r="H57" s="103"/>
      <c r="I57" s="144" t="e">
        <f t="shared" si="12"/>
        <v>#DIV/0!</v>
      </c>
      <c r="J57" s="101">
        <f t="shared" si="13"/>
        <v>0</v>
      </c>
      <c r="K57" s="143">
        <f t="shared" si="14"/>
        <v>0</v>
      </c>
      <c r="L57" s="103">
        <f>'[1]2024_60-69 ΕΞΟΔΑ+ΟΜ 2'!E13</f>
        <v>482.53</v>
      </c>
      <c r="M57" s="102">
        <f t="shared" si="15"/>
        <v>1.1418433909480757E-2</v>
      </c>
      <c r="N57" s="101">
        <f>L57+'[1]2025 Ιανουάριος'!L53</f>
        <v>817.61999999999989</v>
      </c>
      <c r="O57" s="102">
        <f t="shared" si="16"/>
        <v>6.6081100281597518E-3</v>
      </c>
      <c r="P57" s="101">
        <f t="shared" si="17"/>
        <v>-63.029999999999859</v>
      </c>
      <c r="Q57" s="102">
        <f t="shared" si="18"/>
        <v>1.0835288037212258</v>
      </c>
      <c r="R57" s="91"/>
      <c r="S57" s="91"/>
      <c r="T57" s="91"/>
      <c r="U57" s="91"/>
      <c r="V57" s="91"/>
    </row>
    <row r="58" spans="1:22" ht="15" x14ac:dyDescent="0.2">
      <c r="A58" s="106">
        <v>57</v>
      </c>
      <c r="B58" s="106">
        <v>15</v>
      </c>
      <c r="C58" s="132" t="str">
        <f>[1]ΑΝΤΙΣΤΟΙΧΙΣΗ!I197</f>
        <v xml:space="preserve">Ενέργεια </v>
      </c>
      <c r="D58" s="103">
        <f>'[1]2025_60-69 ΕΞΟΔΑ+ΟΜ 2'!E14</f>
        <v>738.5200000000001</v>
      </c>
      <c r="E58" s="102">
        <f t="shared" si="10"/>
        <v>2.0742026729948647E-2</v>
      </c>
      <c r="F58" s="101">
        <f>'[1]2025 Ιανουάριος'!F54+'2025 Φεβρουάριος'!D58</f>
        <v>1059.98</v>
      </c>
      <c r="G58" s="102">
        <f t="shared" si="11"/>
        <v>7.2814847035102079E-3</v>
      </c>
      <c r="H58" s="103"/>
      <c r="I58" s="144" t="e">
        <f t="shared" si="12"/>
        <v>#DIV/0!</v>
      </c>
      <c r="J58" s="101">
        <f t="shared" si="13"/>
        <v>0</v>
      </c>
      <c r="K58" s="143">
        <f t="shared" si="14"/>
        <v>0</v>
      </c>
      <c r="L58" s="103">
        <f>'[1]2024_60-69 ΕΞΟΔΑ+ΟΜ 2'!E14</f>
        <v>1298.3699999999999</v>
      </c>
      <c r="M58" s="102">
        <f t="shared" si="15"/>
        <v>3.0724207893918574E-2</v>
      </c>
      <c r="N58" s="101">
        <f>L58+'[1]2025 Ιανουάριος'!L54</f>
        <v>1833.59</v>
      </c>
      <c r="O58" s="102">
        <f t="shared" si="16"/>
        <v>1.4819310274373719E-2</v>
      </c>
      <c r="P58" s="101">
        <f t="shared" si="17"/>
        <v>-773.6099999999999</v>
      </c>
      <c r="Q58" s="102">
        <f t="shared" si="18"/>
        <v>1.7298345251797203</v>
      </c>
      <c r="R58" s="91"/>
      <c r="S58" s="91"/>
      <c r="T58" s="91"/>
      <c r="U58" s="91"/>
      <c r="V58" s="91"/>
    </row>
    <row r="59" spans="1:22" ht="15" x14ac:dyDescent="0.2">
      <c r="A59" s="106">
        <v>58</v>
      </c>
      <c r="B59" s="106">
        <v>16</v>
      </c>
      <c r="C59" s="132" t="str">
        <f>[1]ΑΝΤΙΣΤΟΙΧΙΣΗ!I198</f>
        <v>Φυσικό αέριο</v>
      </c>
      <c r="D59" s="103">
        <f>'[1]2025_60-69 ΕΞΟΔΑ+ΟΜ 2'!E15</f>
        <v>66.64</v>
      </c>
      <c r="E59" s="102">
        <f t="shared" si="10"/>
        <v>1.8716468901096486E-3</v>
      </c>
      <c r="F59" s="101">
        <f>'[1]2025 Ιανουάριος'!F55+'2025 Φεβρουάριος'!D59</f>
        <v>281.83999999999997</v>
      </c>
      <c r="G59" s="102">
        <f t="shared" si="11"/>
        <v>1.9360871420567528E-3</v>
      </c>
      <c r="H59" s="103"/>
      <c r="I59" s="144" t="e">
        <f t="shared" si="12"/>
        <v>#DIV/0!</v>
      </c>
      <c r="J59" s="101"/>
      <c r="K59" s="143"/>
      <c r="L59" s="103">
        <f>'[1]2024_60-69 ΕΞΟΔΑ+ΟΜ 2'!E15</f>
        <v>0</v>
      </c>
      <c r="M59" s="102"/>
      <c r="N59" s="101">
        <f>L59+'[1]2025 Ιανουάριος'!L55</f>
        <v>107.41</v>
      </c>
      <c r="O59" s="102">
        <f t="shared" si="16"/>
        <v>8.6810143847342166E-4</v>
      </c>
      <c r="P59" s="101"/>
      <c r="Q59" s="102"/>
      <c r="R59" s="91"/>
      <c r="S59" s="91"/>
      <c r="T59" s="91"/>
      <c r="U59" s="91"/>
      <c r="V59" s="91"/>
    </row>
    <row r="60" spans="1:22" ht="28.5" x14ac:dyDescent="0.2">
      <c r="A60" s="106">
        <v>59</v>
      </c>
      <c r="B60" s="106">
        <v>17</v>
      </c>
      <c r="C60" s="132" t="str">
        <f>[1]ΑΝΤΙΣΤΟΙΧΙΣΗ!I199</f>
        <v xml:space="preserve">Τηλεπικοινωνίες (Τηλεφωνία &amp; Διαδίκτυο) </v>
      </c>
      <c r="D60" s="103">
        <f>'[1]2025_60-69 ΕΞΟΔΑ+ΟΜ 2'!E16</f>
        <v>426.33</v>
      </c>
      <c r="E60" s="102">
        <f t="shared" si="10"/>
        <v>1.1973877831039112E-2</v>
      </c>
      <c r="F60" s="101">
        <f>'[1]2025 Ιανουάριος'!F56+'2025 Φεβρουάριος'!D60</f>
        <v>426.33</v>
      </c>
      <c r="G60" s="102">
        <f t="shared" si="11"/>
        <v>2.928654666736643E-3</v>
      </c>
      <c r="H60" s="103"/>
      <c r="I60" s="144" t="e">
        <f t="shared" si="12"/>
        <v>#DIV/0!</v>
      </c>
      <c r="J60" s="101">
        <f t="shared" si="13"/>
        <v>0</v>
      </c>
      <c r="K60" s="143">
        <f t="shared" si="14"/>
        <v>0</v>
      </c>
      <c r="L60" s="103">
        <f>'[1]2024_60-69 ΕΞΟΔΑ+ΟΜ 2'!E16</f>
        <v>356.49</v>
      </c>
      <c r="M60" s="102">
        <f t="shared" si="15"/>
        <v>8.4358641004513603E-3</v>
      </c>
      <c r="N60" s="101">
        <f>L60+'[1]2025 Ιανουάριος'!L56</f>
        <v>356.49</v>
      </c>
      <c r="O60" s="102">
        <f t="shared" si="16"/>
        <v>2.8811980430256969E-3</v>
      </c>
      <c r="P60" s="101">
        <f t="shared" si="17"/>
        <v>69.839999999999975</v>
      </c>
      <c r="Q60" s="102">
        <f t="shared" si="18"/>
        <v>0.83618323833649999</v>
      </c>
      <c r="R60" s="91"/>
      <c r="S60" s="91"/>
      <c r="T60" s="91"/>
      <c r="U60" s="91"/>
      <c r="V60" s="91"/>
    </row>
    <row r="61" spans="1:22" ht="15" x14ac:dyDescent="0.2">
      <c r="A61" s="106">
        <v>60</v>
      </c>
      <c r="B61" s="106">
        <v>18</v>
      </c>
      <c r="C61" s="132" t="str">
        <f>[1]ΑΝΤΙΣΤΟΙΧΙΣΗ!I200</f>
        <v xml:space="preserve">Ύδρευση </v>
      </c>
      <c r="D61" s="103">
        <f>'[1]2025_60-69 ΕΞΟΔΑ+ΟΜ 2'!E17</f>
        <v>74.069999999999993</v>
      </c>
      <c r="E61" s="102">
        <f t="shared" si="10"/>
        <v>2.0803254074192924E-3</v>
      </c>
      <c r="F61" s="101">
        <f>'[1]2025 Ιανουάριος'!F57+'2025 Φεβρουάριος'!D61</f>
        <v>196.39</v>
      </c>
      <c r="G61" s="102">
        <f t="shared" si="11"/>
        <v>1.3490922290254246E-3</v>
      </c>
      <c r="H61" s="103"/>
      <c r="I61" s="144" t="e">
        <f t="shared" si="12"/>
        <v>#DIV/0!</v>
      </c>
      <c r="J61" s="101">
        <f t="shared" si="13"/>
        <v>0</v>
      </c>
      <c r="K61" s="143">
        <f t="shared" si="14"/>
        <v>0</v>
      </c>
      <c r="L61" s="103">
        <f>'[1]2024_60-69 ΕΞΟΔΑ+ΟΜ 2'!E17</f>
        <v>-29.789999999999971</v>
      </c>
      <c r="M61" s="102">
        <f t="shared" si="15"/>
        <v>-7.049409283638974E-4</v>
      </c>
      <c r="N61" s="101">
        <f>L61+'[1]2025 Ιανουάριος'!L57</f>
        <v>98.310000000000031</v>
      </c>
      <c r="O61" s="102">
        <f t="shared" si="16"/>
        <v>7.9455406774343277E-4</v>
      </c>
      <c r="P61" s="101">
        <f t="shared" si="17"/>
        <v>98.079999999999956</v>
      </c>
      <c r="Q61" s="102">
        <f t="shared" si="18"/>
        <v>0.50058556953001698</v>
      </c>
      <c r="R61" s="91"/>
      <c r="S61" s="91"/>
      <c r="T61" s="91"/>
      <c r="U61" s="91"/>
      <c r="V61" s="91"/>
    </row>
    <row r="62" spans="1:22" ht="15" x14ac:dyDescent="0.2">
      <c r="A62" s="106">
        <v>61</v>
      </c>
      <c r="B62" s="106">
        <v>19</v>
      </c>
      <c r="C62" s="132" t="str">
        <f>[1]ΑΝΤΙΣΤΟΙΧΙΣΗ!I201</f>
        <v xml:space="preserve">Ασφάλιστρα </v>
      </c>
      <c r="D62" s="103">
        <f>'[1]2025_60-69 ΕΞΟΔΑ+ΟΜ 2'!E18</f>
        <v>0</v>
      </c>
      <c r="E62" s="102">
        <f t="shared" si="10"/>
        <v>0</v>
      </c>
      <c r="F62" s="101">
        <f>'[1]2025 Ιανουάριος'!F58+'2025 Φεβρουάριος'!D62</f>
        <v>1.57</v>
      </c>
      <c r="G62" s="102">
        <f t="shared" si="11"/>
        <v>1.0785044042822531E-5</v>
      </c>
      <c r="H62" s="103"/>
      <c r="I62" s="144" t="e">
        <f t="shared" si="12"/>
        <v>#DIV/0!</v>
      </c>
      <c r="J62" s="101">
        <f t="shared" si="13"/>
        <v>0</v>
      </c>
      <c r="K62" s="143">
        <f t="shared" si="14"/>
        <v>0</v>
      </c>
      <c r="L62" s="103">
        <f>'[1]2024_60-69 ΕΞΟΔΑ+ΟΜ 2'!E18</f>
        <v>0</v>
      </c>
      <c r="M62" s="102">
        <f t="shared" si="15"/>
        <v>0</v>
      </c>
      <c r="N62" s="101">
        <f>L62+'[1]2025 Ιανουάριος'!L58</f>
        <v>2.84</v>
      </c>
      <c r="O62" s="102">
        <f t="shared" si="16"/>
        <v>2.2953245370677941E-5</v>
      </c>
      <c r="P62" s="101">
        <f t="shared" si="17"/>
        <v>-1.2699999999999998</v>
      </c>
      <c r="Q62" s="102">
        <f t="shared" si="18"/>
        <v>1.8089171974522291</v>
      </c>
      <c r="R62" s="91"/>
      <c r="S62" s="91"/>
      <c r="T62" s="91"/>
      <c r="U62" s="91"/>
      <c r="V62" s="91"/>
    </row>
    <row r="63" spans="1:22" ht="15" x14ac:dyDescent="0.2">
      <c r="A63" s="106">
        <v>62</v>
      </c>
      <c r="B63" s="106">
        <v>20</v>
      </c>
      <c r="C63" s="132" t="str">
        <f>[1]ΑΝΤΙΣΤΟΙΧΙΣΗ!I202</f>
        <v xml:space="preserve">Αναλώσιμα τρόφιμα  </v>
      </c>
      <c r="D63" s="103">
        <f>'[1]2025_60-69 ΕΞΟΔΑ+ΟΜ 2'!E19</f>
        <v>67.36</v>
      </c>
      <c r="E63" s="102">
        <f t="shared" si="10"/>
        <v>1.8918687652728981E-3</v>
      </c>
      <c r="F63" s="101">
        <f>'[1]2025 Ιανουάριος'!F59+'2025 Φεβρουάριος'!D63</f>
        <v>3848.06</v>
      </c>
      <c r="G63" s="102">
        <f t="shared" si="11"/>
        <v>2.6434074254409981E-2</v>
      </c>
      <c r="H63" s="103"/>
      <c r="I63" s="144" t="e">
        <f t="shared" si="12"/>
        <v>#DIV/0!</v>
      </c>
      <c r="J63" s="101">
        <f t="shared" si="13"/>
        <v>0</v>
      </c>
      <c r="K63" s="143">
        <f t="shared" si="14"/>
        <v>0</v>
      </c>
      <c r="L63" s="103">
        <f>'[1]2024_60-69 ΕΞΟΔΑ+ΟΜ 2'!E19</f>
        <v>0</v>
      </c>
      <c r="M63" s="102">
        <f t="shared" si="15"/>
        <v>0</v>
      </c>
      <c r="N63" s="101">
        <f>L63+'[1]2025 Ιανουάριος'!L59</f>
        <v>768.31000000000017</v>
      </c>
      <c r="O63" s="102">
        <f t="shared" si="16"/>
        <v>6.2095802643470322E-3</v>
      </c>
      <c r="P63" s="101">
        <f t="shared" si="17"/>
        <v>3079.75</v>
      </c>
      <c r="Q63" s="102">
        <f t="shared" si="18"/>
        <v>0.19966164768740616</v>
      </c>
      <c r="R63" s="91"/>
      <c r="S63" s="91"/>
      <c r="T63" s="91"/>
      <c r="U63" s="91"/>
      <c r="V63" s="91"/>
    </row>
    <row r="64" spans="1:22" ht="15" x14ac:dyDescent="0.2">
      <c r="A64" s="106">
        <v>63</v>
      </c>
      <c r="B64" s="106">
        <v>21</v>
      </c>
      <c r="C64" s="132">
        <f>[1]ΑΝΤΙΣΤΟΙΧΙΣΗ!I203</f>
        <v>0</v>
      </c>
      <c r="D64" s="103">
        <f>'[1]2025_60-69 ΕΞΟΔΑ+ΟΜ 2'!E20</f>
        <v>0</v>
      </c>
      <c r="E64" s="102">
        <f t="shared" si="10"/>
        <v>0</v>
      </c>
      <c r="F64" s="101">
        <f>'[1]2025 Ιανουάριος'!F60+'2025 Φεβρουάριος'!D64</f>
        <v>35.32</v>
      </c>
      <c r="G64" s="102">
        <f t="shared" si="11"/>
        <v>2.4262914368948523E-4</v>
      </c>
      <c r="H64" s="103"/>
      <c r="I64" s="144" t="e">
        <f t="shared" si="12"/>
        <v>#DIV/0!</v>
      </c>
      <c r="J64" s="101">
        <f t="shared" si="13"/>
        <v>0</v>
      </c>
      <c r="K64" s="143">
        <f t="shared" si="14"/>
        <v>0</v>
      </c>
      <c r="L64" s="103">
        <f>'[1]2024_60-69 ΕΞΟΔΑ+ΟΜ 2'!E20</f>
        <v>0</v>
      </c>
      <c r="M64" s="102">
        <f t="shared" si="15"/>
        <v>0</v>
      </c>
      <c r="N64" s="101">
        <f>L64+'[1]2025 Ιανουάριος'!L60</f>
        <v>4.8399999999999181</v>
      </c>
      <c r="O64" s="102">
        <f t="shared" si="16"/>
        <v>3.9117502673971605E-5</v>
      </c>
      <c r="P64" s="101">
        <f t="shared" si="17"/>
        <v>30.480000000000082</v>
      </c>
      <c r="Q64" s="102">
        <f t="shared" si="18"/>
        <v>0.13703284258210413</v>
      </c>
      <c r="R64" s="91"/>
      <c r="S64" s="91"/>
      <c r="T64" s="91"/>
      <c r="U64" s="91"/>
      <c r="V64" s="91"/>
    </row>
    <row r="65" spans="1:22" ht="15" x14ac:dyDescent="0.2">
      <c r="A65" s="106">
        <v>64</v>
      </c>
      <c r="B65" s="106">
        <v>22</v>
      </c>
      <c r="C65" s="132" t="str">
        <f>[1]ΑΝΤΙΣΤΟΙΧΙΣΗ!I204</f>
        <v xml:space="preserve">Εντυπα και γραφική ύλη </v>
      </c>
      <c r="D65" s="103">
        <f>'[1]2025_60-69 ΕΞΟΔΑ+ΟΜ 2'!D184</f>
        <v>0</v>
      </c>
      <c r="E65" s="102">
        <f t="shared" si="10"/>
        <v>0</v>
      </c>
      <c r="F65" s="101">
        <f>'[1]2025 Ιανουάριος'!F61+'2025 Φεβρουάριος'!D65</f>
        <v>0</v>
      </c>
      <c r="G65" s="102">
        <f t="shared" si="11"/>
        <v>0</v>
      </c>
      <c r="H65" s="103"/>
      <c r="I65" s="144" t="e">
        <f t="shared" si="12"/>
        <v>#DIV/0!</v>
      </c>
      <c r="J65" s="101">
        <f t="shared" si="13"/>
        <v>0</v>
      </c>
      <c r="K65" s="143">
        <f t="shared" si="14"/>
        <v>0</v>
      </c>
      <c r="L65" s="103">
        <f>'[1]2024_60-69 ΕΞΟΔΑ+ΟΜ 2'!E21</f>
        <v>8.99</v>
      </c>
      <c r="M65" s="102">
        <f t="shared" si="15"/>
        <v>2.127364533733281E-4</v>
      </c>
      <c r="N65" s="101">
        <f>L65+'[1]2025 Ιανουάριος'!L61</f>
        <v>8.99</v>
      </c>
      <c r="O65" s="102">
        <f t="shared" si="16"/>
        <v>7.2658336578307984E-5</v>
      </c>
      <c r="P65" s="101">
        <f t="shared" si="17"/>
        <v>-8.99</v>
      </c>
      <c r="Q65" s="102" t="e">
        <f t="shared" si="18"/>
        <v>#DIV/0!</v>
      </c>
      <c r="R65" s="91"/>
      <c r="S65" s="91"/>
      <c r="T65" s="91"/>
      <c r="U65" s="91"/>
      <c r="V65" s="91"/>
    </row>
    <row r="66" spans="1:22" ht="15" x14ac:dyDescent="0.2">
      <c r="A66" s="106">
        <v>65</v>
      </c>
      <c r="B66" s="106">
        <v>23</v>
      </c>
      <c r="C66" s="107" t="str">
        <f>[1]ΑΝΤΙΣΤΟΙΧΙΣΗ!I205</f>
        <v xml:space="preserve">Υλικά Καθαριότητας </v>
      </c>
      <c r="D66" s="103">
        <f>'[1]2025_60-69 ΕΞΟΔΑ+ΟΜ 2'!E22</f>
        <v>0</v>
      </c>
      <c r="E66" s="102">
        <f t="shared" si="10"/>
        <v>0</v>
      </c>
      <c r="F66" s="101">
        <f>'[1]2025 Ιανουάριος'!F62+'2025 Φεβρουάριος'!D66</f>
        <v>0</v>
      </c>
      <c r="G66" s="102">
        <f t="shared" si="11"/>
        <v>0</v>
      </c>
      <c r="H66" s="103"/>
      <c r="I66" s="144" t="e">
        <f t="shared" si="12"/>
        <v>#DIV/0!</v>
      </c>
      <c r="J66" s="101">
        <f t="shared" si="13"/>
        <v>0</v>
      </c>
      <c r="K66" s="143">
        <f t="shared" si="14"/>
        <v>0</v>
      </c>
      <c r="L66" s="103">
        <f>'[1]2024_60-69 ΕΞΟΔΑ+ΟΜ 2'!E22</f>
        <v>0</v>
      </c>
      <c r="M66" s="102">
        <f t="shared" si="15"/>
        <v>0</v>
      </c>
      <c r="N66" s="101">
        <f>L66+'[1]2025 Ιανουάριος'!L62</f>
        <v>8.99</v>
      </c>
      <c r="O66" s="102">
        <f t="shared" si="16"/>
        <v>7.2658336578307984E-5</v>
      </c>
      <c r="P66" s="101">
        <f t="shared" si="17"/>
        <v>-8.99</v>
      </c>
      <c r="Q66" s="102" t="e">
        <f t="shared" si="18"/>
        <v>#DIV/0!</v>
      </c>
      <c r="R66" s="91"/>
      <c r="S66" s="91"/>
      <c r="T66" s="91"/>
      <c r="U66" s="91"/>
      <c r="V66" s="91"/>
    </row>
    <row r="67" spans="1:22" ht="15" x14ac:dyDescent="0.2">
      <c r="A67" s="106">
        <v>66</v>
      </c>
      <c r="B67" s="106">
        <v>24</v>
      </c>
      <c r="C67" s="108" t="str">
        <f>[1]ΑΝΤΙΣΤΟΙΧΙΣΗ!I206</f>
        <v>Υλικά Φαρμακείου</v>
      </c>
      <c r="D67" s="103">
        <f>'[1]2025_60-69 ΕΞΟΔΑ+ΟΜ 2'!E23</f>
        <v>50</v>
      </c>
      <c r="E67" s="102">
        <f t="shared" si="10"/>
        <v>1.4042968863367711E-3</v>
      </c>
      <c r="F67" s="101">
        <f>'[1]2025 Ιανουάριος'!F63+'2025 Φεβρουάριος'!D67</f>
        <v>50</v>
      </c>
      <c r="G67" s="102">
        <f t="shared" si="11"/>
        <v>3.4347274021727804E-4</v>
      </c>
      <c r="H67" s="103"/>
      <c r="I67" s="144" t="e">
        <f t="shared" si="12"/>
        <v>#DIV/0!</v>
      </c>
      <c r="J67" s="101">
        <f t="shared" si="13"/>
        <v>0</v>
      </c>
      <c r="K67" s="143">
        <f t="shared" si="14"/>
        <v>0</v>
      </c>
      <c r="L67" s="103">
        <f>'[1]2024_60-69 ΕΞΟΔΑ+ΟΜ 2'!E23</f>
        <v>378.72</v>
      </c>
      <c r="M67" s="102">
        <f t="shared" si="15"/>
        <v>8.9619076330975326E-3</v>
      </c>
      <c r="N67" s="101">
        <f>L67+'[1]2025 Ιανουάριος'!L63</f>
        <v>440.57000000000005</v>
      </c>
      <c r="O67" s="102">
        <f t="shared" si="16"/>
        <v>3.5607434200561907E-3</v>
      </c>
      <c r="P67" s="101">
        <f t="shared" si="17"/>
        <v>-390.57000000000005</v>
      </c>
      <c r="Q67" s="102">
        <f t="shared" si="18"/>
        <v>8.8114000000000008</v>
      </c>
      <c r="R67" s="91"/>
      <c r="S67" s="91"/>
      <c r="T67" s="91"/>
      <c r="U67" s="91"/>
      <c r="V67" s="91"/>
    </row>
    <row r="68" spans="1:22" ht="15" x14ac:dyDescent="0.2">
      <c r="A68" s="106">
        <v>67</v>
      </c>
      <c r="B68" s="106">
        <v>25</v>
      </c>
      <c r="C68" s="145" t="str">
        <f>[1]ΑΝΤΙΣΤΟΙΧΙΣΗ!I207</f>
        <v>Διάφορα αναλώσιμα</v>
      </c>
      <c r="D68" s="103">
        <f>'[1]2025_60-69 ΕΞΟΔΑ+ΟΜ 2'!E24</f>
        <v>4853.79</v>
      </c>
      <c r="E68" s="102">
        <f t="shared" si="10"/>
        <v>0.13632324367865112</v>
      </c>
      <c r="F68" s="101">
        <f>'[1]2025 Ιανουάριος'!F64+'2025 Φεβρουάριος'!D68</f>
        <v>4896.41</v>
      </c>
      <c r="G68" s="102">
        <f t="shared" si="11"/>
        <v>3.3635667198545646E-2</v>
      </c>
      <c r="H68" s="103"/>
      <c r="I68" s="144" t="e">
        <f t="shared" si="12"/>
        <v>#DIV/0!</v>
      </c>
      <c r="J68" s="101">
        <f t="shared" si="13"/>
        <v>0</v>
      </c>
      <c r="K68" s="143">
        <f t="shared" si="14"/>
        <v>0</v>
      </c>
      <c r="L68" s="103">
        <f>'[1]2024_60-69 ΕΞΟΔΑ+ΟΜ 2'!E24</f>
        <v>5027.21</v>
      </c>
      <c r="M68" s="102">
        <f t="shared" si="15"/>
        <v>0.11896227205371844</v>
      </c>
      <c r="N68" s="101">
        <f>L68+'[1]2025 Ιανουάριος'!L64</f>
        <v>5110.97</v>
      </c>
      <c r="O68" s="102">
        <f t="shared" si="16"/>
        <v>4.1307517074709095E-2</v>
      </c>
      <c r="P68" s="101">
        <f t="shared" si="17"/>
        <v>-214.5600000000004</v>
      </c>
      <c r="Q68" s="102">
        <f t="shared" si="18"/>
        <v>1.0438198598565072</v>
      </c>
      <c r="R68" s="91"/>
      <c r="S68" s="91"/>
      <c r="T68" s="91"/>
      <c r="U68" s="91"/>
      <c r="V68" s="91"/>
    </row>
    <row r="69" spans="1:22" ht="42.75" x14ac:dyDescent="0.2">
      <c r="A69" s="106">
        <v>68</v>
      </c>
      <c r="B69" s="106">
        <v>26</v>
      </c>
      <c r="C69" s="145" t="str">
        <f>[1]ΑΝΤΙΣΤΟΙΧΙΣΗ!I208</f>
        <v>Αμοιβές συνεργατών ( Μέσα ανεύρεσης Πελατείας Booking Airbnb κλπ)</v>
      </c>
      <c r="D69" s="103">
        <f>'[1]2025_60-69 ΕΞΟΔΑ+ΟΜ 2'!E25</f>
        <v>0</v>
      </c>
      <c r="E69" s="102">
        <f t="shared" si="10"/>
        <v>0</v>
      </c>
      <c r="F69" s="101">
        <f>'[1]2025 Ιανουάριος'!F65+'2025 Φεβρουάριος'!D69</f>
        <v>14981.98</v>
      </c>
      <c r="G69" s="102">
        <f t="shared" si="11"/>
        <v>0.10291803448960911</v>
      </c>
      <c r="H69" s="103"/>
      <c r="I69" s="144" t="e">
        <f t="shared" si="12"/>
        <v>#DIV/0!</v>
      </c>
      <c r="J69" s="101">
        <f t="shared" si="13"/>
        <v>0</v>
      </c>
      <c r="K69" s="143">
        <f t="shared" si="14"/>
        <v>0</v>
      </c>
      <c r="L69" s="103">
        <f>'[1]2024_60-69 ΕΞΟΔΑ+ΟΜ 2'!E25</f>
        <v>0</v>
      </c>
      <c r="M69" s="102">
        <f t="shared" si="15"/>
        <v>0</v>
      </c>
      <c r="N69" s="101">
        <f>L69+'[1]2025 Ιανουάριος'!L65</f>
        <v>3930.91</v>
      </c>
      <c r="O69" s="102">
        <f t="shared" si="16"/>
        <v>3.1770120338046347E-2</v>
      </c>
      <c r="P69" s="101">
        <f t="shared" si="17"/>
        <v>11051.07</v>
      </c>
      <c r="Q69" s="102">
        <f t="shared" si="18"/>
        <v>0.26237586754220737</v>
      </c>
      <c r="R69" s="91"/>
      <c r="S69" s="91"/>
      <c r="T69" s="91"/>
      <c r="U69" s="91"/>
      <c r="V69" s="91"/>
    </row>
    <row r="70" spans="1:22" ht="15" x14ac:dyDescent="0.2">
      <c r="A70" s="106">
        <v>69</v>
      </c>
      <c r="B70" s="106">
        <v>27</v>
      </c>
      <c r="C70" s="107" t="str">
        <f>[1]ΑΝΤΙΣΤΟΙΧΙΣΗ!I209</f>
        <v>Εξοδα για Αναψυχή Πελατών (Κρουαζιέρες Ποδήλατα - Μαθήματα)</v>
      </c>
      <c r="D70" s="103">
        <f>'[1]2025_60-69 ΕΞΟΔΑ+ΟΜ 2'!E26</f>
        <v>0</v>
      </c>
      <c r="E70" s="102">
        <f t="shared" si="10"/>
        <v>0</v>
      </c>
      <c r="F70" s="101">
        <f>'[1]2025 Ιανουάριος'!F66+'2025 Φεβρουάριος'!D70</f>
        <v>0</v>
      </c>
      <c r="G70" s="102">
        <f t="shared" si="11"/>
        <v>0</v>
      </c>
      <c r="H70" s="103"/>
      <c r="I70" s="144" t="e">
        <f t="shared" si="12"/>
        <v>#DIV/0!</v>
      </c>
      <c r="J70" s="101">
        <f t="shared" si="13"/>
        <v>0</v>
      </c>
      <c r="K70" s="143">
        <f t="shared" si="14"/>
        <v>0</v>
      </c>
      <c r="L70" s="103">
        <f>'[1]2024_60-69 ΕΞΟΔΑ+ΟΜ 2'!E26</f>
        <v>0</v>
      </c>
      <c r="M70" s="102">
        <f t="shared" si="15"/>
        <v>0</v>
      </c>
      <c r="N70" s="101">
        <f>L70+'[1]2025 Ιανουάριος'!L66</f>
        <v>0</v>
      </c>
      <c r="O70" s="102">
        <f t="shared" si="16"/>
        <v>0</v>
      </c>
      <c r="P70" s="101">
        <f t="shared" si="17"/>
        <v>0</v>
      </c>
      <c r="Q70" s="102" t="e">
        <f t="shared" si="18"/>
        <v>#DIV/0!</v>
      </c>
      <c r="R70" s="91"/>
      <c r="S70" s="91"/>
      <c r="T70" s="91"/>
      <c r="U70" s="91"/>
      <c r="V70" s="91"/>
    </row>
    <row r="71" spans="1:22" ht="15" x14ac:dyDescent="0.2">
      <c r="A71" s="106">
        <v>70</v>
      </c>
      <c r="B71" s="106">
        <v>28</v>
      </c>
      <c r="C71" s="145" t="str">
        <f>[1]ΑΝΤΙΣΤΟΙΧΙΣΗ!I210</f>
        <v>Εξοδα για Μεταφορά Πελατών</v>
      </c>
      <c r="D71" s="103">
        <f>'[1]2025_60-69 ΕΞΟΔΑ+ΟΜ 2'!E27</f>
        <v>0</v>
      </c>
      <c r="E71" s="102">
        <f t="shared" si="10"/>
        <v>0</v>
      </c>
      <c r="F71" s="101">
        <f>'[1]2025 Ιανουάριος'!F67+'2025 Φεβρουάριος'!D71</f>
        <v>0</v>
      </c>
      <c r="G71" s="102">
        <f t="shared" si="11"/>
        <v>0</v>
      </c>
      <c r="H71" s="103"/>
      <c r="I71" s="144" t="e">
        <f t="shared" si="12"/>
        <v>#DIV/0!</v>
      </c>
      <c r="J71" s="101">
        <f t="shared" si="13"/>
        <v>0</v>
      </c>
      <c r="K71" s="143">
        <f t="shared" si="14"/>
        <v>0</v>
      </c>
      <c r="L71" s="103">
        <f>'[1]2024_60-69 ΕΞΟΔΑ+ΟΜ 2'!E27</f>
        <v>0</v>
      </c>
      <c r="M71" s="102">
        <f t="shared" si="15"/>
        <v>0</v>
      </c>
      <c r="N71" s="101">
        <f>L71+'[1]2025 Ιανουάριος'!L67</f>
        <v>0</v>
      </c>
      <c r="O71" s="102">
        <f t="shared" si="16"/>
        <v>0</v>
      </c>
      <c r="P71" s="101">
        <f t="shared" si="17"/>
        <v>0</v>
      </c>
      <c r="Q71" s="102" t="e">
        <f t="shared" si="18"/>
        <v>#DIV/0!</v>
      </c>
      <c r="R71" s="91"/>
      <c r="S71" s="91"/>
      <c r="T71" s="91"/>
      <c r="U71" s="91"/>
      <c r="V71" s="91"/>
    </row>
    <row r="72" spans="1:22" ht="42.75" customHeight="1" x14ac:dyDescent="0.2">
      <c r="A72" s="106">
        <v>71</v>
      </c>
      <c r="B72" s="106">
        <v>29</v>
      </c>
      <c r="C72" s="145" t="str">
        <f>[1]ΑΝΤΙΣΤΟΙΧΙΣΗ!I211</f>
        <v xml:space="preserve">Έξοδα για σύσταση πελατείας αποθήκευσης Αποσκευών ( Radical) </v>
      </c>
      <c r="D72" s="103">
        <f>'[1]2025_60-69 ΕΞΟΔΑ+ΟΜ 2'!E28</f>
        <v>577.27</v>
      </c>
      <c r="E72" s="102">
        <f t="shared" si="10"/>
        <v>1.6213169271512555E-2</v>
      </c>
      <c r="F72" s="101">
        <f>'[1]2025 Ιανουάριος'!F68+'2025 Φεβρουάριος'!D72</f>
        <v>577.27</v>
      </c>
      <c r="G72" s="102">
        <f t="shared" si="11"/>
        <v>3.9655301749045623E-3</v>
      </c>
      <c r="H72" s="103"/>
      <c r="I72" s="144" t="e">
        <f t="shared" si="12"/>
        <v>#DIV/0!</v>
      </c>
      <c r="J72" s="101">
        <f t="shared" si="13"/>
        <v>0</v>
      </c>
      <c r="K72" s="143">
        <f t="shared" si="14"/>
        <v>0</v>
      </c>
      <c r="L72" s="103">
        <f>'[1]2024_60-69 ΕΞΟΔΑ+ΟΜ 2'!E28</f>
        <v>509.31</v>
      </c>
      <c r="M72" s="102">
        <f t="shared" si="15"/>
        <v>1.2052147171031116E-2</v>
      </c>
      <c r="N72" s="101">
        <f>L72+'[1]2025 Ιανουάριος'!L68</f>
        <v>509.31</v>
      </c>
      <c r="O72" s="102">
        <f t="shared" si="16"/>
        <v>4.1163089435704162E-3</v>
      </c>
      <c r="P72" s="101">
        <f t="shared" si="17"/>
        <v>67.95999999999998</v>
      </c>
      <c r="Q72" s="102">
        <f t="shared" si="18"/>
        <v>0.88227345955965153</v>
      </c>
      <c r="R72" s="91"/>
      <c r="S72" s="91"/>
      <c r="T72" s="91"/>
      <c r="U72" s="91"/>
      <c r="V72" s="91"/>
    </row>
    <row r="73" spans="1:22" ht="22.5" customHeight="1" x14ac:dyDescent="0.2">
      <c r="A73" s="106">
        <v>72</v>
      </c>
      <c r="B73" s="106">
        <v>30</v>
      </c>
      <c r="C73" s="132" t="str">
        <f>[1]ΑΝΤΙΣΤΟΙΧΙΣΗ!I212</f>
        <v>Αμοιβές Τρίτων ( Καθαριστήριο και άλλα άμεσα έξοδα )</v>
      </c>
      <c r="D73" s="103">
        <f>'[1]2025_60-69 ΕΞΟΔΑ+ΟΜ 2'!E29</f>
        <v>0</v>
      </c>
      <c r="E73" s="102">
        <f t="shared" si="10"/>
        <v>0</v>
      </c>
      <c r="F73" s="101">
        <f>'[1]2025 Ιανουάριος'!F69+'2025 Φεβρουάριος'!D73</f>
        <v>684.1</v>
      </c>
      <c r="G73" s="102">
        <f t="shared" si="11"/>
        <v>4.6993940316527984E-3</v>
      </c>
      <c r="H73" s="103"/>
      <c r="I73" s="144" t="e">
        <f t="shared" si="12"/>
        <v>#DIV/0!</v>
      </c>
      <c r="J73" s="101">
        <f t="shared" si="13"/>
        <v>0</v>
      </c>
      <c r="K73" s="143">
        <f t="shared" si="14"/>
        <v>0</v>
      </c>
      <c r="L73" s="103">
        <f>'[1]2024_60-69 ΕΞΟΔΑ+ΟΜ 2'!E29</f>
        <v>1082.4000000000001</v>
      </c>
      <c r="M73" s="102">
        <f t="shared" si="15"/>
        <v>2.5613563640855434E-2</v>
      </c>
      <c r="N73" s="101">
        <f>L73+'[1]2025 Ιανουάριος'!L69</f>
        <v>1730.43</v>
      </c>
      <c r="O73" s="102">
        <f t="shared" si="16"/>
        <v>1.3985557882669799E-2</v>
      </c>
      <c r="P73" s="101">
        <f t="shared" si="17"/>
        <v>-1046.33</v>
      </c>
      <c r="Q73" s="102">
        <f t="shared" si="18"/>
        <v>2.5294986113141356</v>
      </c>
      <c r="R73" s="91"/>
      <c r="S73" s="91"/>
      <c r="T73" s="91"/>
      <c r="U73" s="91"/>
      <c r="V73" s="91"/>
    </row>
    <row r="74" spans="1:22" ht="36" customHeight="1" x14ac:dyDescent="0.2">
      <c r="A74" s="106">
        <v>73</v>
      </c>
      <c r="B74" s="106">
        <v>31</v>
      </c>
      <c r="C74" s="132" t="str">
        <f>[1]ΑΝΤΙΣΤΟΙΧΙΣΗ!I213</f>
        <v>Επισκευές - Συντηρήσεις</v>
      </c>
      <c r="D74" s="103">
        <v>0</v>
      </c>
      <c r="E74" s="102">
        <f t="shared" si="10"/>
        <v>0</v>
      </c>
      <c r="F74" s="101">
        <f>'[1]2025 Ιανουάριος'!F70+'2025 Φεβρουάριος'!D74</f>
        <v>0</v>
      </c>
      <c r="G74" s="102">
        <f t="shared" si="11"/>
        <v>0</v>
      </c>
      <c r="H74" s="103"/>
      <c r="I74" s="144" t="e">
        <f t="shared" si="12"/>
        <v>#DIV/0!</v>
      </c>
      <c r="J74" s="101">
        <f t="shared" si="13"/>
        <v>0</v>
      </c>
      <c r="K74" s="143">
        <f t="shared" si="14"/>
        <v>0</v>
      </c>
      <c r="L74" s="103">
        <f>'[1]2024_60-69 ΕΞΟΔΑ+ΟΜ 2'!E30</f>
        <v>85.2</v>
      </c>
      <c r="M74" s="102">
        <f t="shared" si="15"/>
        <v>2.016145253326758E-3</v>
      </c>
      <c r="N74" s="101">
        <f>L74+'[1]2025 Ιανουάριος'!L70</f>
        <v>744.93000000000006</v>
      </c>
      <c r="O74" s="102">
        <f t="shared" si="16"/>
        <v>6.0206200964715208E-3</v>
      </c>
      <c r="P74" s="101">
        <f t="shared" si="17"/>
        <v>-744.93000000000006</v>
      </c>
      <c r="Q74" s="102" t="e">
        <f t="shared" si="18"/>
        <v>#DIV/0!</v>
      </c>
      <c r="R74" s="91"/>
      <c r="S74" s="91"/>
      <c r="T74" s="91"/>
      <c r="U74" s="91"/>
      <c r="V74" s="91"/>
    </row>
    <row r="75" spans="1:22" ht="36" customHeight="1" x14ac:dyDescent="0.2">
      <c r="A75" s="106">
        <v>74</v>
      </c>
      <c r="B75" s="106">
        <v>32</v>
      </c>
      <c r="C75" s="145" t="str">
        <f>[1]ΑΝΤΙΣΤΟΙΧΙΣΗ!I214</f>
        <v>Φόρος Παρεπιδημούντων</v>
      </c>
      <c r="D75" s="103">
        <f>'[1]2025_60-69 ΕΞΟΔΑ+ΟΜ 2'!E31</f>
        <v>7839.9766666666674</v>
      </c>
      <c r="E75" s="102">
        <f t="shared" si="10"/>
        <v>0.22019309643905877</v>
      </c>
      <c r="F75" s="101">
        <f>'[1]2025 Ιανουάριος'!F71+'2025 Φεβρουάριος'!D75</f>
        <v>7839.9766666666674</v>
      </c>
      <c r="G75" s="102">
        <f t="shared" si="11"/>
        <v>5.3856365378790433E-2</v>
      </c>
      <c r="H75" s="103"/>
      <c r="I75" s="144" t="e">
        <f t="shared" si="12"/>
        <v>#DIV/0!</v>
      </c>
      <c r="J75" s="101">
        <f t="shared" si="13"/>
        <v>0</v>
      </c>
      <c r="K75" s="143">
        <f t="shared" si="14"/>
        <v>0</v>
      </c>
      <c r="L75" s="103">
        <f>'[1]2024_60-69 ΕΞΟΔΑ+ΟΜ 2'!E31</f>
        <v>7839.98</v>
      </c>
      <c r="M75" s="102">
        <f t="shared" si="15"/>
        <v>0.18552275191521966</v>
      </c>
      <c r="N75" s="101">
        <f>L75+'[1]2025 Ιανουάριος'!L71</f>
        <v>7899.9</v>
      </c>
      <c r="O75" s="102">
        <f t="shared" si="16"/>
        <v>6.3848008135147419E-2</v>
      </c>
      <c r="P75" s="101">
        <f t="shared" si="17"/>
        <v>-59.923333333332266</v>
      </c>
      <c r="Q75" s="102">
        <f t="shared" si="18"/>
        <v>1.0076433050608569</v>
      </c>
      <c r="R75" s="91"/>
      <c r="S75" s="91"/>
      <c r="T75" s="91"/>
      <c r="U75" s="91"/>
      <c r="V75" s="91"/>
    </row>
    <row r="76" spans="1:22" ht="36" customHeight="1" x14ac:dyDescent="0.2">
      <c r="A76" s="106">
        <v>75</v>
      </c>
      <c r="B76" s="106">
        <v>33</v>
      </c>
      <c r="C76" s="145" t="str">
        <f>[1]ΑΝΤΙΣΤΟΙΧΙΣΗ!I215</f>
        <v>Αποσβέσεις ( Κτήρια - Μηχανήματα - Εξοπλισμός )</v>
      </c>
      <c r="D76" s="103">
        <f>'[1]2025_60-69 ΕΞΟΔΑ+ΟΜ 2'!E32</f>
        <v>861.08</v>
      </c>
      <c r="E76" s="102">
        <f t="shared" si="10"/>
        <v>2.4184239257737338E-2</v>
      </c>
      <c r="F76" s="101">
        <f>'[1]2025 Ιανουάριος'!F72+'2025 Φεβρουάριος'!D76</f>
        <v>8701.0566666666673</v>
      </c>
      <c r="G76" s="102">
        <f t="shared" si="11"/>
        <v>5.9771515521716313E-2</v>
      </c>
      <c r="H76" s="103"/>
      <c r="I76" s="144" t="e">
        <f t="shared" si="12"/>
        <v>#DIV/0!</v>
      </c>
      <c r="J76" s="101">
        <f t="shared" si="13"/>
        <v>0</v>
      </c>
      <c r="K76" s="143">
        <f t="shared" si="14"/>
        <v>0</v>
      </c>
      <c r="L76" s="103">
        <f>'[1]2024_60-69 ΕΞΟΔΑ+ΟΜ 2'!E32</f>
        <v>1250.28</v>
      </c>
      <c r="M76" s="102">
        <f t="shared" si="15"/>
        <v>2.9586221682269705E-2</v>
      </c>
      <c r="N76" s="101">
        <f>L76+'[1]2025 Ιανουάριος'!L72</f>
        <v>9090.26</v>
      </c>
      <c r="O76" s="102">
        <f t="shared" si="16"/>
        <v>7.3468650796922136E-2</v>
      </c>
      <c r="P76" s="101">
        <f t="shared" si="17"/>
        <v>-389.20333333333292</v>
      </c>
      <c r="Q76" s="102">
        <f t="shared" si="18"/>
        <v>1.0447305825307807</v>
      </c>
      <c r="R76" s="91"/>
      <c r="S76" s="91"/>
      <c r="T76" s="91"/>
      <c r="U76" s="91"/>
      <c r="V76" s="91"/>
    </row>
    <row r="77" spans="1:22" ht="36" customHeight="1" x14ac:dyDescent="0.2">
      <c r="A77" s="106">
        <v>76</v>
      </c>
      <c r="B77" s="106">
        <v>34</v>
      </c>
      <c r="C77" s="145" t="str">
        <f>[1]ΑΝΤΙΣΤΟΙΧΙΣΗ!I216</f>
        <v>Αναλώσιμα τρόφιμα  (Ομάδα 2**)</v>
      </c>
      <c r="D77" s="103">
        <f>'[1]2025_60-69 ΕΞΟΔΑ+ΟΜ 2'!E33</f>
        <v>0</v>
      </c>
      <c r="E77" s="102">
        <f t="shared" si="10"/>
        <v>0</v>
      </c>
      <c r="F77" s="101">
        <f>'[1]2025 Ιανουάριος'!F73+'2025 Φεβρουάριος'!D77</f>
        <v>872.89</v>
      </c>
      <c r="G77" s="102">
        <f t="shared" si="11"/>
        <v>5.9962784041651968E-3</v>
      </c>
      <c r="H77" s="103"/>
      <c r="I77" s="144" t="e">
        <f t="shared" si="12"/>
        <v>#DIV/0!</v>
      </c>
      <c r="J77" s="101">
        <f t="shared" si="13"/>
        <v>0</v>
      </c>
      <c r="K77" s="143">
        <f t="shared" si="14"/>
        <v>0</v>
      </c>
      <c r="L77" s="103">
        <f>'[1]2024_60-69 ΕΞΟΔΑ+ΟΜ 2'!E33</f>
        <v>0</v>
      </c>
      <c r="M77" s="102">
        <f t="shared" si="15"/>
        <v>0</v>
      </c>
      <c r="N77" s="101">
        <f>L77+'[1]2025 Ιανουάριος'!L73</f>
        <v>1024.95</v>
      </c>
      <c r="O77" s="102">
        <f t="shared" si="16"/>
        <v>8.2837777615057586E-3</v>
      </c>
      <c r="P77" s="101">
        <f t="shared" si="17"/>
        <v>-152.06000000000006</v>
      </c>
      <c r="Q77" s="102">
        <f t="shared" si="18"/>
        <v>1.1742029350777303</v>
      </c>
      <c r="R77" s="91"/>
      <c r="S77" s="91"/>
      <c r="T77" s="91"/>
      <c r="U77" s="91"/>
      <c r="V77" s="91"/>
    </row>
    <row r="78" spans="1:22" ht="36" customHeight="1" x14ac:dyDescent="0.2">
      <c r="A78" s="113">
        <v>77</v>
      </c>
      <c r="B78" s="113"/>
      <c r="C78" s="135" t="s">
        <v>163</v>
      </c>
      <c r="D78" s="97">
        <f>'[1]2025_60-69 ΕΞΟΔΑ+ΟΜ 2'!E3</f>
        <v>35605.006666666683</v>
      </c>
      <c r="E78" s="142"/>
      <c r="F78" s="97">
        <f>'[1]2025_60-69 ΕΞΟΔΑ+ΟΜ 2'!R3</f>
        <v>82295.17333333334</v>
      </c>
      <c r="G78" s="142"/>
      <c r="H78" s="97">
        <f>SUM(H44:H77)</f>
        <v>0</v>
      </c>
      <c r="I78" s="142"/>
      <c r="J78" s="97">
        <f>SUM(J44:J77)</f>
        <v>0</v>
      </c>
      <c r="K78" s="142"/>
      <c r="L78" s="97">
        <f>SUM(L44:L77)</f>
        <v>42258.86</v>
      </c>
      <c r="M78" s="142"/>
      <c r="N78" s="97">
        <f>SUM(N44:N77)</f>
        <v>123729.78</v>
      </c>
      <c r="O78" s="142"/>
      <c r="P78" s="97">
        <f>SUM(P44:P77)</f>
        <v>12189.599999999991</v>
      </c>
      <c r="Q78" s="142"/>
      <c r="R78" s="91"/>
      <c r="S78" s="91"/>
      <c r="T78" s="91"/>
      <c r="U78" s="91"/>
      <c r="V78" s="91"/>
    </row>
    <row r="79" spans="1:22" ht="24" x14ac:dyDescent="0.2">
      <c r="A79" s="113">
        <v>78</v>
      </c>
      <c r="B79" s="113"/>
      <c r="C79" s="121" t="s">
        <v>18</v>
      </c>
      <c r="D79" s="97">
        <f>D43-D78</f>
        <v>4100.0799999999872</v>
      </c>
      <c r="E79" s="142"/>
      <c r="F79" s="97">
        <f>F43-F78</f>
        <v>63276.786666666681</v>
      </c>
      <c r="G79" s="142"/>
      <c r="H79" s="97">
        <f>H43-H78</f>
        <v>0</v>
      </c>
      <c r="I79" s="142"/>
      <c r="J79" s="97">
        <f>J43-J78</f>
        <v>0</v>
      </c>
      <c r="K79" s="142"/>
      <c r="L79" s="97">
        <f>L43-L78</f>
        <v>0</v>
      </c>
      <c r="M79" s="142"/>
      <c r="N79" s="97">
        <f>N43-N78</f>
        <v>0</v>
      </c>
      <c r="O79" s="142"/>
      <c r="P79" s="97">
        <f>P43-P78</f>
        <v>0</v>
      </c>
      <c r="Q79" s="142"/>
      <c r="R79" s="91"/>
      <c r="S79" s="91"/>
      <c r="T79" s="91"/>
      <c r="U79" s="91"/>
      <c r="V79" s="91"/>
    </row>
    <row r="80" spans="1:22" ht="27.75" customHeight="1" x14ac:dyDescent="0.2">
      <c r="A80" s="141">
        <v>79</v>
      </c>
      <c r="B80" s="141"/>
      <c r="C80" s="140" t="s">
        <v>32</v>
      </c>
      <c r="D80" s="137">
        <f>D38-D78</f>
        <v>-35605.006666666683</v>
      </c>
      <c r="E80" s="136"/>
      <c r="F80" s="137" t="e">
        <f>F38-F78</f>
        <v>#VALUE!</v>
      </c>
      <c r="G80" s="136"/>
      <c r="H80" s="139">
        <f>H38-H78</f>
        <v>0</v>
      </c>
      <c r="I80" s="136">
        <f>I38-I43</f>
        <v>0</v>
      </c>
      <c r="J80" s="139">
        <f>J38-J78</f>
        <v>41232.310011828573</v>
      </c>
      <c r="K80" s="136"/>
      <c r="L80" s="138">
        <f>L38-L78</f>
        <v>-25188.219292035443</v>
      </c>
      <c r="M80" s="136"/>
      <c r="N80" s="137">
        <f>N38-N78</f>
        <v>-89400.153008849593</v>
      </c>
      <c r="O80" s="136"/>
      <c r="P80" s="137">
        <f>P38-P78</f>
        <v>-3186.5525663716253</v>
      </c>
      <c r="Q80" s="136"/>
      <c r="R80" s="91"/>
      <c r="S80" s="91"/>
      <c r="T80" s="91"/>
      <c r="U80" s="91"/>
      <c r="V80" s="91"/>
    </row>
    <row r="81" spans="1:22" ht="27.75" customHeight="1" x14ac:dyDescent="0.2">
      <c r="A81" s="119">
        <v>80</v>
      </c>
      <c r="B81" s="119"/>
      <c r="C81" s="119" t="s">
        <v>160</v>
      </c>
      <c r="D81" s="184" t="str">
        <f>[1]ΑΝΤΙΣΤΟΙΧΙΣΗ!$F$32</f>
        <v xml:space="preserve">ΠΡΑΓΜΑΤΟΠΟΙΗΘΕΝΤΑ ΜΗΝΟΣ ΤΡΕΧ. ΕΤΟΥΣ </v>
      </c>
      <c r="E81" s="184"/>
      <c r="F81" s="184"/>
      <c r="G81" s="184"/>
      <c r="H81" s="184" t="str">
        <f>[1]ΑΝΤΙΣΤΟΙΧΙΣΗ!$F$35</f>
        <v>ΠΡΟΥΠΟΛΟΓΙΣΜΟΣ ΤΡΕΧΟΝΤΟΣ ΕΤΟΥΣ</v>
      </c>
      <c r="I81" s="184"/>
      <c r="J81" s="184"/>
      <c r="K81" s="184"/>
      <c r="L81" s="184" t="str">
        <f>[1]ΑΝΤΙΣΤΟΙΧΙΣΗ!$F$68</f>
        <v>ΠΡΑΓΜΑΤΟΠΟΙΗΘΕΝΤΑ ΠΡΟΗΓΟΥΜΕΝΟΥ ΕΤΟΥΣ</v>
      </c>
      <c r="M81" s="184"/>
      <c r="N81" s="184"/>
      <c r="O81" s="184">
        <f>[1]ΑΝΤΙΣΤΟΙΧΙΣΗ!$D$33</f>
        <v>2024</v>
      </c>
      <c r="P81" s="185" t="str">
        <f>[1]ΑΝΤΙΣΤΟΙΧΙΣΗ!$F$100</f>
        <v xml:space="preserve">ΣΥΓΚΡΙΣΕΙΣ </v>
      </c>
      <c r="Q81" s="185">
        <f>[1]ΑΝΤΙΣΤΟΙΧΙΣΗ!$H$141</f>
        <v>2024</v>
      </c>
      <c r="R81" s="91"/>
      <c r="S81" s="91"/>
      <c r="T81" s="91"/>
      <c r="U81" s="91"/>
      <c r="V81" s="91"/>
    </row>
    <row r="82" spans="1:22" ht="15.75" customHeight="1" x14ac:dyDescent="0.2">
      <c r="A82" s="112">
        <v>81</v>
      </c>
      <c r="B82" s="112"/>
      <c r="C82" s="118" t="s">
        <v>3</v>
      </c>
      <c r="D82" s="186" t="str">
        <f>[1]ΑΝΤΙΣΤΟΙΧΙΣΗ!$F$107</f>
        <v xml:space="preserve">ΦΕΒΡΟΥΑΡΙΟΣ ΤΡΕΧΟΝ ΕΤΟΣ </v>
      </c>
      <c r="E82" s="186"/>
      <c r="F82" s="186"/>
      <c r="G82" s="117">
        <f>[1]ΑΝΤΙΣΤΟΙΧΙΣΗ!$D$34</f>
        <v>2025</v>
      </c>
      <c r="H82" s="186" t="str">
        <f>[1]ΑΝΤΙΣΤΟΙΧΙΣΗ!$F$107</f>
        <v xml:space="preserve">ΦΕΒΡΟΥΑΡΙΟΣ ΤΡΕΧΟΝ ΕΤΟΣ </v>
      </c>
      <c r="I82" s="186"/>
      <c r="J82" s="186"/>
      <c r="K82" s="117">
        <f>[1]ΑΝΤΙΣΤΟΙΧΙΣΗ!$D$34</f>
        <v>2025</v>
      </c>
      <c r="L82" s="186" t="str">
        <f>[1]ΑΝΤΙΣΤΟΙΧΙΣΗ!$F$121</f>
        <v>ΦΕΒΡΟΥΑΡΙΟΣ ΠΡΟΗΓΟΥΜΕΝΟΥ ΕΤΟΥΣ</v>
      </c>
      <c r="M82" s="186"/>
      <c r="N82" s="186"/>
      <c r="O82" s="117">
        <f>[1]ΑΝΤΙΣΤΟΙΧΙΣΗ!$D$33</f>
        <v>2024</v>
      </c>
      <c r="P82" s="186"/>
      <c r="Q82" s="186"/>
      <c r="R82" s="91"/>
      <c r="S82" s="91"/>
      <c r="T82" s="91"/>
      <c r="U82" s="91"/>
      <c r="V82" s="91"/>
    </row>
    <row r="83" spans="1:22" ht="78.75" x14ac:dyDescent="0.2">
      <c r="A83" s="116">
        <v>82</v>
      </c>
      <c r="B83" s="116" t="s">
        <v>33</v>
      </c>
      <c r="C83" s="115" t="s">
        <v>164</v>
      </c>
      <c r="D83" s="115" t="s">
        <v>34</v>
      </c>
      <c r="E83" s="114" t="s">
        <v>35</v>
      </c>
      <c r="F83" s="114" t="s">
        <v>36</v>
      </c>
      <c r="G83" s="114" t="s">
        <v>37</v>
      </c>
      <c r="H83" s="114" t="s">
        <v>38</v>
      </c>
      <c r="I83" s="114" t="s">
        <v>39</v>
      </c>
      <c r="J83" s="114" t="s">
        <v>36</v>
      </c>
      <c r="K83" s="114" t="s">
        <v>37</v>
      </c>
      <c r="L83" s="114" t="s">
        <v>38</v>
      </c>
      <c r="M83" s="114" t="s">
        <v>39</v>
      </c>
      <c r="N83" s="114" t="s">
        <v>36</v>
      </c>
      <c r="O83" s="114" t="s">
        <v>37</v>
      </c>
      <c r="P83" s="114" t="s">
        <v>28</v>
      </c>
      <c r="Q83" s="114" t="s">
        <v>40</v>
      </c>
      <c r="R83" s="91"/>
      <c r="S83" s="91"/>
      <c r="T83" s="91"/>
      <c r="U83" s="91"/>
      <c r="V83" s="91"/>
    </row>
    <row r="84" spans="1:22" ht="33.75" customHeight="1" x14ac:dyDescent="0.2">
      <c r="A84" s="112">
        <v>83</v>
      </c>
      <c r="B84" s="112" t="s">
        <v>2</v>
      </c>
      <c r="C84" s="135" t="s">
        <v>165</v>
      </c>
      <c r="D84" s="97">
        <f ca="1">SUM(D47:D110)</f>
        <v>8756.2100000000009</v>
      </c>
      <c r="E84" s="96"/>
      <c r="F84" s="97" t="e">
        <f>SUM(F47:F110)</f>
        <v>#VALUE!</v>
      </c>
      <c r="G84" s="96"/>
      <c r="H84" s="97">
        <f ca="1">SUM(H47:H110)</f>
        <v>0</v>
      </c>
      <c r="I84" s="96"/>
      <c r="J84" s="97">
        <f ca="1">SUM(J47:J110)</f>
        <v>0</v>
      </c>
      <c r="K84" s="96"/>
      <c r="L84" s="97">
        <f ca="1">SUM(L47:L110)</f>
        <v>4687.3700000000008</v>
      </c>
      <c r="M84" s="96"/>
      <c r="N84" s="97">
        <f ca="1">SUM(N47:N110)</f>
        <v>13520.93</v>
      </c>
      <c r="O84" s="96"/>
      <c r="P84" s="97">
        <f ca="1">SUM(P47:P110)</f>
        <v>0</v>
      </c>
      <c r="Q84" s="96"/>
      <c r="R84" s="91"/>
      <c r="S84" s="91"/>
      <c r="T84" s="91"/>
      <c r="U84" s="91"/>
      <c r="V84" s="91"/>
    </row>
    <row r="85" spans="1:22" ht="28.5" x14ac:dyDescent="0.2">
      <c r="A85" s="106">
        <v>84</v>
      </c>
      <c r="B85" s="106">
        <v>1</v>
      </c>
      <c r="C85" s="111" t="str">
        <f>[1]ΑΝΤΙΣΤΟΙΧΙΣΗ!L189</f>
        <v>Μικτές Αποδοχές Marketing (Α.Κ.MDep )</v>
      </c>
      <c r="D85" s="125">
        <f>'[1]2025_60-69 ΕΞΟΔΑ+ΟΜ 2'!E39</f>
        <v>1198.17</v>
      </c>
      <c r="E85" s="102">
        <f>D85/$D$111</f>
        <v>0.13683659939631415</v>
      </c>
      <c r="F85" s="125">
        <f>'[1]2025 Ιανουάριος'!F83+'2025 Φεβρουάριος'!D85</f>
        <v>2869.41</v>
      </c>
      <c r="G85" s="102" t="e">
        <f t="shared" ref="G85:G105" si="19">F85/$F$84</f>
        <v>#VALUE!</v>
      </c>
      <c r="H85" s="103"/>
      <c r="I85" s="131" t="e">
        <f t="shared" ref="I85:I105" ca="1" si="20">H85/$H$84</f>
        <v>#DIV/0!</v>
      </c>
      <c r="J85" s="130"/>
      <c r="K85" s="130" t="e">
        <f t="shared" ref="K85:K105" ca="1" si="21">J85/$J$84</f>
        <v>#DIV/0!</v>
      </c>
      <c r="L85" s="125">
        <f>'[1]2024_60-69 ΕΞΟΔΑ+ΟΜ 2'!E37</f>
        <v>1439.8</v>
      </c>
      <c r="M85" s="102">
        <f t="shared" ref="M85:M105" ca="1" si="22">L85/$L$84</f>
        <v>0.30716585206629726</v>
      </c>
      <c r="N85" s="101">
        <f>L85+'[1]2025 Ιανουάριος'!L83</f>
        <v>1439.8</v>
      </c>
      <c r="O85" s="102">
        <f t="shared" ref="O85:O105" ca="1" si="23">N85/$N$84</f>
        <v>0.10648675793750872</v>
      </c>
      <c r="P85" s="130"/>
      <c r="Q85" s="123" t="e">
        <f t="shared" ref="Q85:Q105" si="24">SUM(D85:P85)</f>
        <v>#VALUE!</v>
      </c>
      <c r="R85" s="91"/>
      <c r="S85" s="91"/>
      <c r="T85" s="91"/>
      <c r="U85" s="91"/>
      <c r="V85" s="91"/>
    </row>
    <row r="86" spans="1:22" ht="33" customHeight="1" x14ac:dyDescent="0.2">
      <c r="A86" s="106">
        <v>85</v>
      </c>
      <c r="B86" s="106">
        <v>2</v>
      </c>
      <c r="C86" s="111" t="str">
        <f>[1]ΑΝΤΙΣΤΟΙΧΙΣΗ!L190</f>
        <v>Μικτές Αποδοχές Sales (Α.Κ.SDep )</v>
      </c>
      <c r="D86" s="125">
        <f>'[1]2025_60-69 ΕΞΟΔΑ+ΟΜ 2'!E40</f>
        <v>1245.7</v>
      </c>
      <c r="E86" s="102">
        <f>D86/$D$111</f>
        <v>0.14226474696244151</v>
      </c>
      <c r="F86" s="125">
        <f>'[1]2025 Ιανουάριος'!F84+'2025 Φεβρουάριος'!D86</f>
        <v>2267.6400000000003</v>
      </c>
      <c r="G86" s="102" t="e">
        <f t="shared" si="19"/>
        <v>#VALUE!</v>
      </c>
      <c r="H86" s="103"/>
      <c r="I86" s="131" t="e">
        <f t="shared" ca="1" si="20"/>
        <v>#DIV/0!</v>
      </c>
      <c r="J86" s="130"/>
      <c r="K86" s="130" t="e">
        <f t="shared" ca="1" si="21"/>
        <v>#DIV/0!</v>
      </c>
      <c r="L86" s="125">
        <f>'[1]2024_60-69 ΕΞΟΔΑ+ΟΜ 2'!E38</f>
        <v>0</v>
      </c>
      <c r="M86" s="102">
        <f t="shared" ca="1" si="22"/>
        <v>0</v>
      </c>
      <c r="N86" s="101">
        <f>L86+'[1]2025 Ιανουάριος'!L84</f>
        <v>930.01</v>
      </c>
      <c r="O86" s="102">
        <f t="shared" ca="1" si="23"/>
        <v>6.8782990519143286E-2</v>
      </c>
      <c r="P86" s="130"/>
      <c r="Q86" s="123" t="e">
        <f t="shared" si="24"/>
        <v>#VALUE!</v>
      </c>
      <c r="R86" s="91"/>
      <c r="S86" s="91"/>
      <c r="T86" s="91"/>
      <c r="U86" s="91"/>
      <c r="V86" s="91"/>
    </row>
    <row r="87" spans="1:22" ht="24.75" customHeight="1" x14ac:dyDescent="0.2">
      <c r="A87" s="106">
        <v>86</v>
      </c>
      <c r="B87" s="106">
        <v>3</v>
      </c>
      <c r="C87" s="110" t="str">
        <f>[1]ΑΝΤΙΣΤΟΙΧΙΣΗ!L193</f>
        <v>Ασφαλιστικές εισφορές (Α.Κ.MDep)</v>
      </c>
      <c r="D87" s="125">
        <f>'[1]2025_60-69 ΕΞΟΔΑ+ΟΜ 2'!E43</f>
        <v>151.02000000000001</v>
      </c>
      <c r="E87" s="102">
        <f>D87/$D$111</f>
        <v>1.7247187995719608E-2</v>
      </c>
      <c r="F87" s="125">
        <f>'[1]2025 Ιανουάριος'!F87+'2025 Φεβρουάριος'!D87</f>
        <v>493.39</v>
      </c>
      <c r="G87" s="102" t="e">
        <f t="shared" si="19"/>
        <v>#VALUE!</v>
      </c>
      <c r="H87" s="103"/>
      <c r="I87" s="131" t="e">
        <f t="shared" ca="1" si="20"/>
        <v>#DIV/0!</v>
      </c>
      <c r="J87" s="130"/>
      <c r="K87" s="130" t="e">
        <f t="shared" ca="1" si="21"/>
        <v>#DIV/0!</v>
      </c>
      <c r="L87" s="125">
        <f>'[1]2024_60-69 ΕΞΟΔΑ+ΟΜ 2'!E41</f>
        <v>292.81</v>
      </c>
      <c r="M87" s="102">
        <f t="shared" ca="1" si="22"/>
        <v>6.2467865775477499E-2</v>
      </c>
      <c r="N87" s="101">
        <f>L87+'[1]2025 Ιανουάριος'!L87</f>
        <v>593.63</v>
      </c>
      <c r="O87" s="102">
        <f t="shared" ca="1" si="23"/>
        <v>4.3904524318963266E-2</v>
      </c>
      <c r="P87" s="130"/>
      <c r="Q87" s="123" t="e">
        <f t="shared" si="24"/>
        <v>#VALUE!</v>
      </c>
      <c r="R87" s="91"/>
      <c r="S87" s="91"/>
      <c r="T87" s="91"/>
      <c r="U87" s="91"/>
      <c r="V87" s="109"/>
    </row>
    <row r="88" spans="1:22" ht="28.5" x14ac:dyDescent="0.2">
      <c r="A88" s="106">
        <v>87</v>
      </c>
      <c r="B88" s="106">
        <v>4</v>
      </c>
      <c r="C88" s="110" t="str">
        <f>[1]ΑΝΤΙΣΤΟΙΧΙΣΗ!L194</f>
        <v>Ασφαλιστικές εισφορές (Α.Κ.SDep)</v>
      </c>
      <c r="D88" s="125">
        <f>'[1]2025_60-69 ΕΞΟΔΑ+ΟΜ 2'!E44</f>
        <v>158.21</v>
      </c>
      <c r="E88" s="102">
        <f>D88/$D$111</f>
        <v>1.8068319512665867E-2</v>
      </c>
      <c r="F88" s="125">
        <f>'[1]2025 Ιανουάριος'!F88+'2025 Φεβρουάριος'!D88</f>
        <v>312.83000000000004</v>
      </c>
      <c r="G88" s="102" t="e">
        <f t="shared" si="19"/>
        <v>#VALUE!</v>
      </c>
      <c r="H88" s="103"/>
      <c r="I88" s="131" t="e">
        <f t="shared" ca="1" si="20"/>
        <v>#DIV/0!</v>
      </c>
      <c r="J88" s="130"/>
      <c r="K88" s="130" t="e">
        <f t="shared" ca="1" si="21"/>
        <v>#DIV/0!</v>
      </c>
      <c r="L88" s="125">
        <f>'[1]2024_60-69 ΕΞΟΔΑ+ΟΜ 2'!E42</f>
        <v>0</v>
      </c>
      <c r="M88" s="102">
        <f t="shared" ca="1" si="22"/>
        <v>0</v>
      </c>
      <c r="N88" s="101">
        <f>L88+'[1]2025 Ιανουάριος'!L88</f>
        <v>176.37</v>
      </c>
      <c r="O88" s="102">
        <f t="shared" ca="1" si="23"/>
        <v>1.3044221070592037E-2</v>
      </c>
      <c r="P88" s="130"/>
      <c r="Q88" s="123" t="e">
        <f t="shared" si="24"/>
        <v>#VALUE!</v>
      </c>
      <c r="R88" s="91"/>
      <c r="S88" s="91"/>
      <c r="T88" s="91"/>
      <c r="U88" s="91"/>
      <c r="V88" s="109"/>
    </row>
    <row r="89" spans="1:22" ht="15" customHeight="1" x14ac:dyDescent="0.2">
      <c r="A89" s="106">
        <v>88</v>
      </c>
      <c r="B89" s="106">
        <v>5</v>
      </c>
      <c r="C89" s="107" t="str">
        <f>[1]ΑΝΤΙΣΤΟΙΧΙΣΗ!L195</f>
        <v>Ενοίκιο</v>
      </c>
      <c r="D89" s="125">
        <f>'[1]2025_60-69 ΕΞΟΔΑ+ΟΜ 2'!E45</f>
        <v>0</v>
      </c>
      <c r="E89" s="102">
        <f>D89/$D$111</f>
        <v>0</v>
      </c>
      <c r="F89" s="125">
        <f>'[1]2025 Ιανουάριος'!F89+'2025 Φεβρουάριος'!D89</f>
        <v>163.1</v>
      </c>
      <c r="G89" s="102" t="e">
        <f t="shared" si="19"/>
        <v>#VALUE!</v>
      </c>
      <c r="H89" s="134"/>
      <c r="I89" s="131" t="e">
        <f t="shared" ca="1" si="20"/>
        <v>#DIV/0!</v>
      </c>
      <c r="J89" s="134"/>
      <c r="K89" s="130" t="e">
        <f t="shared" ca="1" si="21"/>
        <v>#DIV/0!</v>
      </c>
      <c r="L89" s="125">
        <f>'[1]2024_60-69 ΕΞΟΔΑ+ΟΜ 2'!E43</f>
        <v>0</v>
      </c>
      <c r="M89" s="102">
        <f t="shared" ca="1" si="22"/>
        <v>0</v>
      </c>
      <c r="N89" s="101">
        <f>L89+'[1]2025 Ιανουάριος'!L89</f>
        <v>0</v>
      </c>
      <c r="O89" s="102">
        <f t="shared" ca="1" si="23"/>
        <v>0</v>
      </c>
      <c r="P89" s="134"/>
      <c r="Q89" s="123" t="e">
        <f t="shared" si="24"/>
        <v>#VALUE!</v>
      </c>
      <c r="R89" s="91"/>
      <c r="S89" s="91"/>
      <c r="T89" s="91"/>
      <c r="U89" s="91"/>
      <c r="V89" s="91"/>
    </row>
    <row r="90" spans="1:22" ht="14.25" x14ac:dyDescent="0.2">
      <c r="A90" s="106">
        <v>89</v>
      </c>
      <c r="B90" s="106">
        <v>6</v>
      </c>
      <c r="C90" s="132" t="str">
        <f>[1]ΑΝΤΙΣΤΟΙΧΙΣΗ!L196</f>
        <v xml:space="preserve">Χαρτόσημο ενοικίων </v>
      </c>
      <c r="D90" s="125">
        <f>'[1]2025_60-69 ΕΞΟΔΑ+ΟΜ 2'!E46</f>
        <v>0</v>
      </c>
      <c r="E90" s="102">
        <f>D90/$D$111</f>
        <v>0</v>
      </c>
      <c r="F90" s="125">
        <f>'[1]2025 Ιανουάριος'!F90+'2025 Φεβρουάριος'!D90</f>
        <v>0</v>
      </c>
      <c r="G90" s="102" t="e">
        <f t="shared" si="19"/>
        <v>#VALUE!</v>
      </c>
      <c r="H90" s="134"/>
      <c r="I90" s="131" t="e">
        <f t="shared" ca="1" si="20"/>
        <v>#DIV/0!</v>
      </c>
      <c r="J90" s="134"/>
      <c r="K90" s="130" t="e">
        <f t="shared" ca="1" si="21"/>
        <v>#DIV/0!</v>
      </c>
      <c r="L90" s="125">
        <f>'[1]2024_60-69 ΕΞΟΔΑ+ΟΜ 2'!E44</f>
        <v>0</v>
      </c>
      <c r="M90" s="102">
        <f t="shared" ca="1" si="22"/>
        <v>0</v>
      </c>
      <c r="N90" s="101">
        <f>L90+'[1]2025 Ιανουάριος'!L90</f>
        <v>0</v>
      </c>
      <c r="O90" s="102">
        <f t="shared" ca="1" si="23"/>
        <v>0</v>
      </c>
      <c r="P90" s="134"/>
      <c r="Q90" s="123" t="e">
        <f t="shared" si="24"/>
        <v>#VALUE!</v>
      </c>
      <c r="R90" s="91"/>
      <c r="S90" s="91"/>
      <c r="T90" s="91"/>
      <c r="U90" s="91"/>
      <c r="V90" s="91"/>
    </row>
    <row r="91" spans="1:22" ht="14.25" x14ac:dyDescent="0.2">
      <c r="A91" s="106">
        <v>90</v>
      </c>
      <c r="B91" s="106">
        <v>7</v>
      </c>
      <c r="C91" s="132" t="str">
        <f>[1]ΑΝΤΙΣΤΟΙΧΙΣΗ!L197</f>
        <v xml:space="preserve">Κοινόχρηστες Δαπάνες </v>
      </c>
      <c r="D91" s="125">
        <f>'[1]2025_60-69 ΕΞΟΔΑ+ΟΜ 2'!E47</f>
        <v>0</v>
      </c>
      <c r="E91" s="102">
        <f>D91/$D$111</f>
        <v>0</v>
      </c>
      <c r="F91" s="125">
        <f>'[1]2025 Ιανουάριος'!F91+'2025 Φεβρουάριος'!D91</f>
        <v>0</v>
      </c>
      <c r="G91" s="102" t="e">
        <f t="shared" si="19"/>
        <v>#VALUE!</v>
      </c>
      <c r="H91" s="134"/>
      <c r="I91" s="131" t="e">
        <f t="shared" ca="1" si="20"/>
        <v>#DIV/0!</v>
      </c>
      <c r="J91" s="134"/>
      <c r="K91" s="130" t="e">
        <f t="shared" ca="1" si="21"/>
        <v>#DIV/0!</v>
      </c>
      <c r="L91" s="125">
        <f>'[1]2024_60-69 ΕΞΟΔΑ+ΟΜ 2'!E45</f>
        <v>0</v>
      </c>
      <c r="M91" s="102">
        <f t="shared" ca="1" si="22"/>
        <v>0</v>
      </c>
      <c r="N91" s="101">
        <f>L91+'[1]2025 Ιανουάριος'!L91</f>
        <v>0</v>
      </c>
      <c r="O91" s="102">
        <f t="shared" ca="1" si="23"/>
        <v>0</v>
      </c>
      <c r="P91" s="134"/>
      <c r="Q91" s="123" t="e">
        <f t="shared" si="24"/>
        <v>#VALUE!</v>
      </c>
      <c r="R91" s="91"/>
      <c r="S91" s="91"/>
      <c r="T91" s="91"/>
      <c r="U91" s="91"/>
      <c r="V91" s="91"/>
    </row>
    <row r="92" spans="1:22" ht="24.75" customHeight="1" x14ac:dyDescent="0.2">
      <c r="A92" s="106">
        <v>91</v>
      </c>
      <c r="B92" s="106">
        <v>8</v>
      </c>
      <c r="C92" s="110" t="str">
        <f>[1]ΑΝΤΙΣΤΟΙΧΙΣΗ!L198</f>
        <v xml:space="preserve">Ενέργεια </v>
      </c>
      <c r="D92" s="125">
        <f>'[1]2025_60-69 ΕΞΟΔΑ+ΟΜ 2'!E48</f>
        <v>0</v>
      </c>
      <c r="E92" s="102">
        <f>D92/$D$111</f>
        <v>0</v>
      </c>
      <c r="F92" s="125">
        <f>'[1]2025 Ιανουάριος'!F92+'2025 Φεβρουάριος'!D92</f>
        <v>0</v>
      </c>
      <c r="G92" s="102" t="e">
        <f t="shared" si="19"/>
        <v>#VALUE!</v>
      </c>
      <c r="H92" s="103"/>
      <c r="I92" s="131" t="e">
        <f t="shared" ca="1" si="20"/>
        <v>#DIV/0!</v>
      </c>
      <c r="J92" s="130"/>
      <c r="K92" s="130" t="e">
        <f t="shared" ca="1" si="21"/>
        <v>#DIV/0!</v>
      </c>
      <c r="L92" s="125">
        <f>'[1]2024_60-69 ΕΞΟΔΑ+ΟΜ 2'!E46</f>
        <v>0</v>
      </c>
      <c r="M92" s="102">
        <f t="shared" ca="1" si="22"/>
        <v>0</v>
      </c>
      <c r="N92" s="101">
        <f>L92+'[1]2025 Ιανουάριος'!L92</f>
        <v>0</v>
      </c>
      <c r="O92" s="102">
        <f t="shared" ca="1" si="23"/>
        <v>0</v>
      </c>
      <c r="P92" s="130"/>
      <c r="Q92" s="123" t="e">
        <f t="shared" si="24"/>
        <v>#VALUE!</v>
      </c>
      <c r="R92" s="91"/>
      <c r="S92" s="91"/>
      <c r="T92" s="91"/>
      <c r="U92" s="91"/>
      <c r="V92" s="109"/>
    </row>
    <row r="93" spans="1:22" ht="28.5" x14ac:dyDescent="0.2">
      <c r="A93" s="106">
        <v>92</v>
      </c>
      <c r="B93" s="106">
        <v>9</v>
      </c>
      <c r="C93" s="132" t="str">
        <f>[1]ΑΝΤΙΣΤΟΙΧΙΣΗ!L199</f>
        <v xml:space="preserve">Τηλεπικοινωνίες (Τηλεφωνία &amp; Διαδίκτυο) </v>
      </c>
      <c r="D93" s="125">
        <f>'[1]2025_60-69 ΕΞΟΔΑ+ΟΜ 2'!E49</f>
        <v>0</v>
      </c>
      <c r="E93" s="102">
        <f>D93/$D$111</f>
        <v>0</v>
      </c>
      <c r="F93" s="125">
        <f>'[1]2025 Ιανουάριος'!F93+'2025 Φεβρουάριος'!D93</f>
        <v>0</v>
      </c>
      <c r="G93" s="102" t="e">
        <f t="shared" si="19"/>
        <v>#VALUE!</v>
      </c>
      <c r="H93" s="103"/>
      <c r="I93" s="131" t="e">
        <f t="shared" ca="1" si="20"/>
        <v>#DIV/0!</v>
      </c>
      <c r="J93" s="130"/>
      <c r="K93" s="130" t="e">
        <f t="shared" ca="1" si="21"/>
        <v>#DIV/0!</v>
      </c>
      <c r="L93" s="125">
        <f>'[1]2024_60-69 ΕΞΟΔΑ+ΟΜ 2'!E47</f>
        <v>0</v>
      </c>
      <c r="M93" s="102">
        <f t="shared" ca="1" si="22"/>
        <v>0</v>
      </c>
      <c r="N93" s="101">
        <f>L93+'[1]2025 Ιανουάριος'!L93</f>
        <v>0</v>
      </c>
      <c r="O93" s="102">
        <f t="shared" ca="1" si="23"/>
        <v>0</v>
      </c>
      <c r="P93" s="130"/>
      <c r="Q93" s="123" t="e">
        <f t="shared" si="24"/>
        <v>#VALUE!</v>
      </c>
      <c r="R93" s="91"/>
      <c r="S93" s="91"/>
      <c r="T93" s="91"/>
      <c r="U93" s="91"/>
      <c r="V93" s="91"/>
    </row>
    <row r="94" spans="1:22" ht="14.25" x14ac:dyDescent="0.2">
      <c r="A94" s="106">
        <v>93</v>
      </c>
      <c r="B94" s="106">
        <v>10</v>
      </c>
      <c r="C94" s="132" t="str">
        <f>[1]ΑΝΤΙΣΤΟΙΧΙΣΗ!L200</f>
        <v xml:space="preserve">Ύδρευση </v>
      </c>
      <c r="D94" s="125">
        <f>'[1]2025_60-69 ΕΞΟΔΑ+ΟΜ 2'!E50</f>
        <v>0</v>
      </c>
      <c r="E94" s="102">
        <f>D94/$D$111</f>
        <v>0</v>
      </c>
      <c r="F94" s="125">
        <f>'[1]2025 Ιανουάριος'!F94+'2025 Φεβρουάριος'!D94</f>
        <v>0</v>
      </c>
      <c r="G94" s="102" t="e">
        <f t="shared" si="19"/>
        <v>#VALUE!</v>
      </c>
      <c r="H94" s="133"/>
      <c r="I94" s="131" t="e">
        <f t="shared" ca="1" si="20"/>
        <v>#DIV/0!</v>
      </c>
      <c r="J94" s="133"/>
      <c r="K94" s="130" t="e">
        <f t="shared" ca="1" si="21"/>
        <v>#DIV/0!</v>
      </c>
      <c r="L94" s="125">
        <f>'[1]2024_60-69 ΕΞΟΔΑ+ΟΜ 2'!E48</f>
        <v>0</v>
      </c>
      <c r="M94" s="102">
        <f t="shared" ca="1" si="22"/>
        <v>0</v>
      </c>
      <c r="N94" s="101">
        <f>L94+'[1]2025 Ιανουάριος'!L94</f>
        <v>0</v>
      </c>
      <c r="O94" s="102">
        <f t="shared" ca="1" si="23"/>
        <v>0</v>
      </c>
      <c r="P94" s="133"/>
      <c r="Q94" s="123" t="e">
        <f t="shared" si="24"/>
        <v>#VALUE!</v>
      </c>
      <c r="R94" s="91"/>
      <c r="S94" s="91"/>
      <c r="T94" s="91"/>
      <c r="U94" s="91"/>
      <c r="V94" s="91"/>
    </row>
    <row r="95" spans="1:22" ht="15" x14ac:dyDescent="0.2">
      <c r="A95" s="106">
        <v>94</v>
      </c>
      <c r="B95" s="106">
        <v>11</v>
      </c>
      <c r="C95" s="132" t="str">
        <f>[1]ΑΝΤΙΣΤΟΙΧΙΣΗ!L201</f>
        <v xml:space="preserve">Ασφάλιστρα </v>
      </c>
      <c r="D95" s="125">
        <f>'[1]2025_60-69 ΕΞΟΔΑ+ΟΜ 2'!E51</f>
        <v>0</v>
      </c>
      <c r="E95" s="102">
        <f>D95/$D$111</f>
        <v>0</v>
      </c>
      <c r="F95" s="125">
        <f>'[1]2025 Ιανουάριος'!F95+'2025 Φεβρουάριος'!D95</f>
        <v>0</v>
      </c>
      <c r="G95" s="102" t="e">
        <f t="shared" si="19"/>
        <v>#VALUE!</v>
      </c>
      <c r="H95" s="103"/>
      <c r="I95" s="131" t="e">
        <f t="shared" ca="1" si="20"/>
        <v>#DIV/0!</v>
      </c>
      <c r="J95" s="130"/>
      <c r="K95" s="130" t="e">
        <f t="shared" ca="1" si="21"/>
        <v>#DIV/0!</v>
      </c>
      <c r="L95" s="125">
        <f>'[1]2024_60-69 ΕΞΟΔΑ+ΟΜ 2'!E49</f>
        <v>246.76</v>
      </c>
      <c r="M95" s="102">
        <f t="shared" ca="1" si="22"/>
        <v>5.2643593315654609E-2</v>
      </c>
      <c r="N95" s="101">
        <f>L95+'[1]2025 Ιανουάριος'!L95</f>
        <v>246.76</v>
      </c>
      <c r="O95" s="102">
        <f t="shared" ca="1" si="23"/>
        <v>1.8250223912112552E-2</v>
      </c>
      <c r="P95" s="130"/>
      <c r="Q95" s="123" t="e">
        <f t="shared" si="24"/>
        <v>#VALUE!</v>
      </c>
      <c r="R95" s="91"/>
      <c r="S95" s="91"/>
      <c r="T95" s="91"/>
      <c r="U95" s="91"/>
      <c r="V95" s="91"/>
    </row>
    <row r="96" spans="1:22" ht="15" x14ac:dyDescent="0.2">
      <c r="A96" s="106">
        <v>95</v>
      </c>
      <c r="B96" s="106">
        <v>12</v>
      </c>
      <c r="C96" s="132" t="str">
        <f>[1]ΑΝΤΙΣΤΟΙΧΙΣΗ!L202</f>
        <v xml:space="preserve">Έντυπα και γραφική Ύλη </v>
      </c>
      <c r="D96" s="125">
        <f>'[1]2025_60-69 ΕΞΟΔΑ+ΟΜ 2'!E52</f>
        <v>161.91999999999999</v>
      </c>
      <c r="E96" s="102">
        <f>D96/$D$111</f>
        <v>1.8492018807223669E-2</v>
      </c>
      <c r="F96" s="125">
        <f>'[1]2025 Ιανουάριος'!F96+'2025 Φεβρουάριος'!D96</f>
        <v>161.91999999999999</v>
      </c>
      <c r="G96" s="102" t="e">
        <f t="shared" si="19"/>
        <v>#VALUE!</v>
      </c>
      <c r="H96" s="103"/>
      <c r="I96" s="131" t="e">
        <f t="shared" ca="1" si="20"/>
        <v>#DIV/0!</v>
      </c>
      <c r="J96" s="130"/>
      <c r="K96" s="130" t="e">
        <f t="shared" ca="1" si="21"/>
        <v>#DIV/0!</v>
      </c>
      <c r="L96" s="125">
        <f>'[1]2024_60-69 ΕΞΟΔΑ+ΟΜ 2'!E50</f>
        <v>0</v>
      </c>
      <c r="M96" s="102">
        <f t="shared" ca="1" si="22"/>
        <v>0</v>
      </c>
      <c r="N96" s="101">
        <f>L96+'[1]2025 Ιανουάριος'!L96</f>
        <v>0</v>
      </c>
      <c r="O96" s="102">
        <f t="shared" ca="1" si="23"/>
        <v>0</v>
      </c>
      <c r="P96" s="130"/>
      <c r="Q96" s="123" t="e">
        <f t="shared" si="24"/>
        <v>#VALUE!</v>
      </c>
      <c r="R96" s="91"/>
      <c r="S96" s="91"/>
      <c r="T96" s="91"/>
      <c r="U96" s="91"/>
      <c r="V96" s="91"/>
    </row>
    <row r="97" spans="1:22" ht="15" customHeight="1" x14ac:dyDescent="0.2">
      <c r="A97" s="106">
        <v>96</v>
      </c>
      <c r="B97" s="106">
        <v>13</v>
      </c>
      <c r="C97" s="132">
        <f>[1]ΑΝΤΙΣΤΟΙΧΙΣΗ!L203</f>
        <v>0</v>
      </c>
      <c r="D97" s="125">
        <f>'[1]2025_60-69 ΕΞΟΔΑ+ΟΜ 2'!E53</f>
        <v>0</v>
      </c>
      <c r="E97" s="102">
        <f>D97/$D$111</f>
        <v>0</v>
      </c>
      <c r="F97" s="125">
        <f>'[1]2025 Ιανουάριος'!F97+'2025 Φεβρουάριος'!D97</f>
        <v>82.13</v>
      </c>
      <c r="G97" s="102" t="e">
        <f t="shared" si="19"/>
        <v>#VALUE!</v>
      </c>
      <c r="H97" s="103"/>
      <c r="I97" s="131" t="e">
        <f t="shared" ca="1" si="20"/>
        <v>#DIV/0!</v>
      </c>
      <c r="J97" s="130"/>
      <c r="K97" s="130" t="e">
        <f t="shared" ca="1" si="21"/>
        <v>#DIV/0!</v>
      </c>
      <c r="L97" s="125">
        <f>'[1]2024_60-69 ΕΞΟΔΑ+ΟΜ 2'!E51</f>
        <v>0</v>
      </c>
      <c r="M97" s="102">
        <f t="shared" ca="1" si="22"/>
        <v>0</v>
      </c>
      <c r="N97" s="101">
        <f>L97+'[1]2025 Ιανουάριος'!L97</f>
        <v>0</v>
      </c>
      <c r="O97" s="102">
        <f t="shared" ca="1" si="23"/>
        <v>0</v>
      </c>
      <c r="P97" s="130"/>
      <c r="Q97" s="123" t="e">
        <f t="shared" si="24"/>
        <v>#VALUE!</v>
      </c>
      <c r="R97" s="91"/>
      <c r="S97" s="91"/>
      <c r="T97" s="91"/>
      <c r="U97" s="91"/>
      <c r="V97" s="91"/>
    </row>
    <row r="98" spans="1:22" ht="15" x14ac:dyDescent="0.2">
      <c r="A98" s="106">
        <v>97</v>
      </c>
      <c r="B98" s="106">
        <v>14</v>
      </c>
      <c r="C98" s="107" t="str">
        <f>[1]ΑΝΤΙΣΤΟΙΧΙΣΗ!L204</f>
        <v xml:space="preserve">Υλικά Καθαριότητας </v>
      </c>
      <c r="D98" s="125">
        <f>'[1]2025_60-69 ΕΞΟΔΑ+ΟΜ 2'!E54</f>
        <v>0</v>
      </c>
      <c r="E98" s="102">
        <f>D98/$D$111</f>
        <v>0</v>
      </c>
      <c r="F98" s="125">
        <f>'[1]2025 Ιανουάριος'!F98+'2025 Φεβρουάριος'!D98</f>
        <v>0</v>
      </c>
      <c r="G98" s="102" t="e">
        <f t="shared" si="19"/>
        <v>#VALUE!</v>
      </c>
      <c r="H98" s="103"/>
      <c r="I98" s="131" t="e">
        <f t="shared" ca="1" si="20"/>
        <v>#DIV/0!</v>
      </c>
      <c r="J98" s="130"/>
      <c r="K98" s="130" t="e">
        <f t="shared" ca="1" si="21"/>
        <v>#DIV/0!</v>
      </c>
      <c r="L98" s="125">
        <f>'[1]2024_60-69 ΕΞΟΔΑ+ΟΜ 2'!E52</f>
        <v>0</v>
      </c>
      <c r="M98" s="102">
        <f t="shared" ca="1" si="22"/>
        <v>0</v>
      </c>
      <c r="N98" s="101">
        <f>L98+'[1]2025 Ιανουάριος'!L98</f>
        <v>0</v>
      </c>
      <c r="O98" s="102">
        <f t="shared" ca="1" si="23"/>
        <v>0</v>
      </c>
      <c r="P98" s="130"/>
      <c r="Q98" s="123" t="e">
        <f t="shared" si="24"/>
        <v>#VALUE!</v>
      </c>
      <c r="R98" s="91"/>
      <c r="S98" s="91"/>
      <c r="T98" s="91"/>
      <c r="U98" s="91"/>
      <c r="V98" s="91"/>
    </row>
    <row r="99" spans="1:22" ht="15" x14ac:dyDescent="0.2">
      <c r="A99" s="106">
        <v>98</v>
      </c>
      <c r="B99" s="106">
        <v>15</v>
      </c>
      <c r="C99" s="105" t="str">
        <f>[1]ΑΝΤΙΣΤΟΙΧΙΣΗ!L205</f>
        <v>Υλικά Φαρμακείου</v>
      </c>
      <c r="D99" s="125">
        <f>'[1]2025_60-69 ΕΞΟΔΑ+ΟΜ 2'!E55</f>
        <v>0</v>
      </c>
      <c r="E99" s="102">
        <f>D99/$D$111</f>
        <v>0</v>
      </c>
      <c r="F99" s="125">
        <f>'[1]2025 Ιανουάριος'!F99+'2025 Φεβρουάριος'!D99</f>
        <v>0</v>
      </c>
      <c r="G99" s="102" t="e">
        <f t="shared" si="19"/>
        <v>#VALUE!</v>
      </c>
      <c r="H99" s="103"/>
      <c r="I99" s="131" t="e">
        <f t="shared" ca="1" si="20"/>
        <v>#DIV/0!</v>
      </c>
      <c r="J99" s="130"/>
      <c r="K99" s="130" t="e">
        <f t="shared" ca="1" si="21"/>
        <v>#DIV/0!</v>
      </c>
      <c r="L99" s="125">
        <f>'[1]2024_60-69 ΕΞΟΔΑ+ΟΜ 2'!E53</f>
        <v>45.5</v>
      </c>
      <c r="M99" s="102">
        <f t="shared" ca="1" si="22"/>
        <v>9.7069358723548584E-3</v>
      </c>
      <c r="N99" s="101">
        <f>L99+'[1]2025 Ιανουάριος'!L99</f>
        <v>45.5</v>
      </c>
      <c r="O99" s="102">
        <f t="shared" ca="1" si="23"/>
        <v>3.3651531366555407E-3</v>
      </c>
      <c r="P99" s="130"/>
      <c r="Q99" s="123" t="e">
        <f t="shared" si="24"/>
        <v>#VALUE!</v>
      </c>
      <c r="R99" s="91"/>
      <c r="S99" s="91"/>
      <c r="T99" s="91"/>
      <c r="U99" s="91"/>
      <c r="V99" s="91"/>
    </row>
    <row r="100" spans="1:22" ht="28.5" x14ac:dyDescent="0.2">
      <c r="A100" s="106">
        <v>99</v>
      </c>
      <c r="B100" s="106">
        <v>16</v>
      </c>
      <c r="C100" s="105" t="str">
        <f>[1]ΑΝΤΙΣΤΟΙΧΙΣΗ!L206</f>
        <v xml:space="preserve">Αγορές εφαρμογών για Marketing </v>
      </c>
      <c r="D100" s="125">
        <f>'[1]2025_60-69 ΕΞΟΔΑ+ΟΜ 2'!E56</f>
        <v>560.03</v>
      </c>
      <c r="E100" s="102">
        <f>D100/$D$111</f>
        <v>6.3958036639139529E-2</v>
      </c>
      <c r="F100" s="125">
        <f>'[1]2025 Ιανουάριος'!F100+'2025 Φεβρουάριος'!D100</f>
        <v>2532.48</v>
      </c>
      <c r="G100" s="102" t="e">
        <f t="shared" si="19"/>
        <v>#VALUE!</v>
      </c>
      <c r="H100" s="103"/>
      <c r="I100" s="131" t="e">
        <f t="shared" ca="1" si="20"/>
        <v>#DIV/0!</v>
      </c>
      <c r="J100" s="130"/>
      <c r="K100" s="130" t="e">
        <f t="shared" ca="1" si="21"/>
        <v>#DIV/0!</v>
      </c>
      <c r="L100" s="125">
        <f>'[1]2024_60-69 ΕΞΟΔΑ+ΟΜ 2'!E54</f>
        <v>0</v>
      </c>
      <c r="M100" s="102">
        <f t="shared" ca="1" si="22"/>
        <v>0</v>
      </c>
      <c r="N100" s="101">
        <f>L100+'[1]2025 Ιανουάριος'!L100</f>
        <v>0</v>
      </c>
      <c r="O100" s="102">
        <f t="shared" ca="1" si="23"/>
        <v>0</v>
      </c>
      <c r="P100" s="130"/>
      <c r="Q100" s="123" t="e">
        <f t="shared" si="24"/>
        <v>#VALUE!</v>
      </c>
      <c r="R100" s="91"/>
      <c r="S100" s="91"/>
      <c r="T100" s="91"/>
      <c r="U100" s="91"/>
      <c r="V100" s="91"/>
    </row>
    <row r="101" spans="1:22" ht="15" customHeight="1" x14ac:dyDescent="0.2">
      <c r="A101" s="106">
        <v>100</v>
      </c>
      <c r="B101" s="106">
        <v>17</v>
      </c>
      <c r="C101" s="105" t="str">
        <f>[1]ΑΝΤΙΣΤΟΙΧΙΣΗ!L207</f>
        <v>Αμοιβές συνεργατών ( Συνδρομές για Marketing - Ιστοσελίδα _ Editing 3D  -)</v>
      </c>
      <c r="D101" s="125">
        <f>'[1]2025_60-69 ΕΞΟΔΑ+ΟΜ 2'!E57</f>
        <v>0</v>
      </c>
      <c r="E101" s="102">
        <f>D101/$D$111</f>
        <v>0</v>
      </c>
      <c r="F101" s="125">
        <f>'[1]2025 Ιανουάριος'!F101+'2025 Φεβρουάριος'!D101</f>
        <v>96.02</v>
      </c>
      <c r="G101" s="102" t="e">
        <f t="shared" si="19"/>
        <v>#VALUE!</v>
      </c>
      <c r="H101" s="103"/>
      <c r="I101" s="131" t="e">
        <f t="shared" ca="1" si="20"/>
        <v>#DIV/0!</v>
      </c>
      <c r="J101" s="130"/>
      <c r="K101" s="130" t="e">
        <f t="shared" ca="1" si="21"/>
        <v>#DIV/0!</v>
      </c>
      <c r="L101" s="125">
        <f>'[1]2024_60-69 ΕΞΟΔΑ+ΟΜ 2'!E55</f>
        <v>0</v>
      </c>
      <c r="M101" s="102">
        <f t="shared" ca="1" si="22"/>
        <v>0</v>
      </c>
      <c r="N101" s="101">
        <f>L101+'[1]2025 Ιανουάριος'!L101</f>
        <v>660</v>
      </c>
      <c r="O101" s="102">
        <f t="shared" ca="1" si="23"/>
        <v>4.8813210333904546E-2</v>
      </c>
      <c r="P101" s="130"/>
      <c r="Q101" s="123" t="e">
        <f t="shared" si="24"/>
        <v>#VALUE!</v>
      </c>
      <c r="R101" s="91"/>
      <c r="S101" s="91"/>
      <c r="T101" s="91"/>
      <c r="U101" s="91"/>
      <c r="V101" s="91"/>
    </row>
    <row r="102" spans="1:22" ht="15" x14ac:dyDescent="0.2">
      <c r="A102" s="106">
        <v>101</v>
      </c>
      <c r="B102" s="106">
        <v>18</v>
      </c>
      <c r="C102" s="129" t="str">
        <f>[1]ΑΝΤΙΣΤΟΙΧΙΣΗ!L208</f>
        <v xml:space="preserve">Αμοιβές Τρίτων </v>
      </c>
      <c r="D102" s="125">
        <f>'[1]2025_60-69 ΕΞΟΔΑ+ΟΜ 2'!E58</f>
        <v>0</v>
      </c>
      <c r="E102" s="102">
        <f>D102/$D$111</f>
        <v>0</v>
      </c>
      <c r="F102" s="125">
        <f>'[1]2025 Ιανουάριος'!F102+'2025 Φεβρουάριος'!D102</f>
        <v>0</v>
      </c>
      <c r="G102" s="102" t="e">
        <f t="shared" si="19"/>
        <v>#VALUE!</v>
      </c>
      <c r="H102" s="103"/>
      <c r="I102" s="131" t="e">
        <f t="shared" ca="1" si="20"/>
        <v>#DIV/0!</v>
      </c>
      <c r="J102" s="130"/>
      <c r="K102" s="130" t="e">
        <f t="shared" ca="1" si="21"/>
        <v>#DIV/0!</v>
      </c>
      <c r="L102" s="125">
        <f>'[1]2024_60-69 ΕΞΟΔΑ+ΟΜ 2'!E56</f>
        <v>1012.1</v>
      </c>
      <c r="M102" s="102">
        <f t="shared" ca="1" si="22"/>
        <v>0.21592065486616158</v>
      </c>
      <c r="N102" s="101">
        <f>L102+'[1]2025 Ιανουάριος'!L102</f>
        <v>1012.1</v>
      </c>
      <c r="O102" s="102">
        <f t="shared" ca="1" si="23"/>
        <v>7.4854318452946655E-2</v>
      </c>
      <c r="P102" s="130"/>
      <c r="Q102" s="123" t="e">
        <f t="shared" si="24"/>
        <v>#VALUE!</v>
      </c>
      <c r="R102" s="91"/>
      <c r="S102" s="91"/>
      <c r="T102" s="91"/>
      <c r="U102" s="91"/>
      <c r="V102" s="91"/>
    </row>
    <row r="103" spans="1:22" ht="15" customHeight="1" x14ac:dyDescent="0.2">
      <c r="A103" s="106">
        <v>102</v>
      </c>
      <c r="B103" s="106">
        <v>19</v>
      </c>
      <c r="C103" s="107" t="str">
        <f>[1]ΑΝΤΙΣΤΟΙΧΙΣΗ!L209</f>
        <v>Επισκευές - Συντηρήσεις</v>
      </c>
      <c r="D103" s="125">
        <f>'[1]2025_60-69 ΕΞΟΔΑ+ΟΜ 2'!E59</f>
        <v>1078.45</v>
      </c>
      <c r="E103" s="102">
        <f>D103/$D$111</f>
        <v>0.12316401730885851</v>
      </c>
      <c r="F103" s="125">
        <f>'[1]2025 Ιανουάριος'!F103+'2025 Φεβρουάριος'!D103</f>
        <v>1078.45</v>
      </c>
      <c r="G103" s="102" t="e">
        <f t="shared" si="19"/>
        <v>#VALUE!</v>
      </c>
      <c r="H103" s="103"/>
      <c r="I103" s="131" t="e">
        <f t="shared" ca="1" si="20"/>
        <v>#DIV/0!</v>
      </c>
      <c r="J103" s="130"/>
      <c r="K103" s="130" t="e">
        <f t="shared" ca="1" si="21"/>
        <v>#DIV/0!</v>
      </c>
      <c r="L103" s="125">
        <f>'[1]2024_60-69 ΕΞΟΔΑ+ΟΜ 2'!E57</f>
        <v>0</v>
      </c>
      <c r="M103" s="102">
        <f t="shared" ca="1" si="22"/>
        <v>0</v>
      </c>
      <c r="N103" s="101">
        <f>L103+'[1]2025 Ιανουάριος'!L103</f>
        <v>0</v>
      </c>
      <c r="O103" s="102">
        <f t="shared" ca="1" si="23"/>
        <v>0</v>
      </c>
      <c r="P103" s="130"/>
      <c r="Q103" s="123" t="e">
        <f t="shared" si="24"/>
        <v>#VALUE!</v>
      </c>
      <c r="R103" s="91"/>
      <c r="S103" s="91"/>
      <c r="T103" s="91"/>
      <c r="U103" s="91"/>
      <c r="V103" s="91"/>
    </row>
    <row r="104" spans="1:22" ht="28.5" x14ac:dyDescent="0.2">
      <c r="A104" s="106">
        <v>103</v>
      </c>
      <c r="B104" s="106">
        <v>20</v>
      </c>
      <c r="C104" s="129" t="str">
        <f>[1]ΑΝΤΙΣΤΟΙΧΙΣΗ!L210</f>
        <v xml:space="preserve">Εξοδα προβολής και διαφήμισης </v>
      </c>
      <c r="D104" s="125">
        <f>'[1]2025_60-69 ΕΞΟΔΑ+ΟΜ 2'!E60</f>
        <v>0</v>
      </c>
      <c r="E104" s="102">
        <f>D104/$D$111</f>
        <v>0</v>
      </c>
      <c r="F104" s="125">
        <f>'[1]2025 Ιανουάριος'!F104+'2025 Φεβρουάριος'!D104</f>
        <v>1041.47</v>
      </c>
      <c r="G104" s="102" t="e">
        <f t="shared" si="19"/>
        <v>#VALUE!</v>
      </c>
      <c r="H104" s="103"/>
      <c r="I104" s="131" t="e">
        <f t="shared" ca="1" si="20"/>
        <v>#DIV/0!</v>
      </c>
      <c r="J104" s="130"/>
      <c r="K104" s="130" t="e">
        <f t="shared" ca="1" si="21"/>
        <v>#DIV/0!</v>
      </c>
      <c r="L104" s="125">
        <f>'[1]2024_60-69 ΕΞΟΔΑ+ΟΜ 2'!E58</f>
        <v>0</v>
      </c>
      <c r="M104" s="102">
        <f t="shared" ca="1" si="22"/>
        <v>0</v>
      </c>
      <c r="N104" s="101">
        <f>L104+'[1]2025 Ιανουάριος'!L104</f>
        <v>1000</v>
      </c>
      <c r="O104" s="102">
        <f t="shared" ca="1" si="23"/>
        <v>7.3959409596825065E-2</v>
      </c>
      <c r="P104" s="130"/>
      <c r="Q104" s="123" t="e">
        <f t="shared" si="24"/>
        <v>#VALUE!</v>
      </c>
      <c r="R104" s="91"/>
      <c r="S104" s="91"/>
      <c r="T104" s="91"/>
      <c r="U104" s="91"/>
      <c r="V104" s="91"/>
    </row>
    <row r="105" spans="1:22" ht="28.5" x14ac:dyDescent="0.2">
      <c r="A105" s="106">
        <v>104</v>
      </c>
      <c r="B105" s="106">
        <v>21</v>
      </c>
      <c r="C105" s="129" t="str">
        <f>[1]ΑΝΤΙΣΤΟΙΧΙΣΗ!L211</f>
        <v>Εξοδα εκθέσεων και επιδείξεων</v>
      </c>
      <c r="D105" s="125">
        <f>'[1]2025_60-69 ΕΞΟΔΑ+ΟΜ 2'!E61</f>
        <v>0</v>
      </c>
      <c r="E105" s="102">
        <f>D105/$D$111</f>
        <v>0</v>
      </c>
      <c r="F105" s="125">
        <f>'[1]2025 Ιανουάριος'!F105+'2025 Φεβρουάριος'!D105</f>
        <v>0</v>
      </c>
      <c r="G105" s="102" t="e">
        <f t="shared" si="19"/>
        <v>#VALUE!</v>
      </c>
      <c r="H105" s="103"/>
      <c r="I105" s="131" t="e">
        <f t="shared" ca="1" si="20"/>
        <v>#DIV/0!</v>
      </c>
      <c r="J105" s="130"/>
      <c r="K105" s="130" t="e">
        <f t="shared" ca="1" si="21"/>
        <v>#DIV/0!</v>
      </c>
      <c r="L105" s="125">
        <f>'[1]2024_60-69 ΕΞΟΔΑ+ΟΜ 2'!E59</f>
        <v>0</v>
      </c>
      <c r="M105" s="102">
        <f t="shared" ca="1" si="22"/>
        <v>0</v>
      </c>
      <c r="N105" s="101">
        <f>L105+'[1]2025 Ιανουάριος'!L105</f>
        <v>0</v>
      </c>
      <c r="O105" s="102">
        <f t="shared" ca="1" si="23"/>
        <v>0</v>
      </c>
      <c r="P105" s="130"/>
      <c r="Q105" s="123" t="e">
        <f t="shared" si="24"/>
        <v>#VALUE!</v>
      </c>
      <c r="R105" s="91"/>
      <c r="S105" s="91"/>
      <c r="T105" s="91"/>
      <c r="U105" s="91"/>
      <c r="V105" s="91"/>
    </row>
    <row r="106" spans="1:22" ht="28.5" x14ac:dyDescent="0.2">
      <c r="A106" s="106">
        <v>105</v>
      </c>
      <c r="B106" s="106">
        <v>22</v>
      </c>
      <c r="C106" s="129" t="str">
        <f>[1]ΑΝΤΙΣΤΟΙΧΙΣΗ!L212</f>
        <v>Αποσβέσεις ( Εξοπλισμού R.DEP. &amp; M.DEP.)</v>
      </c>
      <c r="D106" s="125"/>
      <c r="E106" s="102"/>
      <c r="F106" s="125"/>
      <c r="G106" s="102"/>
      <c r="H106" s="103"/>
      <c r="I106" s="131"/>
      <c r="J106" s="130"/>
      <c r="K106" s="130"/>
      <c r="L106" s="125"/>
      <c r="M106" s="102"/>
      <c r="N106" s="130"/>
      <c r="O106" s="130"/>
      <c r="P106" s="130"/>
      <c r="Q106" s="123"/>
      <c r="R106" s="91"/>
      <c r="S106" s="91"/>
      <c r="T106" s="91"/>
      <c r="U106" s="91"/>
      <c r="V106" s="91"/>
    </row>
    <row r="107" spans="1:22" ht="15" x14ac:dyDescent="0.2">
      <c r="A107" s="106">
        <v>106</v>
      </c>
      <c r="B107" s="106">
        <v>23</v>
      </c>
      <c r="C107" s="129">
        <f>[1]ΑΝΤΙΣΤΟΙΧΙΣΗ!L213</f>
        <v>0</v>
      </c>
      <c r="D107" s="125"/>
      <c r="E107" s="102"/>
      <c r="F107" s="125"/>
      <c r="G107" s="102"/>
      <c r="H107" s="103"/>
      <c r="I107" s="131"/>
      <c r="J107" s="130"/>
      <c r="K107" s="130"/>
      <c r="L107" s="125"/>
      <c r="M107" s="102"/>
      <c r="N107" s="130"/>
      <c r="O107" s="130"/>
      <c r="P107" s="130"/>
      <c r="Q107" s="123"/>
      <c r="R107" s="91"/>
      <c r="S107" s="91"/>
      <c r="T107" s="91"/>
      <c r="U107" s="91"/>
      <c r="V107" s="91"/>
    </row>
    <row r="108" spans="1:22" ht="15" x14ac:dyDescent="0.2">
      <c r="A108" s="106">
        <v>107</v>
      </c>
      <c r="B108" s="106">
        <v>24</v>
      </c>
      <c r="C108" s="129">
        <f>[1]ΑΝΤΙΣΤΟΙΧΙΣΗ!L214</f>
        <v>0</v>
      </c>
      <c r="D108" s="125"/>
      <c r="E108" s="102"/>
      <c r="F108" s="125"/>
      <c r="G108" s="102"/>
      <c r="H108" s="103"/>
      <c r="I108" s="131"/>
      <c r="J108" s="130"/>
      <c r="K108" s="130"/>
      <c r="L108" s="125"/>
      <c r="M108" s="102"/>
      <c r="N108" s="130"/>
      <c r="O108" s="130"/>
      <c r="P108" s="130"/>
      <c r="Q108" s="123"/>
      <c r="R108" s="91"/>
      <c r="S108" s="91"/>
      <c r="T108" s="91"/>
      <c r="U108" s="91"/>
      <c r="V108" s="91"/>
    </row>
    <row r="109" spans="1:22" ht="15" x14ac:dyDescent="0.2">
      <c r="A109" s="106">
        <v>108</v>
      </c>
      <c r="B109" s="106">
        <v>25</v>
      </c>
      <c r="C109" s="129">
        <f>[1]ΑΝΤΙΣΤΟΙΧΙΣΗ!L215</f>
        <v>0</v>
      </c>
      <c r="D109" s="125"/>
      <c r="E109" s="102"/>
      <c r="F109" s="125"/>
      <c r="G109" s="102"/>
      <c r="H109" s="103"/>
      <c r="I109" s="127"/>
      <c r="J109" s="124"/>
      <c r="K109" s="126"/>
      <c r="L109" s="125"/>
      <c r="M109" s="102"/>
      <c r="N109" s="124"/>
      <c r="O109" s="124"/>
      <c r="P109" s="124"/>
      <c r="Q109" s="123"/>
      <c r="R109" s="91"/>
      <c r="S109" s="91"/>
      <c r="T109" s="91"/>
      <c r="U109" s="91"/>
      <c r="V109" s="91"/>
    </row>
    <row r="110" spans="1:22" ht="25.5" customHeight="1" x14ac:dyDescent="0.2">
      <c r="A110" s="106">
        <v>109</v>
      </c>
      <c r="B110" s="106">
        <v>26</v>
      </c>
      <c r="C110" s="128">
        <f>[1]ΑΝΤΙΣΤΟΙΧΙΣΗ!L216</f>
        <v>0</v>
      </c>
      <c r="D110" s="125"/>
      <c r="E110" s="102"/>
      <c r="F110" s="125"/>
      <c r="G110" s="102"/>
      <c r="H110" s="103"/>
      <c r="I110" s="127"/>
      <c r="J110" s="124"/>
      <c r="K110" s="126"/>
      <c r="L110" s="125"/>
      <c r="M110" s="102"/>
      <c r="N110" s="124"/>
      <c r="O110" s="124"/>
      <c r="P110" s="124"/>
      <c r="Q110" s="123"/>
      <c r="R110" s="91"/>
      <c r="S110" s="91"/>
      <c r="T110" s="91"/>
      <c r="U110" s="91"/>
      <c r="V110" s="91"/>
    </row>
    <row r="111" spans="1:22" ht="31.5" x14ac:dyDescent="0.2">
      <c r="A111" s="113">
        <v>110</v>
      </c>
      <c r="B111" s="113"/>
      <c r="C111" s="122" t="s">
        <v>41</v>
      </c>
      <c r="D111" s="97">
        <f>'[1]2025_60-69 ΕΞΟΔΑ+ΟΜ 2'!E36</f>
        <v>8756.2100000000009</v>
      </c>
      <c r="E111" s="96"/>
      <c r="F111" s="97">
        <f>'[1]2025_60-69 ΕΞΟΔΑ+ΟΜ 2'!R36</f>
        <v>18374.98</v>
      </c>
      <c r="G111" s="96"/>
      <c r="H111" s="97">
        <f ca="1">SUM(H47:H110)</f>
        <v>0</v>
      </c>
      <c r="I111" s="96"/>
      <c r="J111" s="97">
        <f ca="1">SUM(J47:J110)</f>
        <v>0</v>
      </c>
      <c r="K111" s="96"/>
      <c r="L111" s="97">
        <f ca="1">SUM(L47:L110)</f>
        <v>4687.3700000000008</v>
      </c>
      <c r="M111" s="96"/>
      <c r="N111" s="97">
        <f ca="1">SUM(N47:N110)</f>
        <v>13520.93</v>
      </c>
      <c r="O111" s="96"/>
      <c r="P111" s="97">
        <f ca="1">SUM(P47:P110)</f>
        <v>0</v>
      </c>
      <c r="Q111" s="96"/>
      <c r="R111" s="91"/>
      <c r="S111" s="91"/>
      <c r="T111" s="91"/>
      <c r="U111" s="91"/>
      <c r="V111" s="91"/>
    </row>
    <row r="112" spans="1:22" ht="24" x14ac:dyDescent="0.2">
      <c r="A112" s="113">
        <v>111</v>
      </c>
      <c r="B112" s="113"/>
      <c r="C112" s="121" t="s">
        <v>18</v>
      </c>
      <c r="D112" s="97">
        <f ca="1">D84-D111</f>
        <v>0</v>
      </c>
      <c r="E112" s="96"/>
      <c r="F112" s="97" t="e">
        <f>F84-F111</f>
        <v>#VALUE!</v>
      </c>
      <c r="G112" s="96"/>
      <c r="H112" s="97">
        <f ca="1">H84-H111</f>
        <v>0</v>
      </c>
      <c r="I112" s="96"/>
      <c r="J112" s="97">
        <f ca="1">J84-J111</f>
        <v>0</v>
      </c>
      <c r="K112" s="96"/>
      <c r="L112" s="97">
        <f ca="1">L84-L111</f>
        <v>0</v>
      </c>
      <c r="M112" s="96"/>
      <c r="N112" s="97">
        <f ca="1">N84-N111</f>
        <v>0</v>
      </c>
      <c r="O112" s="96"/>
      <c r="P112" s="97">
        <f ca="1">P84-P111</f>
        <v>0</v>
      </c>
      <c r="Q112" s="96"/>
      <c r="R112" s="91"/>
      <c r="S112" s="91"/>
      <c r="T112" s="91"/>
      <c r="U112" s="91"/>
      <c r="V112" s="91"/>
    </row>
    <row r="113" spans="1:22" ht="15.75" customHeight="1" x14ac:dyDescent="0.2">
      <c r="A113" s="120">
        <v>112</v>
      </c>
      <c r="B113" s="120"/>
      <c r="C113" s="119" t="s">
        <v>160</v>
      </c>
      <c r="D113" s="184" t="str">
        <f>[1]ΑΝΤΙΣΤΟΙΧΙΣΗ!$F$32</f>
        <v xml:space="preserve">ΠΡΑΓΜΑΤΟΠΟΙΗΘΕΝΤΑ ΜΗΝΟΣ ΤΡΕΧ. ΕΤΟΥΣ </v>
      </c>
      <c r="E113" s="184"/>
      <c r="F113" s="184"/>
      <c r="G113" s="184"/>
      <c r="H113" s="184" t="str">
        <f>[1]ΑΝΤΙΣΤΟΙΧΙΣΗ!$F$35</f>
        <v>ΠΡΟΥΠΟΛΟΓΙΣΜΟΣ ΤΡΕΧΟΝΤΟΣ ΕΤΟΥΣ</v>
      </c>
      <c r="I113" s="184"/>
      <c r="J113" s="184"/>
      <c r="K113" s="184"/>
      <c r="L113" s="184" t="str">
        <f>[1]ΑΝΤΙΣΤΟΙΧΙΣΗ!$F$68</f>
        <v>ΠΡΑΓΜΑΤΟΠΟΙΗΘΕΝΤΑ ΠΡΟΗΓΟΥΜΕΝΟΥ ΕΤΟΥΣ</v>
      </c>
      <c r="M113" s="184"/>
      <c r="N113" s="184"/>
      <c r="O113" s="184">
        <f>[1]ΑΝΤΙΣΤΟΙΧΙΣΗ!$D$33</f>
        <v>2024</v>
      </c>
      <c r="P113" s="185" t="str">
        <f>[1]ΑΝΤΙΣΤΟΙΧΙΣΗ!$F$100</f>
        <v xml:space="preserve">ΣΥΓΚΡΙΣΕΙΣ </v>
      </c>
      <c r="Q113" s="185">
        <f>[1]ΑΝΤΙΣΤΟΙΧΙΣΗ!$H$141</f>
        <v>2024</v>
      </c>
      <c r="R113" s="91"/>
      <c r="S113" s="91"/>
      <c r="T113" s="91"/>
      <c r="U113" s="91"/>
      <c r="V113" s="91"/>
    </row>
    <row r="114" spans="1:22" ht="31.5" customHeight="1" x14ac:dyDescent="0.2">
      <c r="A114" s="113">
        <v>113</v>
      </c>
      <c r="B114" s="112"/>
      <c r="C114" s="118" t="s">
        <v>161</v>
      </c>
      <c r="D114" s="186" t="str">
        <f>[1]ΑΝΤΙΣΤΟΙΧΙΣΗ!$F$107</f>
        <v xml:space="preserve">ΦΕΒΡΟΥΑΡΙΟΣ ΤΡΕΧΟΝ ΕΤΟΣ </v>
      </c>
      <c r="E114" s="186"/>
      <c r="F114" s="186"/>
      <c r="G114" s="117">
        <f>[1]ΑΝΤΙΣΤΟΙΧΙΣΗ!$D$34</f>
        <v>2025</v>
      </c>
      <c r="H114" s="186" t="str">
        <f>[1]ΑΝΤΙΣΤΟΙΧΙΣΗ!$F$107</f>
        <v xml:space="preserve">ΦΕΒΡΟΥΑΡΙΟΣ ΤΡΕΧΟΝ ΕΤΟΣ </v>
      </c>
      <c r="I114" s="186"/>
      <c r="J114" s="186"/>
      <c r="K114" s="117">
        <f>[1]ΑΝΤΙΣΤΟΙΧΙΣΗ!$D$34</f>
        <v>2025</v>
      </c>
      <c r="L114" s="186" t="str">
        <f>[1]ΑΝΤΙΣΤΟΙΧΙΣΗ!$F$121</f>
        <v>ΦΕΒΡΟΥΑΡΙΟΣ ΠΡΟΗΓΟΥΜΕΝΟΥ ΕΤΟΥΣ</v>
      </c>
      <c r="M114" s="186"/>
      <c r="N114" s="186"/>
      <c r="O114" s="117">
        <f>[1]ΑΝΤΙΣΤΟΙΧΙΣΗ!$D$33</f>
        <v>2024</v>
      </c>
      <c r="P114" s="186"/>
      <c r="Q114" s="186"/>
      <c r="R114" s="91"/>
      <c r="S114" s="91"/>
      <c r="T114" s="91"/>
      <c r="U114" s="91"/>
      <c r="V114" s="91"/>
    </row>
    <row r="115" spans="1:22" ht="45" customHeight="1" x14ac:dyDescent="0.2">
      <c r="A115" s="116">
        <v>114</v>
      </c>
      <c r="B115" s="116" t="s">
        <v>42</v>
      </c>
      <c r="C115" s="115" t="s">
        <v>20</v>
      </c>
      <c r="D115" s="115" t="s">
        <v>166</v>
      </c>
      <c r="E115" s="114" t="s">
        <v>35</v>
      </c>
      <c r="F115" s="114" t="s">
        <v>36</v>
      </c>
      <c r="G115" s="114" t="s">
        <v>27</v>
      </c>
      <c r="H115" s="114" t="s">
        <v>38</v>
      </c>
      <c r="I115" s="114" t="s">
        <v>39</v>
      </c>
      <c r="J115" s="114" t="s">
        <v>36</v>
      </c>
      <c r="K115" s="114" t="s">
        <v>37</v>
      </c>
      <c r="L115" s="114" t="s">
        <v>38</v>
      </c>
      <c r="M115" s="114" t="s">
        <v>39</v>
      </c>
      <c r="N115" s="114" t="s">
        <v>36</v>
      </c>
      <c r="O115" s="114" t="s">
        <v>27</v>
      </c>
      <c r="P115" s="114" t="s">
        <v>28</v>
      </c>
      <c r="Q115" s="114" t="s">
        <v>40</v>
      </c>
      <c r="R115" s="91"/>
      <c r="S115" s="91"/>
      <c r="T115" s="91"/>
      <c r="U115" s="91"/>
      <c r="V115" s="91"/>
    </row>
    <row r="116" spans="1:22" ht="30" x14ac:dyDescent="0.2">
      <c r="A116" s="113">
        <v>115</v>
      </c>
      <c r="B116" s="112" t="s">
        <v>2</v>
      </c>
      <c r="C116" s="98" t="s">
        <v>167</v>
      </c>
      <c r="D116" s="97">
        <f>SUM(D117:D156)</f>
        <v>7167.420000000001</v>
      </c>
      <c r="E116" s="96"/>
      <c r="F116" s="97">
        <f>SUM(F117:F156)</f>
        <v>25142.020000000004</v>
      </c>
      <c r="G116" s="96"/>
      <c r="H116" s="97">
        <f>SUM(H117:H156)</f>
        <v>0</v>
      </c>
      <c r="I116" s="96"/>
      <c r="J116" s="97">
        <f>SUM(J117:J156)</f>
        <v>0</v>
      </c>
      <c r="K116" s="96"/>
      <c r="L116" s="97">
        <f>SUM(L117:L156)</f>
        <v>6383.3499999999995</v>
      </c>
      <c r="M116" s="96"/>
      <c r="N116" s="97">
        <f>SUM(N117:N156)</f>
        <v>27244.600000000002</v>
      </c>
      <c r="O116" s="96"/>
      <c r="P116" s="97">
        <f>SUM(P117:P156)</f>
        <v>0</v>
      </c>
      <c r="Q116" s="96"/>
      <c r="R116" s="91"/>
      <c r="S116" s="91"/>
      <c r="T116" s="91"/>
      <c r="U116" s="91"/>
      <c r="V116" s="91"/>
    </row>
    <row r="117" spans="1:22" ht="15" x14ac:dyDescent="0.2">
      <c r="A117" s="106">
        <v>116</v>
      </c>
      <c r="B117" s="106">
        <v>1</v>
      </c>
      <c r="C117" s="111" t="str">
        <f>[1]ΑΝΤΙΣΤΟΙΧΙΣΗ!O187</f>
        <v>Μικτές Αποδοχές (Α.Κ.Διοικ.)</v>
      </c>
      <c r="D117" s="103">
        <f>'[1]2025_60-69 ΕΞΟΔΑ+ΟΜ 2'!E74</f>
        <v>0</v>
      </c>
      <c r="E117" s="102">
        <f>D117/$D$116</f>
        <v>0</v>
      </c>
      <c r="F117" s="101">
        <f>'[1]2025 Ιανουάριος'!F117+'2025 Φεβρουάριος'!D117</f>
        <v>9731.61</v>
      </c>
      <c r="G117" s="102">
        <f>F117/$F$116</f>
        <v>0.38706555797823722</v>
      </c>
      <c r="H117" s="103"/>
      <c r="I117" s="104" t="e">
        <f>H117/$H$116</f>
        <v>#DIV/0!</v>
      </c>
      <c r="J117" s="101"/>
      <c r="K117" s="101" t="e">
        <f>J117/$J$116</f>
        <v>#DIV/0!</v>
      </c>
      <c r="L117" s="103">
        <f>'[1]2024_60-69 ΕΞΟΔΑ+ΟΜ 2'!E66</f>
        <v>1042.0999999999999</v>
      </c>
      <c r="M117" s="102">
        <f>L117/$L$116</f>
        <v>0.16325283745995442</v>
      </c>
      <c r="N117" s="101">
        <f>L117+'[1]2025 Ιανουάριος'!L117</f>
        <v>13675.990000000002</v>
      </c>
      <c r="O117" s="102">
        <f>N117/$N$116</f>
        <v>0.50197066574660665</v>
      </c>
      <c r="P117" s="101"/>
      <c r="Q117" s="100" t="e">
        <f t="shared" ref="Q117:Q153" si="25">SUM(D117:P117)</f>
        <v>#DIV/0!</v>
      </c>
      <c r="R117" s="91"/>
      <c r="S117" s="91"/>
      <c r="T117" s="91"/>
      <c r="U117" s="91"/>
      <c r="V117" s="91"/>
    </row>
    <row r="118" spans="1:22" ht="28.5" x14ac:dyDescent="0.2">
      <c r="A118" s="106">
        <v>117</v>
      </c>
      <c r="B118" s="106">
        <v>2</v>
      </c>
      <c r="C118" s="110" t="str">
        <f>[1]ΑΝΤΙΣΤΟΙΧΙΣΗ!O188</f>
        <v>Ασφαλιστικές εισφορές  (Α.Κ.Διοικ.)</v>
      </c>
      <c r="D118" s="103">
        <f>'[1]2025_60-69 ΕΞΟΔΑ+ΟΜ 2'!E75</f>
        <v>248.55</v>
      </c>
      <c r="E118" s="102">
        <f t="shared" ref="E118:E153" si="26">D118/$D$116</f>
        <v>3.4677750152774633E-2</v>
      </c>
      <c r="F118" s="101">
        <f>'[1]2025 Ιανουάριος'!F118+'2025 Φεβρουάριος'!D118</f>
        <v>1305.97</v>
      </c>
      <c r="G118" s="102">
        <f t="shared" ref="G118:G153" si="27">F118/$F$116</f>
        <v>5.1943718126069419E-2</v>
      </c>
      <c r="H118" s="103"/>
      <c r="I118" s="104" t="e">
        <f t="shared" ref="I118:I152" si="28">H118/$H$116</f>
        <v>#DIV/0!</v>
      </c>
      <c r="J118" s="101"/>
      <c r="K118" s="101" t="e">
        <f t="shared" ref="K118:K153" si="29">J118/$J$116</f>
        <v>#DIV/0!</v>
      </c>
      <c r="L118" s="103">
        <f>'[1]2024_60-69 ΕΞΟΔΑ+ΟΜ 2'!E67</f>
        <v>232.28</v>
      </c>
      <c r="M118" s="102">
        <f t="shared" ref="M118:M153" si="30">L118/$L$116</f>
        <v>3.6388416740426269E-2</v>
      </c>
      <c r="N118" s="101">
        <f>L118+'[1]2025 Ιανουάριος'!L118</f>
        <v>1456.17</v>
      </c>
      <c r="O118" s="102">
        <f t="shared" ref="O118:O153" si="31">N118/$N$116</f>
        <v>5.3448022727439565E-2</v>
      </c>
      <c r="P118" s="101"/>
      <c r="Q118" s="100" t="e">
        <f t="shared" si="25"/>
        <v>#DIV/0!</v>
      </c>
      <c r="R118" s="91"/>
      <c r="S118" s="91"/>
      <c r="T118" s="91"/>
      <c r="U118" s="91"/>
      <c r="V118" s="109"/>
    </row>
    <row r="119" spans="1:22" ht="15" x14ac:dyDescent="0.2">
      <c r="A119" s="106">
        <v>118</v>
      </c>
      <c r="B119" s="106">
        <v>3</v>
      </c>
      <c r="C119" s="105" t="str">
        <f>[1]ΑΝΤΙΣΤΟΙΧΙΣΗ!O189</f>
        <v xml:space="preserve">Ενοίκια  Έδρας </v>
      </c>
      <c r="D119" s="103">
        <f>'[1]2025_60-69 ΕΞΟΔΑ+ΟΜ 2'!E76</f>
        <v>965.25</v>
      </c>
      <c r="E119" s="102">
        <f t="shared" si="26"/>
        <v>0.13467189030362389</v>
      </c>
      <c r="F119" s="101">
        <f>'[1]2025 Ιανουάριος'!F119+'2025 Φεβρουάριος'!D119</f>
        <v>1195.6600000000001</v>
      </c>
      <c r="G119" s="102">
        <f t="shared" si="27"/>
        <v>4.7556242497619521E-2</v>
      </c>
      <c r="H119" s="103"/>
      <c r="I119" s="104" t="e">
        <f t="shared" si="28"/>
        <v>#DIV/0!</v>
      </c>
      <c r="J119" s="101"/>
      <c r="K119" s="101" t="e">
        <f t="shared" si="29"/>
        <v>#DIV/0!</v>
      </c>
      <c r="L119" s="103">
        <f>'[1]2024_60-69 ΕΞΟΔΑ+ΟΜ 2'!E68</f>
        <v>850</v>
      </c>
      <c r="M119" s="102">
        <f t="shared" si="30"/>
        <v>0.13315892125608028</v>
      </c>
      <c r="N119" s="101">
        <f>L119+'[1]2025 Ιανουάριος'!L119</f>
        <v>1122.81</v>
      </c>
      <c r="O119" s="102">
        <f t="shared" si="31"/>
        <v>4.1212203519229496E-2</v>
      </c>
      <c r="P119" s="101"/>
      <c r="Q119" s="100" t="e">
        <f t="shared" si="25"/>
        <v>#DIV/0!</v>
      </c>
      <c r="R119" s="91"/>
      <c r="S119" s="91"/>
      <c r="T119" s="91"/>
      <c r="U119" s="91"/>
      <c r="V119" s="91"/>
    </row>
    <row r="120" spans="1:22" ht="15" x14ac:dyDescent="0.2">
      <c r="A120" s="106">
        <v>119</v>
      </c>
      <c r="B120" s="106">
        <v>4</v>
      </c>
      <c r="C120" s="105" t="str">
        <f>[1]ΑΝΤΙΣΤΟΙΧΙΣΗ!O190</f>
        <v>Ενοίκιο Αποθήκης Β</v>
      </c>
      <c r="D120" s="103">
        <f>'[1]2025_60-69 ΕΞΟΔΑ+ΟΜ 2'!E77</f>
        <v>31.52</v>
      </c>
      <c r="E120" s="102">
        <f t="shared" si="26"/>
        <v>4.3976772674128202E-3</v>
      </c>
      <c r="F120" s="101">
        <f>'[1]2025 Ιανουάριος'!F120+'2025 Φεβρουάριος'!D120</f>
        <v>907.02</v>
      </c>
      <c r="G120" s="102">
        <f t="shared" si="27"/>
        <v>3.6075860253074327E-2</v>
      </c>
      <c r="H120" s="103"/>
      <c r="I120" s="104" t="e">
        <f t="shared" si="28"/>
        <v>#DIV/0!</v>
      </c>
      <c r="J120" s="101"/>
      <c r="K120" s="101" t="e">
        <f t="shared" si="29"/>
        <v>#DIV/0!</v>
      </c>
      <c r="L120" s="103">
        <f>'[1]2024_60-69 ΕΞΟΔΑ+ΟΜ 2'!E69</f>
        <v>0</v>
      </c>
      <c r="M120" s="102">
        <f t="shared" si="30"/>
        <v>0</v>
      </c>
      <c r="N120" s="101">
        <f>L120+'[1]2025 Ιανουάριος'!L120</f>
        <v>850</v>
      </c>
      <c r="O120" s="102">
        <f t="shared" si="31"/>
        <v>3.1198843073489791E-2</v>
      </c>
      <c r="P120" s="101"/>
      <c r="Q120" s="100" t="e">
        <f t="shared" si="25"/>
        <v>#DIV/0!</v>
      </c>
      <c r="R120" s="91"/>
      <c r="S120" s="91"/>
      <c r="T120" s="91"/>
      <c r="U120" s="91"/>
      <c r="V120" s="91"/>
    </row>
    <row r="121" spans="1:22" ht="15" x14ac:dyDescent="0.2">
      <c r="A121" s="106">
        <v>120</v>
      </c>
      <c r="B121" s="106">
        <v>5</v>
      </c>
      <c r="C121" s="105" t="str">
        <f>[1]ΑΝΤΙΣΤΟΙΧΙΣΗ!O191</f>
        <v>Ενοίκιο Αποθήκης Α</v>
      </c>
      <c r="D121" s="103">
        <f>'[1]2025_60-69 ΕΞΟΔΑ+ΟΜ 2'!E78</f>
        <v>8.9499999999999993</v>
      </c>
      <c r="E121" s="102">
        <f t="shared" si="26"/>
        <v>1.2487059499792113E-3</v>
      </c>
      <c r="F121" s="101">
        <f>'[1]2025 Ιανουάριος'!F121+'2025 Φεβρουάριος'!D121</f>
        <v>8.9499999999999993</v>
      </c>
      <c r="G121" s="102">
        <f t="shared" si="27"/>
        <v>3.5597776153228731E-4</v>
      </c>
      <c r="H121" s="103"/>
      <c r="I121" s="104" t="e">
        <f t="shared" si="28"/>
        <v>#DIV/0!</v>
      </c>
      <c r="J121" s="101"/>
      <c r="K121" s="101" t="e">
        <f t="shared" si="29"/>
        <v>#DIV/0!</v>
      </c>
      <c r="L121" s="103">
        <f>'[1]2024_60-69 ΕΞΟΔΑ+ΟΜ 2'!E70</f>
        <v>241.31</v>
      </c>
      <c r="M121" s="102">
        <f t="shared" si="30"/>
        <v>3.7803034456829095E-2</v>
      </c>
      <c r="N121" s="101">
        <f>L121+'[1]2025 Ιανουάριος'!L121</f>
        <v>241.31</v>
      </c>
      <c r="O121" s="102">
        <f t="shared" si="31"/>
        <v>8.8571680259574362E-3</v>
      </c>
      <c r="P121" s="101"/>
      <c r="Q121" s="100" t="e">
        <f t="shared" si="25"/>
        <v>#DIV/0!</v>
      </c>
      <c r="R121" s="91"/>
      <c r="S121" s="91"/>
      <c r="T121" s="91"/>
      <c r="U121" s="91"/>
      <c r="V121" s="91"/>
    </row>
    <row r="122" spans="1:22" ht="15" x14ac:dyDescent="0.2">
      <c r="A122" s="106">
        <v>121</v>
      </c>
      <c r="B122" s="106">
        <v>6</v>
      </c>
      <c r="C122" s="105" t="str">
        <f>[1]ΑΝΤΙΣΤΟΙΧΙΣΗ!O192</f>
        <v>Ενοίκιο Αριστοφάνους 1</v>
      </c>
      <c r="D122" s="103">
        <f>'[1]2025_60-69 ΕΞΟΔΑ+ΟΜ 2'!E79</f>
        <v>0</v>
      </c>
      <c r="E122" s="102">
        <f t="shared" si="26"/>
        <v>0</v>
      </c>
      <c r="F122" s="101">
        <f>'[1]2025 Ιανουάριος'!F122+'2025 Φεβρουάριος'!D122</f>
        <v>248.55</v>
      </c>
      <c r="G122" s="102">
        <f t="shared" si="27"/>
        <v>9.885840517189947E-3</v>
      </c>
      <c r="H122" s="103"/>
      <c r="I122" s="104" t="e">
        <f t="shared" si="28"/>
        <v>#DIV/0!</v>
      </c>
      <c r="J122" s="101"/>
      <c r="K122" s="101" t="e">
        <f t="shared" si="29"/>
        <v>#DIV/0!</v>
      </c>
      <c r="L122" s="103">
        <f>'[1]2024_60-69 ΕΞΟΔΑ+ΟΜ 2'!E71</f>
        <v>965.25</v>
      </c>
      <c r="M122" s="102">
        <f t="shared" si="30"/>
        <v>0.15121370440286058</v>
      </c>
      <c r="N122" s="101">
        <f>L122+'[1]2025 Ιανουάριος'!L122</f>
        <v>1206.56</v>
      </c>
      <c r="O122" s="102">
        <f t="shared" si="31"/>
        <v>4.4286207174999814E-2</v>
      </c>
      <c r="P122" s="101"/>
      <c r="Q122" s="100" t="e">
        <f t="shared" si="25"/>
        <v>#DIV/0!</v>
      </c>
      <c r="R122" s="91"/>
      <c r="S122" s="91"/>
      <c r="T122" s="91"/>
      <c r="U122" s="91"/>
      <c r="V122" s="91"/>
    </row>
    <row r="123" spans="1:22" ht="15" x14ac:dyDescent="0.2">
      <c r="A123" s="106">
        <v>122</v>
      </c>
      <c r="B123" s="106">
        <v>7</v>
      </c>
      <c r="C123" s="105" t="str">
        <f>[1]ΑΝΤΙΣΤΟΙΧΙΣΗ!O193</f>
        <v xml:space="preserve">Χαρτόσημο ενοικίου Έδρας </v>
      </c>
      <c r="D123" s="103">
        <f>'[1]2025_60-69 ΕΞΟΔΑ+ΟΜ 2'!E80</f>
        <v>34.75</v>
      </c>
      <c r="E123" s="102">
        <f t="shared" si="26"/>
        <v>4.8483275711483347E-3</v>
      </c>
      <c r="F123" s="101">
        <f>'[1]2025 Ιανουάριος'!F123+'2025 Φεβρουάριος'!D123</f>
        <v>1000</v>
      </c>
      <c r="G123" s="102">
        <f t="shared" si="27"/>
        <v>3.9774051567853332E-2</v>
      </c>
      <c r="H123" s="103"/>
      <c r="I123" s="104" t="e">
        <f t="shared" si="28"/>
        <v>#DIV/0!</v>
      </c>
      <c r="J123" s="101"/>
      <c r="K123" s="101" t="e">
        <f t="shared" si="29"/>
        <v>#DIV/0!</v>
      </c>
      <c r="L123" s="103">
        <f>'[1]2024_60-69 ΕΞΟΔΑ+ΟΜ 2'!E72</f>
        <v>30.6</v>
      </c>
      <c r="M123" s="102">
        <f t="shared" si="30"/>
        <v>4.7937211652188906E-3</v>
      </c>
      <c r="N123" s="101">
        <f>L123+'[1]2025 Ιανουάριος'!L123</f>
        <v>995.85</v>
      </c>
      <c r="O123" s="102">
        <f t="shared" si="31"/>
        <v>3.6552197499688008E-2</v>
      </c>
      <c r="P123" s="101"/>
      <c r="Q123" s="100" t="e">
        <f t="shared" si="25"/>
        <v>#DIV/0!</v>
      </c>
      <c r="R123" s="91"/>
      <c r="S123" s="91"/>
      <c r="T123" s="91"/>
      <c r="U123" s="91"/>
      <c r="V123" s="91"/>
    </row>
    <row r="124" spans="1:22" ht="28.5" x14ac:dyDescent="0.2">
      <c r="A124" s="106">
        <v>123</v>
      </c>
      <c r="B124" s="106">
        <v>8</v>
      </c>
      <c r="C124" s="105" t="str">
        <f>[1]ΑΝΤΙΣΤΟΙΧΙΣΗ!O194</f>
        <v xml:space="preserve">Χαρτόσημο Ενοικίου Αποθήκης Α </v>
      </c>
      <c r="D124" s="103">
        <f>'[1]2025_60-69 ΕΞΟΔΑ+ΟΜ 2'!E81</f>
        <v>0</v>
      </c>
      <c r="E124" s="102">
        <f t="shared" si="26"/>
        <v>0</v>
      </c>
      <c r="F124" s="101">
        <f>'[1]2025 Ιανουάριος'!F124+'2025 Φεβρουάριος'!D124</f>
        <v>31.52</v>
      </c>
      <c r="G124" s="102">
        <f t="shared" si="27"/>
        <v>1.2536781054187369E-3</v>
      </c>
      <c r="H124" s="103"/>
      <c r="I124" s="104" t="e">
        <f t="shared" si="28"/>
        <v>#DIV/0!</v>
      </c>
      <c r="J124" s="101"/>
      <c r="K124" s="101" t="e">
        <f t="shared" si="29"/>
        <v>#DIV/0!</v>
      </c>
      <c r="L124" s="103">
        <f>'[1]2024_60-69 ΕΞΟΔΑ+ΟΜ 2'!E73</f>
        <v>8.69</v>
      </c>
      <c r="M124" s="102">
        <f t="shared" si="30"/>
        <v>1.3613541479003972E-3</v>
      </c>
      <c r="N124" s="101">
        <f>L124+'[1]2025 Ιανουάριος'!L124</f>
        <v>39.29</v>
      </c>
      <c r="O124" s="102">
        <f t="shared" si="31"/>
        <v>1.4421206404204869E-3</v>
      </c>
      <c r="P124" s="101"/>
      <c r="Q124" s="100" t="e">
        <f t="shared" si="25"/>
        <v>#DIV/0!</v>
      </c>
      <c r="R124" s="91"/>
      <c r="S124" s="91"/>
      <c r="T124" s="91"/>
      <c r="U124" s="91"/>
      <c r="V124" s="91"/>
    </row>
    <row r="125" spans="1:22" ht="28.5" x14ac:dyDescent="0.2">
      <c r="A125" s="106">
        <v>124</v>
      </c>
      <c r="B125" s="106">
        <v>9</v>
      </c>
      <c r="C125" s="105" t="str">
        <f>[1]ΑΝΤΙΣΤΟΙΧΙΣΗ!O195</f>
        <v xml:space="preserve">Χαρτόσημο Ενοικίου Αποθήκης Β </v>
      </c>
      <c r="D125" s="103">
        <f>'[1]2025_60-69 ΕΞΟΔΑ+ΟΜ 2'!E82</f>
        <v>0</v>
      </c>
      <c r="E125" s="102">
        <f t="shared" si="26"/>
        <v>0</v>
      </c>
      <c r="F125" s="101">
        <f>'[1]2025 Ιανουάριος'!F125+'2025 Φεβρουάριος'!D125</f>
        <v>8.9499999999999993</v>
      </c>
      <c r="G125" s="102">
        <f t="shared" si="27"/>
        <v>3.5597776153228731E-4</v>
      </c>
      <c r="H125" s="103"/>
      <c r="I125" s="104" t="e">
        <f t="shared" si="28"/>
        <v>#DIV/0!</v>
      </c>
      <c r="J125" s="101"/>
      <c r="K125" s="101" t="e">
        <f t="shared" si="29"/>
        <v>#DIV/0!</v>
      </c>
      <c r="L125" s="103">
        <f>'[1]2024_60-69 ΕΞΟΔΑ+ΟΜ 2'!E74</f>
        <v>0</v>
      </c>
      <c r="M125" s="102">
        <f t="shared" si="30"/>
        <v>0</v>
      </c>
      <c r="N125" s="101">
        <f>L125+'[1]2025 Ιανουάριος'!L125</f>
        <v>8.69</v>
      </c>
      <c r="O125" s="102">
        <f t="shared" si="31"/>
        <v>3.1896228977485445E-4</v>
      </c>
      <c r="P125" s="101"/>
      <c r="Q125" s="100" t="e">
        <f t="shared" si="25"/>
        <v>#DIV/0!</v>
      </c>
      <c r="R125" s="91"/>
      <c r="S125" s="91"/>
      <c r="T125" s="91"/>
      <c r="U125" s="91"/>
      <c r="V125" s="91"/>
    </row>
    <row r="126" spans="1:22" ht="28.5" x14ac:dyDescent="0.2">
      <c r="A126" s="106">
        <v>125</v>
      </c>
      <c r="B126" s="106">
        <v>10</v>
      </c>
      <c r="C126" s="105" t="str">
        <f>[1]ΑΝΤΙΣΤΟΙΧΙΣΗ!O196</f>
        <v>Χαρτόσημο Ενοικίου Αριστοφάνους 1</v>
      </c>
      <c r="D126" s="103">
        <f>'[1]2025_60-69 ΕΞΟΔΑ+ΟΜ 2'!E83</f>
        <v>0</v>
      </c>
      <c r="E126" s="102">
        <f t="shared" si="26"/>
        <v>0</v>
      </c>
      <c r="F126" s="101">
        <f>'[1]2025 Ιανουάριος'!F126+'2025 Φεβρουάριος'!D126</f>
        <v>0</v>
      </c>
      <c r="G126" s="102">
        <f t="shared" si="27"/>
        <v>0</v>
      </c>
      <c r="H126" s="103"/>
      <c r="I126" s="104" t="e">
        <f t="shared" si="28"/>
        <v>#DIV/0!</v>
      </c>
      <c r="J126" s="101"/>
      <c r="K126" s="101" t="e">
        <f t="shared" si="29"/>
        <v>#DIV/0!</v>
      </c>
      <c r="L126" s="103">
        <f>'[1]2024_60-69 ΕΞΟΔΑ+ΟΜ 2'!E75</f>
        <v>34.75</v>
      </c>
      <c r="M126" s="102">
        <f t="shared" si="30"/>
        <v>5.4438500160573994E-3</v>
      </c>
      <c r="N126" s="101">
        <f>L126+'[1]2025 Ιανουάριος'!L126</f>
        <v>34.75</v>
      </c>
      <c r="O126" s="102">
        <f t="shared" si="31"/>
        <v>1.2754821138867885E-3</v>
      </c>
      <c r="P126" s="101"/>
      <c r="Q126" s="100" t="e">
        <f t="shared" si="25"/>
        <v>#DIV/0!</v>
      </c>
      <c r="R126" s="91"/>
      <c r="S126" s="91"/>
      <c r="T126" s="91"/>
      <c r="U126" s="91"/>
      <c r="V126" s="91"/>
    </row>
    <row r="127" spans="1:22" ht="28.5" customHeight="1" x14ac:dyDescent="0.2">
      <c r="A127" s="106">
        <v>126</v>
      </c>
      <c r="B127" s="106">
        <v>11</v>
      </c>
      <c r="C127" s="105" t="str">
        <f>[1]ΑΝΤΙΣΤΟΙΧΙΣΗ!O197</f>
        <v xml:space="preserve">Κοινόχρηστες Δαπάνες Έδρας </v>
      </c>
      <c r="D127" s="103">
        <f>'[1]2025_60-69 ΕΞΟΔΑ+ΟΜ 2'!E84</f>
        <v>33</v>
      </c>
      <c r="E127" s="102">
        <f t="shared" si="26"/>
        <v>4.604167189867483E-3</v>
      </c>
      <c r="F127" s="101">
        <f>'[1]2025 Ιανουάριος'!F127+'2025 Φεβρουάριος'!D127</f>
        <v>67.75</v>
      </c>
      <c r="G127" s="102">
        <f t="shared" si="27"/>
        <v>2.6946919937220633E-3</v>
      </c>
      <c r="H127" s="103"/>
      <c r="I127" s="104" t="e">
        <f t="shared" si="28"/>
        <v>#DIV/0!</v>
      </c>
      <c r="J127" s="101"/>
      <c r="K127" s="101" t="e">
        <f t="shared" si="29"/>
        <v>#DIV/0!</v>
      </c>
      <c r="L127" s="103">
        <f>'[1]2024_60-69 ΕΞΟΔΑ+ΟΜ 2'!E76</f>
        <v>0</v>
      </c>
      <c r="M127" s="102">
        <f t="shared" si="30"/>
        <v>0</v>
      </c>
      <c r="N127" s="101">
        <f>L127+'[1]2025 Ιανουάριος'!L127</f>
        <v>34.75</v>
      </c>
      <c r="O127" s="102">
        <f t="shared" si="31"/>
        <v>1.2754821138867885E-3</v>
      </c>
      <c r="P127" s="101"/>
      <c r="Q127" s="100" t="e">
        <f t="shared" si="25"/>
        <v>#DIV/0!</v>
      </c>
      <c r="R127" s="91"/>
      <c r="S127" s="91"/>
      <c r="T127" s="91"/>
      <c r="U127" s="91"/>
      <c r="V127" s="91"/>
    </row>
    <row r="128" spans="1:22" ht="28.5" x14ac:dyDescent="0.2">
      <c r="A128" s="106">
        <v>127</v>
      </c>
      <c r="B128" s="106">
        <v>12</v>
      </c>
      <c r="C128" s="105" t="str">
        <f>[1]ΑΝΤΙΣΤΟΙΧΙΣΗ!O198</f>
        <v xml:space="preserve">Κοινόχρηστες Δαπάνες Αποθήκης Α </v>
      </c>
      <c r="D128" s="103">
        <f>'[1]2025_60-69 ΕΞΟΔΑ+ΟΜ 2'!E85</f>
        <v>211.24</v>
      </c>
      <c r="E128" s="102">
        <f t="shared" si="26"/>
        <v>2.9472250823866883E-2</v>
      </c>
      <c r="F128" s="101">
        <f>'[1]2025 Ιανουάριος'!F128+'2025 Φεβρουάριος'!D128</f>
        <v>211.24</v>
      </c>
      <c r="G128" s="102">
        <f t="shared" si="27"/>
        <v>8.4018706531933385E-3</v>
      </c>
      <c r="H128" s="103"/>
      <c r="I128" s="104" t="e">
        <f t="shared" si="28"/>
        <v>#DIV/0!</v>
      </c>
      <c r="J128" s="101"/>
      <c r="K128" s="101" t="e">
        <f t="shared" si="29"/>
        <v>#DIV/0!</v>
      </c>
      <c r="L128" s="103">
        <f>'[1]2024_60-69 ΕΞΟΔΑ+ΟΜ 2'!E77</f>
        <v>0</v>
      </c>
      <c r="M128" s="102">
        <f t="shared" si="30"/>
        <v>0</v>
      </c>
      <c r="N128" s="101">
        <f>L128+'[1]2025 Ιανουάριος'!L128</f>
        <v>0</v>
      </c>
      <c r="O128" s="102">
        <f t="shared" si="31"/>
        <v>0</v>
      </c>
      <c r="P128" s="101"/>
      <c r="Q128" s="100" t="e">
        <f t="shared" si="25"/>
        <v>#DIV/0!</v>
      </c>
      <c r="R128" s="91"/>
      <c r="S128" s="91"/>
      <c r="T128" s="91"/>
      <c r="U128" s="91"/>
      <c r="V128" s="91"/>
    </row>
    <row r="129" spans="1:22" ht="28.5" x14ac:dyDescent="0.2">
      <c r="A129" s="106">
        <v>128</v>
      </c>
      <c r="B129" s="106">
        <v>13</v>
      </c>
      <c r="C129" s="105" t="str">
        <f>[1]ΑΝΤΙΣΤΟΙΧΙΣΗ!O199</f>
        <v xml:space="preserve">Κοινόχρηστες Δαπάνες Αποθήκης Β </v>
      </c>
      <c r="D129" s="103">
        <f>'[1]2025_60-69 ΕΞΟΔΑ+ΟΜ 2'!E86</f>
        <v>29.27</v>
      </c>
      <c r="E129" s="102">
        <f t="shared" si="26"/>
        <v>4.083756777194583E-3</v>
      </c>
      <c r="F129" s="101">
        <f>'[1]2025 Ιανουάριος'!F129+'2025 Φεβρουάριος'!D129</f>
        <v>29.27</v>
      </c>
      <c r="G129" s="102">
        <f t="shared" si="27"/>
        <v>1.1641864893910669E-3</v>
      </c>
      <c r="H129" s="103"/>
      <c r="I129" s="104" t="e">
        <f t="shared" si="28"/>
        <v>#DIV/0!</v>
      </c>
      <c r="J129" s="101"/>
      <c r="K129" s="101" t="e">
        <f t="shared" si="29"/>
        <v>#DIV/0!</v>
      </c>
      <c r="L129" s="103">
        <f>'[1]2024_60-69 ΕΞΟΔΑ+ΟΜ 2'!E78</f>
        <v>0</v>
      </c>
      <c r="M129" s="102">
        <f t="shared" si="30"/>
        <v>0</v>
      </c>
      <c r="N129" s="101">
        <f>L129+'[1]2025 Ιανουάριος'!L129</f>
        <v>0</v>
      </c>
      <c r="O129" s="102">
        <f t="shared" si="31"/>
        <v>0</v>
      </c>
      <c r="P129" s="101"/>
      <c r="Q129" s="100" t="e">
        <f t="shared" si="25"/>
        <v>#DIV/0!</v>
      </c>
      <c r="R129" s="91"/>
      <c r="S129" s="91"/>
      <c r="T129" s="91"/>
      <c r="U129" s="91"/>
      <c r="V129" s="91"/>
    </row>
    <row r="130" spans="1:22" ht="28.5" x14ac:dyDescent="0.2">
      <c r="A130" s="106">
        <v>129</v>
      </c>
      <c r="B130" s="106">
        <v>14</v>
      </c>
      <c r="C130" s="105" t="str">
        <f>[1]ΑΝΤΙΣΤΟΙΧΙΣΗ!O200</f>
        <v>Κοινόχρηστες Δαπάνες Αριστοφάνους 1</v>
      </c>
      <c r="D130" s="103">
        <f>'[1]2025_60-69 ΕΞΟΔΑ+ΟΜ 2'!E87</f>
        <v>6.42</v>
      </c>
      <c r="E130" s="102">
        <f t="shared" si="26"/>
        <v>8.9571979875603756E-4</v>
      </c>
      <c r="F130" s="101">
        <f>'[1]2025 Ιανουάριος'!F130+'2025 Φεβρουάριος'!D130</f>
        <v>6.42</v>
      </c>
      <c r="G130" s="102">
        <f t="shared" si="27"/>
        <v>2.5534941106561838E-4</v>
      </c>
      <c r="H130" s="103"/>
      <c r="I130" s="104" t="e">
        <f t="shared" si="28"/>
        <v>#DIV/0!</v>
      </c>
      <c r="J130" s="101"/>
      <c r="K130" s="101" t="e">
        <f t="shared" si="29"/>
        <v>#DIV/0!</v>
      </c>
      <c r="L130" s="103">
        <f>'[1]2024_60-69 ΕΞΟΔΑ+ΟΜ 2'!E79</f>
        <v>55</v>
      </c>
      <c r="M130" s="102">
        <f t="shared" si="30"/>
        <v>8.6161654930404889E-3</v>
      </c>
      <c r="N130" s="101">
        <f>L130+'[1]2025 Ιανουάριος'!L130</f>
        <v>55</v>
      </c>
      <c r="O130" s="102">
        <f t="shared" si="31"/>
        <v>2.0187486694611041E-3</v>
      </c>
      <c r="P130" s="101"/>
      <c r="Q130" s="100" t="e">
        <f t="shared" si="25"/>
        <v>#DIV/0!</v>
      </c>
      <c r="R130" s="91"/>
      <c r="S130" s="91"/>
      <c r="T130" s="91"/>
      <c r="U130" s="91"/>
      <c r="V130" s="91"/>
    </row>
    <row r="131" spans="1:22" ht="15" x14ac:dyDescent="0.2">
      <c r="A131" s="106">
        <v>130</v>
      </c>
      <c r="B131" s="106">
        <v>15</v>
      </c>
      <c r="C131" s="110" t="str">
        <f>[1]ΑΝΤΙΣΤΟΙΧΙΣΗ!O201</f>
        <v xml:space="preserve">Ενέργεια  Έδρας </v>
      </c>
      <c r="D131" s="103">
        <f>'[1]2025_60-69 ΕΞΟΔΑ+ΟΜ 2'!E88</f>
        <v>22.48</v>
      </c>
      <c r="E131" s="102">
        <f t="shared" si="26"/>
        <v>3.1364144978248795E-3</v>
      </c>
      <c r="F131" s="101">
        <f>'[1]2025 Ιανουάριος'!F131+'2025 Φεβρουάριος'!D131</f>
        <v>60.480000000000004</v>
      </c>
      <c r="G131" s="102">
        <f t="shared" si="27"/>
        <v>2.4055346388237699E-3</v>
      </c>
      <c r="H131" s="103"/>
      <c r="I131" s="104" t="e">
        <f t="shared" si="28"/>
        <v>#DIV/0!</v>
      </c>
      <c r="J131" s="101"/>
      <c r="K131" s="101" t="e">
        <f t="shared" si="29"/>
        <v>#DIV/0!</v>
      </c>
      <c r="L131" s="103">
        <f>'[1]2024_60-69 ΕΞΟΔΑ+ΟΜ 2'!E80</f>
        <v>124.94</v>
      </c>
      <c r="M131" s="102">
        <f t="shared" si="30"/>
        <v>1.9572794849099611E-2</v>
      </c>
      <c r="N131" s="101">
        <f>L131+'[1]2025 Ιανουάριος'!L131</f>
        <v>145.94</v>
      </c>
      <c r="O131" s="102">
        <f t="shared" si="31"/>
        <v>5.3566578331118823E-3</v>
      </c>
      <c r="P131" s="101"/>
      <c r="Q131" s="100" t="e">
        <f t="shared" si="25"/>
        <v>#DIV/0!</v>
      </c>
      <c r="R131" s="91"/>
      <c r="S131" s="91"/>
      <c r="T131" s="91"/>
      <c r="U131" s="91"/>
      <c r="V131" s="109"/>
    </row>
    <row r="132" spans="1:22" ht="15" x14ac:dyDescent="0.2">
      <c r="A132" s="106">
        <v>131</v>
      </c>
      <c r="B132" s="106">
        <v>16</v>
      </c>
      <c r="C132" s="110" t="str">
        <f>[1]ΑΝΤΙΣΤΟΙΧΙΣΗ!O202</f>
        <v xml:space="preserve">Ενέργεια Αποθήκης Α </v>
      </c>
      <c r="D132" s="103">
        <f>'[1]2025_60-69 ΕΞΟΔΑ+ΟΜ 2'!E89</f>
        <v>297.5</v>
      </c>
      <c r="E132" s="102">
        <f t="shared" si="26"/>
        <v>4.1507264817744735E-2</v>
      </c>
      <c r="F132" s="101">
        <f>'[1]2025 Ιανουάριος'!F132+'2025 Φεβρουάριος'!D132</f>
        <v>368.33</v>
      </c>
      <c r="G132" s="102">
        <f t="shared" si="27"/>
        <v>1.4649976413987418E-2</v>
      </c>
      <c r="H132" s="103"/>
      <c r="I132" s="104" t="e">
        <f t="shared" si="28"/>
        <v>#DIV/0!</v>
      </c>
      <c r="J132" s="101"/>
      <c r="K132" s="101" t="e">
        <f t="shared" si="29"/>
        <v>#DIV/0!</v>
      </c>
      <c r="L132" s="103">
        <f>'[1]2024_60-69 ΕΞΟΔΑ+ΟΜ 2'!E81</f>
        <v>-18.329999999999998</v>
      </c>
      <c r="M132" s="102">
        <f t="shared" si="30"/>
        <v>-2.8715329724987664E-3</v>
      </c>
      <c r="N132" s="101">
        <f>L132+'[1]2025 Ιανουάριος'!L132</f>
        <v>45.91</v>
      </c>
      <c r="O132" s="102">
        <f t="shared" si="31"/>
        <v>1.6851045711810779E-3</v>
      </c>
      <c r="P132" s="101"/>
      <c r="Q132" s="100" t="e">
        <f t="shared" si="25"/>
        <v>#DIV/0!</v>
      </c>
      <c r="R132" s="91"/>
      <c r="S132" s="91"/>
      <c r="T132" s="91"/>
      <c r="U132" s="91"/>
      <c r="V132" s="109"/>
    </row>
    <row r="133" spans="1:22" ht="15" x14ac:dyDescent="0.2">
      <c r="A133" s="106">
        <v>132</v>
      </c>
      <c r="B133" s="106">
        <v>17</v>
      </c>
      <c r="C133" s="110">
        <f>[1]ΑΝΤΙΣΤΟΙΧΙΣΗ!O203</f>
        <v>0</v>
      </c>
      <c r="D133" s="103">
        <f>'[1]2025_60-69 ΕΞΟΔΑ+ΟΜ 2'!E90</f>
        <v>8.0500000000000007</v>
      </c>
      <c r="E133" s="102">
        <f t="shared" si="26"/>
        <v>1.1231377538919165E-3</v>
      </c>
      <c r="F133" s="101">
        <f>'[1]2025 Ιανουάριος'!F133+'2025 Φεβρουάριος'!D133</f>
        <v>14.600000000000001</v>
      </c>
      <c r="G133" s="102">
        <f t="shared" si="27"/>
        <v>5.8070115289065867E-4</v>
      </c>
      <c r="H133" s="103"/>
      <c r="I133" s="104" t="e">
        <f t="shared" si="28"/>
        <v>#DIV/0!</v>
      </c>
      <c r="J133" s="101"/>
      <c r="K133" s="101" t="e">
        <f t="shared" si="29"/>
        <v>#DIV/0!</v>
      </c>
      <c r="L133" s="103">
        <f>'[1]2024_60-69 ΕΞΟΔΑ+ΟΜ 2'!E82</f>
        <v>0</v>
      </c>
      <c r="M133" s="102">
        <f t="shared" si="30"/>
        <v>0</v>
      </c>
      <c r="N133" s="101">
        <f>L133+'[1]2025 Ιανουάριος'!L133</f>
        <v>5.14</v>
      </c>
      <c r="O133" s="102">
        <f t="shared" si="31"/>
        <v>1.8866123929145589E-4</v>
      </c>
      <c r="P133" s="101"/>
      <c r="Q133" s="100" t="e">
        <f t="shared" si="25"/>
        <v>#DIV/0!</v>
      </c>
      <c r="R133" s="91"/>
      <c r="S133" s="91"/>
      <c r="T133" s="91"/>
      <c r="U133" s="91"/>
      <c r="V133" s="109"/>
    </row>
    <row r="134" spans="1:22" ht="28.5" x14ac:dyDescent="0.2">
      <c r="A134" s="106">
        <v>133</v>
      </c>
      <c r="B134" s="106">
        <v>18</v>
      </c>
      <c r="C134" s="110" t="str">
        <f>[1]ΑΝΤΙΣΤΟΙΧΙΣΗ!O204</f>
        <v>Ενέργεια Αποθήκης Β (OPERATION)</v>
      </c>
      <c r="D134" s="103">
        <f>'[1]2025_60-69 ΕΞΟΔΑ+ΟΜ 2'!E91</f>
        <v>0</v>
      </c>
      <c r="E134" s="102">
        <f t="shared" si="26"/>
        <v>0</v>
      </c>
      <c r="F134" s="101">
        <f>'[1]2025 Ιανουάριος'!F134+'2025 Φεβρουάριος'!D134</f>
        <v>3.86</v>
      </c>
      <c r="G134" s="102">
        <f t="shared" si="27"/>
        <v>1.5352783905191387E-4</v>
      </c>
      <c r="H134" s="103"/>
      <c r="I134" s="104" t="e">
        <f t="shared" si="28"/>
        <v>#DIV/0!</v>
      </c>
      <c r="J134" s="101"/>
      <c r="K134" s="101" t="e">
        <f t="shared" si="29"/>
        <v>#DIV/0!</v>
      </c>
      <c r="L134" s="103">
        <f>'[1]2024_60-69 ΕΞΟΔΑ+ΟΜ 2'!E83</f>
        <v>27.2</v>
      </c>
      <c r="M134" s="102">
        <f t="shared" si="30"/>
        <v>4.2610854801945685E-3</v>
      </c>
      <c r="N134" s="101">
        <f>L134+'[1]2025 Ιανουάριος'!L134</f>
        <v>30.97</v>
      </c>
      <c r="O134" s="102">
        <f t="shared" si="31"/>
        <v>1.1367390235129161E-3</v>
      </c>
      <c r="P134" s="101"/>
      <c r="Q134" s="100" t="e">
        <f t="shared" si="25"/>
        <v>#DIV/0!</v>
      </c>
      <c r="R134" s="91"/>
      <c r="S134" s="91"/>
      <c r="T134" s="91"/>
      <c r="U134" s="91"/>
      <c r="V134" s="109"/>
    </row>
    <row r="135" spans="1:22" ht="15" x14ac:dyDescent="0.2">
      <c r="A135" s="106">
        <v>134</v>
      </c>
      <c r="B135" s="106">
        <v>19</v>
      </c>
      <c r="C135" s="108" t="str">
        <f>[1]ΑΝΤΙΣΤΟΙΧΙΣΗ!O205</f>
        <v>Ενέργεια Αριστοφάνους 1</v>
      </c>
      <c r="D135" s="103">
        <f>'[1]2025_60-69 ΕΞΟΔΑ+ΟΜ 2'!E92</f>
        <v>0</v>
      </c>
      <c r="E135" s="102">
        <f t="shared" si="26"/>
        <v>0</v>
      </c>
      <c r="F135" s="101">
        <f>'[1]2025 Ιανουάριος'!F135+'2025 Φεβρουάριος'!D135</f>
        <v>0</v>
      </c>
      <c r="G135" s="102">
        <f t="shared" si="27"/>
        <v>0</v>
      </c>
      <c r="H135" s="103"/>
      <c r="I135" s="104" t="e">
        <f t="shared" si="28"/>
        <v>#DIV/0!</v>
      </c>
      <c r="J135" s="101"/>
      <c r="K135" s="101" t="e">
        <f t="shared" si="29"/>
        <v>#DIV/0!</v>
      </c>
      <c r="L135" s="103">
        <f>'[1]2024_60-69 ΕΞΟΔΑ+ΟΜ 2'!E84</f>
        <v>291.22000000000003</v>
      </c>
      <c r="M135" s="102">
        <f t="shared" si="30"/>
        <v>4.5621812997877299E-2</v>
      </c>
      <c r="N135" s="101">
        <f>L135+'[1]2025 Ιανουάριος'!L135</f>
        <v>291.22000000000003</v>
      </c>
      <c r="O135" s="102">
        <f t="shared" si="31"/>
        <v>1.0689090682190233E-2</v>
      </c>
      <c r="P135" s="101"/>
      <c r="Q135" s="100" t="e">
        <f t="shared" si="25"/>
        <v>#DIV/0!</v>
      </c>
      <c r="R135" s="91"/>
      <c r="S135" s="91"/>
      <c r="T135" s="91"/>
      <c r="U135" s="91"/>
      <c r="V135" s="91"/>
    </row>
    <row r="136" spans="1:22" ht="28.5" x14ac:dyDescent="0.2">
      <c r="A136" s="106">
        <v>135</v>
      </c>
      <c r="B136" s="106">
        <v>20</v>
      </c>
      <c r="C136" s="105" t="str">
        <f>[1]ΑΝΤΙΣΤΟΙΧΙΣΗ!O206</f>
        <v xml:space="preserve">Τηλεπικοινωνίες (Τηλεφωνία &amp; Διαδίκτυο) </v>
      </c>
      <c r="D136" s="103">
        <f>'[1]2025_60-69 ΕΞΟΔΑ+ΟΜ 2'!E93</f>
        <v>0</v>
      </c>
      <c r="E136" s="102">
        <f t="shared" si="26"/>
        <v>0</v>
      </c>
      <c r="F136" s="101">
        <f>'[1]2025 Ιανουάριος'!F136+'2025 Φεβρουάριος'!D136</f>
        <v>232.19</v>
      </c>
      <c r="G136" s="102">
        <f t="shared" si="27"/>
        <v>9.2351370335398645E-3</v>
      </c>
      <c r="H136" s="103"/>
      <c r="I136" s="104" t="e">
        <f t="shared" si="28"/>
        <v>#DIV/0!</v>
      </c>
      <c r="J136" s="101"/>
      <c r="K136" s="101" t="e">
        <f t="shared" si="29"/>
        <v>#DIV/0!</v>
      </c>
      <c r="L136" s="103">
        <f>'[1]2024_60-69 ΕΞΟΔΑ+ΟΜ 2'!E85</f>
        <v>28.63</v>
      </c>
      <c r="M136" s="102">
        <f t="shared" si="30"/>
        <v>4.4851057830136215E-3</v>
      </c>
      <c r="N136" s="101">
        <f>L136+'[1]2025 Ιανουάριος'!L136</f>
        <v>195.79</v>
      </c>
      <c r="O136" s="102">
        <f t="shared" si="31"/>
        <v>7.1863782180689008E-3</v>
      </c>
      <c r="P136" s="101"/>
      <c r="Q136" s="100" t="e">
        <f t="shared" si="25"/>
        <v>#DIV/0!</v>
      </c>
      <c r="R136" s="91"/>
      <c r="S136" s="91"/>
      <c r="T136" s="91"/>
      <c r="U136" s="91"/>
      <c r="V136" s="91"/>
    </row>
    <row r="137" spans="1:22" ht="15" x14ac:dyDescent="0.2">
      <c r="A137" s="106">
        <v>136</v>
      </c>
      <c r="B137" s="106">
        <v>21</v>
      </c>
      <c r="C137" s="105" t="str">
        <f>[1]ΑΝΤΙΣΤΟΙΧΙΣΗ!O207</f>
        <v xml:space="preserve">Υδρευση </v>
      </c>
      <c r="D137" s="103">
        <f>'[1]2025_60-69 ΕΞΟΔΑ+ΟΜ 2'!E94</f>
        <v>0</v>
      </c>
      <c r="E137" s="102">
        <f t="shared" si="26"/>
        <v>0</v>
      </c>
      <c r="F137" s="101">
        <f>'[1]2025 Ιανουάριος'!F137+'2025 Φεβρουάριος'!D137</f>
        <v>0</v>
      </c>
      <c r="G137" s="102">
        <f t="shared" si="27"/>
        <v>0</v>
      </c>
      <c r="H137" s="103"/>
      <c r="I137" s="104" t="e">
        <f t="shared" si="28"/>
        <v>#DIV/0!</v>
      </c>
      <c r="J137" s="101"/>
      <c r="K137" s="101" t="e">
        <f t="shared" si="29"/>
        <v>#DIV/0!</v>
      </c>
      <c r="L137" s="103">
        <f>'[1]2024_60-69 ΕΞΟΔΑ+ΟΜ 2'!E86</f>
        <v>0</v>
      </c>
      <c r="M137" s="102">
        <f t="shared" si="30"/>
        <v>0</v>
      </c>
      <c r="N137" s="101">
        <f>L137+'[1]2025 Ιανουάριος'!L137</f>
        <v>0</v>
      </c>
      <c r="O137" s="102">
        <f t="shared" si="31"/>
        <v>0</v>
      </c>
      <c r="P137" s="101"/>
      <c r="Q137" s="100" t="e">
        <f t="shared" si="25"/>
        <v>#DIV/0!</v>
      </c>
      <c r="R137" s="91"/>
      <c r="S137" s="91"/>
      <c r="T137" s="91"/>
      <c r="U137" s="91"/>
      <c r="V137" s="91"/>
    </row>
    <row r="138" spans="1:22" ht="15" x14ac:dyDescent="0.2">
      <c r="A138" s="106">
        <v>137</v>
      </c>
      <c r="B138" s="106">
        <v>22</v>
      </c>
      <c r="C138" s="105" t="str">
        <f>[1]ΑΝΤΙΣΤΟΙΧΙΣΗ!O208</f>
        <v xml:space="preserve">Ασφάλιστρα </v>
      </c>
      <c r="D138" s="103">
        <f>'[1]2025_60-69 ΕΞΟΔΑ+ΟΜ 2'!E95</f>
        <v>368.53</v>
      </c>
      <c r="E138" s="102">
        <f t="shared" si="26"/>
        <v>5.1417385893389803E-2</v>
      </c>
      <c r="F138" s="101">
        <f>'[1]2025 Ιανουάριος'!F138+'2025 Φεβρουάριος'!D138</f>
        <v>593.28</v>
      </c>
      <c r="G138" s="102">
        <f t="shared" si="27"/>
        <v>2.3597149314176023E-2</v>
      </c>
      <c r="H138" s="103"/>
      <c r="I138" s="104" t="e">
        <f t="shared" si="28"/>
        <v>#DIV/0!</v>
      </c>
      <c r="J138" s="101"/>
      <c r="K138" s="101" t="e">
        <f t="shared" si="29"/>
        <v>#DIV/0!</v>
      </c>
      <c r="L138" s="103">
        <f>'[1]2024_60-69 ΕΞΟΔΑ+ΟΜ 2'!E87</f>
        <v>0</v>
      </c>
      <c r="M138" s="102">
        <f t="shared" si="30"/>
        <v>0</v>
      </c>
      <c r="N138" s="101">
        <f>L138+'[1]2025 Ιανουάριος'!L138</f>
        <v>316.24</v>
      </c>
      <c r="O138" s="102">
        <f t="shared" si="31"/>
        <v>1.1607437804188719E-2</v>
      </c>
      <c r="P138" s="101"/>
      <c r="Q138" s="100" t="e">
        <f t="shared" si="25"/>
        <v>#DIV/0!</v>
      </c>
      <c r="R138" s="91"/>
      <c r="S138" s="91"/>
      <c r="T138" s="91"/>
      <c r="U138" s="91"/>
      <c r="V138" s="91"/>
    </row>
    <row r="139" spans="1:22" ht="15" x14ac:dyDescent="0.2">
      <c r="A139" s="106">
        <v>138</v>
      </c>
      <c r="B139" s="106">
        <v>23</v>
      </c>
      <c r="C139" s="105" t="str">
        <f>[1]ΑΝΤΙΣΤΟΙΧΙΣΗ!O209</f>
        <v xml:space="preserve">Έντυπα και γραφική Ύλη </v>
      </c>
      <c r="D139" s="103">
        <f>'[1]2025_60-69 ΕΞΟΔΑ+ΟΜ 2'!E96</f>
        <v>1632.73</v>
      </c>
      <c r="E139" s="102">
        <f t="shared" si="26"/>
        <v>0.22779884533067685</v>
      </c>
      <c r="F139" s="101">
        <f>'[1]2025 Ιανουάριος'!F139+'2025 Φεβρουάριος'!D139</f>
        <v>1632.73</v>
      </c>
      <c r="G139" s="102">
        <f t="shared" si="27"/>
        <v>6.4940287216381176E-2</v>
      </c>
      <c r="H139" s="103"/>
      <c r="I139" s="104" t="e">
        <f t="shared" si="28"/>
        <v>#DIV/0!</v>
      </c>
      <c r="J139" s="101"/>
      <c r="K139" s="101" t="e">
        <f t="shared" si="29"/>
        <v>#DIV/0!</v>
      </c>
      <c r="L139" s="103">
        <f>'[1]2024_60-69 ΕΞΟΔΑ+ΟΜ 2'!E88</f>
        <v>0</v>
      </c>
      <c r="M139" s="102">
        <f t="shared" si="30"/>
        <v>0</v>
      </c>
      <c r="N139" s="101">
        <f>L139+'[1]2025 Ιανουάριος'!L139</f>
        <v>0</v>
      </c>
      <c r="O139" s="102">
        <f t="shared" si="31"/>
        <v>0</v>
      </c>
      <c r="P139" s="101"/>
      <c r="Q139" s="100" t="e">
        <f t="shared" si="25"/>
        <v>#DIV/0!</v>
      </c>
      <c r="R139" s="91"/>
      <c r="S139" s="91"/>
      <c r="T139" s="91"/>
      <c r="U139" s="91"/>
      <c r="V139" s="91"/>
    </row>
    <row r="140" spans="1:22" ht="15" x14ac:dyDescent="0.2">
      <c r="A140" s="106">
        <v>139</v>
      </c>
      <c r="B140" s="106">
        <v>24</v>
      </c>
      <c r="C140" s="107" t="str">
        <f>[1]ΑΝΤΙΣΤΟΙΧΙΣΗ!O210</f>
        <v xml:space="preserve">Υλικά Καθαριότητας </v>
      </c>
      <c r="D140" s="103">
        <f>'[1]2025_60-69 ΕΞΟΔΑ+ΟΜ 2'!E97</f>
        <v>117.04</v>
      </c>
      <c r="E140" s="102">
        <f t="shared" si="26"/>
        <v>1.632944630006334E-2</v>
      </c>
      <c r="F140" s="101">
        <f>'[1]2025 Ιανουάριος'!F140+'2025 Φεβρουάριος'!D140</f>
        <v>117.04</v>
      </c>
      <c r="G140" s="102">
        <f t="shared" si="27"/>
        <v>4.6551549955015543E-3</v>
      </c>
      <c r="H140" s="103"/>
      <c r="I140" s="104" t="e">
        <f t="shared" si="28"/>
        <v>#DIV/0!</v>
      </c>
      <c r="J140" s="101"/>
      <c r="K140" s="101" t="e">
        <f t="shared" si="29"/>
        <v>#DIV/0!</v>
      </c>
      <c r="L140" s="103">
        <f>'[1]2024_60-69 ΕΞΟΔΑ+ΟΜ 2'!E89</f>
        <v>0</v>
      </c>
      <c r="M140" s="102">
        <f t="shared" si="30"/>
        <v>0</v>
      </c>
      <c r="N140" s="101">
        <f>L140+'[1]2025 Ιανουάριος'!L140</f>
        <v>0</v>
      </c>
      <c r="O140" s="102">
        <f t="shared" si="31"/>
        <v>0</v>
      </c>
      <c r="P140" s="101"/>
      <c r="Q140" s="100" t="e">
        <f t="shared" si="25"/>
        <v>#DIV/0!</v>
      </c>
      <c r="R140" s="91"/>
      <c r="S140" s="91"/>
      <c r="T140" s="91"/>
      <c r="U140" s="91"/>
      <c r="V140" s="91"/>
    </row>
    <row r="141" spans="1:22" ht="15" x14ac:dyDescent="0.2">
      <c r="A141" s="106">
        <v>140</v>
      </c>
      <c r="B141" s="106">
        <v>25</v>
      </c>
      <c r="C141" s="107" t="str">
        <f>[1]ΑΝΤΙΣΤΟΙΧΙΣΗ!O211</f>
        <v>Υλικά Φαρμακείου</v>
      </c>
      <c r="D141" s="103">
        <f>'[1]2025_60-69 ΕΞΟΔΑ+ΟΜ 2'!E98</f>
        <v>934.62</v>
      </c>
      <c r="E141" s="102">
        <f t="shared" si="26"/>
        <v>0.13039838603011961</v>
      </c>
      <c r="F141" s="101">
        <f>'[1]2025 Ιανουάριος'!F141+'2025 Φεβρουάριος'!D141</f>
        <v>934.62</v>
      </c>
      <c r="G141" s="102">
        <f t="shared" si="27"/>
        <v>3.7173624076347084E-2</v>
      </c>
      <c r="H141" s="103"/>
      <c r="I141" s="104" t="e">
        <f t="shared" si="28"/>
        <v>#DIV/0!</v>
      </c>
      <c r="J141" s="101"/>
      <c r="K141" s="101" t="e">
        <f t="shared" si="29"/>
        <v>#DIV/0!</v>
      </c>
      <c r="L141" s="103">
        <f>'[1]2024_60-69 ΕΞΟΔΑ+ΟΜ 2'!E90</f>
        <v>0</v>
      </c>
      <c r="M141" s="102">
        <f t="shared" si="30"/>
        <v>0</v>
      </c>
      <c r="N141" s="101">
        <f>L141+'[1]2025 Ιανουάριος'!L141</f>
        <v>0</v>
      </c>
      <c r="O141" s="102">
        <f t="shared" si="31"/>
        <v>0</v>
      </c>
      <c r="P141" s="101"/>
      <c r="Q141" s="100" t="e">
        <f t="shared" si="25"/>
        <v>#DIV/0!</v>
      </c>
      <c r="R141" s="91"/>
      <c r="S141" s="91"/>
      <c r="T141" s="91"/>
      <c r="U141" s="91"/>
      <c r="V141" s="91"/>
    </row>
    <row r="142" spans="1:22" ht="15" x14ac:dyDescent="0.2">
      <c r="A142" s="106">
        <v>141</v>
      </c>
      <c r="B142" s="106">
        <v>26</v>
      </c>
      <c r="C142" s="105" t="str">
        <f>[1]ΑΝΤΙΣΤΟΙΧΙΣΗ!O212</f>
        <v>Διάφορα αναλώσιμα</v>
      </c>
      <c r="D142" s="103">
        <f>'[1]2025_60-69 ΕΞΟΔΑ+ΟΜ 2'!E99</f>
        <v>82.97</v>
      </c>
      <c r="E142" s="102">
        <f t="shared" si="26"/>
        <v>1.1575992477069851E-2</v>
      </c>
      <c r="F142" s="101">
        <f>'[1]2025 Ιανουάριος'!F142+'2025 Φεβρουάριος'!D142</f>
        <v>202.98000000000002</v>
      </c>
      <c r="G142" s="102">
        <f t="shared" si="27"/>
        <v>8.0733369872428695E-3</v>
      </c>
      <c r="H142" s="103"/>
      <c r="I142" s="104" t="e">
        <f t="shared" si="28"/>
        <v>#DIV/0!</v>
      </c>
      <c r="J142" s="101"/>
      <c r="K142" s="101" t="e">
        <f t="shared" si="29"/>
        <v>#DIV/0!</v>
      </c>
      <c r="L142" s="103">
        <f>'[1]2024_60-69 ΕΞΟΔΑ+ΟΜ 2'!E91</f>
        <v>700</v>
      </c>
      <c r="M142" s="102">
        <f t="shared" si="30"/>
        <v>0.10966028809324259</v>
      </c>
      <c r="N142" s="101">
        <f>L142+'[1]2025 Ιανουάριος'!L142</f>
        <v>700</v>
      </c>
      <c r="O142" s="102">
        <f t="shared" si="31"/>
        <v>2.5693164884050414E-2</v>
      </c>
      <c r="P142" s="101"/>
      <c r="Q142" s="100" t="e">
        <f t="shared" si="25"/>
        <v>#DIV/0!</v>
      </c>
      <c r="R142" s="91"/>
      <c r="S142" s="91"/>
      <c r="T142" s="91"/>
      <c r="U142" s="91"/>
      <c r="V142" s="91"/>
    </row>
    <row r="143" spans="1:22" ht="57" x14ac:dyDescent="0.2">
      <c r="A143" s="106">
        <v>142</v>
      </c>
      <c r="B143" s="106">
        <v>27</v>
      </c>
      <c r="C143" s="105" t="str">
        <f>[1]ΑΝΤΙΣΤΟΙΧΙΣΗ!O213</f>
        <v>Αμοιβές συνεργατών ( Εξωτερικοί Συνεργάτες Λογιστής - Μισθοδοσία Δικηγόρος )</v>
      </c>
      <c r="D143" s="103">
        <f>'[1]2025_60-69 ΕΞΟΔΑ+ΟΜ 2'!E100</f>
        <v>0</v>
      </c>
      <c r="E143" s="102">
        <f t="shared" si="26"/>
        <v>0</v>
      </c>
      <c r="F143" s="101">
        <f>'[1]2025 Ιανουάριος'!F143+'2025 Φεβρουάριος'!D143</f>
        <v>950</v>
      </c>
      <c r="G143" s="102">
        <f t="shared" si="27"/>
        <v>3.7785348989460663E-2</v>
      </c>
      <c r="H143" s="103"/>
      <c r="I143" s="104" t="e">
        <f t="shared" si="28"/>
        <v>#DIV/0!</v>
      </c>
      <c r="J143" s="101"/>
      <c r="K143" s="101" t="e">
        <f t="shared" si="29"/>
        <v>#DIV/0!</v>
      </c>
      <c r="L143" s="103">
        <f>'[1]2024_60-69 ΕΞΟΔΑ+ΟΜ 2'!E92</f>
        <v>44.8</v>
      </c>
      <c r="M143" s="102">
        <f t="shared" si="30"/>
        <v>7.0182584379675254E-3</v>
      </c>
      <c r="N143" s="101">
        <f>L143+'[1]2025 Ιανουάριος'!L143</f>
        <v>744.8</v>
      </c>
      <c r="O143" s="102">
        <f t="shared" si="31"/>
        <v>2.7337527436629639E-2</v>
      </c>
      <c r="P143" s="101"/>
      <c r="Q143" s="100" t="e">
        <f t="shared" si="25"/>
        <v>#DIV/0!</v>
      </c>
      <c r="R143" s="91"/>
      <c r="S143" s="91"/>
      <c r="T143" s="91"/>
      <c r="U143" s="91"/>
      <c r="V143" s="91"/>
    </row>
    <row r="144" spans="1:22" ht="57" x14ac:dyDescent="0.2">
      <c r="A144" s="106">
        <v>143</v>
      </c>
      <c r="B144" s="106">
        <v>28</v>
      </c>
      <c r="C144" s="105" t="str">
        <f>[1]ΑΝΤΙΣΤΟΙΧΙΣΗ!O214</f>
        <v>Αμοιβές Τρίτων (Αμοιβές - Συνδρομές για υποστήριξη Pylon Συναγερμός - Διατακτικές)</v>
      </c>
      <c r="D144" s="103">
        <f>'[1]2025_60-69 ΕΞΟΔΑ+ΟΜ 2'!E101</f>
        <v>0</v>
      </c>
      <c r="E144" s="102">
        <f t="shared" si="26"/>
        <v>0</v>
      </c>
      <c r="F144" s="101">
        <f>'[1]2025 Ιανουάριος'!F144+'2025 Φεβρουάριος'!D144</f>
        <v>957.54000000000008</v>
      </c>
      <c r="G144" s="102">
        <f t="shared" si="27"/>
        <v>3.8085245338282281E-2</v>
      </c>
      <c r="H144" s="103"/>
      <c r="I144" s="104" t="e">
        <f t="shared" si="28"/>
        <v>#DIV/0!</v>
      </c>
      <c r="J144" s="101"/>
      <c r="K144" s="101" t="e">
        <f t="shared" si="29"/>
        <v>#DIV/0!</v>
      </c>
      <c r="L144" s="103">
        <f>'[1]2024_60-69 ΕΞΟΔΑ+ΟΜ 2'!E93</f>
        <v>84.94</v>
      </c>
      <c r="M144" s="102">
        <f t="shared" si="30"/>
        <v>1.3306492672342893E-2</v>
      </c>
      <c r="N144" s="101">
        <f>L144+'[1]2025 Ιανουάριος'!L144</f>
        <v>1724.41</v>
      </c>
      <c r="O144" s="102">
        <f t="shared" si="31"/>
        <v>6.3293643511007677E-2</v>
      </c>
      <c r="P144" s="101"/>
      <c r="Q144" s="100" t="e">
        <f t="shared" si="25"/>
        <v>#DIV/0!</v>
      </c>
      <c r="R144" s="91"/>
      <c r="S144" s="91"/>
      <c r="T144" s="91"/>
      <c r="U144" s="91"/>
      <c r="V144" s="91"/>
    </row>
    <row r="145" spans="1:22" ht="15" x14ac:dyDescent="0.2">
      <c r="A145" s="106">
        <v>144</v>
      </c>
      <c r="B145" s="106">
        <v>29</v>
      </c>
      <c r="C145" s="105" t="str">
        <f>[1]ΑΝΤΙΣΤΟΙΧΙΣΗ!O215</f>
        <v>Επισκευές - Συντηρήσεις</v>
      </c>
      <c r="D145" s="103">
        <f>'[1]2025_60-69 ΕΞΟΔΑ+ΟΜ 2'!E102</f>
        <v>725.34</v>
      </c>
      <c r="E145" s="102">
        <f t="shared" si="26"/>
        <v>0.10119959483328728</v>
      </c>
      <c r="F145" s="101">
        <f>'[1]2025 Ιανουάριος'!F145+'2025 Φεβρουάριος'!D145</f>
        <v>959.3900000000001</v>
      </c>
      <c r="G145" s="102">
        <f t="shared" si="27"/>
        <v>3.815882733368281E-2</v>
      </c>
      <c r="H145" s="103"/>
      <c r="I145" s="104" t="e">
        <f t="shared" si="28"/>
        <v>#DIV/0!</v>
      </c>
      <c r="J145" s="101"/>
      <c r="K145" s="101" t="e">
        <f t="shared" si="29"/>
        <v>#DIV/0!</v>
      </c>
      <c r="L145" s="103">
        <f>'[1]2024_60-69 ΕΞΟΔΑ+ΟΜ 2'!E94</f>
        <v>62.01</v>
      </c>
      <c r="M145" s="102">
        <f t="shared" si="30"/>
        <v>9.7143349495171036E-3</v>
      </c>
      <c r="N145" s="101">
        <f>L145+'[1]2025 Ιανουάριος'!L145</f>
        <v>62.01</v>
      </c>
      <c r="O145" s="102">
        <f t="shared" si="31"/>
        <v>2.2760473635142376E-3</v>
      </c>
      <c r="P145" s="101"/>
      <c r="Q145" s="100" t="e">
        <f t="shared" si="25"/>
        <v>#DIV/0!</v>
      </c>
      <c r="R145" s="91"/>
      <c r="S145" s="91"/>
      <c r="T145" s="91"/>
      <c r="U145" s="91"/>
      <c r="V145" s="91"/>
    </row>
    <row r="146" spans="1:22" ht="15" x14ac:dyDescent="0.2">
      <c r="A146" s="106">
        <v>145</v>
      </c>
      <c r="B146" s="106">
        <v>30</v>
      </c>
      <c r="C146" s="105" t="str">
        <f>[1]ΑΝΤΙΣΤΟΙΧΙΣΗ!O216</f>
        <v xml:space="preserve">Εξοδα μεταφορών </v>
      </c>
      <c r="D146" s="103">
        <f>'[1]2025_60-69 ΕΞΟΔΑ+ΟΜ 2'!E103</f>
        <v>0</v>
      </c>
      <c r="E146" s="102">
        <f t="shared" si="26"/>
        <v>0</v>
      </c>
      <c r="F146" s="101">
        <f>'[1]2025 Ιανουάριος'!F146+'2025 Φεβρουάριος'!D146</f>
        <v>62.44</v>
      </c>
      <c r="G146" s="102">
        <f t="shared" si="27"/>
        <v>2.4834917798967622E-3</v>
      </c>
      <c r="H146" s="103"/>
      <c r="I146" s="104" t="e">
        <f t="shared" si="28"/>
        <v>#DIV/0!</v>
      </c>
      <c r="J146" s="101"/>
      <c r="K146" s="101" t="e">
        <f t="shared" si="29"/>
        <v>#DIV/0!</v>
      </c>
      <c r="L146" s="103">
        <f>'[1]2024_60-69 ΕΞΟΔΑ+ΟΜ 2'!E95</f>
        <v>0</v>
      </c>
      <c r="M146" s="102">
        <f t="shared" si="30"/>
        <v>0</v>
      </c>
      <c r="N146" s="101">
        <f>L146+'[1]2025 Ιανουάριος'!L146</f>
        <v>95.86</v>
      </c>
      <c r="O146" s="102">
        <f t="shared" si="31"/>
        <v>3.5184954082643897E-3</v>
      </c>
      <c r="P146" s="101"/>
      <c r="Q146" s="100" t="e">
        <f t="shared" si="25"/>
        <v>#DIV/0!</v>
      </c>
      <c r="R146" s="91"/>
      <c r="S146" s="91"/>
      <c r="T146" s="91"/>
      <c r="U146" s="91"/>
      <c r="V146" s="91"/>
    </row>
    <row r="147" spans="1:22" ht="15" x14ac:dyDescent="0.2">
      <c r="A147" s="106">
        <v>146</v>
      </c>
      <c r="B147" s="106">
        <v>31</v>
      </c>
      <c r="C147" s="105" t="str">
        <f>[1]ΑΝΤΙΣΤΟΙΧΙΣΗ!O217</f>
        <v xml:space="preserve">Εξοδα ταξιδίων </v>
      </c>
      <c r="D147" s="103">
        <f>'[1]2025_60-69 ΕΞΟΔΑ+ΟΜ 2'!E104</f>
        <v>521.88</v>
      </c>
      <c r="E147" s="102">
        <f t="shared" si="26"/>
        <v>7.2812811304486122E-2</v>
      </c>
      <c r="F147" s="101">
        <f>'[1]2025 Ιανουάριος'!F147+'2025 Φεβρουάριος'!D147</f>
        <v>521.88</v>
      </c>
      <c r="G147" s="102">
        <f t="shared" si="27"/>
        <v>2.0757282032231296E-2</v>
      </c>
      <c r="H147" s="103"/>
      <c r="I147" s="104" t="e">
        <f t="shared" si="28"/>
        <v>#DIV/0!</v>
      </c>
      <c r="J147" s="101"/>
      <c r="K147" s="101" t="e">
        <f t="shared" si="29"/>
        <v>#DIV/0!</v>
      </c>
      <c r="L147" s="103">
        <f>'[1]2024_60-69 ΕΞΟΔΑ+ΟΜ 2'!E96</f>
        <v>0</v>
      </c>
      <c r="M147" s="102">
        <f t="shared" si="30"/>
        <v>0</v>
      </c>
      <c r="N147" s="101">
        <f>L147+'[1]2025 Ιανουάριος'!L147</f>
        <v>0</v>
      </c>
      <c r="O147" s="102">
        <f t="shared" si="31"/>
        <v>0</v>
      </c>
      <c r="P147" s="101"/>
      <c r="Q147" s="100" t="e">
        <f t="shared" si="25"/>
        <v>#DIV/0!</v>
      </c>
      <c r="R147" s="91"/>
      <c r="S147" s="91"/>
      <c r="T147" s="91"/>
      <c r="U147" s="91"/>
      <c r="V147" s="91"/>
    </row>
    <row r="148" spans="1:22" ht="15" x14ac:dyDescent="0.2">
      <c r="A148" s="106">
        <v>147</v>
      </c>
      <c r="B148" s="106">
        <v>32</v>
      </c>
      <c r="C148" s="105" t="str">
        <f>[1]ΑΝΤΙΣΤΟΙΧΙΣΗ!O218</f>
        <v xml:space="preserve">Υλικά άμεσης ανάλωσης </v>
      </c>
      <c r="D148" s="103">
        <f>'[1]2025_60-69 ΕΞΟΔΑ+ΟΜ 2'!E105</f>
        <v>0</v>
      </c>
      <c r="E148" s="102">
        <f t="shared" si="26"/>
        <v>0</v>
      </c>
      <c r="F148" s="101">
        <f>'[1]2025 Ιανουάριος'!F148+'2025 Φεβρουάριος'!D148</f>
        <v>0</v>
      </c>
      <c r="G148" s="102">
        <f t="shared" si="27"/>
        <v>0</v>
      </c>
      <c r="H148" s="103"/>
      <c r="I148" s="104" t="e">
        <f t="shared" si="28"/>
        <v>#DIV/0!</v>
      </c>
      <c r="J148" s="101"/>
      <c r="K148" s="101" t="e">
        <f t="shared" si="29"/>
        <v>#DIV/0!</v>
      </c>
      <c r="L148" s="103">
        <f>'[1]2024_60-69 ΕΞΟΔΑ+ΟΜ 2'!E97</f>
        <v>844.19</v>
      </c>
      <c r="M148" s="102">
        <f t="shared" si="30"/>
        <v>0.13224874086490637</v>
      </c>
      <c r="N148" s="101">
        <f>L148+'[1]2025 Ιανουάριος'!L148</f>
        <v>844.19</v>
      </c>
      <c r="O148" s="102">
        <f t="shared" si="31"/>
        <v>3.0985589804952175E-2</v>
      </c>
      <c r="P148" s="101"/>
      <c r="Q148" s="100" t="e">
        <f t="shared" si="25"/>
        <v>#DIV/0!</v>
      </c>
      <c r="R148" s="91"/>
      <c r="S148" s="91"/>
      <c r="T148" s="91"/>
      <c r="U148" s="91"/>
      <c r="V148" s="91"/>
    </row>
    <row r="149" spans="1:22" ht="15" x14ac:dyDescent="0.2">
      <c r="A149" s="106">
        <v>148</v>
      </c>
      <c r="B149" s="106">
        <v>33</v>
      </c>
      <c r="C149" s="105" t="str">
        <f>[1]ΑΝΤΙΣΤΟΙΧΙΣΗ!O219</f>
        <v xml:space="preserve">Φόροι και τέλη </v>
      </c>
      <c r="D149" s="103">
        <f>'[1]2025_60-69 ΕΞΟΔΑ+ΟΜ 2'!E106</f>
        <v>777.67000000000007</v>
      </c>
      <c r="E149" s="102">
        <f t="shared" si="26"/>
        <v>0.10850068783467412</v>
      </c>
      <c r="F149" s="101">
        <f>'[1]2025 Ιανουάριος'!F149+'2025 Φεβρουάριος'!D149</f>
        <v>1277.1500000000001</v>
      </c>
      <c r="G149" s="102">
        <f t="shared" si="27"/>
        <v>5.0797429959883886E-2</v>
      </c>
      <c r="H149" s="103"/>
      <c r="I149" s="104" t="e">
        <f t="shared" si="28"/>
        <v>#DIV/0!</v>
      </c>
      <c r="J149" s="101"/>
      <c r="K149" s="101" t="e">
        <f t="shared" si="29"/>
        <v>#DIV/0!</v>
      </c>
      <c r="L149" s="103">
        <f>'[1]2024_60-69 ΕΞΟΔΑ+ΟΜ 2'!E98</f>
        <v>0</v>
      </c>
      <c r="M149" s="102">
        <f t="shared" si="30"/>
        <v>0</v>
      </c>
      <c r="N149" s="101">
        <f>L149+'[1]2025 Ιανουάριος'!L149</f>
        <v>601.70999999999992</v>
      </c>
      <c r="O149" s="102">
        <f t="shared" si="31"/>
        <v>2.2085477489117104E-2</v>
      </c>
      <c r="P149" s="101"/>
      <c r="Q149" s="100" t="e">
        <f t="shared" si="25"/>
        <v>#DIV/0!</v>
      </c>
      <c r="R149" s="91"/>
      <c r="S149" s="91"/>
      <c r="T149" s="91"/>
      <c r="U149" s="91"/>
      <c r="V149" s="91"/>
    </row>
    <row r="150" spans="1:22" ht="15" x14ac:dyDescent="0.2">
      <c r="A150" s="106">
        <v>149</v>
      </c>
      <c r="B150" s="106">
        <v>34</v>
      </c>
      <c r="C150" s="105" t="str">
        <f>[1]ΑΝΤΙΣΤΟΙΧΙΣΗ!O220</f>
        <v>Εξοδα δημοσιεύσεων</v>
      </c>
      <c r="D150" s="103">
        <f>'[1]2025_60-69 ΕΞΟΔΑ+ΟΜ 2'!E107</f>
        <v>109.66</v>
      </c>
      <c r="E150" s="102">
        <f t="shared" si="26"/>
        <v>1.5299787092147521E-2</v>
      </c>
      <c r="F150" s="101">
        <f>'[1]2025 Ιανουάριος'!F150+'2025 Φεβρουάριος'!D150</f>
        <v>109.66</v>
      </c>
      <c r="G150" s="102">
        <f t="shared" si="27"/>
        <v>4.3616224949307959E-3</v>
      </c>
      <c r="H150" s="103"/>
      <c r="I150" s="104" t="e">
        <f t="shared" si="28"/>
        <v>#DIV/0!</v>
      </c>
      <c r="J150" s="101"/>
      <c r="K150" s="101" t="e">
        <f t="shared" si="29"/>
        <v>#DIV/0!</v>
      </c>
      <c r="L150" s="103">
        <f>'[1]2024_60-69 ΕΞΟΔΑ+ΟΜ 2'!E99</f>
        <v>0</v>
      </c>
      <c r="M150" s="102">
        <f t="shared" si="30"/>
        <v>0</v>
      </c>
      <c r="N150" s="101">
        <f>L150+'[1]2025 Ιανουάριος'!L150</f>
        <v>0</v>
      </c>
      <c r="O150" s="102">
        <f t="shared" si="31"/>
        <v>0</v>
      </c>
      <c r="P150" s="101"/>
      <c r="Q150" s="100" t="e">
        <f t="shared" si="25"/>
        <v>#DIV/0!</v>
      </c>
      <c r="R150" s="91"/>
      <c r="S150" s="91"/>
      <c r="T150" s="91"/>
      <c r="U150" s="91"/>
      <c r="V150" s="91"/>
    </row>
    <row r="151" spans="1:22" ht="15" x14ac:dyDescent="0.2">
      <c r="A151" s="106">
        <v>150</v>
      </c>
      <c r="B151" s="106">
        <v>35</v>
      </c>
      <c r="C151" s="105" t="str">
        <f>[1]ΑΝΤΙΣΤΟΙΧΙΣΗ!O221</f>
        <v xml:space="preserve">Λοιπά Διάφορα έξοδα </v>
      </c>
      <c r="D151" s="103">
        <f>'[1]2025_60-69 ΕΞΟΔΑ+ΟΜ 2'!E108</f>
        <v>0</v>
      </c>
      <c r="E151" s="102">
        <f t="shared" si="26"/>
        <v>0</v>
      </c>
      <c r="F151" s="101">
        <f>'[1]2025 Ιανουάριος'!F151+'2025 Φεβρουάριος'!D151</f>
        <v>613.27</v>
      </c>
      <c r="G151" s="102">
        <f t="shared" si="27"/>
        <v>2.4392232605017411E-2</v>
      </c>
      <c r="H151" s="103"/>
      <c r="I151" s="104" t="e">
        <f t="shared" si="28"/>
        <v>#DIV/0!</v>
      </c>
      <c r="J151" s="101"/>
      <c r="K151" s="101" t="e">
        <f t="shared" si="29"/>
        <v>#DIV/0!</v>
      </c>
      <c r="L151" s="103">
        <f>'[1]2024_60-69 ΕΞΟΔΑ+ΟΜ 2'!E100</f>
        <v>695.07</v>
      </c>
      <c r="M151" s="102">
        <f t="shared" si="30"/>
        <v>0.10888796634995733</v>
      </c>
      <c r="N151" s="101">
        <f>L151+'[1]2025 Ιανουάριος'!L151</f>
        <v>1251.29</v>
      </c>
      <c r="O151" s="102">
        <f t="shared" si="31"/>
        <v>4.592800041109063E-2</v>
      </c>
      <c r="P151" s="101"/>
      <c r="Q151" s="100" t="e">
        <f t="shared" si="25"/>
        <v>#DIV/0!</v>
      </c>
      <c r="R151" s="91"/>
      <c r="S151" s="91"/>
      <c r="T151" s="91"/>
      <c r="U151" s="91"/>
      <c r="V151" s="91"/>
    </row>
    <row r="152" spans="1:22" ht="15" x14ac:dyDescent="0.2">
      <c r="A152" s="106">
        <v>151</v>
      </c>
      <c r="B152" s="106">
        <v>36</v>
      </c>
      <c r="C152" s="105" t="str">
        <f>[1]ΑΝΤΙΣΤΟΙΧΙΣΗ!O222</f>
        <v xml:space="preserve">Τόκοι και συναφή εξοδα </v>
      </c>
      <c r="D152" s="103">
        <f>'[1]2025_60-69 ΕΞΟΔΑ+ΟΜ 2'!E109</f>
        <v>0</v>
      </c>
      <c r="E152" s="102">
        <f t="shared" si="26"/>
        <v>0</v>
      </c>
      <c r="F152" s="101">
        <f>'[1]2025 Ιανουάριος'!F152+'2025 Φεβρουάριος'!D152</f>
        <v>0</v>
      </c>
      <c r="G152" s="102">
        <f t="shared" si="27"/>
        <v>0</v>
      </c>
      <c r="H152" s="103"/>
      <c r="I152" s="104" t="e">
        <f t="shared" si="28"/>
        <v>#DIV/0!</v>
      </c>
      <c r="J152" s="101"/>
      <c r="K152" s="101" t="e">
        <f t="shared" si="29"/>
        <v>#DIV/0!</v>
      </c>
      <c r="L152" s="103">
        <f>'[1]2024_60-69 ΕΞΟΔΑ+ΟΜ 2'!E101</f>
        <v>0</v>
      </c>
      <c r="M152" s="102">
        <f t="shared" si="30"/>
        <v>0</v>
      </c>
      <c r="N152" s="101">
        <f>L152+'[1]2025 Ιανουάριος'!L152</f>
        <v>429.25</v>
      </c>
      <c r="O152" s="102">
        <f t="shared" si="31"/>
        <v>1.5755415752112343E-2</v>
      </c>
      <c r="P152" s="101"/>
      <c r="Q152" s="100" t="e">
        <f t="shared" si="25"/>
        <v>#DIV/0!</v>
      </c>
      <c r="R152" s="91"/>
      <c r="S152" s="91"/>
      <c r="T152" s="91"/>
      <c r="U152" s="91"/>
      <c r="V152" s="91"/>
    </row>
    <row r="153" spans="1:22" ht="42.75" x14ac:dyDescent="0.2">
      <c r="A153" s="106">
        <v>152</v>
      </c>
      <c r="B153" s="106">
        <v>37</v>
      </c>
      <c r="C153" s="105" t="str">
        <f>[1]ΑΝΤΙΣΤΟΙΧΙΣΗ!O223</f>
        <v xml:space="preserve">Αποσβέσεις ( Εξοπλισμού Διοίκησης και εγκαταστάσεων στην έδρα και αποθήκες ) </v>
      </c>
      <c r="D153" s="103">
        <f>'[1]2025_60-69 ΕΞΟΔΑ+ΟΜ 2'!E110</f>
        <v>0</v>
      </c>
      <c r="E153" s="102">
        <f t="shared" si="26"/>
        <v>0</v>
      </c>
      <c r="F153" s="101">
        <f>'[1]2025 Ιανουάριος'!F153+'2025 Φεβρουάριος'!D153</f>
        <v>777.67000000000007</v>
      </c>
      <c r="G153" s="102">
        <f t="shared" si="27"/>
        <v>3.0931086682772505E-2</v>
      </c>
      <c r="H153" s="103"/>
      <c r="I153" s="104" t="e">
        <f>H153/$H$116</f>
        <v>#DIV/0!</v>
      </c>
      <c r="J153" s="101"/>
      <c r="K153" s="101" t="e">
        <f t="shared" si="29"/>
        <v>#DIV/0!</v>
      </c>
      <c r="L153" s="103">
        <f>'[1]2024_60-69 ΕΞΟΔΑ+ΟΜ 2'!E102</f>
        <v>38.700000000000003</v>
      </c>
      <c r="M153" s="102">
        <f t="shared" si="30"/>
        <v>6.062647356012126E-3</v>
      </c>
      <c r="N153" s="101">
        <f>L153+'[1]2025 Ιανουάριος'!L153</f>
        <v>38.700000000000003</v>
      </c>
      <c r="O153" s="102">
        <f t="shared" si="31"/>
        <v>1.4204649728753588E-3</v>
      </c>
      <c r="P153" s="101"/>
      <c r="Q153" s="100" t="e">
        <f t="shared" si="25"/>
        <v>#DIV/0!</v>
      </c>
      <c r="R153" s="91"/>
      <c r="S153" s="91"/>
      <c r="T153" s="91"/>
      <c r="U153" s="91"/>
      <c r="V153" s="91"/>
    </row>
    <row r="154" spans="1:22" ht="15" x14ac:dyDescent="0.2">
      <c r="A154" s="106">
        <v>153</v>
      </c>
      <c r="B154" s="106">
        <v>38</v>
      </c>
      <c r="C154" s="105" t="str">
        <f>[1]ΑΝΤΙΣΤΟΙΧΙΣΗ!O224</f>
        <v xml:space="preserve">Ασυνήθη έξοδα </v>
      </c>
      <c r="D154" s="103"/>
      <c r="E154" s="102"/>
      <c r="F154" s="101"/>
      <c r="G154" s="102"/>
      <c r="H154" s="103"/>
      <c r="I154" s="104"/>
      <c r="J154" s="101"/>
      <c r="K154" s="101"/>
      <c r="L154" s="103"/>
      <c r="M154" s="102"/>
      <c r="N154" s="101"/>
      <c r="O154" s="102"/>
      <c r="P154" s="101"/>
      <c r="Q154" s="100"/>
      <c r="R154" s="91"/>
      <c r="S154" s="91"/>
      <c r="T154" s="91"/>
      <c r="U154" s="91"/>
      <c r="V154" s="91"/>
    </row>
    <row r="155" spans="1:22" ht="15" x14ac:dyDescent="0.2">
      <c r="A155" s="106">
        <v>154</v>
      </c>
      <c r="B155" s="106">
        <v>39</v>
      </c>
      <c r="C155" s="105">
        <f>[1]ΑΝΤΙΣΤΟΙΧΙΣΗ!O225</f>
        <v>0</v>
      </c>
      <c r="D155" s="103"/>
      <c r="E155" s="102"/>
      <c r="F155" s="101"/>
      <c r="G155" s="102"/>
      <c r="H155" s="103"/>
      <c r="I155" s="104"/>
      <c r="J155" s="101"/>
      <c r="K155" s="101"/>
      <c r="L155" s="103"/>
      <c r="M155" s="102"/>
      <c r="N155" s="101"/>
      <c r="O155" s="102"/>
      <c r="P155" s="101"/>
      <c r="Q155" s="100"/>
      <c r="R155" s="91"/>
      <c r="S155" s="91"/>
      <c r="T155" s="91"/>
      <c r="U155" s="91"/>
      <c r="V155" s="91"/>
    </row>
    <row r="156" spans="1:22" ht="15" x14ac:dyDescent="0.2">
      <c r="A156" s="106">
        <v>155</v>
      </c>
      <c r="B156" s="106">
        <v>40</v>
      </c>
      <c r="C156" s="105">
        <f>[1]ΑΝΤΙΣΤΟΙΧΙΣΗ!O226</f>
        <v>0</v>
      </c>
      <c r="D156" s="103"/>
      <c r="E156" s="102"/>
      <c r="F156" s="101"/>
      <c r="G156" s="102"/>
      <c r="H156" s="103"/>
      <c r="I156" s="104"/>
      <c r="J156" s="101"/>
      <c r="K156" s="101"/>
      <c r="L156" s="103"/>
      <c r="M156" s="102"/>
      <c r="N156" s="101"/>
      <c r="O156" s="102"/>
      <c r="P156" s="101"/>
      <c r="Q156" s="100"/>
      <c r="R156" s="91"/>
      <c r="S156" s="91"/>
      <c r="T156" s="91"/>
      <c r="U156" s="91"/>
      <c r="V156" s="91"/>
    </row>
    <row r="157" spans="1:22" ht="30" x14ac:dyDescent="0.2">
      <c r="A157" s="99"/>
      <c r="B157" s="99"/>
      <c r="C157" s="98" t="s">
        <v>43</v>
      </c>
      <c r="D157" s="97">
        <f>'[1]2025_60-69 ΕΞΟΔΑ+ΟΜ 2'!E73</f>
        <v>875.5</v>
      </c>
      <c r="E157" s="96"/>
      <c r="F157" s="97">
        <f>'[1]2025_60-69 ΕΞΟΔΑ+ΟΜ 2'!R73</f>
        <v>0</v>
      </c>
      <c r="G157" s="96"/>
      <c r="H157" s="97">
        <f>SUM(H117:H156)</f>
        <v>0</v>
      </c>
      <c r="I157" s="96"/>
      <c r="J157" s="97">
        <f>SUM(J117:J156)</f>
        <v>0</v>
      </c>
      <c r="K157" s="96"/>
      <c r="L157" s="97">
        <f>SUM(L117:L156)</f>
        <v>6383.3499999999995</v>
      </c>
      <c r="M157" s="96"/>
      <c r="N157" s="97">
        <f>SUM(N117:N156)</f>
        <v>27244.600000000002</v>
      </c>
      <c r="O157" s="96"/>
      <c r="P157" s="97">
        <f>SUM(P117:P156)</f>
        <v>0</v>
      </c>
      <c r="Q157" s="96"/>
      <c r="R157" s="91"/>
      <c r="S157" s="91"/>
      <c r="T157" s="91"/>
      <c r="U157" s="91"/>
      <c r="V157" s="91"/>
    </row>
    <row r="158" spans="1:22" ht="30" x14ac:dyDescent="0.2">
      <c r="A158" s="99"/>
      <c r="B158" s="99"/>
      <c r="C158" s="98" t="s">
        <v>18</v>
      </c>
      <c r="D158" s="97">
        <f>D116-D157</f>
        <v>6291.920000000001</v>
      </c>
      <c r="E158" s="96"/>
      <c r="F158" s="97">
        <f>F116-F157</f>
        <v>25142.020000000004</v>
      </c>
      <c r="G158" s="96"/>
      <c r="H158" s="97">
        <f>H116-H157</f>
        <v>0</v>
      </c>
      <c r="I158" s="96"/>
      <c r="J158" s="97">
        <f>J116-J157</f>
        <v>0</v>
      </c>
      <c r="K158" s="96"/>
      <c r="L158" s="97">
        <f>L116-L157</f>
        <v>0</v>
      </c>
      <c r="M158" s="96"/>
      <c r="N158" s="97">
        <f>N116-N157</f>
        <v>0</v>
      </c>
      <c r="O158" s="96"/>
      <c r="P158" s="97">
        <f>P116-P157</f>
        <v>0</v>
      </c>
      <c r="Q158" s="96"/>
      <c r="R158" s="91"/>
      <c r="S158" s="91"/>
      <c r="T158" s="91"/>
      <c r="U158" s="91"/>
      <c r="V158" s="91"/>
    </row>
    <row r="159" spans="1:22" ht="30" x14ac:dyDescent="0.2">
      <c r="A159" s="95"/>
      <c r="B159" s="95"/>
      <c r="C159" s="94" t="s">
        <v>14</v>
      </c>
      <c r="D159" s="93">
        <f>D7-D78-D111-D157</f>
        <v>-22657.942241887918</v>
      </c>
      <c r="E159" s="92"/>
      <c r="F159" s="93">
        <f>F7-F78-F111-F157</f>
        <v>-57337.478908554578</v>
      </c>
      <c r="G159" s="92"/>
      <c r="H159" s="93">
        <f ca="1">H7-H78-H111-H157</f>
        <v>0</v>
      </c>
      <c r="I159" s="92"/>
      <c r="J159" s="93">
        <f ca="1">J7-J78-J111-J157</f>
        <v>41232.310011828573</v>
      </c>
      <c r="K159" s="92"/>
      <c r="L159" s="93">
        <f ca="1">L7-L78-L111-L157</f>
        <v>-34608.539292035442</v>
      </c>
      <c r="M159" s="92"/>
      <c r="N159" s="93">
        <f ca="1">N7-N78-N111-N157</f>
        <v>-122748.92300884958</v>
      </c>
      <c r="O159" s="92"/>
      <c r="P159" s="93"/>
      <c r="Q159" s="92"/>
      <c r="R159" s="91"/>
      <c r="S159" s="91"/>
      <c r="T159" s="91"/>
      <c r="U159" s="91"/>
      <c r="V159" s="91"/>
    </row>
  </sheetData>
  <mergeCells count="33">
    <mergeCell ref="D3:F3"/>
    <mergeCell ref="H3:J3"/>
    <mergeCell ref="L3:N3"/>
    <mergeCell ref="P3:Q3"/>
    <mergeCell ref="A1:Q1"/>
    <mergeCell ref="D2:G2"/>
    <mergeCell ref="H2:K2"/>
    <mergeCell ref="L2:O2"/>
    <mergeCell ref="P2:Q2"/>
    <mergeCell ref="D40:G40"/>
    <mergeCell ref="H40:K40"/>
    <mergeCell ref="L40:O40"/>
    <mergeCell ref="P40:Q40"/>
    <mergeCell ref="D41:F41"/>
    <mergeCell ref="H41:J41"/>
    <mergeCell ref="L41:N41"/>
    <mergeCell ref="P41:Q41"/>
    <mergeCell ref="D81:G81"/>
    <mergeCell ref="H81:K81"/>
    <mergeCell ref="L81:O81"/>
    <mergeCell ref="P81:Q81"/>
    <mergeCell ref="D82:F82"/>
    <mergeCell ref="H82:J82"/>
    <mergeCell ref="L82:N82"/>
    <mergeCell ref="P82:Q82"/>
    <mergeCell ref="D113:G113"/>
    <mergeCell ref="H113:K113"/>
    <mergeCell ref="L113:O113"/>
    <mergeCell ref="P113:Q113"/>
    <mergeCell ref="D114:F114"/>
    <mergeCell ref="H114:J114"/>
    <mergeCell ref="L114:N114"/>
    <mergeCell ref="P114:Q11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59"/>
  <sheetViews>
    <sheetView topLeftCell="A95" zoomScale="85" zoomScaleNormal="85" workbookViewId="0">
      <selection activeCell="B111" sqref="B111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</row>
    <row r="2" spans="1:17" ht="41.25" customHeight="1" x14ac:dyDescent="0.25">
      <c r="A2" s="57">
        <v>1</v>
      </c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>
        <f>[1]ΑΝΤΙΣΤΟΙΧΙΣΗ!$D$34</f>
        <v>2025</v>
      </c>
      <c r="H2" s="182" t="str">
        <f>[1]ΑΝΤΙΣΤΟΙΧΙΣΗ!$F$35</f>
        <v>ΠΡΟΥΠΟΛΟΓΙΣΜΟΣ ΤΡΕΧΟΝΤΟΣ ΕΤΟΥΣ</v>
      </c>
      <c r="I2" s="182"/>
      <c r="J2" s="182"/>
      <c r="K2" s="182">
        <f>[1]ΑΝΤΙΣΤΟΙΧΙΣΗ!$D$34</f>
        <v>2025</v>
      </c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0" t="str">
        <f>[1]ΑΝΤΙΣΤΟΙΧΙΣΗ!$F$108</f>
        <v xml:space="preserve">ΜΑΡΤΙΟΣ ΤΡΕΧΟΝ ΕΤΟΣ </v>
      </c>
      <c r="E3" s="180"/>
      <c r="F3" s="180"/>
      <c r="G3" s="61">
        <f>[1]ΑΝΤΙΣΤΟΙΧΙΣΗ!$D$34</f>
        <v>2025</v>
      </c>
      <c r="H3" s="180" t="str">
        <f>[1]ΑΝΤΙΣΤΟΙΧΙΣΗ!$F$108</f>
        <v xml:space="preserve">ΜΑΡΤΙΟΣ ΤΡΕΧΟΝ ΕΤΟΣ </v>
      </c>
      <c r="I3" s="180"/>
      <c r="J3" s="180"/>
      <c r="K3" s="61">
        <f>[1]ΑΝΤΙΣΤΟΙΧΙΣΗ!$D$34</f>
        <v>2025</v>
      </c>
      <c r="L3" s="180" t="str">
        <f>[1]ΑΝΤΙΣΤΟΙΧΙΣΗ!$F$122</f>
        <v>ΜΑΡΤΙΟΣ ΠΡΟΗΓΟΥΜΕΝΟΥ ΕΤΟΥΣ</v>
      </c>
      <c r="M3" s="180"/>
      <c r="N3" s="180"/>
      <c r="O3" s="61">
        <f>[1]ΑΝΤΙΣΤΟΙΧΙΣΗ!$D$33</f>
        <v>2024</v>
      </c>
      <c r="P3" s="180"/>
      <c r="Q3" s="180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 ca="1">D7-D6</f>
        <v>-25331.697728613577</v>
      </c>
      <c r="E5" s="4"/>
      <c r="F5" s="3">
        <f>F7-F6</f>
        <v>-74900.826637168138</v>
      </c>
      <c r="G5" s="4"/>
      <c r="H5" s="3">
        <f ca="1">H159-H6</f>
        <v>0</v>
      </c>
      <c r="I5" s="4"/>
      <c r="J5" s="3">
        <f ca="1">J159-J6</f>
        <v>0</v>
      </c>
      <c r="K5" s="4"/>
      <c r="L5" s="3">
        <f ca="1">L7-L6</f>
        <v>-34018.421946902643</v>
      </c>
      <c r="M5" s="4"/>
      <c r="N5" s="3">
        <f ca="1">N7-N6</f>
        <v>-208407.82495575224</v>
      </c>
      <c r="O5" s="4"/>
      <c r="P5" s="3">
        <f ca="1">P159-P6</f>
        <v>31574.36168141591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 ca="1">D43+D84+D116</f>
        <v>57263.706666666672</v>
      </c>
      <c r="E6" s="4"/>
      <c r="F6" s="3">
        <f>F78+F111+F157</f>
        <v>150165.51</v>
      </c>
      <c r="G6" s="4"/>
      <c r="H6" s="3">
        <f ca="1">H38-H43-H84</f>
        <v>0</v>
      </c>
      <c r="I6" s="4"/>
      <c r="J6" s="66">
        <f ca="1">J38-J43-J84</f>
        <v>73355.291055670968</v>
      </c>
      <c r="K6" s="4"/>
      <c r="L6" s="3">
        <f ca="1">L43+L84+L116</f>
        <v>64197.949999999983</v>
      </c>
      <c r="M6" s="4"/>
      <c r="N6" s="66">
        <f ca="1">N78+N111+N157</f>
        <v>272916.98</v>
      </c>
      <c r="O6" s="4"/>
      <c r="P6" s="3">
        <f ca="1">P38-P43-P84</f>
        <v>-31574.36168141591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SUM(D8:D37)</f>
        <v>31932.008938053095</v>
      </c>
      <c r="E7" s="8"/>
      <c r="F7" s="7">
        <f>SUM(F8:F37)</f>
        <v>75264.683362831871</v>
      </c>
      <c r="G7" s="8"/>
      <c r="H7" s="7">
        <f>SUM(H8:H31)</f>
        <v>0</v>
      </c>
      <c r="I7" s="8"/>
      <c r="J7" s="7">
        <f>SUM(J8:J31)</f>
        <v>73355.291055670968</v>
      </c>
      <c r="K7" s="8"/>
      <c r="L7" s="7">
        <f>SUM(L8:L31)</f>
        <v>30179.528053097343</v>
      </c>
      <c r="M7" s="8"/>
      <c r="N7" s="7">
        <f>L7+'[1]2025 Φεβρουάριος'!N7</f>
        <v>64509.155044247746</v>
      </c>
      <c r="O7" s="8"/>
      <c r="P7" s="7">
        <f>SUM(P8:P31)</f>
        <v>10755.528318584118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'[1]2025_ΕΣΟΔΑ'!E2</f>
        <v>27450.501769911501</v>
      </c>
      <c r="E8" s="11">
        <f>D8/$D$7</f>
        <v>0.85965470644720321</v>
      </c>
      <c r="F8" s="12">
        <f>D8+'[1]2025 Φεβρουάριος'!F8</f>
        <v>65946.211769911504</v>
      </c>
      <c r="G8" s="11">
        <f>F8/$F$7</f>
        <v>0.87619064909901512</v>
      </c>
      <c r="H8" s="12"/>
      <c r="I8" s="11" t="e">
        <f>H8/$H$7</f>
        <v>#DIV/0!</v>
      </c>
      <c r="J8" s="12">
        <f>H8+'[1]2025 Φεβρουάριος'!J8</f>
        <v>56396.872914078049</v>
      </c>
      <c r="K8" s="11">
        <f>J8/$J$7</f>
        <v>0.76881806482476089</v>
      </c>
      <c r="L8" s="68">
        <f>'[1]2024_60-69 ΕΞΟΔΑ+ΟΜ 2'!E114</f>
        <v>25251.761061946901</v>
      </c>
      <c r="M8" s="11">
        <f>L8/$L$7</f>
        <v>0.83671822228364168</v>
      </c>
      <c r="N8" s="12">
        <f>L8+'[1]2025 Φεβρουάριος'!N8</f>
        <v>52068.177699114996</v>
      </c>
      <c r="O8" s="11">
        <f>N8/$N$7</f>
        <v>0.80714400403168662</v>
      </c>
      <c r="P8" s="12">
        <f t="shared" ref="P8:P37" si="0">F8-N8</f>
        <v>13878.034070796508</v>
      </c>
      <c r="Q8" s="11">
        <f t="shared" ref="Q8:Q37" si="1">N8/F8</f>
        <v>0.78955524967503177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'[1]2025_ΕΣΟΔΑ'!E3</f>
        <v>0</v>
      </c>
      <c r="E9" s="11">
        <f t="shared" ref="E9:E37" si="2">D9/$D$7</f>
        <v>0</v>
      </c>
      <c r="F9" s="12">
        <f>D9+'[1]2025 Φεβρουάριος'!F9</f>
        <v>0</v>
      </c>
      <c r="G9" s="11">
        <f t="shared" ref="G9:G37" si="3">F9/$F$7</f>
        <v>0</v>
      </c>
      <c r="H9" s="12"/>
      <c r="I9" s="11" t="e">
        <f t="shared" ref="I9:I28" si="4">H9/$H$7</f>
        <v>#DIV/0!</v>
      </c>
      <c r="J9" s="12">
        <f>H9+'[1]2025 Φεβρουάριος'!J9</f>
        <v>401</v>
      </c>
      <c r="K9" s="11">
        <f t="shared" ref="K9:K37" si="5">J9/$J$7</f>
        <v>5.4665450062173718E-3</v>
      </c>
      <c r="L9" s="68">
        <f>'[1]2024_60-69 ΕΞΟΔΑ+ΟΜ 2'!E115</f>
        <v>0</v>
      </c>
      <c r="M9" s="11">
        <f t="shared" ref="M9:M37" si="6">L9/$L$7</f>
        <v>0</v>
      </c>
      <c r="N9" s="12">
        <f>L9+'[1]2025 Φεβρουάριος'!N9</f>
        <v>0</v>
      </c>
      <c r="O9" s="11">
        <f t="shared" ref="O9:O37" si="7">N9/$N$7</f>
        <v>0</v>
      </c>
      <c r="P9" s="12">
        <f t="shared" si="0"/>
        <v>0</v>
      </c>
      <c r="Q9" s="11" t="e">
        <f t="shared" si="1"/>
        <v>#DIV/0!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'[1]2025_ΕΣΟΔΑ'!E4</f>
        <v>0</v>
      </c>
      <c r="E10" s="11">
        <f t="shared" si="2"/>
        <v>0</v>
      </c>
      <c r="F10" s="12">
        <f>D10+'[1]2025 Φεβρουάριος'!F10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Φεβρουάριος'!J10</f>
        <v>0</v>
      </c>
      <c r="K10" s="11">
        <f t="shared" si="5"/>
        <v>0</v>
      </c>
      <c r="L10" s="68">
        <f>'[1]2024_60-69 ΕΞΟΔΑ+ΟΜ 2'!E116</f>
        <v>0</v>
      </c>
      <c r="M10" s="11">
        <f t="shared" si="6"/>
        <v>0</v>
      </c>
      <c r="N10" s="12">
        <f>L10+'[1]2025 Φεβρουάριος'!N10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'[1]2025_ΕΣΟΔΑ'!E5</f>
        <v>2656.6371681415922</v>
      </c>
      <c r="E11" s="11">
        <f t="shared" si="2"/>
        <v>8.3196681213993429E-2</v>
      </c>
      <c r="F11" s="12">
        <f>D11+'[1]2025 Φεβρουάριος'!F11</f>
        <v>5457.1015929203522</v>
      </c>
      <c r="G11" s="11">
        <f t="shared" si="3"/>
        <v>7.2505474667488537E-2</v>
      </c>
      <c r="H11" s="12"/>
      <c r="I11" s="11" t="e">
        <f t="shared" si="4"/>
        <v>#DIV/0!</v>
      </c>
      <c r="J11" s="12">
        <f>H11+'[1]2025 Φεβρουάριος'!J11</f>
        <v>5008.7881415929205</v>
      </c>
      <c r="K11" s="11">
        <f t="shared" si="5"/>
        <v>6.8281211477869252E-2</v>
      </c>
      <c r="L11" s="68">
        <f>'[1]2024_60-69 ΕΞΟΔΑ+ΟΜ 2'!E117</f>
        <v>1960.176991150443</v>
      </c>
      <c r="M11" s="11">
        <f t="shared" si="6"/>
        <v>6.4950551503050055E-2</v>
      </c>
      <c r="N11" s="12">
        <f>L11+'[1]2025 Φεβρουάριος'!N11</f>
        <v>4053.0973451327441</v>
      </c>
      <c r="O11" s="11">
        <f t="shared" si="7"/>
        <v>6.2829800550831386E-2</v>
      </c>
      <c r="P11" s="12">
        <f t="shared" si="0"/>
        <v>1404.0042477876082</v>
      </c>
      <c r="Q11" s="11">
        <f t="shared" si="1"/>
        <v>0.74271978927255788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'[1]2025_ΕΣΟΔΑ'!E6</f>
        <v>0</v>
      </c>
      <c r="E12" s="11">
        <f t="shared" si="2"/>
        <v>0</v>
      </c>
      <c r="F12" s="12">
        <f>D12+'[1]2025 Φεβρουάριος'!F12</f>
        <v>1638.42</v>
      </c>
      <c r="G12" s="11">
        <f t="shared" si="3"/>
        <v>2.1768775563720828E-2</v>
      </c>
      <c r="H12" s="12"/>
      <c r="I12" s="11" t="e">
        <f t="shared" si="4"/>
        <v>#DIV/0!</v>
      </c>
      <c r="J12" s="12">
        <f>H12+'[1]2025 Φεβρουάριος'!J12</f>
        <v>200</v>
      </c>
      <c r="K12" s="11">
        <f t="shared" si="5"/>
        <v>2.726456362203178E-3</v>
      </c>
      <c r="L12" s="68">
        <f>'[1]2024_60-69 ΕΞΟΔΑ+ΟΜ 2'!E118</f>
        <v>943.79</v>
      </c>
      <c r="M12" s="11">
        <f t="shared" si="6"/>
        <v>3.1272523491404906E-2</v>
      </c>
      <c r="N12" s="12">
        <f>L12+'[1]2025 Φεβρουάριος'!N12</f>
        <v>943.79</v>
      </c>
      <c r="O12" s="11">
        <f t="shared" si="7"/>
        <v>1.463032649168387E-2</v>
      </c>
      <c r="P12" s="12">
        <f t="shared" si="0"/>
        <v>694.63000000000011</v>
      </c>
      <c r="Q12" s="11">
        <f t="shared" si="1"/>
        <v>0.57603666947424959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'[1]2025_ΕΣΟΔΑ'!E7</f>
        <v>354.56</v>
      </c>
      <c r="E13" s="11">
        <f t="shared" si="2"/>
        <v>1.1103592031676841E-2</v>
      </c>
      <c r="F13" s="12">
        <f>D13+'[1]2025 Φεβρουάριος'!F13</f>
        <v>605.99</v>
      </c>
      <c r="G13" s="11">
        <f t="shared" si="3"/>
        <v>8.0514521941011368E-3</v>
      </c>
      <c r="H13" s="12"/>
      <c r="I13" s="11" t="e">
        <f t="shared" si="4"/>
        <v>#DIV/0!</v>
      </c>
      <c r="J13" s="12">
        <f>H13+'[1]2025 Φεβρουάριος'!J13</f>
        <v>0</v>
      </c>
      <c r="K13" s="11">
        <f t="shared" si="5"/>
        <v>0</v>
      </c>
      <c r="L13" s="68">
        <f>'[1]2024_60-69 ΕΞΟΔΑ+ΟΜ 2'!E119</f>
        <v>1721.95</v>
      </c>
      <c r="M13" s="11">
        <f t="shared" si="6"/>
        <v>5.7056889589871346E-2</v>
      </c>
      <c r="N13" s="12">
        <f>L13+'[1]2025 Φεβρουάριος'!N13</f>
        <v>1721.95</v>
      </c>
      <c r="O13" s="11">
        <f t="shared" si="7"/>
        <v>2.6693110440198606E-2</v>
      </c>
      <c r="P13" s="12">
        <f t="shared" si="0"/>
        <v>-1115.96</v>
      </c>
      <c r="Q13" s="11">
        <f t="shared" si="1"/>
        <v>2.8415485404049572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'[1]2025_ΕΣΟΔΑ'!E8</f>
        <v>100</v>
      </c>
      <c r="E14" s="11">
        <f t="shared" si="2"/>
        <v>3.131653889800553E-3</v>
      </c>
      <c r="F14" s="12">
        <f>D14+'[1]2025 Φεβρουάριος'!F14</f>
        <v>300</v>
      </c>
      <c r="G14" s="11">
        <f t="shared" si="3"/>
        <v>3.9859331972975478E-3</v>
      </c>
      <c r="H14" s="12"/>
      <c r="I14" s="11" t="e">
        <f t="shared" si="4"/>
        <v>#DIV/0!</v>
      </c>
      <c r="J14" s="12">
        <f>H14+'[1]2025 Φεβρουάριος'!J14</f>
        <v>200</v>
      </c>
      <c r="K14" s="11">
        <f t="shared" si="5"/>
        <v>2.726456362203178E-3</v>
      </c>
      <c r="L14" s="68">
        <f>'[1]2024_60-69 ΕΞΟΔΑ+ΟΜ 2'!E120</f>
        <v>100</v>
      </c>
      <c r="M14" s="11">
        <f t="shared" si="6"/>
        <v>3.3135044333384447E-3</v>
      </c>
      <c r="N14" s="12">
        <f>L14+'[1]2025 Φεβρουάριος'!N14</f>
        <v>300</v>
      </c>
      <c r="O14" s="11">
        <f t="shared" si="7"/>
        <v>4.6505027045266019E-3</v>
      </c>
      <c r="P14" s="12">
        <f t="shared" si="0"/>
        <v>0</v>
      </c>
      <c r="Q14" s="11">
        <f t="shared" si="1"/>
        <v>1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'[1]2025_ΕΣΟΔΑ'!E9</f>
        <v>173.38</v>
      </c>
      <c r="E15" s="11">
        <f t="shared" si="2"/>
        <v>5.4296615141361986E-3</v>
      </c>
      <c r="F15" s="12">
        <f>D15+'[1]2025 Φεβρουάριος'!F15</f>
        <v>270.96000000000004</v>
      </c>
      <c r="G15" s="11">
        <f t="shared" si="3"/>
        <v>3.6000948637991458E-3</v>
      </c>
      <c r="H15" s="12"/>
      <c r="I15" s="11" t="e">
        <f t="shared" si="4"/>
        <v>#DIV/0!</v>
      </c>
      <c r="J15" s="12">
        <f>H15+'[1]2025 Φεβρουάριος'!J15</f>
        <v>0</v>
      </c>
      <c r="K15" s="11">
        <f t="shared" si="5"/>
        <v>0</v>
      </c>
      <c r="L15" s="68">
        <f>'[1]2024_60-69 ΕΞΟΔΑ+ΟΜ 2'!E121</f>
        <v>15.32</v>
      </c>
      <c r="M15" s="11">
        <f t="shared" si="6"/>
        <v>5.0762887918744972E-4</v>
      </c>
      <c r="N15" s="12">
        <f>L15+'[1]2025 Φεβρουάριος'!N15</f>
        <v>15.32</v>
      </c>
      <c r="O15" s="11">
        <f t="shared" si="7"/>
        <v>2.3748567144449178E-4</v>
      </c>
      <c r="P15" s="12">
        <f t="shared" si="0"/>
        <v>255.64000000000004</v>
      </c>
      <c r="Q15" s="11">
        <f t="shared" si="1"/>
        <v>5.6539710658399758E-2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'[1]2025_ΕΣΟΔΑ'!E10</f>
        <v>56.45</v>
      </c>
      <c r="E16" s="11">
        <f t="shared" si="2"/>
        <v>1.7678186207924123E-3</v>
      </c>
      <c r="F16" s="12">
        <f>D16+'[1]2025 Φεβρουάριος'!F16</f>
        <v>92.73</v>
      </c>
      <c r="G16" s="11">
        <f t="shared" si="3"/>
        <v>1.2320519512846722E-3</v>
      </c>
      <c r="H16" s="12"/>
      <c r="I16" s="11" t="e">
        <f t="shared" si="4"/>
        <v>#DIV/0!</v>
      </c>
      <c r="J16" s="12">
        <f>H16+'[1]2025 Φεβρουάριος'!J16</f>
        <v>0</v>
      </c>
      <c r="K16" s="11">
        <f t="shared" si="5"/>
        <v>0</v>
      </c>
      <c r="L16" s="68">
        <f>'[1]2024_60-69 ΕΞΟΔΑ+ΟΜ 2'!E122</f>
        <v>0</v>
      </c>
      <c r="M16" s="11">
        <f t="shared" si="6"/>
        <v>0</v>
      </c>
      <c r="N16" s="12">
        <f>L16+'[1]2025 Φεβρουάριος'!N16</f>
        <v>0</v>
      </c>
      <c r="O16" s="11">
        <f t="shared" si="7"/>
        <v>0</v>
      </c>
      <c r="P16" s="12">
        <f t="shared" si="0"/>
        <v>92.73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'[1]2025_ΕΣΟΔΑ'!E11</f>
        <v>464.6</v>
      </c>
      <c r="E17" s="11">
        <f t="shared" si="2"/>
        <v>1.454966397201337E-2</v>
      </c>
      <c r="F17" s="12">
        <f>D17+'[1]2025 Φεβρουάριος'!F17</f>
        <v>464.6</v>
      </c>
      <c r="G17" s="11">
        <f t="shared" si="3"/>
        <v>6.1728818782148028E-3</v>
      </c>
      <c r="H17" s="12"/>
      <c r="I17" s="11" t="e">
        <f t="shared" si="4"/>
        <v>#DIV/0!</v>
      </c>
      <c r="J17" s="12">
        <f>H17+'[1]2025 Φεβρουάριος'!J17</f>
        <v>0</v>
      </c>
      <c r="K17" s="11">
        <f t="shared" si="5"/>
        <v>0</v>
      </c>
      <c r="L17" s="68">
        <f>'[1]2024_60-69 ΕΞΟΔΑ+ΟΜ 2'!E123</f>
        <v>0</v>
      </c>
      <c r="M17" s="11">
        <f t="shared" si="6"/>
        <v>0</v>
      </c>
      <c r="N17" s="12">
        <f>L17+'[1]2025 Φεβρουάριος'!N17</f>
        <v>0</v>
      </c>
      <c r="O17" s="11">
        <f t="shared" si="7"/>
        <v>0</v>
      </c>
      <c r="P17" s="12">
        <f t="shared" si="0"/>
        <v>464.6</v>
      </c>
      <c r="Q17" s="11">
        <f t="shared" si="1"/>
        <v>0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'[1]2025_ΕΣΟΔΑ'!E12</f>
        <v>0</v>
      </c>
      <c r="E18" s="11">
        <f t="shared" si="2"/>
        <v>0</v>
      </c>
      <c r="F18" s="12">
        <f>D18+'[1]2025 Φεβρουάριος'!F18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Φεβρουάριος'!J18</f>
        <v>0</v>
      </c>
      <c r="K18" s="11">
        <f t="shared" si="5"/>
        <v>0</v>
      </c>
      <c r="L18" s="68">
        <f>'[1]2024_60-69 ΕΞΟΔΑ+ΟΜ 2'!E124</f>
        <v>0</v>
      </c>
      <c r="M18" s="11">
        <f t="shared" si="6"/>
        <v>0</v>
      </c>
      <c r="N18" s="12">
        <f>L18+'[1]2025 Φεβρουάριος'!N18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'[1]2025_ΕΣΟΔΑ'!E13</f>
        <v>0</v>
      </c>
      <c r="E19" s="11">
        <f t="shared" si="2"/>
        <v>0</v>
      </c>
      <c r="F19" s="12">
        <f>D19+'[1]2025 Φεβρουάριος'!F19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Φεβρουάριος'!J19</f>
        <v>0</v>
      </c>
      <c r="K19" s="11">
        <f t="shared" si="5"/>
        <v>0</v>
      </c>
      <c r="L19" s="68">
        <f>'[1]2024_60-69 ΕΞΟΔΑ+ΟΜ 2'!E125</f>
        <v>0</v>
      </c>
      <c r="M19" s="11">
        <f t="shared" si="6"/>
        <v>0</v>
      </c>
      <c r="N19" s="12">
        <f>L19+'[1]2025 Φεβρουάριος'!N19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'[1]2025_ΕΣΟΔΑ'!E14</f>
        <v>0</v>
      </c>
      <c r="E20" s="11">
        <f t="shared" si="2"/>
        <v>0</v>
      </c>
      <c r="F20" s="12">
        <f>D20+'[1]2025 Φεβρουάριος'!F20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Φεβρουάριος'!J20</f>
        <v>0</v>
      </c>
      <c r="K20" s="11">
        <f t="shared" si="5"/>
        <v>0</v>
      </c>
      <c r="L20" s="68">
        <f>'[1]2024_60-69 ΕΞΟΔΑ+ΟΜ 2'!E126</f>
        <v>0</v>
      </c>
      <c r="M20" s="11">
        <f t="shared" si="6"/>
        <v>0</v>
      </c>
      <c r="N20" s="12">
        <f>L20+'[1]2025 Φεβρουάριος'!N20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'[1]2025_ΕΣΟΔΑ'!E15</f>
        <v>230.09</v>
      </c>
      <c r="E21" s="11">
        <f t="shared" si="2"/>
        <v>7.2056224350420927E-3</v>
      </c>
      <c r="F21" s="12">
        <f>D21+'[1]2025 Φεβρουάριος'!F21</f>
        <v>230.09</v>
      </c>
      <c r="G21" s="11">
        <f t="shared" si="3"/>
        <v>3.0570778978873093E-3</v>
      </c>
      <c r="H21" s="12"/>
      <c r="I21" s="11" t="e">
        <f t="shared" si="4"/>
        <v>#DIV/0!</v>
      </c>
      <c r="J21" s="12">
        <f>H21+'[1]2025 Φεβρουάριος'!J21</f>
        <v>0</v>
      </c>
      <c r="K21" s="11">
        <f t="shared" si="5"/>
        <v>0</v>
      </c>
      <c r="L21" s="68">
        <f>'[1]2024_60-69 ΕΞΟΔΑ+ΟΜ 2'!E127</f>
        <v>0</v>
      </c>
      <c r="M21" s="11">
        <f t="shared" si="6"/>
        <v>0</v>
      </c>
      <c r="N21" s="12">
        <f>L21+'[1]2025 Φεβρουάριος'!N21</f>
        <v>0</v>
      </c>
      <c r="O21" s="11">
        <f t="shared" si="7"/>
        <v>0</v>
      </c>
      <c r="P21" s="12">
        <f t="shared" si="0"/>
        <v>230.09</v>
      </c>
      <c r="Q21" s="11">
        <f t="shared" si="1"/>
        <v>0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'[1]2025_ΕΣΟΔΑ'!E16</f>
        <v>0</v>
      </c>
      <c r="E22" s="11">
        <f t="shared" si="2"/>
        <v>0</v>
      </c>
      <c r="F22" s="12">
        <f>D22+'[1]2025 Φεβρουάριος'!F22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Φεβρουάριος'!J22</f>
        <v>0</v>
      </c>
      <c r="K22" s="11">
        <f t="shared" si="5"/>
        <v>0</v>
      </c>
      <c r="L22" s="68">
        <f>'[1]2024_60-69 ΕΞΟΔΑ+ΟΜ 2'!E128</f>
        <v>0</v>
      </c>
      <c r="M22" s="11">
        <f t="shared" si="6"/>
        <v>0</v>
      </c>
      <c r="N22" s="12">
        <f>L22+'[1]2025 Φεβρουάριος'!N22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'[1]2025_ΕΣΟΔΑ'!E17</f>
        <v>495.58</v>
      </c>
      <c r="E23" s="11">
        <f t="shared" si="2"/>
        <v>1.551985034707358E-2</v>
      </c>
      <c r="F23" s="12">
        <f>D23+'[1]2025 Φεβρουάριος'!F23</f>
        <v>495.58</v>
      </c>
      <c r="G23" s="11">
        <f t="shared" si="3"/>
        <v>6.5844959130557292E-3</v>
      </c>
      <c r="H23" s="12"/>
      <c r="I23" s="11" t="e">
        <f t="shared" si="4"/>
        <v>#DIV/0!</v>
      </c>
      <c r="J23" s="12">
        <f>H23+'[1]2025 Φεβρουάριος'!J23</f>
        <v>0</v>
      </c>
      <c r="K23" s="11">
        <f t="shared" si="5"/>
        <v>0</v>
      </c>
      <c r="L23" s="68">
        <f>'[1]2024_60-69 ΕΞΟΔΑ+ΟΜ 2'!E129</f>
        <v>201.48</v>
      </c>
      <c r="M23" s="11">
        <f t="shared" si="6"/>
        <v>6.6760487322902974E-3</v>
      </c>
      <c r="N23" s="12">
        <f>L23+'[1]2025 Φεβρουάριος'!N23</f>
        <v>201.48</v>
      </c>
      <c r="O23" s="11">
        <f t="shared" si="7"/>
        <v>3.1232776163600652E-3</v>
      </c>
      <c r="P23" s="12">
        <f t="shared" si="0"/>
        <v>294.10000000000002</v>
      </c>
      <c r="Q23" s="11">
        <f t="shared" si="1"/>
        <v>0.40655393680132368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'[1]2025_ΕΣΟΔΑ'!E18</f>
        <v>0</v>
      </c>
      <c r="E24" s="11">
        <f>D24/$D$7</f>
        <v>0</v>
      </c>
      <c r="F24" s="12">
        <f>D24+'[1]2025 Φεβρουάριος'!F24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Φεβρουάριος'!J24</f>
        <v>0</v>
      </c>
      <c r="K24" s="11">
        <f>J24/$J$7</f>
        <v>0</v>
      </c>
      <c r="L24" s="68">
        <f>'[1]2024_60-69 ΕΞΟΔΑ+ΟΜ 2'!E130</f>
        <v>114.6</v>
      </c>
      <c r="M24" s="11">
        <f>L24/$L$7</f>
        <v>3.7972760806058571E-3</v>
      </c>
      <c r="N24" s="12">
        <f>L24+'[1]2025 Φεβρουάριος'!N24</f>
        <v>114.6</v>
      </c>
      <c r="O24" s="11">
        <f>N24/$N$7</f>
        <v>1.7764920331291617E-3</v>
      </c>
      <c r="P24" s="12">
        <f>F24-N24</f>
        <v>-114.6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'[1]2025_ΕΣΟΔΑ'!E19</f>
        <v>0</v>
      </c>
      <c r="E25" s="11">
        <f t="shared" si="2"/>
        <v>0</v>
      </c>
      <c r="F25" s="12">
        <f>D25+'[1]2025 Φεβρουάριος'!F25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Φεβρουάριος'!J25</f>
        <v>30</v>
      </c>
      <c r="K25" s="11">
        <f t="shared" si="5"/>
        <v>4.0896845433047673E-4</v>
      </c>
      <c r="L25" s="68">
        <f>'[1]2024_60-69 ΕΞΟΔΑ+ΟΜ 2'!E131</f>
        <v>0</v>
      </c>
      <c r="M25" s="11">
        <f t="shared" si="6"/>
        <v>0</v>
      </c>
      <c r="N25" s="12">
        <f>L25+'[1]2025 Φεβρουάριος'!N25</f>
        <v>15</v>
      </c>
      <c r="O25" s="11">
        <f t="shared" si="7"/>
        <v>2.3252513522633008E-4</v>
      </c>
      <c r="P25" s="12">
        <f t="shared" si="0"/>
        <v>-15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'[1]2025_ΕΣΟΔΑ'!E20</f>
        <v>0</v>
      </c>
      <c r="E26" s="11">
        <f t="shared" si="2"/>
        <v>0</v>
      </c>
      <c r="F26" s="12">
        <f>D26+'[1]2025 Φεβρουάριος'!F26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Φεβρουάριος'!J26</f>
        <v>0</v>
      </c>
      <c r="K26" s="11">
        <f t="shared" si="5"/>
        <v>0</v>
      </c>
      <c r="L26" s="68">
        <f>'[1]2024_60-69 ΕΞΟΔΑ+ΟΜ 2'!E132</f>
        <v>0</v>
      </c>
      <c r="M26" s="11">
        <f t="shared" si="6"/>
        <v>0</v>
      </c>
      <c r="N26" s="12">
        <f>L26+'[1]2025 Φεβρουάριος'!N26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'[1]2025_ΕΣΟΔΑ'!E21</f>
        <v>0</v>
      </c>
      <c r="E27" s="11">
        <f t="shared" si="2"/>
        <v>0</v>
      </c>
      <c r="F27" s="12">
        <f>D27+'[1]2025 Φεβρουάριος'!F27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Φεβρουάριος'!J27</f>
        <v>0</v>
      </c>
      <c r="K27" s="11">
        <f t="shared" si="5"/>
        <v>0</v>
      </c>
      <c r="L27" s="68">
        <f>'[1]2024_60-69 ΕΞΟΔΑ+ΟΜ 2'!E133</f>
        <v>0</v>
      </c>
      <c r="M27" s="11">
        <f t="shared" si="6"/>
        <v>0</v>
      </c>
      <c r="N27" s="12">
        <f>L27+'[1]2025 Φεβρουάριος'!N27</f>
        <v>0</v>
      </c>
      <c r="O27" s="11">
        <f t="shared" si="7"/>
        <v>0</v>
      </c>
      <c r="P27" s="12">
        <f t="shared" si="0"/>
        <v>0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'[1]2025_ΕΣΟΔΑ'!E22</f>
        <v>0</v>
      </c>
      <c r="E28" s="11">
        <f t="shared" si="2"/>
        <v>0</v>
      </c>
      <c r="F28" s="12">
        <f>D28+'[1]2025 Φεβρουάριος'!F28</f>
        <v>14.25</v>
      </c>
      <c r="G28" s="11">
        <f t="shared" si="3"/>
        <v>1.8933182687163352E-4</v>
      </c>
      <c r="H28" s="12"/>
      <c r="I28" s="11" t="e">
        <f t="shared" si="4"/>
        <v>#DIV/0!</v>
      </c>
      <c r="J28" s="12">
        <f>H28+'[1]2025 Φεβρουάριος'!J28</f>
        <v>0</v>
      </c>
      <c r="K28" s="11">
        <f t="shared" si="5"/>
        <v>0</v>
      </c>
      <c r="L28" s="68">
        <f>'[1]2024_60-69 ΕΞΟΔΑ+ΟΜ 2'!E134</f>
        <v>0</v>
      </c>
      <c r="M28" s="11">
        <f t="shared" si="6"/>
        <v>0</v>
      </c>
      <c r="N28" s="12">
        <f>L28+'[1]2025 Φεβρουάριος'!N28</f>
        <v>0</v>
      </c>
      <c r="O28" s="11">
        <f t="shared" si="7"/>
        <v>0</v>
      </c>
      <c r="P28" s="12">
        <f t="shared" si="0"/>
        <v>14.25</v>
      </c>
      <c r="Q28" s="11">
        <f t="shared" si="1"/>
        <v>0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'[1]2025_ΕΣΟΔΑ'!E23</f>
        <v>0</v>
      </c>
      <c r="E29" s="11">
        <f t="shared" si="2"/>
        <v>0</v>
      </c>
      <c r="F29" s="12">
        <f>D29+'[1]2025 Φεβρουάριος'!F29</f>
        <v>0</v>
      </c>
      <c r="G29" s="11">
        <f t="shared" si="3"/>
        <v>0</v>
      </c>
      <c r="H29" s="12"/>
      <c r="I29" s="11" t="e">
        <f>H29/$H$7</f>
        <v>#DIV/0!</v>
      </c>
      <c r="J29" s="12">
        <f>H29+'[1]2025 Φεβρουάριος'!J29</f>
        <v>0</v>
      </c>
      <c r="K29" s="11">
        <f t="shared" si="5"/>
        <v>0</v>
      </c>
      <c r="L29" s="68">
        <f>'[1]2024_60-69 ΕΞΟΔΑ+ΟΜ 2'!E135</f>
        <v>6.22</v>
      </c>
      <c r="M29" s="11">
        <f t="shared" si="6"/>
        <v>2.0609997575365122E-4</v>
      </c>
      <c r="N29" s="12">
        <f>L29+'[1]2025 Φεβρουάριος'!N29</f>
        <v>6.22</v>
      </c>
      <c r="O29" s="11">
        <f t="shared" si="7"/>
        <v>9.6420422740518198E-5</v>
      </c>
      <c r="P29" s="12">
        <f t="shared" si="0"/>
        <v>-6.22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'[1]2025_ΕΣΟΔΑ'!E24</f>
        <v>100</v>
      </c>
      <c r="E30" s="11">
        <f t="shared" si="2"/>
        <v>3.131653889800553E-3</v>
      </c>
      <c r="F30" s="12">
        <f>D30+'[1]2025 Φεβρουάριος'!F30</f>
        <v>104</v>
      </c>
      <c r="G30" s="11">
        <f t="shared" si="3"/>
        <v>1.3817901750631499E-3</v>
      </c>
      <c r="H30" s="12"/>
      <c r="I30" s="11" t="e">
        <f>H30/$H$7</f>
        <v>#DIV/0!</v>
      </c>
      <c r="J30" s="12">
        <f>H30+'[1]2025 Φεβρουάριος'!J30</f>
        <v>11263.75</v>
      </c>
      <c r="K30" s="11">
        <f t="shared" si="5"/>
        <v>0.15355061424883024</v>
      </c>
      <c r="L30" s="68">
        <f>'[1]2024_60-69 ΕΞΟΔΑ+ΟΜ 2'!E136</f>
        <v>-135.77000000000001</v>
      </c>
      <c r="M30" s="11">
        <f t="shared" si="6"/>
        <v>-4.4987449691436063E-3</v>
      </c>
      <c r="N30" s="12">
        <f>L30+'[1]2025 Φεβρουάριος'!N30</f>
        <v>5214.6499999999996</v>
      </c>
      <c r="O30" s="11">
        <f t="shared" si="7"/>
        <v>8.0835813093865463E-2</v>
      </c>
      <c r="P30" s="12">
        <f t="shared" si="0"/>
        <v>-5110.6499999999996</v>
      </c>
      <c r="Q30" s="11">
        <f t="shared" si="1"/>
        <v>50.140865384615381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'[1]2025_ΕΣΟΔΑ'!E25</f>
        <v>-149.79</v>
      </c>
      <c r="E31" s="11">
        <f t="shared" si="2"/>
        <v>-4.6909043615322478E-3</v>
      </c>
      <c r="F31" s="12">
        <f>D31+'[1]2025 Φεβρουάριος'!F31</f>
        <v>-355.25</v>
      </c>
      <c r="G31" s="11">
        <f t="shared" si="3"/>
        <v>-4.7200092277998465E-3</v>
      </c>
      <c r="H31" s="12"/>
      <c r="I31" s="11" t="e">
        <f t="shared" ref="I31:I37" si="8">H31/$H$7</f>
        <v>#DIV/0!</v>
      </c>
      <c r="J31" s="12">
        <f>H31+'[1]2025 Φεβρουάριος'!J31</f>
        <v>-145.12</v>
      </c>
      <c r="K31" s="11">
        <f t="shared" si="5"/>
        <v>-1.9783167364146263E-3</v>
      </c>
      <c r="L31" s="68">
        <f>'[1]2024_60-69 ΕΞΟΔΑ+ΟΜ 2'!E137</f>
        <v>0</v>
      </c>
      <c r="M31" s="11">
        <f t="shared" si="6"/>
        <v>0</v>
      </c>
      <c r="N31" s="12">
        <f>L31+'[1]2025 Φεβρουάριος'!N31</f>
        <v>-145.13</v>
      </c>
      <c r="O31" s="11">
        <f t="shared" si="7"/>
        <v>-2.2497581916931524E-3</v>
      </c>
      <c r="P31" s="12">
        <f t="shared" si="0"/>
        <v>-210.12</v>
      </c>
      <c r="Q31" s="11">
        <f t="shared" si="1"/>
        <v>0.40852920478536242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'[1]2025_ΕΣΟΔΑ'!E26</f>
        <v>0</v>
      </c>
      <c r="E32" s="11">
        <f t="shared" si="2"/>
        <v>0</v>
      </c>
      <c r="F32" s="12">
        <f>D32+'[1]2025 Φεβρουάριος'!F32</f>
        <v>0</v>
      </c>
      <c r="G32" s="11">
        <f t="shared" si="3"/>
        <v>0</v>
      </c>
      <c r="H32" s="12"/>
      <c r="I32" s="11" t="e">
        <f t="shared" si="8"/>
        <v>#DIV/0!</v>
      </c>
      <c r="J32" s="12">
        <f>H32+'[1]2025 Φεβρουάριος'!J32</f>
        <v>0</v>
      </c>
      <c r="K32" s="11">
        <f t="shared" si="5"/>
        <v>0</v>
      </c>
      <c r="L32" s="68">
        <f>'[1]2024_60-69 ΕΞΟΔΑ+ΟΜ 2'!E138</f>
        <v>0</v>
      </c>
      <c r="M32" s="11">
        <f t="shared" si="6"/>
        <v>0</v>
      </c>
      <c r="N32" s="12">
        <f>L32+'[1]2025 Φεβρουάριος'!N32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'[1]2025_ΕΣΟΔΑ'!E27</f>
        <v>0</v>
      </c>
      <c r="E33" s="11">
        <f t="shared" si="2"/>
        <v>0</v>
      </c>
      <c r="F33" s="12">
        <f>D33+'[1]2025 Φεβρουάριος'!F33</f>
        <v>0</v>
      </c>
      <c r="G33" s="11">
        <f t="shared" si="3"/>
        <v>0</v>
      </c>
      <c r="H33" s="12"/>
      <c r="I33" s="11" t="e">
        <f t="shared" si="8"/>
        <v>#DIV/0!</v>
      </c>
      <c r="J33" s="12">
        <f>H33+'[1]2025 Φεβρουάριος'!J33</f>
        <v>0</v>
      </c>
      <c r="K33" s="11">
        <f t="shared" si="5"/>
        <v>0</v>
      </c>
      <c r="L33" s="68">
        <f>'[1]2024_60-69 ΕΞΟΔΑ+ΟΜ 2'!E139</f>
        <v>0</v>
      </c>
      <c r="M33" s="11">
        <f t="shared" si="6"/>
        <v>0</v>
      </c>
      <c r="N33" s="12">
        <f>L33+'[1]2025 Φεβρουάριος'!N33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'[1]2025_ΕΣΟΔΑ'!E28</f>
        <v>0</v>
      </c>
      <c r="E34" s="11">
        <f t="shared" si="2"/>
        <v>0</v>
      </c>
      <c r="F34" s="12">
        <f>D34+'[1]2025 Φεβρουάριος'!F34</f>
        <v>0</v>
      </c>
      <c r="G34" s="11">
        <f t="shared" si="3"/>
        <v>0</v>
      </c>
      <c r="H34" s="12"/>
      <c r="I34" s="11" t="e">
        <f t="shared" si="8"/>
        <v>#DIV/0!</v>
      </c>
      <c r="J34" s="12">
        <f>H34+'[1]2025 Φεβρουάριος'!J34</f>
        <v>0</v>
      </c>
      <c r="K34" s="11">
        <f t="shared" si="5"/>
        <v>0</v>
      </c>
      <c r="L34" s="68">
        <f>'[1]2024_60-69 ΕΞΟΔΑ+ΟΜ 2'!E140</f>
        <v>0</v>
      </c>
      <c r="M34" s="11">
        <f t="shared" si="6"/>
        <v>0</v>
      </c>
      <c r="N34" s="12">
        <f>L34+'[1]2025 Φεβρουάριος'!N34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'[1]2025_ΕΣΟΔΑ'!E29</f>
        <v>0</v>
      </c>
      <c r="E35" s="11">
        <f t="shared" si="2"/>
        <v>0</v>
      </c>
      <c r="F35" s="12">
        <f>D35+'[1]2025 Φεβρουάριος'!F35</f>
        <v>0</v>
      </c>
      <c r="G35" s="11">
        <f t="shared" si="3"/>
        <v>0</v>
      </c>
      <c r="H35" s="12"/>
      <c r="I35" s="11" t="e">
        <f t="shared" si="8"/>
        <v>#DIV/0!</v>
      </c>
      <c r="J35" s="12">
        <f>H35+'[1]2025 Φεβρουάριος'!J35</f>
        <v>0</v>
      </c>
      <c r="K35" s="11">
        <f t="shared" si="5"/>
        <v>0</v>
      </c>
      <c r="L35" s="68">
        <f>'[1]2024_60-69 ΕΞΟΔΑ+ΟΜ 2'!E141</f>
        <v>0</v>
      </c>
      <c r="M35" s="11">
        <f t="shared" si="6"/>
        <v>0</v>
      </c>
      <c r="N35" s="12">
        <f>L35+'[1]2025 Φεβρουάριος'!N35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'[1]2025_ΕΣΟΔΑ'!E30</f>
        <v>0</v>
      </c>
      <c r="E36" s="11">
        <f t="shared" si="2"/>
        <v>0</v>
      </c>
      <c r="F36" s="12">
        <f>D36+'[1]2025 Φεβρουάριος'!F36</f>
        <v>0</v>
      </c>
      <c r="G36" s="11">
        <f t="shared" si="3"/>
        <v>0</v>
      </c>
      <c r="H36" s="12"/>
      <c r="I36" s="11" t="e">
        <f t="shared" si="8"/>
        <v>#DIV/0!</v>
      </c>
      <c r="J36" s="12">
        <f>H36+'[1]2025 Φεβρουάριος'!J36</f>
        <v>0</v>
      </c>
      <c r="K36" s="11">
        <f t="shared" si="5"/>
        <v>0</v>
      </c>
      <c r="L36" s="68">
        <f>'[1]2024_60-69 ΕΞΟΔΑ+ΟΜ 2'!E142</f>
        <v>0</v>
      </c>
      <c r="M36" s="11">
        <f t="shared" si="6"/>
        <v>0</v>
      </c>
      <c r="N36" s="12">
        <f>L36+'[1]2025 Φεβρουάριος'!N36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'[1]2025_ΕΣΟΔΑ'!E31</f>
        <v>0</v>
      </c>
      <c r="E37" s="11">
        <f t="shared" si="2"/>
        <v>0</v>
      </c>
      <c r="F37" s="12">
        <f>D37+'[1]2025 Φεβρουάριος'!F37</f>
        <v>0</v>
      </c>
      <c r="G37" s="11">
        <f t="shared" si="3"/>
        <v>0</v>
      </c>
      <c r="H37" s="12"/>
      <c r="I37" s="11" t="e">
        <f t="shared" si="8"/>
        <v>#DIV/0!</v>
      </c>
      <c r="J37" s="12">
        <f>H37+'[1]2025 Φεβρουάριος'!J37</f>
        <v>0</v>
      </c>
      <c r="K37" s="11">
        <f t="shared" si="5"/>
        <v>0</v>
      </c>
      <c r="L37" s="68">
        <f>'[1]2024_60-69 ΕΞΟΔΑ+ΟΜ 2'!E143</f>
        <v>0</v>
      </c>
      <c r="M37" s="11">
        <f t="shared" si="6"/>
        <v>0</v>
      </c>
      <c r="N37" s="12">
        <f>L37+'[1]2025 Φεβρουάριος'!N37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'[1]2025_ΕΣΟΔΑ'!E32</f>
        <v>0</v>
      </c>
      <c r="E38" s="8"/>
      <c r="F38" s="7" t="str">
        <f>'[1]2025_ΕΣΟΔΑ'!E34</f>
        <v>Μάρτιος</v>
      </c>
      <c r="G38" s="8"/>
      <c r="H38" s="7">
        <f>SUM(H8:H31)</f>
        <v>0</v>
      </c>
      <c r="I38" s="8"/>
      <c r="J38" s="7">
        <f>SUM(J8:J31)</f>
        <v>73355.291055670968</v>
      </c>
      <c r="K38" s="8"/>
      <c r="L38" s="7">
        <f>SUM(L8:L31)</f>
        <v>30179.528053097343</v>
      </c>
      <c r="M38" s="8"/>
      <c r="N38" s="7">
        <f>SUM(N8:N31)</f>
        <v>64509.155044247746</v>
      </c>
      <c r="O38" s="8"/>
      <c r="P38" s="7">
        <f>SUM(P8:P31)</f>
        <v>10755.528318584118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31932.008938053095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0" t="str">
        <f>[1]ΑΝΤΙΣΤΟΙΧΙΣΗ!$F$108</f>
        <v xml:space="preserve">ΜΑΡΤΙΟΣ ΤΡΕΧΟΝ ΕΤΟΣ </v>
      </c>
      <c r="E41" s="180"/>
      <c r="F41" s="180"/>
      <c r="G41" s="61">
        <f>[1]ΑΝΤΙΣΤΟΙΧΙΣΗ!$D$34</f>
        <v>2025</v>
      </c>
      <c r="H41" s="180" t="str">
        <f>[1]ΑΝΤΙΣΤΟΙΧΙΣΗ!$F$108</f>
        <v xml:space="preserve">ΜΑΡΤΙΟΣ ΤΡΕΧΟΝ ΕΤΟΣ </v>
      </c>
      <c r="I41" s="180"/>
      <c r="J41" s="180"/>
      <c r="K41" s="61">
        <f>[1]ΑΝΤΙΣΤΟΙΧΙΣΗ!$D$34</f>
        <v>2025</v>
      </c>
      <c r="L41" s="180" t="str">
        <f>[1]ΑΝΤΙΣΤΟΙΧΙΣΗ!$F$122</f>
        <v>ΜΑΡΤΙΟΣ ΠΡΟΗΓΟΥΜΕΝΟΥ ΕΤΟΥΣ</v>
      </c>
      <c r="M41" s="180"/>
      <c r="N41" s="180"/>
      <c r="O41" s="61">
        <f>[1]ΑΝΤΙΣΤΟΙΧΙΣΗ!$D$33</f>
        <v>2024</v>
      </c>
      <c r="P41" s="180"/>
      <c r="Q41" s="180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 t="s">
        <v>21</v>
      </c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27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SUM(D44:D77)</f>
        <v>46384.086666666662</v>
      </c>
      <c r="E43" s="8"/>
      <c r="F43" s="7">
        <f>SUM(F44:F77)</f>
        <v>283693.09999999998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51825.279999999992</v>
      </c>
      <c r="M43" s="8"/>
      <c r="N43" s="7">
        <f>SUM(N44:N77)</f>
        <v>220850.89000000004</v>
      </c>
      <c r="O43" s="8"/>
      <c r="P43" s="7">
        <f>SUM(P44:P77)</f>
        <v>42329.890000000029</v>
      </c>
      <c r="Q43" s="8"/>
    </row>
    <row r="44" spans="1:17" ht="1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2'!F4</f>
        <v>3372.31</v>
      </c>
      <c r="E44" s="15">
        <f>D44/$D$43</f>
        <v>7.2704029384790453E-2</v>
      </c>
      <c r="F44" s="10">
        <f>'[1]2025 Φεβρουάριος'!F44+'[1]2025 Μάρτιος'!D44</f>
        <v>124215.3</v>
      </c>
      <c r="G44" s="15">
        <f>F44/$F$43</f>
        <v>0.43785097346392993</v>
      </c>
      <c r="H44" s="14"/>
      <c r="I44" s="16" t="e">
        <f>H44/$H$43</f>
        <v>#DIV/0!</v>
      </c>
      <c r="J44" s="10">
        <f>H44</f>
        <v>0</v>
      </c>
      <c r="K44" s="17">
        <f>J44/$J$38</f>
        <v>0</v>
      </c>
      <c r="L44" s="14">
        <f>'[1]2024_60-69 ΕΞΟΔΑ+ΟΜ 2'!F4</f>
        <v>3424.67</v>
      </c>
      <c r="M44" s="15">
        <f>L44/$L$43</f>
        <v>6.608107085962682E-2</v>
      </c>
      <c r="N44" s="10">
        <f>L44+'[1]2025 Φεβρουάριος'!N44</f>
        <v>81885.409999999974</v>
      </c>
      <c r="O44" s="15">
        <f>N44/$N$43</f>
        <v>0.37077237950003261</v>
      </c>
      <c r="P44" s="10">
        <f>F44-N44</f>
        <v>42329.890000000029</v>
      </c>
      <c r="Q44" s="15">
        <f>N44/F44</f>
        <v>0.65922160957627585</v>
      </c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2'!F5</f>
        <v>4953.84</v>
      </c>
      <c r="E45" s="15">
        <f t="shared" ref="E45:E77" si="9">D45/$D$43</f>
        <v>0.10680042135140315</v>
      </c>
      <c r="F45" s="10">
        <f>'[1]2025 Φεβρουάριος'!F45+'[1]2025 Μάρτιος'!D45</f>
        <v>7719.5199999999986</v>
      </c>
      <c r="G45" s="15">
        <f t="shared" ref="G45:G77" si="10">F45/$F$43</f>
        <v>2.7210813375439864E-2</v>
      </c>
      <c r="H45" s="14"/>
      <c r="I45" s="16" t="e">
        <f t="shared" ref="I45:I77" si="11">H45/$H$43</f>
        <v>#DIV/0!</v>
      </c>
      <c r="J45" s="10">
        <f t="shared" ref="J45:J77" si="12">H45</f>
        <v>0</v>
      </c>
      <c r="K45" s="17">
        <f t="shared" ref="K45:K77" si="13">J45/$J$38</f>
        <v>0</v>
      </c>
      <c r="L45" s="14">
        <f>'[1]2024_60-69 ΕΞΟΔΑ+ΟΜ 2'!F5</f>
        <v>11008.53</v>
      </c>
      <c r="M45" s="15">
        <f t="shared" ref="M45:M77" si="14">L45/$L$43</f>
        <v>0.21241621849414036</v>
      </c>
      <c r="N45" s="10">
        <f>L45+'[1]2025 Φεβρουάριος'!N45</f>
        <v>16941.080000000002</v>
      </c>
      <c r="O45" s="15">
        <f t="shared" ref="O45:O77" si="15">N45/$N$43</f>
        <v>7.6708226079596056E-2</v>
      </c>
      <c r="P45" s="10"/>
      <c r="Q45" s="15">
        <f t="shared" ref="Q45:Q77" si="16">N45/F45</f>
        <v>2.1945768648827912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2'!F6</f>
        <v>2472.37</v>
      </c>
      <c r="E46" s="15">
        <f t="shared" si="9"/>
        <v>5.3302116688582708E-2</v>
      </c>
      <c r="F46" s="10">
        <f>'[1]2025 Φεβρουάριος'!F46+'[1]2025 Μάρτιος'!D46</f>
        <v>12236.11</v>
      </c>
      <c r="G46" s="15">
        <f t="shared" si="10"/>
        <v>4.3131503727091007E-2</v>
      </c>
      <c r="H46" s="14"/>
      <c r="I46" s="16" t="e">
        <f t="shared" si="11"/>
        <v>#DIV/0!</v>
      </c>
      <c r="J46" s="10">
        <f t="shared" si="12"/>
        <v>0</v>
      </c>
      <c r="K46" s="17">
        <f t="shared" si="13"/>
        <v>0</v>
      </c>
      <c r="L46" s="14">
        <f>'[1]2024_60-69 ΕΞΟΔΑ+ΟΜ 2'!F6</f>
        <v>2814.91</v>
      </c>
      <c r="M46" s="15">
        <f t="shared" si="14"/>
        <v>5.431538430665498E-2</v>
      </c>
      <c r="N46" s="10">
        <f>L46+'[1]2025 Φεβρουάριος'!N46</f>
        <v>11707.66</v>
      </c>
      <c r="O46" s="15">
        <f t="shared" si="15"/>
        <v>5.3011604345357163E-2</v>
      </c>
      <c r="P46" s="10"/>
      <c r="Q46" s="15">
        <f t="shared" si="16"/>
        <v>0.95681225487511956</v>
      </c>
    </row>
    <row r="47" spans="1:17" ht="37.5" customHeight="1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2'!F37</f>
        <v>1747.2</v>
      </c>
      <c r="E47" s="15">
        <f ca="1">D47/$D$84</f>
        <v>0.24199513018041599</v>
      </c>
      <c r="F47" s="79">
        <f>'[1]2025 Φεβρουάριος'!F81+'[1]2025 Μάρτιος'!D81</f>
        <v>25594.959999999999</v>
      </c>
      <c r="G47" s="15" t="e">
        <f>F47/$F$84</f>
        <v>#VALUE!</v>
      </c>
      <c r="H47" s="14"/>
      <c r="I47" s="26" t="e">
        <f ca="1">H47/$H$84</f>
        <v>#DIV/0!</v>
      </c>
      <c r="J47" s="27"/>
      <c r="K47" s="27" t="e">
        <f ca="1">J47/$J$84</f>
        <v>#DIV/0!</v>
      </c>
      <c r="L47" s="79">
        <f>'[1]2024_60-69 ΕΞΟΔΑ+ΟΜ 2'!F35</f>
        <v>2190.1999999999998</v>
      </c>
      <c r="M47" s="15">
        <f ca="1">L47/$L$84</f>
        <v>0.40340746880324169</v>
      </c>
      <c r="N47" s="10">
        <f>L47+'[1]2025 Φεβρουάριος'!N81</f>
        <v>11294.349999999999</v>
      </c>
      <c r="O47" s="15">
        <f ca="1">N47/$N$84</f>
        <v>0.47781390203299412</v>
      </c>
      <c r="P47" s="27"/>
      <c r="Q47" s="28" t="e">
        <f ca="1">SUM(D47:P47)</f>
        <v>#DIV/0!</v>
      </c>
    </row>
    <row r="48" spans="1:17" ht="37.5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2'!F38</f>
        <v>1785.18</v>
      </c>
      <c r="E48" s="15">
        <f ca="1">D48/$D$84</f>
        <v>0.24725553256380212</v>
      </c>
      <c r="F48" s="79">
        <f>'[1]2025 Φεβρουάριος'!F82+'[1]2025 Μάρτιος'!D82</f>
        <v>5142.91</v>
      </c>
      <c r="G48" s="15" t="e">
        <f>F48/$F$84</f>
        <v>#VALUE!</v>
      </c>
      <c r="H48" s="14"/>
      <c r="I48" s="26" t="e">
        <f ca="1">H48/$H$84</f>
        <v>#DIV/0!</v>
      </c>
      <c r="J48" s="27"/>
      <c r="K48" s="27" t="e">
        <f ca="1">J48/$J$84</f>
        <v>#DIV/0!</v>
      </c>
      <c r="L48" s="79">
        <f>'[1]2024_60-69 ΕΞΟΔΑ+ΟΜ 2'!F36</f>
        <v>0</v>
      </c>
      <c r="M48" s="15">
        <f ca="1">L48/$L$84</f>
        <v>0</v>
      </c>
      <c r="N48" s="10">
        <f>L48+'[1]2025 Φεβρουάριος'!N82</f>
        <v>2699.16</v>
      </c>
      <c r="O48" s="15">
        <f ca="1">N48/$N$84</f>
        <v>0.11418949933474494</v>
      </c>
      <c r="P48" s="27"/>
      <c r="Q48" s="28" t="e">
        <f ca="1">SUM(D48:P48)</f>
        <v>#DIV/0!</v>
      </c>
    </row>
    <row r="49" spans="1:17" ht="15" customHeight="1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2'!F7</f>
        <v>741.13</v>
      </c>
      <c r="E49" s="15">
        <f t="shared" si="9"/>
        <v>1.5978109158988868E-2</v>
      </c>
      <c r="F49" s="10">
        <f>'[1]2025 Φεβρουάριος'!F47+'[1]2025 Μάρτιος'!D47</f>
        <v>6081.15</v>
      </c>
      <c r="G49" s="15">
        <f t="shared" si="10"/>
        <v>2.1435664103215766E-2</v>
      </c>
      <c r="H49" s="14"/>
      <c r="I49" s="16" t="e">
        <f t="shared" si="11"/>
        <v>#DIV/0!</v>
      </c>
      <c r="J49" s="10">
        <f t="shared" si="12"/>
        <v>0</v>
      </c>
      <c r="K49" s="17">
        <f t="shared" si="13"/>
        <v>0</v>
      </c>
      <c r="L49" s="14">
        <f>'[1]2024_60-69 ΕΞΟΔΑ+ΟΜ 2'!F7</f>
        <v>815.88</v>
      </c>
      <c r="M49" s="15">
        <f t="shared" si="14"/>
        <v>1.5742896131000161E-2</v>
      </c>
      <c r="N49" s="10">
        <f>L49+'[1]2025 Φεβρουάριος'!N47</f>
        <v>6169.01</v>
      </c>
      <c r="O49" s="15">
        <f t="shared" si="15"/>
        <v>2.7932918902885105E-2</v>
      </c>
      <c r="P49" s="10"/>
      <c r="Q49" s="15">
        <f t="shared" si="16"/>
        <v>1.0144479251457372</v>
      </c>
    </row>
    <row r="50" spans="1:17" ht="15" customHeight="1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2'!F8</f>
        <v>916.37</v>
      </c>
      <c r="E50" s="15">
        <f t="shared" si="9"/>
        <v>1.9756129005738032E-2</v>
      </c>
      <c r="F50" s="10">
        <f>'[1]2025 Φεβρουάριος'!F48+'[1]2025 Μάρτιος'!D48</f>
        <v>1665.8200000000002</v>
      </c>
      <c r="G50" s="15">
        <f t="shared" si="10"/>
        <v>5.8719087633784545E-3</v>
      </c>
      <c r="H50" s="14"/>
      <c r="I50" s="16" t="e">
        <f t="shared" si="11"/>
        <v>#DIV/0!</v>
      </c>
      <c r="J50" s="10">
        <f t="shared" si="12"/>
        <v>0</v>
      </c>
      <c r="K50" s="17">
        <f t="shared" si="13"/>
        <v>0</v>
      </c>
      <c r="L50" s="14">
        <f>'[1]2024_60-69 ΕΞΟΔΑ+ΟΜ 2'!F8</f>
        <v>1577.57</v>
      </c>
      <c r="M50" s="15">
        <f t="shared" si="14"/>
        <v>3.0440163564962895E-2</v>
      </c>
      <c r="N50" s="10">
        <f>L50+'[1]2025 Φεβρουάριος'!N48</f>
        <v>3023.88</v>
      </c>
      <c r="O50" s="15">
        <f t="shared" si="15"/>
        <v>1.3691952973338707E-2</v>
      </c>
      <c r="P50" s="10"/>
      <c r="Q50" s="15">
        <f t="shared" si="16"/>
        <v>1.8152501470747138</v>
      </c>
    </row>
    <row r="51" spans="1:17" ht="28.5" customHeight="1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2'!F9</f>
        <v>627.18000000000006</v>
      </c>
      <c r="E51" s="15">
        <f t="shared" si="9"/>
        <v>1.3521447657407794E-2</v>
      </c>
      <c r="F51" s="10">
        <f>'[1]2025 Φεβρουάριος'!F49+'[1]2025 Μάρτιος'!D49</f>
        <v>2163.63</v>
      </c>
      <c r="G51" s="15">
        <f t="shared" si="10"/>
        <v>7.6266571164402665E-3</v>
      </c>
      <c r="H51" s="14"/>
      <c r="I51" s="16" t="e">
        <f t="shared" si="11"/>
        <v>#DIV/0!</v>
      </c>
      <c r="J51" s="10">
        <f t="shared" si="12"/>
        <v>0</v>
      </c>
      <c r="K51" s="17">
        <f t="shared" si="13"/>
        <v>0</v>
      </c>
      <c r="L51" s="14">
        <f>'[1]2024_60-69 ΕΞΟΔΑ+ΟΜ 2'!F9</f>
        <v>744.26</v>
      </c>
      <c r="M51" s="15">
        <f t="shared" si="14"/>
        <v>1.4360945083171766E-2</v>
      </c>
      <c r="N51" s="10">
        <f>L51+'[1]2025 Φεβρουάριος'!N49</f>
        <v>2726.46</v>
      </c>
      <c r="O51" s="15">
        <f t="shared" si="15"/>
        <v>1.2345252491398154E-2</v>
      </c>
      <c r="P51" s="10"/>
      <c r="Q51" s="15">
        <f t="shared" si="16"/>
        <v>1.2601322776999764</v>
      </c>
    </row>
    <row r="52" spans="1:17" ht="37.5" customHeight="1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2'!F41</f>
        <v>358.92</v>
      </c>
      <c r="E52" s="15">
        <f ca="1">D52/$D$84</f>
        <v>4.9712049063847824E-2</v>
      </c>
      <c r="F52" s="79">
        <f>'[1]2025 Φεβρουάριος'!F85+'[1]2025 Μάρτιος'!D85</f>
        <v>3469.3599999999997</v>
      </c>
      <c r="G52" s="15" t="e">
        <f>F52/$F$84</f>
        <v>#VALUE!</v>
      </c>
      <c r="H52" s="14"/>
      <c r="I52" s="26" t="e">
        <f ca="1">H52/$H$84</f>
        <v>#DIV/0!</v>
      </c>
      <c r="J52" s="27"/>
      <c r="K52" s="27" t="e">
        <f ca="1">J52/$J$84</f>
        <v>#DIV/0!</v>
      </c>
      <c r="L52" s="79">
        <f>'[1]2024_60-69 ΕΞΟΔΑ+ΟΜ 2'!F39</f>
        <v>488.2</v>
      </c>
      <c r="M52" s="15">
        <f ca="1">L52/$L$84</f>
        <v>8.9920338905005295E-2</v>
      </c>
      <c r="N52" s="10">
        <f>L52+'[1]2025 Φεβρουάριος'!N85</f>
        <v>488.2</v>
      </c>
      <c r="O52" s="15">
        <f ca="1">N52/$N$84</f>
        <v>2.0653578733836633E-2</v>
      </c>
      <c r="P52" s="27"/>
      <c r="Q52" s="28" t="e">
        <f ca="1">SUM(D52:P52)</f>
        <v>#DIV/0!</v>
      </c>
    </row>
    <row r="53" spans="1:17" ht="37.5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2'!F42</f>
        <v>367.2</v>
      </c>
      <c r="E53" s="15">
        <f ca="1">D53/$D$84</f>
        <v>5.0858866645059952E-2</v>
      </c>
      <c r="F53" s="79">
        <f>'[1]2025 Φεβρουάριος'!F86+'[1]2025 Μάρτιος'!D86</f>
        <v>1055.27</v>
      </c>
      <c r="G53" s="15" t="e">
        <f>F53/$F$84</f>
        <v>#VALUE!</v>
      </c>
      <c r="H53" s="14"/>
      <c r="I53" s="26" t="e">
        <f ca="1">H53/$H$84</f>
        <v>#DIV/0!</v>
      </c>
      <c r="J53" s="27"/>
      <c r="K53" s="27" t="e">
        <f ca="1">J53/$J$84</f>
        <v>#DIV/0!</v>
      </c>
      <c r="L53" s="79">
        <f>'[1]2024_60-69 ΕΞΟΔΑ+ΟΜ 2'!F40</f>
        <v>0</v>
      </c>
      <c r="M53" s="15">
        <f ca="1">L53/$L$84</f>
        <v>0</v>
      </c>
      <c r="N53" s="10">
        <f>L53+'[1]2025 Φεβρουάριος'!N86</f>
        <v>300.82</v>
      </c>
      <c r="O53" s="15">
        <f ca="1">N53/$N$84</f>
        <v>1.2726361234561114E-2</v>
      </c>
      <c r="P53" s="27"/>
      <c r="Q53" s="28" t="e">
        <f ca="1">SUM(D53:P53)</f>
        <v>#DIV/0!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2'!F10</f>
        <v>9157.5199999999986</v>
      </c>
      <c r="E54" s="15">
        <f t="shared" si="9"/>
        <v>0.19742805470784303</v>
      </c>
      <c r="F54" s="10">
        <f>'[1]2025 Φεβρουάριος'!F50+'[1]2025 Μάρτιος'!D50</f>
        <v>1500.27</v>
      </c>
      <c r="G54" s="15">
        <f t="shared" si="10"/>
        <v>5.2883556209157015E-3</v>
      </c>
      <c r="H54" s="14"/>
      <c r="I54" s="16" t="e">
        <f t="shared" si="11"/>
        <v>#DIV/0!</v>
      </c>
      <c r="J54" s="10">
        <f t="shared" si="12"/>
        <v>0</v>
      </c>
      <c r="K54" s="17">
        <f t="shared" si="13"/>
        <v>0</v>
      </c>
      <c r="L54" s="14">
        <f>'[1]2024_60-69 ΕΞΟΔΑ+ΟΜ 2'!F10</f>
        <v>9312.57</v>
      </c>
      <c r="M54" s="15">
        <f t="shared" si="14"/>
        <v>0.17969164855452785</v>
      </c>
      <c r="N54" s="10">
        <f>L54+'[1]2025 Φεβρουάριος'!N50</f>
        <v>10727.939999999999</v>
      </c>
      <c r="O54" s="15">
        <f t="shared" si="15"/>
        <v>4.8575489100360865E-2</v>
      </c>
      <c r="P54" s="10"/>
      <c r="Q54" s="15">
        <f t="shared" si="16"/>
        <v>7.1506728788818004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2'!F11</f>
        <v>0</v>
      </c>
      <c r="E55" s="15">
        <f t="shared" si="9"/>
        <v>0</v>
      </c>
      <c r="F55" s="10">
        <f>'[1]2025 Φεβρουάριος'!F51+'[1]2025 Μάρτιος'!D51</f>
        <v>27434.759999999995</v>
      </c>
      <c r="G55" s="15">
        <f t="shared" si="10"/>
        <v>9.6705771130845261E-2</v>
      </c>
      <c r="H55" s="14"/>
      <c r="I55" s="16" t="e">
        <f t="shared" si="11"/>
        <v>#DIV/0!</v>
      </c>
      <c r="J55" s="10">
        <f t="shared" si="12"/>
        <v>0</v>
      </c>
      <c r="K55" s="17">
        <f t="shared" si="13"/>
        <v>0</v>
      </c>
      <c r="L55" s="14">
        <f>'[1]2024_60-69 ΕΞΟΔΑ+ΟΜ 2'!F11</f>
        <v>0</v>
      </c>
      <c r="M55" s="15">
        <f t="shared" si="14"/>
        <v>0</v>
      </c>
      <c r="N55" s="10">
        <f>L55+'[1]2025 Φεβρουάριος'!N51</f>
        <v>18621.14</v>
      </c>
      <c r="O55" s="15">
        <f t="shared" si="15"/>
        <v>8.4315440159647967E-2</v>
      </c>
      <c r="P55" s="10"/>
      <c r="Q55" s="15">
        <f t="shared" si="16"/>
        <v>0.67874258787027852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2'!F12</f>
        <v>321.41000000000003</v>
      </c>
      <c r="E56" s="15">
        <f t="shared" si="9"/>
        <v>6.9293161318400446E-3</v>
      </c>
      <c r="F56" s="10">
        <f>'[1]2025 Φεβρουάριος'!F52+'[1]2025 Μάρτιος'!D52</f>
        <v>0</v>
      </c>
      <c r="G56" s="15">
        <f t="shared" si="10"/>
        <v>0</v>
      </c>
      <c r="H56" s="14"/>
      <c r="I56" s="16" t="e">
        <f t="shared" si="11"/>
        <v>#DIV/0!</v>
      </c>
      <c r="J56" s="10">
        <f t="shared" si="12"/>
        <v>0</v>
      </c>
      <c r="K56" s="17">
        <f t="shared" si="13"/>
        <v>0</v>
      </c>
      <c r="L56" s="14">
        <f>'[1]2024_60-69 ΕΞΟΔΑ+ΟΜ 2'!F12</f>
        <v>327.67</v>
      </c>
      <c r="M56" s="15">
        <f t="shared" si="14"/>
        <v>6.3225900564357791E-3</v>
      </c>
      <c r="N56" s="10">
        <f>L56+'[1]2025 Φεβρουάριος'!N52</f>
        <v>327.67</v>
      </c>
      <c r="O56" s="15">
        <f t="shared" si="15"/>
        <v>1.4836707246232966E-3</v>
      </c>
      <c r="P56" s="10"/>
      <c r="Q56" s="15" t="e">
        <f t="shared" si="16"/>
        <v>#DIV/0!</v>
      </c>
    </row>
    <row r="57" spans="1:17" ht="15" customHeight="1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2'!F13</f>
        <v>970.42000000000007</v>
      </c>
      <c r="E57" s="15">
        <f t="shared" si="9"/>
        <v>2.0921399336237878E-2</v>
      </c>
      <c r="F57" s="10">
        <f>'[1]2025 Φεβρουάριος'!F53+'[1]2025 Μάρτιος'!D53</f>
        <v>964.23</v>
      </c>
      <c r="G57" s="15">
        <f t="shared" si="10"/>
        <v>3.3988489674228952E-3</v>
      </c>
      <c r="H57" s="14"/>
      <c r="I57" s="16" t="e">
        <f t="shared" si="11"/>
        <v>#DIV/0!</v>
      </c>
      <c r="J57" s="10">
        <f t="shared" si="12"/>
        <v>0</v>
      </c>
      <c r="K57" s="17">
        <f t="shared" si="13"/>
        <v>0</v>
      </c>
      <c r="L57" s="14">
        <f>'[1]2024_60-69 ΕΞΟΔΑ+ΟΜ 2'!F13</f>
        <v>951.13</v>
      </c>
      <c r="M57" s="15">
        <f t="shared" si="14"/>
        <v>1.8352626363041361E-2</v>
      </c>
      <c r="N57" s="10">
        <f>L57+'[1]2025 Φεβρουάριος'!N53</f>
        <v>1613.8899999999999</v>
      </c>
      <c r="O57" s="15">
        <f t="shared" si="15"/>
        <v>7.3076001640745005E-3</v>
      </c>
      <c r="P57" s="10"/>
      <c r="Q57" s="15">
        <f t="shared" si="16"/>
        <v>1.6737604098607177</v>
      </c>
    </row>
    <row r="58" spans="1:17" ht="15" customHeight="1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2'!F14</f>
        <v>1191.53</v>
      </c>
      <c r="E58" s="15">
        <f t="shared" si="9"/>
        <v>2.5688335927853419E-2</v>
      </c>
      <c r="F58" s="10">
        <f>'[1]2025 Φεβρουάριος'!F54+'[1]2025 Μάρτιος'!D54</f>
        <v>1725.06</v>
      </c>
      <c r="G58" s="15">
        <f t="shared" si="10"/>
        <v>6.0807259676037241E-3</v>
      </c>
      <c r="H58" s="14"/>
      <c r="I58" s="16" t="e">
        <f t="shared" si="11"/>
        <v>#DIV/0!</v>
      </c>
      <c r="J58" s="10">
        <f t="shared" si="12"/>
        <v>0</v>
      </c>
      <c r="K58" s="17">
        <f t="shared" si="13"/>
        <v>0</v>
      </c>
      <c r="L58" s="14">
        <f>'[1]2024_60-69 ΕΞΟΔΑ+ΟΜ 2'!F14</f>
        <v>462.96999999999991</v>
      </c>
      <c r="M58" s="15">
        <f t="shared" si="14"/>
        <v>8.9332850685997257E-3</v>
      </c>
      <c r="N58" s="10">
        <f>L58+'[1]2025 Φεβρουάριος'!N54</f>
        <v>1480.7199999999998</v>
      </c>
      <c r="O58" s="15">
        <f t="shared" si="15"/>
        <v>6.7046141403369463E-3</v>
      </c>
      <c r="P58" s="10"/>
      <c r="Q58" s="15">
        <f t="shared" si="16"/>
        <v>0.85835854984754145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2'!F15</f>
        <v>656.05000000000007</v>
      </c>
      <c r="E59" s="15">
        <f t="shared" si="9"/>
        <v>1.4143859395456461E-2</v>
      </c>
      <c r="F59" s="10">
        <f>'[1]2025 Φεβρουάριος'!F55+'[1]2025 Μάρτιος'!D55</f>
        <v>2145.25</v>
      </c>
      <c r="G59" s="15">
        <f t="shared" si="10"/>
        <v>7.5618687941299955E-3</v>
      </c>
      <c r="H59" s="14"/>
      <c r="I59" s="16" t="e">
        <f t="shared" si="11"/>
        <v>#DIV/0!</v>
      </c>
      <c r="J59" s="10"/>
      <c r="K59" s="17"/>
      <c r="L59" s="14">
        <f>'[1]2024_60-69 ΕΞΟΔΑ+ΟΜ 2'!F15</f>
        <v>0</v>
      </c>
      <c r="M59" s="15"/>
      <c r="N59" s="10">
        <f>L59+'[1]2025 Φεβρουάριος'!N55</f>
        <v>1405.78</v>
      </c>
      <c r="O59" s="15">
        <f t="shared" si="15"/>
        <v>6.3652901738362917E-3</v>
      </c>
      <c r="P59" s="10"/>
      <c r="Q59" s="15"/>
    </row>
    <row r="60" spans="1:17" ht="15" customHeight="1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2'!F16</f>
        <v>348.42</v>
      </c>
      <c r="E60" s="15">
        <f t="shared" si="9"/>
        <v>7.5116279103192444E-3</v>
      </c>
      <c r="F60" s="10">
        <f>'[1]2025 Φεβρουάριος'!F56+'[1]2025 Μάρτιος'!D56</f>
        <v>722.69</v>
      </c>
      <c r="G60" s="15">
        <f t="shared" si="10"/>
        <v>2.5474359439831284E-3</v>
      </c>
      <c r="H60" s="14"/>
      <c r="I60" s="16" t="e">
        <f t="shared" si="11"/>
        <v>#DIV/0!</v>
      </c>
      <c r="J60" s="10">
        <f t="shared" si="12"/>
        <v>0</v>
      </c>
      <c r="K60" s="17">
        <f t="shared" si="13"/>
        <v>0</v>
      </c>
      <c r="L60" s="14">
        <f>'[1]2024_60-69 ΕΞΟΔΑ+ΟΜ 2'!F16</f>
        <v>359.67</v>
      </c>
      <c r="M60" s="15">
        <f t="shared" si="14"/>
        <v>6.9400493349963581E-3</v>
      </c>
      <c r="N60" s="10">
        <f>L60+'[1]2025 Φεβρουάριος'!N56</f>
        <v>359.67</v>
      </c>
      <c r="O60" s="15">
        <f t="shared" si="15"/>
        <v>1.6285648656430588E-3</v>
      </c>
      <c r="P60" s="10"/>
      <c r="Q60" s="15">
        <f t="shared" si="16"/>
        <v>0.49768227040639829</v>
      </c>
    </row>
    <row r="61" spans="1:17" ht="42.75" customHeight="1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2'!F17</f>
        <v>8.93</v>
      </c>
      <c r="E61" s="15">
        <f t="shared" si="9"/>
        <v>1.9252292416953919E-4</v>
      </c>
      <c r="F61" s="10">
        <f>'[1]2025 Φεβρουάριος'!F57+'[1]2025 Μάρτιος'!D57</f>
        <v>897.06999999999994</v>
      </c>
      <c r="G61" s="15">
        <f t="shared" si="10"/>
        <v>3.1621142706678451E-3</v>
      </c>
      <c r="H61" s="14"/>
      <c r="I61" s="16" t="e">
        <f t="shared" si="11"/>
        <v>#DIV/0!</v>
      </c>
      <c r="J61" s="10">
        <f t="shared" si="12"/>
        <v>0</v>
      </c>
      <c r="K61" s="17">
        <f t="shared" si="13"/>
        <v>0</v>
      </c>
      <c r="L61" s="14">
        <f>'[1]2024_60-69 ΕΞΟΔΑ+ΟΜ 2'!F17</f>
        <v>6.36</v>
      </c>
      <c r="M61" s="15">
        <f t="shared" si="14"/>
        <v>1.2272003161391509E-4</v>
      </c>
      <c r="N61" s="10">
        <f>L61+'[1]2025 Φεβρουάριος'!N57</f>
        <v>490.95000000000005</v>
      </c>
      <c r="O61" s="15">
        <f t="shared" si="15"/>
        <v>2.2229930791766335E-3</v>
      </c>
      <c r="P61" s="10"/>
      <c r="Q61" s="15">
        <f t="shared" si="16"/>
        <v>0.54728170599841719</v>
      </c>
    </row>
    <row r="62" spans="1:17" ht="42.75" customHeight="1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2'!F18</f>
        <v>0</v>
      </c>
      <c r="E62" s="15">
        <f t="shared" si="9"/>
        <v>0</v>
      </c>
      <c r="F62" s="10">
        <f>'[1]2025 Φεβρουάριος'!F58+'[1]2025 Μάρτιος'!D58</f>
        <v>84.57</v>
      </c>
      <c r="G62" s="15">
        <f t="shared" si="10"/>
        <v>2.9810383121760806E-4</v>
      </c>
      <c r="H62" s="14"/>
      <c r="I62" s="16" t="e">
        <f t="shared" si="11"/>
        <v>#DIV/0!</v>
      </c>
      <c r="J62" s="10">
        <f t="shared" si="12"/>
        <v>0</v>
      </c>
      <c r="K62" s="17">
        <f t="shared" si="13"/>
        <v>0</v>
      </c>
      <c r="L62" s="14">
        <f>'[1]2024_60-69 ΕΞΟΔΑ+ΟΜ 2'!F18</f>
        <v>0</v>
      </c>
      <c r="M62" s="15">
        <f t="shared" si="14"/>
        <v>0</v>
      </c>
      <c r="N62" s="10">
        <f>L62+'[1]2025 Φεβρουάριος'!N58</f>
        <v>-26.949999999999971</v>
      </c>
      <c r="O62" s="15">
        <f t="shared" si="15"/>
        <v>-1.2202803439008086E-4</v>
      </c>
      <c r="P62" s="10"/>
      <c r="Q62" s="15">
        <f t="shared" si="16"/>
        <v>-0.31867092349532899</v>
      </c>
    </row>
    <row r="63" spans="1:17" ht="15" customHeight="1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2'!F19</f>
        <v>126.37</v>
      </c>
      <c r="E63" s="15">
        <f t="shared" si="9"/>
        <v>2.7244257477384848E-3</v>
      </c>
      <c r="F63" s="10">
        <f>'[1]2025 Φεβρουάριος'!F59+'[1]2025 Μάρτιος'!D59</f>
        <v>3780.7</v>
      </c>
      <c r="G63" s="15">
        <f t="shared" si="10"/>
        <v>1.3326725253451705E-2</v>
      </c>
      <c r="H63" s="14"/>
      <c r="I63" s="16" t="e">
        <f t="shared" si="11"/>
        <v>#DIV/0!</v>
      </c>
      <c r="J63" s="10">
        <f t="shared" si="12"/>
        <v>0</v>
      </c>
      <c r="K63" s="17">
        <f t="shared" si="13"/>
        <v>0</v>
      </c>
      <c r="L63" s="14">
        <f>'[1]2024_60-69 ΕΞΟΔΑ+ΟΜ 2'!F19</f>
        <v>249.66000000000008</v>
      </c>
      <c r="M63" s="15">
        <f t="shared" si="14"/>
        <v>4.8173401089198192E-3</v>
      </c>
      <c r="N63" s="10">
        <f>L63+'[1]2025 Φεβρουάριος'!N59</f>
        <v>1017.9700000000003</v>
      </c>
      <c r="O63" s="15">
        <f t="shared" si="15"/>
        <v>4.6093090229339809E-3</v>
      </c>
      <c r="P63" s="10"/>
      <c r="Q63" s="15">
        <f t="shared" si="16"/>
        <v>0.26925437088369886</v>
      </c>
    </row>
    <row r="64" spans="1:17" ht="42.75" customHeight="1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2'!F20</f>
        <v>0</v>
      </c>
      <c r="E64" s="15">
        <f t="shared" si="9"/>
        <v>0</v>
      </c>
      <c r="F64" s="10">
        <f>'[1]2025 Φεβρουάριος'!F60+'[1]2025 Μάρτιος'!D60</f>
        <v>229.05</v>
      </c>
      <c r="G64" s="15">
        <f t="shared" si="10"/>
        <v>8.0738657373055612E-4</v>
      </c>
      <c r="H64" s="14"/>
      <c r="I64" s="16" t="e">
        <f t="shared" si="11"/>
        <v>#DIV/0!</v>
      </c>
      <c r="J64" s="10">
        <f t="shared" si="12"/>
        <v>0</v>
      </c>
      <c r="K64" s="17">
        <f t="shared" si="13"/>
        <v>0</v>
      </c>
      <c r="L64" s="14">
        <f>'[1]2024_60-69 ΕΞΟΔΑ+ΟΜ 2'!F20</f>
        <v>0</v>
      </c>
      <c r="M64" s="15">
        <f t="shared" si="14"/>
        <v>0</v>
      </c>
      <c r="N64" s="10">
        <f>L64+'[1]2025 Φεβρουάριος'!N60</f>
        <v>4.8399999999999181</v>
      </c>
      <c r="O64" s="15">
        <f t="shared" si="15"/>
        <v>2.1915238829238666E-5</v>
      </c>
      <c r="P64" s="10"/>
      <c r="Q64" s="15">
        <f t="shared" si="16"/>
        <v>2.113075747653315E-2</v>
      </c>
    </row>
    <row r="65" spans="1:17" ht="28.5" customHeight="1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2'!D184</f>
        <v>0</v>
      </c>
      <c r="E65" s="15">
        <f t="shared" si="9"/>
        <v>0</v>
      </c>
      <c r="F65" s="10">
        <f>'[1]2025 Φεβρουάριος'!F61+'[1]2025 Μάρτιος'!D61</f>
        <v>0</v>
      </c>
      <c r="G65" s="15">
        <f t="shared" si="10"/>
        <v>0</v>
      </c>
      <c r="H65" s="14"/>
      <c r="I65" s="16" t="e">
        <f t="shared" si="11"/>
        <v>#DIV/0!</v>
      </c>
      <c r="J65" s="10">
        <f t="shared" si="12"/>
        <v>0</v>
      </c>
      <c r="K65" s="17">
        <f t="shared" si="13"/>
        <v>0</v>
      </c>
      <c r="L65" s="14">
        <f>'[1]2024_60-69 ΕΞΟΔΑ+ΟΜ 2'!F21</f>
        <v>0</v>
      </c>
      <c r="M65" s="15">
        <f t="shared" si="14"/>
        <v>0</v>
      </c>
      <c r="N65" s="10">
        <f>L65+'[1]2025 Φεβρουάριος'!N61</f>
        <v>0</v>
      </c>
      <c r="O65" s="15">
        <f t="shared" si="15"/>
        <v>0</v>
      </c>
      <c r="P65" s="10"/>
      <c r="Q65" s="15" t="e">
        <f t="shared" si="16"/>
        <v>#DIV/0!</v>
      </c>
    </row>
    <row r="66" spans="1:17" ht="15" customHeight="1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2'!F22</f>
        <v>0</v>
      </c>
      <c r="E66" s="15">
        <f t="shared" si="9"/>
        <v>0</v>
      </c>
      <c r="F66" s="10">
        <f>'[1]2025 Φεβρουάριος'!F62+'[1]2025 Μάρτιος'!D62</f>
        <v>0</v>
      </c>
      <c r="G66" s="15">
        <f t="shared" si="10"/>
        <v>0</v>
      </c>
      <c r="H66" s="14"/>
      <c r="I66" s="16" t="e">
        <f t="shared" si="11"/>
        <v>#DIV/0!</v>
      </c>
      <c r="J66" s="10">
        <f t="shared" si="12"/>
        <v>0</v>
      </c>
      <c r="K66" s="17">
        <f t="shared" si="13"/>
        <v>0</v>
      </c>
      <c r="L66" s="14">
        <f>'[1]2024_60-69 ΕΞΟΔΑ+ΟΜ 2'!F22</f>
        <v>0</v>
      </c>
      <c r="M66" s="15">
        <f t="shared" si="14"/>
        <v>0</v>
      </c>
      <c r="N66" s="10">
        <f>L66+'[1]2025 Φεβρουάριος'!N62</f>
        <v>17.98</v>
      </c>
      <c r="O66" s="15">
        <f t="shared" si="15"/>
        <v>8.1412395485478905E-5</v>
      </c>
      <c r="P66" s="10"/>
      <c r="Q66" s="15" t="e">
        <f t="shared" si="16"/>
        <v>#DIV/0!</v>
      </c>
    </row>
    <row r="67" spans="1:17" ht="22.5" customHeight="1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2'!F23</f>
        <v>45.56</v>
      </c>
      <c r="E67" s="15">
        <f t="shared" si="9"/>
        <v>9.822334182714677E-4</v>
      </c>
      <c r="F67" s="10">
        <f>'[1]2025 Φεβρουάριος'!F63+'[1]2025 Μάρτιος'!D63</f>
        <v>0</v>
      </c>
      <c r="G67" s="15">
        <f t="shared" si="10"/>
        <v>0</v>
      </c>
      <c r="H67" s="14"/>
      <c r="I67" s="16" t="e">
        <f t="shared" si="11"/>
        <v>#DIV/0!</v>
      </c>
      <c r="J67" s="10">
        <f t="shared" si="12"/>
        <v>0</v>
      </c>
      <c r="K67" s="17">
        <f t="shared" si="13"/>
        <v>0</v>
      </c>
      <c r="L67" s="14">
        <f>'[1]2024_60-69 ΕΞΟΔΑ+ΟΜ 2'!F23</f>
        <v>0</v>
      </c>
      <c r="M67" s="15">
        <f t="shared" si="14"/>
        <v>0</v>
      </c>
      <c r="N67" s="10">
        <f>L67+'[1]2025 Φεβρουάριος'!N63</f>
        <v>61.85</v>
      </c>
      <c r="O67" s="15">
        <f t="shared" si="15"/>
        <v>2.8005320693975916E-4</v>
      </c>
      <c r="P67" s="10"/>
      <c r="Q67" s="15" t="e">
        <f t="shared" si="16"/>
        <v>#DIV/0!</v>
      </c>
    </row>
    <row r="68" spans="1:17" ht="36" customHeight="1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2'!F24</f>
        <v>5452.54</v>
      </c>
      <c r="E68" s="15">
        <f t="shared" si="9"/>
        <v>0.11755195352199095</v>
      </c>
      <c r="F68" s="10">
        <f>'[1]2025 Φεβρουάριος'!F64+'[1]2025 Μάρτιος'!D64</f>
        <v>138.18</v>
      </c>
      <c r="G68" s="15">
        <f t="shared" si="10"/>
        <v>4.870756461824416E-4</v>
      </c>
      <c r="H68" s="14"/>
      <c r="I68" s="16" t="e">
        <f t="shared" si="11"/>
        <v>#DIV/0!</v>
      </c>
      <c r="J68" s="10">
        <f t="shared" si="12"/>
        <v>0</v>
      </c>
      <c r="K68" s="17">
        <f t="shared" si="13"/>
        <v>0</v>
      </c>
      <c r="L68" s="14">
        <f>'[1]2024_60-69 ΕΞΟΔΑ+ΟΜ 2'!F24</f>
        <v>4924.2700000000004</v>
      </c>
      <c r="M68" s="15">
        <f t="shared" si="14"/>
        <v>9.5016756301171956E-2</v>
      </c>
      <c r="N68" s="10">
        <f>L68+'[1]2025 Φεβρουάριος'!N64</f>
        <v>5386.75</v>
      </c>
      <c r="O68" s="15">
        <f t="shared" si="15"/>
        <v>2.4390891066818878E-2</v>
      </c>
      <c r="P68" s="10"/>
      <c r="Q68" s="15">
        <f t="shared" si="16"/>
        <v>38.983572152265161</v>
      </c>
    </row>
    <row r="69" spans="1:17" ht="36" customHeight="1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2'!F25</f>
        <v>768.5</v>
      </c>
      <c r="E69" s="15">
        <f t="shared" si="9"/>
        <v>1.6568182219965383E-2</v>
      </c>
      <c r="F69" s="10">
        <f>'[1]2025 Φεβρουάριος'!F65+'[1]2025 Μάρτιος'!D65</f>
        <v>25288.31</v>
      </c>
      <c r="G69" s="15">
        <f t="shared" si="10"/>
        <v>8.9139672413604709E-2</v>
      </c>
      <c r="H69" s="14"/>
      <c r="I69" s="16" t="e">
        <f t="shared" si="11"/>
        <v>#DIV/0!</v>
      </c>
      <c r="J69" s="10">
        <f t="shared" si="12"/>
        <v>0</v>
      </c>
      <c r="K69" s="17">
        <f t="shared" si="13"/>
        <v>0</v>
      </c>
      <c r="L69" s="14">
        <f>'[1]2024_60-69 ΕΞΟΔΑ+ΟΜ 2'!F25</f>
        <v>0</v>
      </c>
      <c r="M69" s="15">
        <f t="shared" si="14"/>
        <v>0</v>
      </c>
      <c r="N69" s="10">
        <f>L69+'[1]2025 Φεβρουάριος'!N65</f>
        <v>8958.119999999999</v>
      </c>
      <c r="O69" s="15">
        <f t="shared" si="15"/>
        <v>4.0561846954748508E-2</v>
      </c>
      <c r="P69" s="10"/>
      <c r="Q69" s="15">
        <f t="shared" si="16"/>
        <v>0.35423956761048875</v>
      </c>
    </row>
    <row r="70" spans="1:17" ht="36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2'!F26</f>
        <v>0</v>
      </c>
      <c r="E70" s="15">
        <f t="shared" si="9"/>
        <v>0</v>
      </c>
      <c r="F70" s="10">
        <f>'[1]2025 Φεβρουάριος'!F66+'[1]2025 Μάρτιος'!D66</f>
        <v>768.5</v>
      </c>
      <c r="G70" s="15">
        <f t="shared" si="10"/>
        <v>2.7089132587292397E-3</v>
      </c>
      <c r="H70" s="14"/>
      <c r="I70" s="16" t="e">
        <f t="shared" si="11"/>
        <v>#DIV/0!</v>
      </c>
      <c r="J70" s="10">
        <f t="shared" si="12"/>
        <v>0</v>
      </c>
      <c r="K70" s="17">
        <f t="shared" si="13"/>
        <v>0</v>
      </c>
      <c r="L70" s="14">
        <f>'[1]2024_60-69 ΕΞΟΔΑ+ΟΜ 2'!F26</f>
        <v>0</v>
      </c>
      <c r="M70" s="15">
        <f t="shared" si="14"/>
        <v>0</v>
      </c>
      <c r="N70" s="10">
        <f>L70+'[1]2025 Φεβρουάριος'!N66</f>
        <v>0</v>
      </c>
      <c r="O70" s="15">
        <f t="shared" si="15"/>
        <v>0</v>
      </c>
      <c r="P70" s="10"/>
      <c r="Q70" s="15">
        <f t="shared" si="16"/>
        <v>0</v>
      </c>
    </row>
    <row r="71" spans="1:17" ht="15.75" customHeight="1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2'!F27</f>
        <v>0</v>
      </c>
      <c r="E71" s="15">
        <f t="shared" si="9"/>
        <v>0</v>
      </c>
      <c r="F71" s="10">
        <f>'[1]2025 Φεβρουάριος'!F67+'[1]2025 Μάρτιος'!D67</f>
        <v>0</v>
      </c>
      <c r="G71" s="15">
        <f t="shared" si="10"/>
        <v>0</v>
      </c>
      <c r="H71" s="14"/>
      <c r="I71" s="16" t="e">
        <f t="shared" si="11"/>
        <v>#DIV/0!</v>
      </c>
      <c r="J71" s="10">
        <f t="shared" si="12"/>
        <v>0</v>
      </c>
      <c r="K71" s="17">
        <f t="shared" si="13"/>
        <v>0</v>
      </c>
      <c r="L71" s="14">
        <f>'[1]2024_60-69 ΕΞΟΔΑ+ΟΜ 2'!F27</f>
        <v>0</v>
      </c>
      <c r="M71" s="15">
        <f t="shared" si="14"/>
        <v>0</v>
      </c>
      <c r="N71" s="10">
        <f>L71+'[1]2025 Φεβρουάριος'!N67</f>
        <v>0</v>
      </c>
      <c r="O71" s="15">
        <f t="shared" si="15"/>
        <v>0</v>
      </c>
      <c r="P71" s="10"/>
      <c r="Q71" s="15" t="e">
        <f t="shared" si="16"/>
        <v>#DIV/0!</v>
      </c>
    </row>
    <row r="72" spans="1:17" ht="27.7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2'!F28</f>
        <v>982.57</v>
      </c>
      <c r="E72" s="15">
        <f t="shared" si="9"/>
        <v>2.1183342620522301E-2</v>
      </c>
      <c r="F72" s="10">
        <f>'[1]2025 Φεβρουάριος'!F68+'[1]2025 Μάρτιος'!D68</f>
        <v>0</v>
      </c>
      <c r="G72" s="15">
        <f t="shared" si="10"/>
        <v>0</v>
      </c>
      <c r="H72" s="14"/>
      <c r="I72" s="16" t="e">
        <f t="shared" si="11"/>
        <v>#DIV/0!</v>
      </c>
      <c r="J72" s="10">
        <f t="shared" si="12"/>
        <v>0</v>
      </c>
      <c r="K72" s="17">
        <f t="shared" si="13"/>
        <v>0</v>
      </c>
      <c r="L72" s="14">
        <f>'[1]2024_60-69 ΕΞΟΔΑ+ΟΜ 2'!F28</f>
        <v>1023.77</v>
      </c>
      <c r="M72" s="15">
        <f t="shared" si="14"/>
        <v>1.9754258925373875E-2</v>
      </c>
      <c r="N72" s="10">
        <f>L72+'[1]2025 Φεβρουάριος'!N68</f>
        <v>1023.77</v>
      </c>
      <c r="O72" s="15">
        <f t="shared" si="15"/>
        <v>4.6355710859938117E-3</v>
      </c>
      <c r="P72" s="10"/>
      <c r="Q72" s="15" t="e">
        <f t="shared" si="16"/>
        <v>#DIV/0!</v>
      </c>
    </row>
    <row r="73" spans="1:17" ht="78.75" customHeight="1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2'!F29</f>
        <v>0</v>
      </c>
      <c r="E73" s="15">
        <f t="shared" si="9"/>
        <v>0</v>
      </c>
      <c r="F73" s="10">
        <f>'[1]2025 Φεβρουάριος'!F69+'[1]2025 Μάρτιος'!D69</f>
        <v>2243.94</v>
      </c>
      <c r="G73" s="15">
        <f t="shared" si="10"/>
        <v>7.9097447206153415E-3</v>
      </c>
      <c r="H73" s="14"/>
      <c r="I73" s="16" t="e">
        <f t="shared" si="11"/>
        <v>#DIV/0!</v>
      </c>
      <c r="J73" s="10">
        <f t="shared" si="12"/>
        <v>0</v>
      </c>
      <c r="K73" s="17">
        <f t="shared" si="13"/>
        <v>0</v>
      </c>
      <c r="L73" s="14">
        <f>'[1]2024_60-69 ΕΞΟΔΑ+ΟΜ 2'!F29</f>
        <v>1892.42</v>
      </c>
      <c r="M73" s="15">
        <f t="shared" si="14"/>
        <v>3.6515383997925345E-2</v>
      </c>
      <c r="N73" s="10">
        <f>L73+'[1]2025 Φεβρουάριος'!N69</f>
        <v>3049.76</v>
      </c>
      <c r="O73" s="15">
        <f t="shared" si="15"/>
        <v>1.380913610988844E-2</v>
      </c>
      <c r="P73" s="10"/>
      <c r="Q73" s="15">
        <f t="shared" si="16"/>
        <v>1.3591094236031267</v>
      </c>
    </row>
    <row r="74" spans="1:17" ht="30" customHeight="1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v>0</v>
      </c>
      <c r="E74" s="15">
        <f t="shared" si="9"/>
        <v>0</v>
      </c>
      <c r="F74" s="10">
        <f>'[1]2025 Φεβρουάριος'!F70+'[1]2025 Μάρτιος'!D70</f>
        <v>0</v>
      </c>
      <c r="G74" s="15">
        <f t="shared" si="10"/>
        <v>0</v>
      </c>
      <c r="H74" s="14"/>
      <c r="I74" s="16" t="e">
        <f t="shared" si="11"/>
        <v>#DIV/0!</v>
      </c>
      <c r="J74" s="10">
        <f t="shared" si="12"/>
        <v>0</v>
      </c>
      <c r="K74" s="17">
        <f t="shared" si="13"/>
        <v>0</v>
      </c>
      <c r="L74" s="14">
        <f>'[1]2024_60-69 ΕΞΟΔΑ+ΟΜ 2'!F30</f>
        <v>135.74</v>
      </c>
      <c r="M74" s="15">
        <f t="shared" si="14"/>
        <v>2.6191850772441564E-3</v>
      </c>
      <c r="N74" s="10">
        <f>L74+'[1]2025 Φεβρουάριος'!N70</f>
        <v>1877.8700000000001</v>
      </c>
      <c r="O74" s="15">
        <f t="shared" si="15"/>
        <v>8.5028862686494025E-3</v>
      </c>
      <c r="P74" s="10"/>
      <c r="Q74" s="15" t="e">
        <f t="shared" si="16"/>
        <v>#DIV/0!</v>
      </c>
    </row>
    <row r="75" spans="1:17" ht="33.75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2'!F31</f>
        <v>7839.9766666666674</v>
      </c>
      <c r="E75" s="15">
        <f t="shared" si="9"/>
        <v>0.16902298245102168</v>
      </c>
      <c r="F75" s="10">
        <f>'[1]2025 Φεβρουάριος'!F71+'[1]2025 Μάρτιος'!D71</f>
        <v>0</v>
      </c>
      <c r="G75" s="15">
        <f t="shared" si="10"/>
        <v>0</v>
      </c>
      <c r="H75" s="14"/>
      <c r="I75" s="16" t="e">
        <f t="shared" si="11"/>
        <v>#DIV/0!</v>
      </c>
      <c r="J75" s="10">
        <f t="shared" si="12"/>
        <v>0</v>
      </c>
      <c r="K75" s="17">
        <f t="shared" si="13"/>
        <v>0</v>
      </c>
      <c r="L75" s="14">
        <f>'[1]2024_60-69 ΕΞΟΔΑ+ΟΜ 2'!F31</f>
        <v>7839.98</v>
      </c>
      <c r="M75" s="15">
        <f t="shared" si="14"/>
        <v>0.15127713733529274</v>
      </c>
      <c r="N75" s="10">
        <f>L75+'[1]2025 Φεβρουάριος'!N71</f>
        <v>7985.0999999999995</v>
      </c>
      <c r="O75" s="15">
        <f t="shared" si="15"/>
        <v>3.6156068920528223E-2</v>
      </c>
      <c r="P75" s="10"/>
      <c r="Q75" s="15" t="e">
        <f t="shared" si="16"/>
        <v>#DIV/0!</v>
      </c>
    </row>
    <row r="76" spans="1:17" ht="28.5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2'!F32</f>
        <v>1172.5899999999999</v>
      </c>
      <c r="E76" s="15">
        <f t="shared" si="9"/>
        <v>2.5280006232022392E-2</v>
      </c>
      <c r="F76" s="10">
        <f>'[1]2025 Φεβρουάριος'!F72+'[1]2025 Μάρτιος'!D72</f>
        <v>23519.93</v>
      </c>
      <c r="G76" s="15">
        <f t="shared" si="10"/>
        <v>8.2906246221709307E-2</v>
      </c>
      <c r="H76" s="14"/>
      <c r="I76" s="16" t="e">
        <f t="shared" si="11"/>
        <v>#DIV/0!</v>
      </c>
      <c r="J76" s="10">
        <f t="shared" si="12"/>
        <v>0</v>
      </c>
      <c r="K76" s="17">
        <f t="shared" si="13"/>
        <v>0</v>
      </c>
      <c r="L76" s="14">
        <f>'[1]2024_60-69 ΕΞΟΔΑ+ΟΜ 2'!F32</f>
        <v>1274.8499999999999</v>
      </c>
      <c r="M76" s="15">
        <f t="shared" si="14"/>
        <v>2.4598998789779815E-2</v>
      </c>
      <c r="N76" s="10">
        <f>L76+'[1]2025 Φεβρουάριος'!N72</f>
        <v>16954.809999999998</v>
      </c>
      <c r="O76" s="15">
        <f t="shared" si="15"/>
        <v>7.6770394721977317E-2</v>
      </c>
      <c r="P76" s="10"/>
      <c r="Q76" s="15">
        <f t="shared" si="16"/>
        <v>0.72086991755502661</v>
      </c>
    </row>
    <row r="77" spans="1:17" ht="28.5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2'!F33</f>
        <v>0</v>
      </c>
      <c r="E77" s="15">
        <f t="shared" si="9"/>
        <v>0</v>
      </c>
      <c r="F77" s="10">
        <f>'[1]2025 Φεβρουάριος'!F73+'[1]2025 Μάρτιος'!D73</f>
        <v>2906.56</v>
      </c>
      <c r="G77" s="15">
        <f t="shared" si="10"/>
        <v>1.0245437763555054E-2</v>
      </c>
      <c r="H77" s="14"/>
      <c r="I77" s="16" t="e">
        <f t="shared" si="11"/>
        <v>#DIV/0!</v>
      </c>
      <c r="J77" s="10">
        <f t="shared" si="12"/>
        <v>0</v>
      </c>
      <c r="K77" s="17">
        <f t="shared" si="13"/>
        <v>0</v>
      </c>
      <c r="L77" s="14">
        <f>'[1]2024_60-69 ΕΞΟΔΑ+ΟΜ 2'!F33</f>
        <v>0</v>
      </c>
      <c r="M77" s="15">
        <f t="shared" si="14"/>
        <v>0</v>
      </c>
      <c r="N77" s="10">
        <f>L77+'[1]2025 Φεβρουάριος'!N73</f>
        <v>2275.23</v>
      </c>
      <c r="O77" s="15">
        <f t="shared" si="15"/>
        <v>1.0302109264762299E-2</v>
      </c>
      <c r="P77" s="10"/>
      <c r="Q77" s="15">
        <f t="shared" si="16"/>
        <v>0.78279134096664105</v>
      </c>
    </row>
    <row r="78" spans="1:17" ht="28.5" customHeight="1" x14ac:dyDescent="0.25">
      <c r="A78" s="60">
        <v>77</v>
      </c>
      <c r="B78" s="60"/>
      <c r="C78" s="75" t="s">
        <v>163</v>
      </c>
      <c r="D78" s="7">
        <f>'[1]2025_60-69 ΕΞΟΔΑ+ΟΜ 2'!F3</f>
        <v>42275.376666666671</v>
      </c>
      <c r="E78" s="21"/>
      <c r="F78" s="7">
        <f>'[1]2025_60-69 ΕΞΟΔΑ+ΟΜ 2'!S3</f>
        <v>124570.55</v>
      </c>
      <c r="G78" s="21"/>
      <c r="H78" s="7">
        <f>SUM(H44:H77)</f>
        <v>0</v>
      </c>
      <c r="I78" s="21"/>
      <c r="J78" s="7">
        <f>SUM(J44:J77)</f>
        <v>0</v>
      </c>
      <c r="K78" s="21"/>
      <c r="L78" s="7">
        <f>SUM(L44:L77)</f>
        <v>51825.279999999992</v>
      </c>
      <c r="M78" s="21"/>
      <c r="N78" s="7">
        <f>SUM(N44:N77)</f>
        <v>220850.89000000004</v>
      </c>
      <c r="O78" s="21"/>
      <c r="P78" s="7">
        <f>SUM(P44:P77)</f>
        <v>42329.890000000029</v>
      </c>
      <c r="Q78" s="21"/>
    </row>
    <row r="79" spans="1:17" ht="33" customHeight="1" x14ac:dyDescent="0.25">
      <c r="A79" s="60">
        <v>78</v>
      </c>
      <c r="B79" s="60"/>
      <c r="C79" s="22" t="s">
        <v>18</v>
      </c>
      <c r="D79" s="7">
        <f>D43-D78</f>
        <v>4108.7099999999919</v>
      </c>
      <c r="E79" s="21"/>
      <c r="F79" s="7">
        <f>F43-F78</f>
        <v>159122.54999999999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0</v>
      </c>
      <c r="M79" s="21"/>
      <c r="N79" s="7">
        <f>N43-N78</f>
        <v>0</v>
      </c>
      <c r="O79" s="21"/>
      <c r="P79" s="7">
        <f>P43-P78</f>
        <v>0</v>
      </c>
      <c r="Q79" s="21"/>
    </row>
    <row r="80" spans="1:17" ht="27" customHeight="1" x14ac:dyDescent="0.25">
      <c r="A80" s="76">
        <v>79</v>
      </c>
      <c r="B80" s="76"/>
      <c r="C80" s="13" t="s">
        <v>32</v>
      </c>
      <c r="D80" s="23">
        <f>D38-D78</f>
        <v>-42275.376666666671</v>
      </c>
      <c r="E80" s="24"/>
      <c r="F80" s="23" t="e">
        <f>F38-F78</f>
        <v>#VALUE!</v>
      </c>
      <c r="G80" s="24"/>
      <c r="H80" s="25">
        <f>H38-H78</f>
        <v>0</v>
      </c>
      <c r="I80" s="24">
        <f>I38-I43</f>
        <v>0</v>
      </c>
      <c r="J80" s="25">
        <f>J38-J78</f>
        <v>73355.291055670968</v>
      </c>
      <c r="K80" s="24"/>
      <c r="L80" s="77">
        <f>L38-L78</f>
        <v>-21645.751946902648</v>
      </c>
      <c r="M80" s="24"/>
      <c r="N80" s="23">
        <f>N38-N78</f>
        <v>-156341.7349557523</v>
      </c>
      <c r="O80" s="24"/>
      <c r="P80" s="23">
        <f>P38-P78</f>
        <v>-31574.36168141591</v>
      </c>
      <c r="Q80" s="24"/>
    </row>
    <row r="81" spans="1:17" ht="30.75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</row>
    <row r="82" spans="1:17" ht="24.75" customHeight="1" x14ac:dyDescent="0.25">
      <c r="A82" s="19">
        <v>81</v>
      </c>
      <c r="B82" s="19"/>
      <c r="C82" s="5" t="s">
        <v>3</v>
      </c>
      <c r="D82" s="180" t="str">
        <f>[1]ΑΝΤΙΣΤΟΙΧΙΣΗ!$F$108</f>
        <v xml:space="preserve">ΜΑΡΤΙΟΣ ΤΡΕΧΟΝ ΕΤΟΣ </v>
      </c>
      <c r="E82" s="180"/>
      <c r="F82" s="180"/>
      <c r="G82" s="61">
        <f>[1]ΑΝΤΙΣΤΟΙΧΙΣΗ!$D$34</f>
        <v>2025</v>
      </c>
      <c r="H82" s="180" t="str">
        <f>[1]ΑΝΤΙΣΤΟΙΧΙΣΗ!$F$108</f>
        <v xml:space="preserve">ΜΑΡΤΙΟΣ ΤΡΕΧΟΝ ΕΤΟΣ </v>
      </c>
      <c r="I82" s="180"/>
      <c r="J82" s="180"/>
      <c r="K82" s="61">
        <f>[1]ΑΝΤΙΣΤΟΙΧΙΣΗ!$D$34</f>
        <v>2025</v>
      </c>
      <c r="L82" s="180" t="str">
        <f>[1]ΑΝΤΙΣΤΟΙΧΙΣΗ!$F$122</f>
        <v>ΜΑΡΤΙΟΣ ΠΡΟΗΓΟΥΜΕΝΟΥ ΕΤΟΥΣ</v>
      </c>
      <c r="M82" s="180"/>
      <c r="N82" s="180"/>
      <c r="O82" s="61">
        <f>[1]ΑΝΤΙΣΤΟΙΧΙΣΗ!$D$33</f>
        <v>2024</v>
      </c>
      <c r="P82" s="180"/>
      <c r="Q82" s="180"/>
    </row>
    <row r="83" spans="1:17" ht="15" customHeight="1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</row>
    <row r="84" spans="1:17" ht="15" customHeight="1" x14ac:dyDescent="0.25">
      <c r="A84" s="19">
        <v>83</v>
      </c>
      <c r="B84" s="19" t="s">
        <v>2</v>
      </c>
      <c r="C84" s="75" t="s">
        <v>165</v>
      </c>
      <c r="D84" s="7">
        <f ca="1">SUM(D47:D110)</f>
        <v>7219.9800000000005</v>
      </c>
      <c r="E84" s="8"/>
      <c r="F84" s="7" t="e">
        <f>SUM(F47:F110)</f>
        <v>#VALUE!</v>
      </c>
      <c r="G84" s="8"/>
      <c r="H84" s="7">
        <f ca="1">SUM(H47:H110)</f>
        <v>0</v>
      </c>
      <c r="I84" s="8"/>
      <c r="J84" s="7">
        <f ca="1">SUM(J47:J110)</f>
        <v>0</v>
      </c>
      <c r="K84" s="8"/>
      <c r="L84" s="7">
        <f ca="1">SUM(L47:L110)</f>
        <v>5429.25</v>
      </c>
      <c r="M84" s="8"/>
      <c r="N84" s="7">
        <f ca="1">SUM(N47:N110)</f>
        <v>23637.549999999996</v>
      </c>
      <c r="O84" s="8"/>
      <c r="P84" s="7">
        <f ca="1">SUM(P47:P110)</f>
        <v>0</v>
      </c>
      <c r="Q84" s="8"/>
    </row>
    <row r="85" spans="1:17" ht="37.5" customHeight="1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2'!F39</f>
        <v>1082.33</v>
      </c>
      <c r="E85" s="15">
        <f t="shared" ref="E85:E105" ca="1" si="17">D85/$D$84</f>
        <v>0.14990761747262457</v>
      </c>
      <c r="F85" s="79">
        <f>'[1]2025 Φεβρουάριος'!F83+'[1]2025 Μάρτιος'!D83</f>
        <v>5203.62</v>
      </c>
      <c r="G85" s="15" t="e">
        <f t="shared" ref="G85:G105" si="18">F85/$F$84</f>
        <v>#VALUE!</v>
      </c>
      <c r="H85" s="14"/>
      <c r="I85" s="26" t="e">
        <f t="shared" ref="I85:I105" ca="1" si="19">H85/$H$84</f>
        <v>#DIV/0!</v>
      </c>
      <c r="J85" s="27"/>
      <c r="K85" s="27" t="e">
        <f t="shared" ref="K85:K105" ca="1" si="20">J85/$J$84</f>
        <v>#DIV/0!</v>
      </c>
      <c r="L85" s="79">
        <f>'[1]2024_60-69 ΕΞΟΔΑ+ΟΜ 2'!F37</f>
        <v>1434.4</v>
      </c>
      <c r="M85" s="15">
        <f t="shared" ref="M85:M105" ca="1" si="21">L85/$L$84</f>
        <v>0.26419855412810245</v>
      </c>
      <c r="N85" s="10">
        <f>L85+'[1]2025 Φεβρουάριος'!N83</f>
        <v>1434.4</v>
      </c>
      <c r="O85" s="15">
        <f t="shared" ref="O85:O105" ca="1" si="22">N85/$N$84</f>
        <v>6.0683108020924352E-2</v>
      </c>
      <c r="P85" s="27"/>
      <c r="Q85" s="28" t="e">
        <f t="shared" ref="Q85:Q105" ca="1" si="23">SUM(D85:P85)</f>
        <v>#DIV/0!</v>
      </c>
    </row>
    <row r="86" spans="1:17" ht="37.5" customHeight="1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2'!F40</f>
        <v>1145.7</v>
      </c>
      <c r="E86" s="15">
        <f t="shared" ca="1" si="17"/>
        <v>0.15868465009598365</v>
      </c>
      <c r="F86" s="79">
        <f>'[1]2025 Φεβρουάριος'!F84+'[1]2025 Μάρτιος'!D84</f>
        <v>3302.44</v>
      </c>
      <c r="G86" s="15" t="e">
        <f t="shared" si="18"/>
        <v>#VALUE!</v>
      </c>
      <c r="H86" s="14"/>
      <c r="I86" s="26" t="e">
        <f t="shared" ca="1" si="19"/>
        <v>#DIV/0!</v>
      </c>
      <c r="J86" s="27"/>
      <c r="K86" s="27" t="e">
        <f t="shared" ca="1" si="20"/>
        <v>#DIV/0!</v>
      </c>
      <c r="L86" s="79">
        <f>'[1]2024_60-69 ΕΞΟΔΑ+ΟΜ 2'!F38</f>
        <v>0</v>
      </c>
      <c r="M86" s="15">
        <f t="shared" ca="1" si="21"/>
        <v>0</v>
      </c>
      <c r="N86" s="10">
        <f>L86+'[1]2025 Φεβρουάριος'!N84</f>
        <v>2369.81</v>
      </c>
      <c r="O86" s="15">
        <f t="shared" ca="1" si="22"/>
        <v>0.10025616021965053</v>
      </c>
      <c r="P86" s="27"/>
      <c r="Q86" s="28" t="e">
        <f t="shared" ca="1" si="23"/>
        <v>#DIV/0!</v>
      </c>
    </row>
    <row r="87" spans="1:17" ht="37.5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2'!F43</f>
        <v>148.63</v>
      </c>
      <c r="E87" s="15">
        <f t="shared" ca="1" si="17"/>
        <v>2.058592960091302E-2</v>
      </c>
      <c r="F87" s="79">
        <f>'[1]2025 Φεβρουάριος'!F87+'[1]2025 Μάρτιος'!D87</f>
        <v>1068.49</v>
      </c>
      <c r="G87" s="15" t="e">
        <f t="shared" si="18"/>
        <v>#VALUE!</v>
      </c>
      <c r="H87" s="14"/>
      <c r="I87" s="26" t="e">
        <f t="shared" ca="1" si="19"/>
        <v>#DIV/0!</v>
      </c>
      <c r="J87" s="27"/>
      <c r="K87" s="27" t="e">
        <f t="shared" ca="1" si="20"/>
        <v>#DIV/0!</v>
      </c>
      <c r="L87" s="79">
        <f>'[1]2024_60-69 ΕΞΟΔΑ+ΟΜ 2'!F41</f>
        <v>288.8</v>
      </c>
      <c r="M87" s="15">
        <f t="shared" ca="1" si="21"/>
        <v>5.3193350831146111E-2</v>
      </c>
      <c r="N87" s="10">
        <f>L87+'[1]2025 Φεβρουάριος'!N87</f>
        <v>589.62</v>
      </c>
      <c r="O87" s="15">
        <f t="shared" ca="1" si="22"/>
        <v>2.4944209531021621E-2</v>
      </c>
      <c r="P87" s="27"/>
      <c r="Q87" s="28" t="e">
        <f t="shared" ca="1" si="23"/>
        <v>#DIV/0!</v>
      </c>
    </row>
    <row r="88" spans="1:17" ht="15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2'!F44</f>
        <v>158.22</v>
      </c>
      <c r="E88" s="15">
        <f t="shared" ca="1" si="17"/>
        <v>2.1914188127944951E-2</v>
      </c>
      <c r="F88" s="79">
        <f>'[1]2025 Φεβρουάριος'!F88+'[1]2025 Μάρτιος'!D88</f>
        <v>454.27</v>
      </c>
      <c r="G88" s="15" t="e">
        <f t="shared" si="18"/>
        <v>#VALUE!</v>
      </c>
      <c r="H88" s="14"/>
      <c r="I88" s="26" t="e">
        <f t="shared" ca="1" si="19"/>
        <v>#DIV/0!</v>
      </c>
      <c r="J88" s="27"/>
      <c r="K88" s="27" t="e">
        <f t="shared" ca="1" si="20"/>
        <v>#DIV/0!</v>
      </c>
      <c r="L88" s="79">
        <f>'[1]2024_60-69 ΕΞΟΔΑ+ΟΜ 2'!F42</f>
        <v>0</v>
      </c>
      <c r="M88" s="15">
        <f t="shared" ca="1" si="21"/>
        <v>0</v>
      </c>
      <c r="N88" s="10">
        <f>L88+'[1]2025 Φεβρουάριος'!N88</f>
        <v>469.18</v>
      </c>
      <c r="O88" s="15">
        <f t="shared" ca="1" si="22"/>
        <v>1.9848926813481098E-2</v>
      </c>
      <c r="P88" s="27"/>
      <c r="Q88" s="28" t="e">
        <f t="shared" ca="1" si="23"/>
        <v>#DIV/0!</v>
      </c>
    </row>
    <row r="89" spans="1:17" ht="28.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2'!F45</f>
        <v>0</v>
      </c>
      <c r="E89" s="15">
        <f t="shared" ca="1" si="17"/>
        <v>0</v>
      </c>
      <c r="F89" s="79">
        <f>'[1]2025 Φεβρουάριος'!F89+'[1]2025 Μάρτιος'!D89</f>
        <v>479.53</v>
      </c>
      <c r="G89" s="15" t="e">
        <f t="shared" si="18"/>
        <v>#VALUE!</v>
      </c>
      <c r="H89" s="80"/>
      <c r="I89" s="26" t="e">
        <f t="shared" ca="1" si="19"/>
        <v>#DIV/0!</v>
      </c>
      <c r="J89" s="80"/>
      <c r="K89" s="27" t="e">
        <f t="shared" ca="1" si="20"/>
        <v>#DIV/0!</v>
      </c>
      <c r="L89" s="79">
        <f>'[1]2024_60-69 ΕΞΟΔΑ+ΟΜ 2'!F43</f>
        <v>0</v>
      </c>
      <c r="M89" s="15">
        <f t="shared" ca="1" si="21"/>
        <v>0</v>
      </c>
      <c r="N89" s="10">
        <f>L89+'[1]2025 Φεβρουάριος'!N89</f>
        <v>0</v>
      </c>
      <c r="O89" s="15">
        <f t="shared" ca="1" si="22"/>
        <v>0</v>
      </c>
      <c r="P89" s="80"/>
      <c r="Q89" s="28" t="e">
        <f t="shared" ca="1" si="23"/>
        <v>#DIV/0!</v>
      </c>
    </row>
    <row r="90" spans="1:17" ht="42.75" customHeight="1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2'!F46</f>
        <v>0</v>
      </c>
      <c r="E90" s="15">
        <f t="shared" ca="1" si="17"/>
        <v>0</v>
      </c>
      <c r="F90" s="79">
        <f>'[1]2025 Φεβρουάριος'!F90+'[1]2025 Μάρτιος'!D90</f>
        <v>0</v>
      </c>
      <c r="G90" s="15" t="e">
        <f t="shared" si="18"/>
        <v>#VALUE!</v>
      </c>
      <c r="H90" s="80"/>
      <c r="I90" s="26" t="e">
        <f t="shared" ca="1" si="19"/>
        <v>#DIV/0!</v>
      </c>
      <c r="J90" s="80"/>
      <c r="K90" s="27" t="e">
        <f t="shared" ca="1" si="20"/>
        <v>#DIV/0!</v>
      </c>
      <c r="L90" s="79">
        <f>'[1]2024_60-69 ΕΞΟΔΑ+ΟΜ 2'!F44</f>
        <v>0</v>
      </c>
      <c r="M90" s="15">
        <f t="shared" ca="1" si="21"/>
        <v>0</v>
      </c>
      <c r="N90" s="10">
        <f>L90+'[1]2025 Φεβρουάριος'!N90</f>
        <v>0</v>
      </c>
      <c r="O90" s="15">
        <f t="shared" ca="1" si="22"/>
        <v>0</v>
      </c>
      <c r="P90" s="80"/>
      <c r="Q90" s="28" t="e">
        <f t="shared" ca="1" si="23"/>
        <v>#DIV/0!</v>
      </c>
    </row>
    <row r="91" spans="1:17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2'!F47</f>
        <v>0</v>
      </c>
      <c r="E91" s="15">
        <f t="shared" ca="1" si="17"/>
        <v>0</v>
      </c>
      <c r="F91" s="79">
        <f>'[1]2025 Φεβρουάριος'!F91+'[1]2025 Μάρτιος'!D91</f>
        <v>0</v>
      </c>
      <c r="G91" s="15" t="e">
        <f t="shared" si="18"/>
        <v>#VALUE!</v>
      </c>
      <c r="H91" s="80"/>
      <c r="I91" s="26" t="e">
        <f t="shared" ca="1" si="19"/>
        <v>#DIV/0!</v>
      </c>
      <c r="J91" s="80"/>
      <c r="K91" s="27" t="e">
        <f t="shared" ca="1" si="20"/>
        <v>#DIV/0!</v>
      </c>
      <c r="L91" s="79">
        <f>'[1]2024_60-69 ΕΞΟΔΑ+ΟΜ 2'!F45</f>
        <v>0</v>
      </c>
      <c r="M91" s="15">
        <f t="shared" ca="1" si="21"/>
        <v>0</v>
      </c>
      <c r="N91" s="10">
        <f>L91+'[1]2025 Φεβρουάριος'!N91</f>
        <v>0</v>
      </c>
      <c r="O91" s="15">
        <f t="shared" ca="1" si="22"/>
        <v>0</v>
      </c>
      <c r="P91" s="80"/>
      <c r="Q91" s="28" t="e">
        <f t="shared" ca="1" si="23"/>
        <v>#DIV/0!</v>
      </c>
    </row>
    <row r="92" spans="1:17" ht="15" customHeight="1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2'!F48</f>
        <v>0</v>
      </c>
      <c r="E92" s="15">
        <f t="shared" ca="1" si="17"/>
        <v>0</v>
      </c>
      <c r="F92" s="79">
        <f>'[1]2025 Φεβρουάριος'!F92+'[1]2025 Μάρτιος'!D92</f>
        <v>0</v>
      </c>
      <c r="G92" s="15" t="e">
        <f t="shared" si="18"/>
        <v>#VALUE!</v>
      </c>
      <c r="H92" s="14"/>
      <c r="I92" s="26" t="e">
        <f t="shared" ca="1" si="19"/>
        <v>#DIV/0!</v>
      </c>
      <c r="J92" s="27"/>
      <c r="K92" s="27" t="e">
        <f t="shared" ca="1" si="20"/>
        <v>#DIV/0!</v>
      </c>
      <c r="L92" s="79">
        <f>'[1]2024_60-69 ΕΞΟΔΑ+ΟΜ 2'!F46</f>
        <v>0</v>
      </c>
      <c r="M92" s="15">
        <f t="shared" ca="1" si="21"/>
        <v>0</v>
      </c>
      <c r="N92" s="10">
        <f>L92+'[1]2025 Φεβρουάριος'!N92</f>
        <v>0</v>
      </c>
      <c r="O92" s="15">
        <f t="shared" ca="1" si="22"/>
        <v>0</v>
      </c>
      <c r="P92" s="27"/>
      <c r="Q92" s="28" t="e">
        <f t="shared" ca="1" si="23"/>
        <v>#DIV/0!</v>
      </c>
    </row>
    <row r="93" spans="1:17" ht="15" customHeight="1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2'!F49</f>
        <v>0</v>
      </c>
      <c r="E93" s="15">
        <f t="shared" ca="1" si="17"/>
        <v>0</v>
      </c>
      <c r="F93" s="79">
        <f>'[1]2025 Φεβρουάριος'!F93+'[1]2025 Μάρτιος'!D93</f>
        <v>0</v>
      </c>
      <c r="G93" s="15" t="e">
        <f t="shared" si="18"/>
        <v>#VALUE!</v>
      </c>
      <c r="H93" s="14"/>
      <c r="I93" s="26" t="e">
        <f t="shared" ca="1" si="19"/>
        <v>#DIV/0!</v>
      </c>
      <c r="J93" s="27"/>
      <c r="K93" s="27" t="e">
        <f t="shared" ca="1" si="20"/>
        <v>#DIV/0!</v>
      </c>
      <c r="L93" s="79">
        <f>'[1]2024_60-69 ΕΞΟΔΑ+ΟΜ 2'!F47</f>
        <v>0</v>
      </c>
      <c r="M93" s="15">
        <f t="shared" ca="1" si="21"/>
        <v>0</v>
      </c>
      <c r="N93" s="10">
        <f>L93+'[1]2025 Φεβρουάριος'!N93</f>
        <v>0</v>
      </c>
      <c r="O93" s="15">
        <f t="shared" ca="1" si="22"/>
        <v>0</v>
      </c>
      <c r="P93" s="27"/>
      <c r="Q93" s="28" t="e">
        <f t="shared" ca="1" si="23"/>
        <v>#DIV/0!</v>
      </c>
    </row>
    <row r="94" spans="1:17" ht="1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2'!F50</f>
        <v>0</v>
      </c>
      <c r="E94" s="15">
        <f t="shared" ca="1" si="17"/>
        <v>0</v>
      </c>
      <c r="F94" s="79">
        <f>'[1]2025 Φεβρουάριος'!F94+'[1]2025 Μάρτιος'!D94</f>
        <v>0</v>
      </c>
      <c r="G94" s="15" t="e">
        <f t="shared" si="18"/>
        <v>#VALUE!</v>
      </c>
      <c r="H94" s="81"/>
      <c r="I94" s="26" t="e">
        <f t="shared" ca="1" si="19"/>
        <v>#DIV/0!</v>
      </c>
      <c r="J94" s="81"/>
      <c r="K94" s="27" t="e">
        <f t="shared" ca="1" si="20"/>
        <v>#DIV/0!</v>
      </c>
      <c r="L94" s="79">
        <f>'[1]2024_60-69 ΕΞΟΔΑ+ΟΜ 2'!F48</f>
        <v>0</v>
      </c>
      <c r="M94" s="15">
        <f t="shared" ca="1" si="21"/>
        <v>0</v>
      </c>
      <c r="N94" s="10">
        <f>L94+'[1]2025 Φεβρουάριος'!N94</f>
        <v>0</v>
      </c>
      <c r="O94" s="15">
        <f t="shared" ca="1" si="22"/>
        <v>0</v>
      </c>
      <c r="P94" s="81"/>
      <c r="Q94" s="28" t="e">
        <f t="shared" ca="1" si="23"/>
        <v>#DIV/0!</v>
      </c>
    </row>
    <row r="95" spans="1:17" ht="28.5" customHeight="1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2'!F51</f>
        <v>0</v>
      </c>
      <c r="E95" s="15">
        <f t="shared" ca="1" si="17"/>
        <v>0</v>
      </c>
      <c r="F95" s="79">
        <f>'[1]2025 Φεβρουάριος'!F95+'[1]2025 Μάρτιος'!D95</f>
        <v>0</v>
      </c>
      <c r="G95" s="15" t="e">
        <f t="shared" si="18"/>
        <v>#VALUE!</v>
      </c>
      <c r="H95" s="14"/>
      <c r="I95" s="26" t="e">
        <f t="shared" ca="1" si="19"/>
        <v>#DIV/0!</v>
      </c>
      <c r="J95" s="27"/>
      <c r="K95" s="27" t="e">
        <f t="shared" ca="1" si="20"/>
        <v>#DIV/0!</v>
      </c>
      <c r="L95" s="79">
        <f>'[1]2024_60-69 ΕΞΟΔΑ+ΟΜ 2'!F49</f>
        <v>0</v>
      </c>
      <c r="M95" s="15">
        <f t="shared" ca="1" si="21"/>
        <v>0</v>
      </c>
      <c r="N95" s="10">
        <f>L95+'[1]2025 Φεβρουάριος'!N95</f>
        <v>0</v>
      </c>
      <c r="O95" s="15">
        <f t="shared" ca="1" si="22"/>
        <v>0</v>
      </c>
      <c r="P95" s="27"/>
      <c r="Q95" s="28" t="e">
        <f t="shared" ca="1" si="23"/>
        <v>#DIV/0!</v>
      </c>
    </row>
    <row r="96" spans="1:17" ht="15" customHeight="1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2'!F52</f>
        <v>25.77</v>
      </c>
      <c r="E96" s="15">
        <f t="shared" ca="1" si="17"/>
        <v>3.5692619647145836E-3</v>
      </c>
      <c r="F96" s="79">
        <f>'[1]2025 Φεβρουάριος'!F96+'[1]2025 Μάρτιος'!D96</f>
        <v>0</v>
      </c>
      <c r="G96" s="15" t="e">
        <f t="shared" si="18"/>
        <v>#VALUE!</v>
      </c>
      <c r="H96" s="14"/>
      <c r="I96" s="26" t="e">
        <f t="shared" ca="1" si="19"/>
        <v>#DIV/0!</v>
      </c>
      <c r="J96" s="27"/>
      <c r="K96" s="27" t="e">
        <f t="shared" ca="1" si="20"/>
        <v>#DIV/0!</v>
      </c>
      <c r="L96" s="79">
        <f>'[1]2024_60-69 ΕΞΟΔΑ+ΟΜ 2'!F50</f>
        <v>8.0399999999999991</v>
      </c>
      <c r="M96" s="15">
        <f t="shared" ca="1" si="21"/>
        <v>1.4808675231385549E-3</v>
      </c>
      <c r="N96" s="10">
        <f>L96+'[1]2025 Φεβρουάριος'!N96</f>
        <v>254.79999999999998</v>
      </c>
      <c r="O96" s="15">
        <f t="shared" ca="1" si="22"/>
        <v>1.0779458954079422E-2</v>
      </c>
      <c r="P96" s="27"/>
      <c r="Q96" s="28" t="e">
        <f t="shared" ca="1" si="23"/>
        <v>#DIV/0!</v>
      </c>
    </row>
    <row r="97" spans="1:17" ht="15" customHeight="1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2'!F53</f>
        <v>0</v>
      </c>
      <c r="E97" s="15">
        <f t="shared" ca="1" si="17"/>
        <v>0</v>
      </c>
      <c r="F97" s="79">
        <f>'[1]2025 Φεβρουάριος'!F97+'[1]2025 Μάρτιος'!D97</f>
        <v>269.82</v>
      </c>
      <c r="G97" s="15" t="e">
        <f t="shared" si="18"/>
        <v>#VALUE!</v>
      </c>
      <c r="H97" s="14"/>
      <c r="I97" s="26" t="e">
        <f t="shared" ca="1" si="19"/>
        <v>#DIV/0!</v>
      </c>
      <c r="J97" s="27"/>
      <c r="K97" s="27" t="e">
        <f t="shared" ca="1" si="20"/>
        <v>#DIV/0!</v>
      </c>
      <c r="L97" s="79">
        <f>'[1]2024_60-69 ΕΞΟΔΑ+ΟΜ 2'!F51</f>
        <v>0</v>
      </c>
      <c r="M97" s="15">
        <f t="shared" ca="1" si="21"/>
        <v>0</v>
      </c>
      <c r="N97" s="10">
        <f>L97+'[1]2025 Φεβρουάριος'!N97</f>
        <v>0</v>
      </c>
      <c r="O97" s="15">
        <f t="shared" ca="1" si="22"/>
        <v>0</v>
      </c>
      <c r="P97" s="27"/>
      <c r="Q97" s="28" t="e">
        <f t="shared" ca="1" si="23"/>
        <v>#DIV/0!</v>
      </c>
    </row>
    <row r="98" spans="1:17" ht="15" customHeight="1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2'!F54</f>
        <v>0</v>
      </c>
      <c r="E98" s="15">
        <f t="shared" ca="1" si="17"/>
        <v>0</v>
      </c>
      <c r="F98" s="79">
        <f>'[1]2025 Φεβρουάριος'!F98+'[1]2025 Μάρτιος'!D98</f>
        <v>0</v>
      </c>
      <c r="G98" s="15" t="e">
        <f t="shared" si="18"/>
        <v>#VALUE!</v>
      </c>
      <c r="H98" s="14"/>
      <c r="I98" s="26" t="e">
        <f t="shared" ca="1" si="19"/>
        <v>#DIV/0!</v>
      </c>
      <c r="J98" s="27"/>
      <c r="K98" s="27" t="e">
        <f t="shared" ca="1" si="20"/>
        <v>#DIV/0!</v>
      </c>
      <c r="L98" s="79">
        <f>'[1]2024_60-69 ΕΞΟΔΑ+ΟΜ 2'!F52</f>
        <v>0</v>
      </c>
      <c r="M98" s="15">
        <f t="shared" ca="1" si="21"/>
        <v>0</v>
      </c>
      <c r="N98" s="10">
        <f>L98+'[1]2025 Φεβρουάριος'!N98</f>
        <v>0</v>
      </c>
      <c r="O98" s="15">
        <f t="shared" ca="1" si="22"/>
        <v>0</v>
      </c>
      <c r="P98" s="27"/>
      <c r="Q98" s="28" t="e">
        <f t="shared" ca="1" si="23"/>
        <v>#DIV/0!</v>
      </c>
    </row>
    <row r="99" spans="1:17" ht="1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2'!F55</f>
        <v>275</v>
      </c>
      <c r="E99" s="15">
        <f t="shared" ca="1" si="17"/>
        <v>3.8088748168277474E-2</v>
      </c>
      <c r="F99" s="79">
        <f>'[1]2025 Φεβρουάριος'!F99+'[1]2025 Μάρτιος'!D99</f>
        <v>0</v>
      </c>
      <c r="G99" s="15" t="e">
        <f t="shared" si="18"/>
        <v>#VALUE!</v>
      </c>
      <c r="H99" s="14"/>
      <c r="I99" s="26" t="e">
        <f t="shared" ca="1" si="19"/>
        <v>#DIV/0!</v>
      </c>
      <c r="J99" s="27"/>
      <c r="K99" s="27" t="e">
        <f t="shared" ca="1" si="20"/>
        <v>#DIV/0!</v>
      </c>
      <c r="L99" s="79">
        <f>'[1]2024_60-69 ΕΞΟΔΑ+ΟΜ 2'!F53</f>
        <v>37.19</v>
      </c>
      <c r="M99" s="15">
        <f t="shared" ca="1" si="21"/>
        <v>6.8499332320302066E-3</v>
      </c>
      <c r="N99" s="10">
        <f>L99+'[1]2025 Φεβρουάριος'!N99</f>
        <v>37.19</v>
      </c>
      <c r="O99" s="15">
        <f t="shared" ca="1" si="22"/>
        <v>1.5733441071515452E-3</v>
      </c>
      <c r="P99" s="27"/>
      <c r="Q99" s="28" t="e">
        <f t="shared" ca="1" si="23"/>
        <v>#DIV/0!</v>
      </c>
    </row>
    <row r="100" spans="1:17" ht="15" customHeight="1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2'!F56</f>
        <v>55.84</v>
      </c>
      <c r="E100" s="15">
        <f t="shared" ca="1" si="17"/>
        <v>7.7340934462422333E-3</v>
      </c>
      <c r="F100" s="79">
        <f>'[1]2025 Φεβρουάριος'!F100+'[1]2025 Μάρτιος'!D100</f>
        <v>2247.4499999999998</v>
      </c>
      <c r="G100" s="15" t="e">
        <f t="shared" si="18"/>
        <v>#VALUE!</v>
      </c>
      <c r="H100" s="14"/>
      <c r="I100" s="26" t="e">
        <f t="shared" ca="1" si="19"/>
        <v>#DIV/0!</v>
      </c>
      <c r="J100" s="27"/>
      <c r="K100" s="27" t="e">
        <f t="shared" ca="1" si="20"/>
        <v>#DIV/0!</v>
      </c>
      <c r="L100" s="79">
        <f>'[1]2024_60-69 ΕΞΟΔΑ+ΟΜ 2'!F54</f>
        <v>0</v>
      </c>
      <c r="M100" s="15">
        <f t="shared" ca="1" si="21"/>
        <v>0</v>
      </c>
      <c r="N100" s="10">
        <f>L100+'[1]2025 Φεβρουάριος'!N100</f>
        <v>45.5</v>
      </c>
      <c r="O100" s="15">
        <f t="shared" ca="1" si="22"/>
        <v>1.9249033846570397E-3</v>
      </c>
      <c r="P100" s="27"/>
      <c r="Q100" s="28" t="e">
        <f t="shared" ca="1" si="23"/>
        <v>#DIV/0!</v>
      </c>
    </row>
    <row r="101" spans="1:17" ht="25.5" customHeight="1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2'!F57</f>
        <v>0</v>
      </c>
      <c r="E101" s="15">
        <f t="shared" ca="1" si="17"/>
        <v>0</v>
      </c>
      <c r="F101" s="79">
        <f>'[1]2025 Φεβρουάριος'!F101+'[1]2025 Μάρτιος'!D101</f>
        <v>711.89</v>
      </c>
      <c r="G101" s="15" t="e">
        <f t="shared" si="18"/>
        <v>#VALUE!</v>
      </c>
      <c r="H101" s="14"/>
      <c r="I101" s="26" t="e">
        <f t="shared" ca="1" si="19"/>
        <v>#DIV/0!</v>
      </c>
      <c r="J101" s="27"/>
      <c r="K101" s="27" t="e">
        <f t="shared" ca="1" si="20"/>
        <v>#DIV/0!</v>
      </c>
      <c r="L101" s="79">
        <f>'[1]2024_60-69 ΕΞΟΔΑ+ΟΜ 2'!F55</f>
        <v>0</v>
      </c>
      <c r="M101" s="15">
        <f t="shared" ca="1" si="21"/>
        <v>0</v>
      </c>
      <c r="N101" s="10">
        <f>L101+'[1]2025 Φεβρουάριος'!N101</f>
        <v>660</v>
      </c>
      <c r="O101" s="15">
        <f t="shared" ca="1" si="22"/>
        <v>2.7921675469750464E-2</v>
      </c>
      <c r="P101" s="27"/>
      <c r="Q101" s="28" t="e">
        <f t="shared" ca="1" si="23"/>
        <v>#DIV/0!</v>
      </c>
    </row>
    <row r="102" spans="1:17" ht="24" customHeight="1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2'!F58</f>
        <v>0</v>
      </c>
      <c r="E102" s="15">
        <f t="shared" ca="1" si="17"/>
        <v>0</v>
      </c>
      <c r="F102" s="79">
        <f>'[1]2025 Φεβρουάριος'!F102+'[1]2025 Μάρτιος'!D102</f>
        <v>0</v>
      </c>
      <c r="G102" s="15" t="e">
        <f t="shared" si="18"/>
        <v>#VALUE!</v>
      </c>
      <c r="H102" s="14"/>
      <c r="I102" s="26" t="e">
        <f t="shared" ca="1" si="19"/>
        <v>#DIV/0!</v>
      </c>
      <c r="J102" s="27"/>
      <c r="K102" s="27" t="e">
        <f t="shared" ca="1" si="20"/>
        <v>#DIV/0!</v>
      </c>
      <c r="L102" s="79">
        <f>'[1]2024_60-69 ΕΞΟΔΑ+ΟΜ 2'!F56</f>
        <v>384.13</v>
      </c>
      <c r="M102" s="15">
        <f t="shared" ca="1" si="21"/>
        <v>7.0751945480499151E-2</v>
      </c>
      <c r="N102" s="10">
        <f>L102+'[1]2025 Φεβρουάριος'!N102</f>
        <v>384.13</v>
      </c>
      <c r="O102" s="15">
        <f t="shared" ca="1" si="22"/>
        <v>1.6250838179083706E-2</v>
      </c>
      <c r="P102" s="27"/>
      <c r="Q102" s="28" t="e">
        <f t="shared" ca="1" si="23"/>
        <v>#DIV/0!</v>
      </c>
    </row>
    <row r="103" spans="1:17" ht="15.75" hidden="1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2'!F59</f>
        <v>69.989999999999995</v>
      </c>
      <c r="E103" s="15">
        <f t="shared" ca="1" si="17"/>
        <v>9.6939326701735995E-3</v>
      </c>
      <c r="F103" s="79">
        <f>'[1]2025 Φεβρουάριος'!F103+'[1]2025 Μάρτιος'!D103</f>
        <v>0</v>
      </c>
      <c r="G103" s="15" t="e">
        <f t="shared" si="18"/>
        <v>#VALUE!</v>
      </c>
      <c r="H103" s="14"/>
      <c r="I103" s="26" t="e">
        <f t="shared" ca="1" si="19"/>
        <v>#DIV/0!</v>
      </c>
      <c r="J103" s="27"/>
      <c r="K103" s="27" t="e">
        <f t="shared" ca="1" si="20"/>
        <v>#DIV/0!</v>
      </c>
      <c r="L103" s="79">
        <f>'[1]2024_60-69 ΕΞΟΔΑ+ΟΜ 2'!F57</f>
        <v>598.29</v>
      </c>
      <c r="M103" s="15">
        <f t="shared" ca="1" si="21"/>
        <v>0.11019754109683658</v>
      </c>
      <c r="N103" s="10">
        <f>L103+'[1]2025 Φεβρουάριος'!N103</f>
        <v>1610.3899999999999</v>
      </c>
      <c r="O103" s="15">
        <f t="shared" ca="1" si="22"/>
        <v>6.8128465090502202E-2</v>
      </c>
      <c r="P103" s="27"/>
      <c r="Q103" s="28" t="e">
        <f t="shared" ca="1" si="23"/>
        <v>#DIV/0!</v>
      </c>
    </row>
    <row r="104" spans="1:17" ht="15.75" hidden="1" customHeight="1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2'!F60</f>
        <v>0</v>
      </c>
      <c r="E104" s="15">
        <f t="shared" ca="1" si="17"/>
        <v>0</v>
      </c>
      <c r="F104" s="79">
        <f>'[1]2025 Φεβρουάριος'!F104+'[1]2025 Μάρτιος'!D104</f>
        <v>2189.91</v>
      </c>
      <c r="G104" s="15" t="e">
        <f t="shared" si="18"/>
        <v>#VALUE!</v>
      </c>
      <c r="H104" s="14"/>
      <c r="I104" s="26" t="e">
        <f t="shared" ca="1" si="19"/>
        <v>#DIV/0!</v>
      </c>
      <c r="J104" s="27"/>
      <c r="K104" s="27" t="e">
        <f t="shared" ca="1" si="20"/>
        <v>#DIV/0!</v>
      </c>
      <c r="L104" s="79">
        <f>'[1]2024_60-69 ΕΞΟΔΑ+ΟΜ 2'!F58</f>
        <v>0</v>
      </c>
      <c r="M104" s="15">
        <f t="shared" ca="1" si="21"/>
        <v>0</v>
      </c>
      <c r="N104" s="10">
        <f>L104+'[1]2025 Φεβρουάριος'!N104</f>
        <v>1000</v>
      </c>
      <c r="O104" s="15">
        <f t="shared" ca="1" si="22"/>
        <v>4.230556889356131E-2</v>
      </c>
      <c r="P104" s="27"/>
      <c r="Q104" s="28" t="e">
        <f t="shared" ca="1" si="23"/>
        <v>#DIV/0!</v>
      </c>
    </row>
    <row r="105" spans="1:17" ht="31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2'!F61</f>
        <v>0</v>
      </c>
      <c r="E105" s="15">
        <f t="shared" ca="1" si="17"/>
        <v>0</v>
      </c>
      <c r="F105" s="79">
        <f>'[1]2025 Φεβρουάριος'!F105+'[1]2025 Μάρτιος'!D105</f>
        <v>0</v>
      </c>
      <c r="G105" s="15" t="e">
        <f t="shared" si="18"/>
        <v>#VALUE!</v>
      </c>
      <c r="H105" s="14"/>
      <c r="I105" s="26" t="e">
        <f t="shared" ca="1" si="19"/>
        <v>#DIV/0!</v>
      </c>
      <c r="J105" s="27"/>
      <c r="K105" s="27" t="e">
        <f t="shared" ca="1" si="20"/>
        <v>#DIV/0!</v>
      </c>
      <c r="L105" s="79">
        <f>'[1]2024_60-69 ΕΞΟΔΑ+ΟΜ 2'!F59</f>
        <v>0</v>
      </c>
      <c r="M105" s="15">
        <f t="shared" ca="1" si="21"/>
        <v>0</v>
      </c>
      <c r="N105" s="10">
        <f>L105+'[1]2025 Φεβρουάριος'!N105</f>
        <v>0</v>
      </c>
      <c r="O105" s="15">
        <f t="shared" ca="1" si="22"/>
        <v>0</v>
      </c>
      <c r="P105" s="27"/>
      <c r="Q105" s="28" t="e">
        <f t="shared" ca="1" si="23"/>
        <v>#DIV/0!</v>
      </c>
    </row>
    <row r="106" spans="1:17" ht="45" customHeight="1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26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2'!F36</f>
        <v>7219.98</v>
      </c>
      <c r="E111" s="8"/>
      <c r="F111" s="7">
        <f>'[1]2025_60-69 ΕΞΟΔΑ+ΟΜ 2'!S36</f>
        <v>25594.959999999999</v>
      </c>
      <c r="G111" s="8"/>
      <c r="H111" s="7">
        <f ca="1">SUM(H47:H110)</f>
        <v>0</v>
      </c>
      <c r="I111" s="8"/>
      <c r="J111" s="7">
        <f ca="1">SUM(J47:J110)</f>
        <v>0</v>
      </c>
      <c r="K111" s="8"/>
      <c r="L111" s="7">
        <f ca="1">SUM(L47:L110)</f>
        <v>5429.25</v>
      </c>
      <c r="M111" s="8"/>
      <c r="N111" s="7">
        <f ca="1">SUM(N47:N110)</f>
        <v>23637.549999999996</v>
      </c>
      <c r="O111" s="8"/>
      <c r="P111" s="7">
        <f ca="1">SUM(P47:P110)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 ca="1">D84-D111</f>
        <v>0</v>
      </c>
      <c r="E112" s="8"/>
      <c r="F112" s="7" t="e">
        <f>F84-F111</f>
        <v>#VALUE!</v>
      </c>
      <c r="G112" s="8"/>
      <c r="H112" s="7">
        <f ca="1">H84-H111</f>
        <v>0</v>
      </c>
      <c r="I112" s="8"/>
      <c r="J112" s="7">
        <f ca="1">J84-J111</f>
        <v>0</v>
      </c>
      <c r="K112" s="8"/>
      <c r="L112" s="7">
        <f ca="1">L84-L111</f>
        <v>0</v>
      </c>
      <c r="M112" s="8"/>
      <c r="N112" s="7">
        <f ca="1">N84-N111</f>
        <v>0</v>
      </c>
      <c r="O112" s="8"/>
      <c r="P112" s="7">
        <f ca="1">P84-P111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0" t="str">
        <f>[1]ΑΝΤΙΣΤΟΙΧΙΣΗ!$F$108</f>
        <v xml:space="preserve">ΜΑΡΤΙΟΣ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[1]ΑΝΤΙΣΤΟΙΧΙΣΗ!$F$108</f>
        <v xml:space="preserve">ΜΑΡΤΙΟΣ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[1]ΑΝΤΙΣΤΟΙΧΙΣΗ!$F$122</f>
        <v>ΜΑΡΤΙΟΣ ΠΡΟΗΓΟΥΜΕΝΟΥ ΕΤΟΥΣ</v>
      </c>
      <c r="M114" s="180"/>
      <c r="N114" s="180"/>
      <c r="O114" s="61">
        <f>[1]ΑΝΤΙΣΤΟΙΧΙΣΗ!$D$33</f>
        <v>2024</v>
      </c>
      <c r="P114" s="180"/>
      <c r="Q114" s="180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7918.1400000000012</v>
      </c>
      <c r="E116" s="8"/>
      <c r="F116" s="7">
        <f>SUM(F117:F156)</f>
        <v>44797.140000000014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9621.8199999999979</v>
      </c>
      <c r="M116" s="8"/>
      <c r="N116" s="7">
        <f>SUM(N117:N156)</f>
        <v>43211.07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2'!F74</f>
        <v>0</v>
      </c>
      <c r="E117" s="15">
        <f>D117/$D$116</f>
        <v>0</v>
      </c>
      <c r="F117" s="10">
        <f>D117+'[1]2025 Φεβρουάριος'!F117</f>
        <v>19238.64</v>
      </c>
      <c r="G117" s="15">
        <f>F117/$F$116</f>
        <v>0.42946134507694006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2'!F66</f>
        <v>1934.32</v>
      </c>
      <c r="M117" s="15">
        <f>L117/$L$116</f>
        <v>0.20103473147491852</v>
      </c>
      <c r="N117" s="10">
        <f>L117+'[1]2025 Φεβρουάριος'!N117</f>
        <v>20951.560000000001</v>
      </c>
      <c r="O117" s="15">
        <f>N117/$N$116</f>
        <v>0.48486556801301151</v>
      </c>
      <c r="P117" s="10"/>
      <c r="Q117" s="30" t="e">
        <f t="shared" ref="Q117:Q153" si="24"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2'!F75</f>
        <v>248.55</v>
      </c>
      <c r="E118" s="15">
        <f t="shared" ref="E118:E153" si="25">D118/$D$116</f>
        <v>3.1389947639218298E-2</v>
      </c>
      <c r="F118" s="10">
        <f>D118+'[1]2025 Φεβρουάριος'!F118</f>
        <v>2534.9700000000003</v>
      </c>
      <c r="G118" s="15">
        <f t="shared" ref="G118:G153" si="26">F118/$F$116</f>
        <v>5.6587764308167879E-2</v>
      </c>
      <c r="H118" s="14"/>
      <c r="I118" s="29" t="e">
        <f t="shared" ref="I118:I153" si="27">H118/$H$116</f>
        <v>#DIV/0!</v>
      </c>
      <c r="J118" s="10"/>
      <c r="K118" s="10" t="e">
        <f t="shared" ref="K118:K153" si="28">J118/$J$116</f>
        <v>#DIV/0!</v>
      </c>
      <c r="L118" s="14">
        <f>'[1]2024_60-69 ΕΞΟΔΑ+ΟΜ 2'!F67</f>
        <v>307.83</v>
      </c>
      <c r="M118" s="15">
        <f t="shared" ref="M118:M153" si="29">L118/$L$116</f>
        <v>3.1992907786676537E-2</v>
      </c>
      <c r="N118" s="10">
        <f>L118+'[1]2025 Φεβρουάριος'!N118</f>
        <v>2573.8199999999997</v>
      </c>
      <c r="O118" s="15">
        <f t="shared" ref="O118:O153" si="30">N118/$N$116</f>
        <v>5.9563903416416202E-2</v>
      </c>
      <c r="P118" s="10"/>
      <c r="Q118" s="30" t="e">
        <f t="shared" si="24"/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2'!F76</f>
        <v>965.25</v>
      </c>
      <c r="E119" s="15">
        <f t="shared" si="25"/>
        <v>0.12190362888254058</v>
      </c>
      <c r="F119" s="10">
        <f>D119+'[1]2025 Φεβρουάριος'!F119</f>
        <v>1430.77</v>
      </c>
      <c r="G119" s="15">
        <f t="shared" si="26"/>
        <v>3.1938869311746228E-2</v>
      </c>
      <c r="H119" s="14"/>
      <c r="I119" s="29" t="e">
        <f t="shared" si="27"/>
        <v>#DIV/0!</v>
      </c>
      <c r="J119" s="10"/>
      <c r="K119" s="10" t="e">
        <f t="shared" si="28"/>
        <v>#DIV/0!</v>
      </c>
      <c r="L119" s="14">
        <f>'[1]2024_60-69 ΕΞΟΔΑ+ΟΜ 2'!F68</f>
        <v>850</v>
      </c>
      <c r="M119" s="15">
        <f t="shared" si="29"/>
        <v>8.834087521903343E-2</v>
      </c>
      <c r="N119" s="10">
        <f>L119+'[1]2025 Φεβρουάριος'!N119</f>
        <v>1355.0900000000001</v>
      </c>
      <c r="O119" s="15">
        <f t="shared" si="30"/>
        <v>3.1359788128366185E-2</v>
      </c>
      <c r="P119" s="10"/>
      <c r="Q119" s="30" t="e">
        <f t="shared" si="24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2'!F77</f>
        <v>31.52</v>
      </c>
      <c r="E120" s="15">
        <f t="shared" si="25"/>
        <v>3.9807328488761246E-3</v>
      </c>
      <c r="F120" s="10">
        <f>D120+'[1]2025 Φεβρουάριος'!F120</f>
        <v>1782.52</v>
      </c>
      <c r="G120" s="15">
        <f t="shared" si="26"/>
        <v>3.9790933081888698E-2</v>
      </c>
      <c r="H120" s="14"/>
      <c r="I120" s="29" t="e">
        <f t="shared" si="27"/>
        <v>#DIV/0!</v>
      </c>
      <c r="J120" s="10"/>
      <c r="K120" s="10" t="e">
        <f t="shared" si="28"/>
        <v>#DIV/0!</v>
      </c>
      <c r="L120" s="14">
        <f>'[1]2024_60-69 ΕΞΟΔΑ+ΟΜ 2'!F69</f>
        <v>0</v>
      </c>
      <c r="M120" s="15">
        <f t="shared" si="29"/>
        <v>0</v>
      </c>
      <c r="N120" s="10">
        <f>L120+'[1]2025 Φεβρουάριος'!N120</f>
        <v>1700</v>
      </c>
      <c r="O120" s="15">
        <f t="shared" si="30"/>
        <v>3.9341770523155295E-2</v>
      </c>
      <c r="P120" s="10"/>
      <c r="Q120" s="30" t="e">
        <f t="shared" si="24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2'!F78</f>
        <v>8.9499999999999993</v>
      </c>
      <c r="E121" s="15">
        <f t="shared" si="25"/>
        <v>1.1303159580406507E-3</v>
      </c>
      <c r="F121" s="10">
        <f>D121+'[1]2025 Φεβρουάριος'!F121</f>
        <v>8.9499999999999993</v>
      </c>
      <c r="G121" s="15">
        <f t="shared" si="26"/>
        <v>1.997895401358211E-4</v>
      </c>
      <c r="H121" s="14"/>
      <c r="I121" s="29" t="e">
        <f t="shared" si="27"/>
        <v>#DIV/0!</v>
      </c>
      <c r="J121" s="10"/>
      <c r="K121" s="10" t="e">
        <f t="shared" si="28"/>
        <v>#DIV/0!</v>
      </c>
      <c r="L121" s="14">
        <f>'[1]2024_60-69 ΕΞΟΔΑ+ΟΜ 2'!F70</f>
        <v>241.31</v>
      </c>
      <c r="M121" s="15">
        <f t="shared" si="29"/>
        <v>2.5079454822476418E-2</v>
      </c>
      <c r="N121" s="10">
        <f>L121+'[1]2025 Φεβρουάριος'!N121</f>
        <v>241.31</v>
      </c>
      <c r="O121" s="15">
        <f t="shared" si="30"/>
        <v>5.5844486146721202E-3</v>
      </c>
      <c r="P121" s="10"/>
      <c r="Q121" s="30" t="e">
        <f t="shared" si="24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2'!F79</f>
        <v>0</v>
      </c>
      <c r="E122" s="15">
        <f t="shared" si="25"/>
        <v>0</v>
      </c>
      <c r="F122" s="10">
        <f>D122+'[1]2025 Φεβρουάριος'!F122</f>
        <v>497.1</v>
      </c>
      <c r="G122" s="15">
        <f t="shared" si="26"/>
        <v>1.1096690547655495E-2</v>
      </c>
      <c r="H122" s="14"/>
      <c r="I122" s="29" t="e">
        <f t="shared" si="27"/>
        <v>#DIV/0!</v>
      </c>
      <c r="J122" s="10"/>
      <c r="K122" s="10" t="e">
        <f t="shared" si="28"/>
        <v>#DIV/0!</v>
      </c>
      <c r="L122" s="14">
        <f>'[1]2024_60-69 ΕΞΟΔΑ+ΟΜ 2'!F71</f>
        <v>965.25</v>
      </c>
      <c r="M122" s="15">
        <f t="shared" si="29"/>
        <v>0.10031885859432002</v>
      </c>
      <c r="N122" s="10">
        <f>L122+'[1]2025 Φεβρουάριος'!N122</f>
        <v>1447.87</v>
      </c>
      <c r="O122" s="15">
        <f t="shared" si="30"/>
        <v>3.3506923110212264E-2</v>
      </c>
      <c r="P122" s="10"/>
      <c r="Q122" s="30" t="e">
        <f t="shared" si="24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2'!F80</f>
        <v>34.75</v>
      </c>
      <c r="E123" s="15">
        <f t="shared" si="25"/>
        <v>4.3886569320572754E-3</v>
      </c>
      <c r="F123" s="10">
        <f>D123+'[1]2025 Φεβρουάριος'!F123</f>
        <v>1965.25</v>
      </c>
      <c r="G123" s="15">
        <f t="shared" si="26"/>
        <v>4.3869988128706419E-2</v>
      </c>
      <c r="H123" s="14"/>
      <c r="I123" s="29" t="e">
        <f t="shared" si="27"/>
        <v>#DIV/0!</v>
      </c>
      <c r="J123" s="10"/>
      <c r="K123" s="10" t="e">
        <f t="shared" si="28"/>
        <v>#DIV/0!</v>
      </c>
      <c r="L123" s="14">
        <f>'[1]2024_60-69 ΕΞΟΔΑ+ΟΜ 2'!F72</f>
        <v>30.6</v>
      </c>
      <c r="M123" s="15">
        <f t="shared" si="29"/>
        <v>3.1802715078852037E-3</v>
      </c>
      <c r="N123" s="10">
        <f>L123+'[1]2025 Φεβρουάριος'!N123</f>
        <v>1961.1</v>
      </c>
      <c r="O123" s="15">
        <f t="shared" si="30"/>
        <v>4.538420363115285E-2</v>
      </c>
      <c r="P123" s="10"/>
      <c r="Q123" s="30" t="e">
        <f t="shared" si="24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2'!F81</f>
        <v>0</v>
      </c>
      <c r="E124" s="15">
        <f t="shared" si="25"/>
        <v>0</v>
      </c>
      <c r="F124" s="10">
        <f>D124+'[1]2025 Φεβρουάριος'!F124</f>
        <v>63.04</v>
      </c>
      <c r="G124" s="15">
        <f t="shared" si="26"/>
        <v>1.4072326938728674E-3</v>
      </c>
      <c r="H124" s="14"/>
      <c r="I124" s="29" t="e">
        <f t="shared" si="27"/>
        <v>#DIV/0!</v>
      </c>
      <c r="J124" s="10"/>
      <c r="K124" s="10" t="e">
        <f t="shared" si="28"/>
        <v>#DIV/0!</v>
      </c>
      <c r="L124" s="14">
        <f>'[1]2024_60-69 ΕΞΟΔΑ+ΟΜ 2'!F73</f>
        <v>8.69</v>
      </c>
      <c r="M124" s="15">
        <f t="shared" si="29"/>
        <v>9.0315553606282401E-4</v>
      </c>
      <c r="N124" s="10">
        <f>L124+'[1]2025 Φεβρουάριος'!N124</f>
        <v>69.89</v>
      </c>
      <c r="O124" s="15">
        <f t="shared" si="30"/>
        <v>1.6174096128607786E-3</v>
      </c>
      <c r="P124" s="10"/>
      <c r="Q124" s="30" t="e">
        <f t="shared" si="24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2'!F82</f>
        <v>0</v>
      </c>
      <c r="E125" s="15">
        <f t="shared" si="25"/>
        <v>0</v>
      </c>
      <c r="F125" s="10">
        <f>D125+'[1]2025 Φεβρουάριος'!F125</f>
        <v>17.899999999999999</v>
      </c>
      <c r="G125" s="15">
        <f t="shared" si="26"/>
        <v>3.995790802716422E-4</v>
      </c>
      <c r="H125" s="14"/>
      <c r="I125" s="29" t="e">
        <f t="shared" si="27"/>
        <v>#DIV/0!</v>
      </c>
      <c r="J125" s="10"/>
      <c r="K125" s="10" t="e">
        <f t="shared" si="28"/>
        <v>#DIV/0!</v>
      </c>
      <c r="L125" s="14">
        <f>'[1]2024_60-69 ΕΞΟΔΑ+ΟΜ 2'!F74</f>
        <v>0</v>
      </c>
      <c r="M125" s="15">
        <f t="shared" si="29"/>
        <v>0</v>
      </c>
      <c r="N125" s="10">
        <f>L125+'[1]2025 Φεβρουάριος'!N125</f>
        <v>17.38</v>
      </c>
      <c r="O125" s="15">
        <f t="shared" si="30"/>
        <v>4.0221174805437585E-4</v>
      </c>
      <c r="P125" s="10"/>
      <c r="Q125" s="30" t="e">
        <f t="shared" si="24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2'!F83</f>
        <v>0</v>
      </c>
      <c r="E126" s="15">
        <f t="shared" si="25"/>
        <v>0</v>
      </c>
      <c r="F126" s="10">
        <f>D126+'[1]2025 Φεβρουάριος'!F126</f>
        <v>0</v>
      </c>
      <c r="G126" s="15">
        <f t="shared" si="26"/>
        <v>0</v>
      </c>
      <c r="H126" s="14"/>
      <c r="I126" s="29" t="e">
        <f t="shared" si="27"/>
        <v>#DIV/0!</v>
      </c>
      <c r="J126" s="10"/>
      <c r="K126" s="10" t="e">
        <f t="shared" si="28"/>
        <v>#DIV/0!</v>
      </c>
      <c r="L126" s="14">
        <f>'[1]2024_60-69 ΕΞΟΔΑ+ΟΜ 2'!F75</f>
        <v>34.75</v>
      </c>
      <c r="M126" s="15">
        <f t="shared" si="29"/>
        <v>3.6115828398369547E-3</v>
      </c>
      <c r="N126" s="10">
        <f>L126+'[1]2025 Φεβρουάριος'!N126</f>
        <v>34.75</v>
      </c>
      <c r="O126" s="15">
        <f t="shared" si="30"/>
        <v>8.0419207392920381E-4</v>
      </c>
      <c r="P126" s="10"/>
      <c r="Q126" s="30" t="e">
        <f t="shared" si="24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2'!F84</f>
        <v>30.8</v>
      </c>
      <c r="E127" s="15">
        <f t="shared" si="25"/>
        <v>3.8898024030896141E-3</v>
      </c>
      <c r="F127" s="10">
        <f>D127+'[1]2025 Φεβρουάριος'!F127</f>
        <v>100.3</v>
      </c>
      <c r="G127" s="15">
        <f t="shared" si="26"/>
        <v>2.2389822207399841E-3</v>
      </c>
      <c r="H127" s="14"/>
      <c r="I127" s="29" t="e">
        <f t="shared" si="27"/>
        <v>#DIV/0!</v>
      </c>
      <c r="J127" s="10"/>
      <c r="K127" s="10" t="e">
        <f t="shared" si="28"/>
        <v>#DIV/0!</v>
      </c>
      <c r="L127" s="14">
        <f>'[1]2024_60-69 ΕΞΟΔΑ+ΟΜ 2'!F76</f>
        <v>0</v>
      </c>
      <c r="M127" s="15">
        <f t="shared" si="29"/>
        <v>0</v>
      </c>
      <c r="N127" s="10">
        <f>L127+'[1]2025 Φεβρουάριος'!N127</f>
        <v>69.5</v>
      </c>
      <c r="O127" s="15">
        <f t="shared" si="30"/>
        <v>1.6083841478584076E-3</v>
      </c>
      <c r="P127" s="10"/>
      <c r="Q127" s="30" t="e">
        <f t="shared" si="24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2'!F85</f>
        <v>151.55000000000001</v>
      </c>
      <c r="E128" s="15">
        <f t="shared" si="25"/>
        <v>1.9139595915202305E-2</v>
      </c>
      <c r="F128" s="10">
        <f>D128+'[1]2025 Φεβρουάριος'!F128</f>
        <v>151.55000000000001</v>
      </c>
      <c r="G128" s="15">
        <f t="shared" si="26"/>
        <v>3.3830284701210829E-3</v>
      </c>
      <c r="H128" s="14"/>
      <c r="I128" s="29" t="e">
        <f t="shared" si="27"/>
        <v>#DIV/0!</v>
      </c>
      <c r="J128" s="10"/>
      <c r="K128" s="10" t="e">
        <f t="shared" si="28"/>
        <v>#DIV/0!</v>
      </c>
      <c r="L128" s="14">
        <f>'[1]2024_60-69 ΕΞΟΔΑ+ΟΜ 2'!F77</f>
        <v>0</v>
      </c>
      <c r="M128" s="15">
        <f t="shared" si="29"/>
        <v>0</v>
      </c>
      <c r="N128" s="10">
        <f>L128+'[1]2025 Φεβρουάριος'!N128</f>
        <v>0</v>
      </c>
      <c r="O128" s="15">
        <f t="shared" si="30"/>
        <v>0</v>
      </c>
      <c r="P128" s="10"/>
      <c r="Q128" s="30" t="e">
        <f t="shared" si="24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2'!F86</f>
        <v>14.17</v>
      </c>
      <c r="E129" s="15">
        <f t="shared" si="25"/>
        <v>1.7895616899928515E-3</v>
      </c>
      <c r="F129" s="10">
        <f>D129+'[1]2025 Φεβρουάριος'!F129</f>
        <v>14.17</v>
      </c>
      <c r="G129" s="15">
        <f t="shared" si="26"/>
        <v>3.1631483617034471E-4</v>
      </c>
      <c r="H129" s="14"/>
      <c r="I129" s="29" t="e">
        <f t="shared" si="27"/>
        <v>#DIV/0!</v>
      </c>
      <c r="J129" s="10"/>
      <c r="K129" s="10" t="e">
        <f t="shared" si="28"/>
        <v>#DIV/0!</v>
      </c>
      <c r="L129" s="14">
        <f>'[1]2024_60-69 ΕΞΟΔΑ+ΟΜ 2'!F78</f>
        <v>0</v>
      </c>
      <c r="M129" s="15">
        <f t="shared" si="29"/>
        <v>0</v>
      </c>
      <c r="N129" s="10">
        <f>L129+'[1]2025 Φεβρουάριος'!N129</f>
        <v>0</v>
      </c>
      <c r="O129" s="15">
        <f t="shared" si="30"/>
        <v>0</v>
      </c>
      <c r="P129" s="10"/>
      <c r="Q129" s="30" t="e">
        <f t="shared" si="24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2'!F87</f>
        <v>11.08</v>
      </c>
      <c r="E130" s="15">
        <f t="shared" si="25"/>
        <v>1.3993185268257441E-3</v>
      </c>
      <c r="F130" s="10">
        <f>D130+'[1]2025 Φεβρουάριος'!F130</f>
        <v>11.08</v>
      </c>
      <c r="G130" s="15">
        <f t="shared" si="26"/>
        <v>2.473372184027819E-4</v>
      </c>
      <c r="H130" s="14"/>
      <c r="I130" s="29" t="e">
        <f t="shared" si="27"/>
        <v>#DIV/0!</v>
      </c>
      <c r="J130" s="10"/>
      <c r="K130" s="10" t="e">
        <f t="shared" si="28"/>
        <v>#DIV/0!</v>
      </c>
      <c r="L130" s="14">
        <f>'[1]2024_60-69 ΕΞΟΔΑ+ΟΜ 2'!F79</f>
        <v>71.5</v>
      </c>
      <c r="M130" s="15">
        <f t="shared" si="29"/>
        <v>7.4310265625422232E-3</v>
      </c>
      <c r="N130" s="10">
        <f>L130+'[1]2025 Φεβρουάριος'!N130</f>
        <v>71.5</v>
      </c>
      <c r="O130" s="15">
        <f t="shared" si="30"/>
        <v>1.654668583768002E-3</v>
      </c>
      <c r="P130" s="10"/>
      <c r="Q130" s="30" t="e">
        <f t="shared" si="24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2'!F88</f>
        <v>13.02</v>
      </c>
      <c r="E131" s="15">
        <f t="shared" si="25"/>
        <v>1.644325561306064E-3</v>
      </c>
      <c r="F131" s="10">
        <f>D131+'[1]2025 Φεβρουάριος'!F131</f>
        <v>84.02</v>
      </c>
      <c r="G131" s="15">
        <f t="shared" si="26"/>
        <v>1.8755661633756077E-3</v>
      </c>
      <c r="H131" s="14"/>
      <c r="I131" s="29" t="e">
        <f t="shared" si="27"/>
        <v>#DIV/0!</v>
      </c>
      <c r="J131" s="10"/>
      <c r="K131" s="10" t="e">
        <f t="shared" si="28"/>
        <v>#DIV/0!</v>
      </c>
      <c r="L131" s="14">
        <f>'[1]2024_60-69 ΕΞΟΔΑ+ΟΜ 2'!F80</f>
        <v>133.29</v>
      </c>
      <c r="M131" s="15">
        <f t="shared" si="29"/>
        <v>1.3852888538758781E-2</v>
      </c>
      <c r="N131" s="10">
        <f>L131+'[1]2025 Φεβρουάριος'!N131</f>
        <v>209.29</v>
      </c>
      <c r="O131" s="15">
        <f t="shared" si="30"/>
        <v>4.8434347957595127E-3</v>
      </c>
      <c r="P131" s="10"/>
      <c r="Q131" s="30" t="e">
        <f t="shared" si="24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2'!F89</f>
        <v>300.63</v>
      </c>
      <c r="E132" s="15">
        <f t="shared" si="25"/>
        <v>3.7967249884442555E-2</v>
      </c>
      <c r="F132" s="10">
        <f>D132+'[1]2025 Φεβρουάριος'!F132</f>
        <v>582.70000000000005</v>
      </c>
      <c r="G132" s="15">
        <f t="shared" si="26"/>
        <v>1.300752681979251E-2</v>
      </c>
      <c r="H132" s="14"/>
      <c r="I132" s="29" t="e">
        <f t="shared" si="27"/>
        <v>#DIV/0!</v>
      </c>
      <c r="J132" s="10"/>
      <c r="K132" s="10" t="e">
        <f t="shared" si="28"/>
        <v>#DIV/0!</v>
      </c>
      <c r="L132" s="14">
        <f>'[1]2024_60-69 ΕΞΟΔΑ+ΟΜ 2'!F81</f>
        <v>18.190000000000001</v>
      </c>
      <c r="M132" s="15">
        <f t="shared" si="29"/>
        <v>1.8904947296873155E-3</v>
      </c>
      <c r="N132" s="10">
        <f>L132+'[1]2025 Φεβρουάριος'!N132</f>
        <v>207.37</v>
      </c>
      <c r="O132" s="15">
        <f t="shared" si="30"/>
        <v>4.7990017372863021E-3</v>
      </c>
      <c r="P132" s="10"/>
      <c r="Q132" s="30" t="e">
        <f t="shared" si="24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2'!F90</f>
        <v>4.08</v>
      </c>
      <c r="E133" s="15">
        <f t="shared" si="25"/>
        <v>5.1527252612355921E-4</v>
      </c>
      <c r="F133" s="10">
        <f>D133+'[1]2025 Φεβρουάριος'!F133</f>
        <v>39.9</v>
      </c>
      <c r="G133" s="15">
        <f t="shared" si="26"/>
        <v>8.9068186049377231E-4</v>
      </c>
      <c r="H133" s="14"/>
      <c r="I133" s="29" t="e">
        <f t="shared" si="27"/>
        <v>#DIV/0!</v>
      </c>
      <c r="J133" s="10"/>
      <c r="K133" s="10" t="e">
        <f t="shared" si="28"/>
        <v>#DIV/0!</v>
      </c>
      <c r="L133" s="14">
        <f>'[1]2024_60-69 ΕΞΟΔΑ+ΟΜ 2'!F82</f>
        <v>32.130000000000003</v>
      </c>
      <c r="M133" s="15">
        <f t="shared" si="29"/>
        <v>3.3392850832794636E-3</v>
      </c>
      <c r="N133" s="10">
        <f>L133+'[1]2025 Φεβρουάριος'!N133</f>
        <v>18.940000000000005</v>
      </c>
      <c r="O133" s="15">
        <f t="shared" si="30"/>
        <v>4.383136080638597E-4</v>
      </c>
      <c r="P133" s="10"/>
      <c r="Q133" s="30" t="e">
        <f t="shared" si="24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2'!F91</f>
        <v>0</v>
      </c>
      <c r="E134" s="15">
        <f t="shared" si="25"/>
        <v>0</v>
      </c>
      <c r="F134" s="10">
        <f>D134+'[1]2025 Φεβρουάριος'!F134</f>
        <v>10.28</v>
      </c>
      <c r="G134" s="15">
        <f t="shared" si="26"/>
        <v>2.2947893548561351E-4</v>
      </c>
      <c r="H134" s="14"/>
      <c r="I134" s="29" t="e">
        <f t="shared" si="27"/>
        <v>#DIV/0!</v>
      </c>
      <c r="J134" s="10"/>
      <c r="K134" s="10" t="e">
        <f t="shared" si="28"/>
        <v>#DIV/0!</v>
      </c>
      <c r="L134" s="14">
        <f>'[1]2024_60-69 ΕΞΟΔΑ+ΟΜ 2'!F83</f>
        <v>17.61</v>
      </c>
      <c r="M134" s="15">
        <f t="shared" si="29"/>
        <v>1.8302150736555043E-3</v>
      </c>
      <c r="N134" s="10">
        <f>L134+'[1]2025 Φεβρουάριος'!N134</f>
        <v>21.38</v>
      </c>
      <c r="O134" s="15">
        <f t="shared" si="30"/>
        <v>4.9478061987356481E-4</v>
      </c>
      <c r="P134" s="10"/>
      <c r="Q134" s="30" t="e">
        <f t="shared" si="24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2'!F92</f>
        <v>0</v>
      </c>
      <c r="E135" s="15">
        <f t="shared" si="25"/>
        <v>0</v>
      </c>
      <c r="F135" s="10">
        <f>D135+'[1]2025 Φεβρουάριος'!F135</f>
        <v>22.48</v>
      </c>
      <c r="G135" s="15">
        <f t="shared" si="26"/>
        <v>5.0181774997243116E-4</v>
      </c>
      <c r="H135" s="14"/>
      <c r="I135" s="29" t="e">
        <f t="shared" si="27"/>
        <v>#DIV/0!</v>
      </c>
      <c r="J135" s="10"/>
      <c r="K135" s="10" t="e">
        <f t="shared" si="28"/>
        <v>#DIV/0!</v>
      </c>
      <c r="L135" s="14">
        <f>'[1]2024_60-69 ΕΞΟΔΑ+ΟΜ 2'!F84</f>
        <v>306.44</v>
      </c>
      <c r="M135" s="15">
        <f t="shared" si="29"/>
        <v>3.1848444473083062E-2</v>
      </c>
      <c r="N135" s="10">
        <f>L135+'[1]2025 Φεβρουάριος'!N135</f>
        <v>333.64</v>
      </c>
      <c r="O135" s="15">
        <f t="shared" si="30"/>
        <v>7.7211695984385478E-3</v>
      </c>
      <c r="P135" s="10"/>
      <c r="Q135" s="30" t="e">
        <f t="shared" si="24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2'!F93</f>
        <v>0</v>
      </c>
      <c r="E136" s="15">
        <f t="shared" si="25"/>
        <v>0</v>
      </c>
      <c r="F136" s="10">
        <f>D136+'[1]2025 Φεβρουάριος'!F136</f>
        <v>529.69000000000005</v>
      </c>
      <c r="G136" s="15">
        <f t="shared" si="26"/>
        <v>1.1824192347993642E-2</v>
      </c>
      <c r="H136" s="14"/>
      <c r="I136" s="29" t="e">
        <f t="shared" si="27"/>
        <v>#DIV/0!</v>
      </c>
      <c r="J136" s="10"/>
      <c r="K136" s="10" t="e">
        <f t="shared" si="28"/>
        <v>#DIV/0!</v>
      </c>
      <c r="L136" s="14">
        <f>'[1]2024_60-69 ΕΞΟΔΑ+ΟΜ 2'!F85</f>
        <v>0</v>
      </c>
      <c r="M136" s="15">
        <f t="shared" si="29"/>
        <v>0</v>
      </c>
      <c r="N136" s="10">
        <f>L136+'[1]2025 Φεβρουάριος'!N136</f>
        <v>458.38</v>
      </c>
      <c r="O136" s="15">
        <f t="shared" si="30"/>
        <v>1.0607929866119956E-2</v>
      </c>
      <c r="P136" s="10"/>
      <c r="Q136" s="30" t="e">
        <f t="shared" si="24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2'!F94</f>
        <v>0</v>
      </c>
      <c r="E137" s="15">
        <f t="shared" si="25"/>
        <v>0</v>
      </c>
      <c r="F137" s="10">
        <f>D137+'[1]2025 Φεβρουάριος'!F137</f>
        <v>8.0500000000000007</v>
      </c>
      <c r="G137" s="15">
        <f t="shared" si="26"/>
        <v>1.7969897185400672E-4</v>
      </c>
      <c r="H137" s="14"/>
      <c r="I137" s="29" t="e">
        <f t="shared" si="27"/>
        <v>#DIV/0!</v>
      </c>
      <c r="J137" s="10"/>
      <c r="K137" s="10" t="e">
        <f t="shared" si="28"/>
        <v>#DIV/0!</v>
      </c>
      <c r="L137" s="14">
        <f>'[1]2024_60-69 ΕΞΟΔΑ+ΟΜ 2'!F86</f>
        <v>0</v>
      </c>
      <c r="M137" s="15">
        <f t="shared" si="29"/>
        <v>0</v>
      </c>
      <c r="N137" s="10">
        <f>L137+'[1]2025 Φεβρουάριος'!N137</f>
        <v>28.63</v>
      </c>
      <c r="O137" s="15">
        <f t="shared" si="30"/>
        <v>6.6256170004584474E-4</v>
      </c>
      <c r="P137" s="10"/>
      <c r="Q137" s="30" t="e">
        <f t="shared" si="24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2'!F95</f>
        <v>0</v>
      </c>
      <c r="E138" s="15">
        <f t="shared" si="25"/>
        <v>0</v>
      </c>
      <c r="F138" s="10">
        <f>D138+'[1]2025 Φεβρουάριος'!F138</f>
        <v>224.75</v>
      </c>
      <c r="G138" s="15">
        <f t="shared" si="26"/>
        <v>5.0170613570419886E-3</v>
      </c>
      <c r="H138" s="14"/>
      <c r="I138" s="29" t="e">
        <f t="shared" si="27"/>
        <v>#DIV/0!</v>
      </c>
      <c r="J138" s="10"/>
      <c r="K138" s="10" t="e">
        <f t="shared" si="28"/>
        <v>#DIV/0!</v>
      </c>
      <c r="L138" s="14">
        <f>'[1]2024_60-69 ΕΞΟΔΑ+ΟΜ 2'!F87</f>
        <v>0</v>
      </c>
      <c r="M138" s="15">
        <f t="shared" si="29"/>
        <v>0</v>
      </c>
      <c r="N138" s="10">
        <f>L138+'[1]2025 Φεβρουάριος'!N138</f>
        <v>316.24</v>
      </c>
      <c r="O138" s="15">
        <f t="shared" si="30"/>
        <v>7.3184950060250767E-3</v>
      </c>
      <c r="P138" s="10"/>
      <c r="Q138" s="30" t="e">
        <f t="shared" si="24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2'!F96</f>
        <v>950</v>
      </c>
      <c r="E139" s="15">
        <f t="shared" si="25"/>
        <v>0.11997767152386796</v>
      </c>
      <c r="F139" s="10">
        <f>D139+'[1]2025 Φεβρουάριος'!F139</f>
        <v>950</v>
      </c>
      <c r="G139" s="15">
        <f t="shared" si="26"/>
        <v>2.1206710964137437E-2</v>
      </c>
      <c r="H139" s="14"/>
      <c r="I139" s="29" t="e">
        <f t="shared" si="27"/>
        <v>#DIV/0!</v>
      </c>
      <c r="J139" s="10"/>
      <c r="K139" s="10" t="e">
        <f t="shared" si="28"/>
        <v>#DIV/0!</v>
      </c>
      <c r="L139" s="14">
        <f>'[1]2024_60-69 ΕΞΟΔΑ+ΟΜ 2'!F88</f>
        <v>0</v>
      </c>
      <c r="M139" s="15">
        <f t="shared" si="29"/>
        <v>0</v>
      </c>
      <c r="N139" s="10">
        <f>L139+'[1]2025 Φεβρουάριος'!N139</f>
        <v>0</v>
      </c>
      <c r="O139" s="15">
        <f t="shared" si="30"/>
        <v>0</v>
      </c>
      <c r="P139" s="10"/>
      <c r="Q139" s="30" t="e">
        <f t="shared" si="24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2'!F97</f>
        <v>2570.94</v>
      </c>
      <c r="E140" s="15">
        <f t="shared" si="25"/>
        <v>0.32468988929218223</v>
      </c>
      <c r="F140" s="10">
        <f>D140+'[1]2025 Φεβρουάριος'!F140</f>
        <v>2570.94</v>
      </c>
      <c r="G140" s="15">
        <f t="shared" si="26"/>
        <v>5.7390717353831056E-2</v>
      </c>
      <c r="H140" s="14"/>
      <c r="I140" s="29" t="e">
        <f t="shared" si="27"/>
        <v>#DIV/0!</v>
      </c>
      <c r="J140" s="10"/>
      <c r="K140" s="10" t="e">
        <f t="shared" si="28"/>
        <v>#DIV/0!</v>
      </c>
      <c r="L140" s="14">
        <f>'[1]2024_60-69 ΕΞΟΔΑ+ΟΜ 2'!F89</f>
        <v>0</v>
      </c>
      <c r="M140" s="15">
        <f t="shared" si="29"/>
        <v>0</v>
      </c>
      <c r="N140" s="10">
        <f>L140+'[1]2025 Φεβρουάριος'!N140</f>
        <v>0</v>
      </c>
      <c r="O140" s="15">
        <f t="shared" si="30"/>
        <v>0</v>
      </c>
      <c r="P140" s="10"/>
      <c r="Q140" s="30" t="e">
        <f t="shared" si="24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2'!F98</f>
        <v>627.01</v>
      </c>
      <c r="E141" s="15">
        <f t="shared" si="25"/>
        <v>7.9186526128611004E-2</v>
      </c>
      <c r="F141" s="10">
        <f>D141+'[1]2025 Φεβρουάριος'!F141</f>
        <v>627.01</v>
      </c>
      <c r="G141" s="15">
        <f t="shared" si="26"/>
        <v>1.3996652464867173E-2</v>
      </c>
      <c r="H141" s="14"/>
      <c r="I141" s="29" t="e">
        <f t="shared" si="27"/>
        <v>#DIV/0!</v>
      </c>
      <c r="J141" s="10"/>
      <c r="K141" s="10" t="e">
        <f t="shared" si="28"/>
        <v>#DIV/0!</v>
      </c>
      <c r="L141" s="14">
        <f>'[1]2024_60-69 ΕΞΟΔΑ+ΟΜ 2'!F90</f>
        <v>0</v>
      </c>
      <c r="M141" s="15">
        <f t="shared" si="29"/>
        <v>0</v>
      </c>
      <c r="N141" s="10">
        <f>L141+'[1]2025 Φεβρουάριος'!N141</f>
        <v>0</v>
      </c>
      <c r="O141" s="15">
        <f t="shared" si="30"/>
        <v>0</v>
      </c>
      <c r="P141" s="10"/>
      <c r="Q141" s="30" t="e">
        <f t="shared" si="24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2'!F99</f>
        <v>68.77</v>
      </c>
      <c r="E142" s="15">
        <f t="shared" si="25"/>
        <v>8.6851204954698936E-3</v>
      </c>
      <c r="F142" s="10">
        <f>D142+'[1]2025 Φεβρουάριος'!F142</f>
        <v>557.30999999999995</v>
      </c>
      <c r="G142" s="15">
        <f t="shared" si="26"/>
        <v>1.2440749565708877E-2</v>
      </c>
      <c r="H142" s="14"/>
      <c r="I142" s="29" t="e">
        <f t="shared" si="27"/>
        <v>#DIV/0!</v>
      </c>
      <c r="J142" s="10"/>
      <c r="K142" s="10" t="e">
        <f t="shared" si="28"/>
        <v>#DIV/0!</v>
      </c>
      <c r="L142" s="14">
        <f>'[1]2024_60-69 ΕΞΟΔΑ+ΟΜ 2'!F91</f>
        <v>700</v>
      </c>
      <c r="M142" s="15">
        <f t="shared" si="29"/>
        <v>7.2751309003909873E-2</v>
      </c>
      <c r="N142" s="10">
        <f>L142+'[1]2025 Φεβρουάριος'!N142</f>
        <v>700</v>
      </c>
      <c r="O142" s="15">
        <f t="shared" si="30"/>
        <v>1.6199552568358061E-2</v>
      </c>
      <c r="P142" s="10"/>
      <c r="Q142" s="30" t="e">
        <f t="shared" si="24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2'!F100</f>
        <v>0</v>
      </c>
      <c r="E143" s="15">
        <f t="shared" si="25"/>
        <v>0</v>
      </c>
      <c r="F143" s="10">
        <f>D143+'[1]2025 Φεβρουάριος'!F143</f>
        <v>2582.73</v>
      </c>
      <c r="G143" s="15">
        <f t="shared" si="26"/>
        <v>5.7653903798322824E-2</v>
      </c>
      <c r="H143" s="14"/>
      <c r="I143" s="29" t="e">
        <f t="shared" si="27"/>
        <v>#DIV/0!</v>
      </c>
      <c r="J143" s="10"/>
      <c r="K143" s="10" t="e">
        <f t="shared" si="28"/>
        <v>#DIV/0!</v>
      </c>
      <c r="L143" s="14">
        <f>'[1]2024_60-69 ΕΞΟΔΑ+ΟΜ 2'!F92</f>
        <v>716.15</v>
      </c>
      <c r="M143" s="15">
        <f t="shared" si="29"/>
        <v>7.442978563307151E-2</v>
      </c>
      <c r="N143" s="10">
        <f>L143+'[1]2025 Φεβρουάριος'!N143</f>
        <v>2116.15</v>
      </c>
      <c r="O143" s="15">
        <f t="shared" si="30"/>
        <v>4.8972404525044165E-2</v>
      </c>
      <c r="P143" s="10"/>
      <c r="Q143" s="30" t="e">
        <f t="shared" si="24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2'!F101</f>
        <v>0</v>
      </c>
      <c r="E144" s="15">
        <f t="shared" si="25"/>
        <v>0</v>
      </c>
      <c r="F144" s="10">
        <f>D144+'[1]2025 Φεβρουάριος'!F144</f>
        <v>1074.5800000000002</v>
      </c>
      <c r="G144" s="15">
        <f t="shared" si="26"/>
        <v>2.3987692071413484E-2</v>
      </c>
      <c r="H144" s="14"/>
      <c r="I144" s="29" t="e">
        <f t="shared" si="27"/>
        <v>#DIV/0!</v>
      </c>
      <c r="J144" s="10"/>
      <c r="K144" s="10" t="e">
        <f t="shared" si="28"/>
        <v>#DIV/0!</v>
      </c>
      <c r="L144" s="14">
        <f>'[1]2024_60-69 ΕΞΟΔΑ+ΟΜ 2'!F93</f>
        <v>301.91000000000003</v>
      </c>
      <c r="M144" s="15">
        <f t="shared" si="29"/>
        <v>3.137763957338633E-2</v>
      </c>
      <c r="N144" s="10">
        <f>L144+'[1]2025 Φεβρουάριος'!N144</f>
        <v>1986.18</v>
      </c>
      <c r="O144" s="15">
        <f t="shared" si="30"/>
        <v>4.5964610457459164E-2</v>
      </c>
      <c r="P144" s="10"/>
      <c r="Q144" s="30" t="e">
        <f t="shared" si="24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2'!F102</f>
        <v>606.23</v>
      </c>
      <c r="E145" s="15">
        <f t="shared" si="25"/>
        <v>7.6562172429383665E-2</v>
      </c>
      <c r="F145" s="10">
        <f>D145+'[1]2025 Φεβρουάριος'!F145</f>
        <v>1774.9</v>
      </c>
      <c r="G145" s="15">
        <f t="shared" si="26"/>
        <v>3.9620832937102668E-2</v>
      </c>
      <c r="H145" s="14"/>
      <c r="I145" s="29" t="e">
        <f t="shared" si="27"/>
        <v>#DIV/0!</v>
      </c>
      <c r="J145" s="10"/>
      <c r="K145" s="10" t="e">
        <f t="shared" si="28"/>
        <v>#DIV/0!</v>
      </c>
      <c r="L145" s="14">
        <f>'[1]2024_60-69 ΕΞΟΔΑ+ΟΜ 2'!F94</f>
        <v>126.45</v>
      </c>
      <c r="M145" s="15">
        <f t="shared" si="29"/>
        <v>1.3142004319349148E-2</v>
      </c>
      <c r="N145" s="10">
        <f>L145+'[1]2025 Φεβρουάριος'!N145</f>
        <v>211.39</v>
      </c>
      <c r="O145" s="15">
        <f t="shared" si="30"/>
        <v>4.8920334534645867E-3</v>
      </c>
      <c r="P145" s="10"/>
      <c r="Q145" s="30" t="e">
        <f t="shared" si="24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2'!F103</f>
        <v>0</v>
      </c>
      <c r="E146" s="15">
        <f t="shared" si="25"/>
        <v>0</v>
      </c>
      <c r="F146" s="10">
        <f>D146+'[1]2025 Φεβρουάριος'!F146</f>
        <v>145.41</v>
      </c>
      <c r="G146" s="15">
        <f t="shared" si="26"/>
        <v>3.2459661487318154E-3</v>
      </c>
      <c r="H146" s="14"/>
      <c r="I146" s="29" t="e">
        <f t="shared" si="27"/>
        <v>#DIV/0!</v>
      </c>
      <c r="J146" s="10"/>
      <c r="K146" s="10" t="e">
        <f t="shared" si="28"/>
        <v>#DIV/0!</v>
      </c>
      <c r="L146" s="14">
        <f>'[1]2024_60-69 ΕΞΟΔΑ+ΟΜ 2'!F95</f>
        <v>0</v>
      </c>
      <c r="M146" s="15">
        <f t="shared" si="29"/>
        <v>0</v>
      </c>
      <c r="N146" s="10">
        <f>L146+'[1]2025 Φεβρουάριος'!N146</f>
        <v>157.87</v>
      </c>
      <c r="O146" s="15">
        <f t="shared" si="30"/>
        <v>3.6534619485238391E-3</v>
      </c>
      <c r="P146" s="10"/>
      <c r="Q146" s="30" t="e">
        <f t="shared" si="24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2'!F104</f>
        <v>425.62</v>
      </c>
      <c r="E147" s="15">
        <f t="shared" si="25"/>
        <v>5.3752522688409139E-2</v>
      </c>
      <c r="F147" s="10">
        <f>D147+'[1]2025 Φεβρουάριος'!F147</f>
        <v>425.62</v>
      </c>
      <c r="G147" s="15">
        <f t="shared" si="26"/>
        <v>9.5010529690065012E-3</v>
      </c>
      <c r="H147" s="14"/>
      <c r="I147" s="29" t="e">
        <f t="shared" si="27"/>
        <v>#DIV/0!</v>
      </c>
      <c r="J147" s="10"/>
      <c r="K147" s="10" t="e">
        <f t="shared" si="28"/>
        <v>#DIV/0!</v>
      </c>
      <c r="L147" s="14">
        <f>'[1]2024_60-69 ΕΞΟΔΑ+ΟΜ 2'!F96</f>
        <v>0</v>
      </c>
      <c r="M147" s="15">
        <f t="shared" si="29"/>
        <v>0</v>
      </c>
      <c r="N147" s="10">
        <f>L147+'[1]2025 Φεβρουάριος'!N147</f>
        <v>0</v>
      </c>
      <c r="O147" s="15">
        <f t="shared" si="30"/>
        <v>0</v>
      </c>
      <c r="P147" s="10"/>
      <c r="Q147" s="30" t="e">
        <f t="shared" si="24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2'!F105</f>
        <v>0</v>
      </c>
      <c r="E148" s="15">
        <f t="shared" si="25"/>
        <v>0</v>
      </c>
      <c r="F148" s="10">
        <f>D148+'[1]2025 Φεβρουάριος'!F148</f>
        <v>0</v>
      </c>
      <c r="G148" s="15">
        <f t="shared" si="26"/>
        <v>0</v>
      </c>
      <c r="H148" s="14"/>
      <c r="I148" s="29" t="e">
        <f t="shared" si="27"/>
        <v>#DIV/0!</v>
      </c>
      <c r="J148" s="10"/>
      <c r="K148" s="10" t="e">
        <f t="shared" si="28"/>
        <v>#DIV/0!</v>
      </c>
      <c r="L148" s="14">
        <f>'[1]2024_60-69 ΕΞΟΔΑ+ΟΜ 2'!F97</f>
        <v>931.67000000000007</v>
      </c>
      <c r="M148" s="15">
        <f t="shared" si="29"/>
        <v>9.6828874370961035E-2</v>
      </c>
      <c r="N148" s="10">
        <f>L148+'[1]2025 Φεβρουάριος'!N148</f>
        <v>931.67000000000007</v>
      </c>
      <c r="O148" s="15">
        <f t="shared" si="30"/>
        <v>2.1560910201945938E-2</v>
      </c>
      <c r="P148" s="10"/>
      <c r="Q148" s="30" t="e">
        <f t="shared" si="24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2'!F106</f>
        <v>777.67000000000007</v>
      </c>
      <c r="E149" s="15">
        <f t="shared" si="25"/>
        <v>9.821372190943832E-2</v>
      </c>
      <c r="F149" s="10">
        <f>D149+'[1]2025 Φεβρουάριος'!F149</f>
        <v>2002.4900000000002</v>
      </c>
      <c r="G149" s="15">
        <f t="shared" si="26"/>
        <v>4.4701291198500609E-2</v>
      </c>
      <c r="H149" s="14"/>
      <c r="I149" s="29" t="e">
        <f t="shared" si="27"/>
        <v>#DIV/0!</v>
      </c>
      <c r="J149" s="10"/>
      <c r="K149" s="10" t="e">
        <f t="shared" si="28"/>
        <v>#DIV/0!</v>
      </c>
      <c r="L149" s="14">
        <f>'[1]2024_60-69 ΕΞΟΔΑ+ΟΜ 2'!F98</f>
        <v>0</v>
      </c>
      <c r="M149" s="15">
        <f t="shared" si="29"/>
        <v>0</v>
      </c>
      <c r="N149" s="10">
        <f>L149+'[1]2025 Φεβρουάριος'!N149</f>
        <v>1445.9</v>
      </c>
      <c r="O149" s="15">
        <f t="shared" si="30"/>
        <v>3.3461332940841318E-2</v>
      </c>
      <c r="P149" s="10"/>
      <c r="Q149" s="30" t="e">
        <f t="shared" si="24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2'!F107</f>
        <v>77.55</v>
      </c>
      <c r="E150" s="15">
        <f t="shared" si="25"/>
        <v>9.7939667649220626E-3</v>
      </c>
      <c r="F150" s="10">
        <f>D150+'[1]2025 Φεβρουάριος'!F150</f>
        <v>77.55</v>
      </c>
      <c r="G150" s="15">
        <f t="shared" si="26"/>
        <v>1.7311373002830085E-3</v>
      </c>
      <c r="H150" s="14"/>
      <c r="I150" s="29" t="e">
        <f t="shared" si="27"/>
        <v>#DIV/0!</v>
      </c>
      <c r="J150" s="10"/>
      <c r="K150" s="10" t="e">
        <f t="shared" si="28"/>
        <v>#DIV/0!</v>
      </c>
      <c r="L150" s="14">
        <f>'[1]2024_60-69 ΕΞΟΔΑ+ΟΜ 2'!F99</f>
        <v>0</v>
      </c>
      <c r="M150" s="15">
        <f t="shared" si="29"/>
        <v>0</v>
      </c>
      <c r="N150" s="10">
        <f>L150+'[1]2025 Φεβρουάριος'!N150</f>
        <v>0</v>
      </c>
      <c r="O150" s="15">
        <f t="shared" si="30"/>
        <v>0</v>
      </c>
      <c r="P150" s="10"/>
      <c r="Q150" s="30" t="e">
        <f t="shared" si="24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2'!F108</f>
        <v>0</v>
      </c>
      <c r="E151" s="15">
        <f t="shared" si="25"/>
        <v>0</v>
      </c>
      <c r="F151" s="10">
        <f>D151+'[1]2025 Φεβρουάριος'!F151</f>
        <v>1135.1500000000001</v>
      </c>
      <c r="G151" s="15">
        <f t="shared" si="26"/>
        <v>2.5339787316779591E-2</v>
      </c>
      <c r="H151" s="14"/>
      <c r="I151" s="29" t="e">
        <f t="shared" si="27"/>
        <v>#DIV/0!</v>
      </c>
      <c r="J151" s="10"/>
      <c r="K151" s="10" t="e">
        <f t="shared" si="28"/>
        <v>#DIV/0!</v>
      </c>
      <c r="L151" s="14">
        <f>'[1]2024_60-69 ΕΞΟΔΑ+ΟΜ 2'!F100</f>
        <v>1025.42</v>
      </c>
      <c r="M151" s="15">
        <f t="shared" si="29"/>
        <v>0.10657235325541325</v>
      </c>
      <c r="N151" s="10">
        <f>L151+'[1]2025 Φεβρουάριος'!N151</f>
        <v>1581.64</v>
      </c>
      <c r="O151" s="15">
        <f t="shared" si="30"/>
        <v>3.6602657606025497E-2</v>
      </c>
      <c r="P151" s="10"/>
      <c r="Q151" s="30" t="e">
        <f t="shared" si="24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2'!F109</f>
        <v>0</v>
      </c>
      <c r="E152" s="15">
        <f t="shared" si="25"/>
        <v>0</v>
      </c>
      <c r="F152" s="10">
        <f>D152+'[1]2025 Φεβρουάριος'!F152</f>
        <v>0</v>
      </c>
      <c r="G152" s="15">
        <f t="shared" si="26"/>
        <v>0</v>
      </c>
      <c r="H152" s="14"/>
      <c r="I152" s="29" t="e">
        <f t="shared" si="27"/>
        <v>#DIV/0!</v>
      </c>
      <c r="J152" s="10"/>
      <c r="K152" s="10" t="e">
        <f t="shared" si="28"/>
        <v>#DIV/0!</v>
      </c>
      <c r="L152" s="14">
        <f>'[1]2024_60-69 ΕΞΟΔΑ+ΟΜ 2'!F101</f>
        <v>0</v>
      </c>
      <c r="M152" s="15">
        <f t="shared" si="29"/>
        <v>0</v>
      </c>
      <c r="N152" s="10">
        <f>L152+'[1]2025 Φεβρουάριος'!N152</f>
        <v>1124.3200000000002</v>
      </c>
      <c r="O152" s="15">
        <f t="shared" si="30"/>
        <v>2.6019258490937627E-2</v>
      </c>
      <c r="P152" s="10"/>
      <c r="Q152" s="30" t="e">
        <f t="shared" si="24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2'!F110</f>
        <v>0</v>
      </c>
      <c r="E153" s="15">
        <f t="shared" si="25"/>
        <v>0</v>
      </c>
      <c r="F153" s="10">
        <f>D153+'[1]2025 Φεβρουάριος'!F153</f>
        <v>1555.3400000000001</v>
      </c>
      <c r="G153" s="15">
        <f t="shared" si="26"/>
        <v>3.4719627190485811E-2</v>
      </c>
      <c r="H153" s="14"/>
      <c r="I153" s="29" t="e">
        <f t="shared" si="27"/>
        <v>#DIV/0!</v>
      </c>
      <c r="J153" s="10"/>
      <c r="K153" s="10" t="e">
        <f t="shared" si="28"/>
        <v>#DIV/0!</v>
      </c>
      <c r="L153" s="14">
        <f>'[1]2024_60-69 ΕΞΟΔΑ+ΟΜ 2'!F102</f>
        <v>868.31</v>
      </c>
      <c r="M153" s="15">
        <f t="shared" si="29"/>
        <v>9.024384160169284E-2</v>
      </c>
      <c r="N153" s="10">
        <f>L153+'[1]2025 Φεβρουάριος'!N153</f>
        <v>868.31</v>
      </c>
      <c r="O153" s="15">
        <f t="shared" si="30"/>
        <v>2.0094619272329983E-2</v>
      </c>
      <c r="P153" s="10"/>
      <c r="Q153" s="30" t="e">
        <f t="shared" si="24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2'!F73</f>
        <v>875.5</v>
      </c>
      <c r="E157" s="8"/>
      <c r="F157" s="7">
        <f>'[1]2025_60-69 ΕΞΟΔΑ+ΟΜ 2'!S73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9621.8199999999979</v>
      </c>
      <c r="M157" s="8"/>
      <c r="N157" s="7">
        <f>SUM(N117:N156)</f>
        <v>43211.07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7042.6400000000012</v>
      </c>
      <c r="E158" s="8"/>
      <c r="F158" s="7">
        <f>F116-F157</f>
        <v>44797.140000000014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D7-D78-D111-D157</f>
        <v>-18438.847728613575</v>
      </c>
      <c r="E159" s="4"/>
      <c r="F159" s="31">
        <f>F7-F78-F111-F157</f>
        <v>-74900.826637168124</v>
      </c>
      <c r="G159" s="4"/>
      <c r="H159" s="31">
        <f ca="1">H7-H78-H111-H157</f>
        <v>0</v>
      </c>
      <c r="I159" s="4"/>
      <c r="J159" s="31">
        <f ca="1">J7-J78-J111-J157</f>
        <v>73355.291055670968</v>
      </c>
      <c r="K159" s="4"/>
      <c r="L159" s="31">
        <f ca="1">L7-L78-L111-L157</f>
        <v>-34018.421946902636</v>
      </c>
      <c r="M159" s="4"/>
      <c r="N159" s="31">
        <f ca="1">N7-N78-N111-N157</f>
        <v>-208407.82495575226</v>
      </c>
      <c r="O159" s="4"/>
      <c r="P159" s="31"/>
      <c r="Q159" s="4"/>
    </row>
  </sheetData>
  <mergeCells count="33">
    <mergeCell ref="D114:F114"/>
    <mergeCell ref="H114:J114"/>
    <mergeCell ref="L114:N114"/>
    <mergeCell ref="P114:Q114"/>
    <mergeCell ref="D82:F82"/>
    <mergeCell ref="H82:J82"/>
    <mergeCell ref="L82:N82"/>
    <mergeCell ref="P82:Q82"/>
    <mergeCell ref="D113:G113"/>
    <mergeCell ref="H113:K113"/>
    <mergeCell ref="L113:O113"/>
    <mergeCell ref="P113:Q113"/>
    <mergeCell ref="D41:F41"/>
    <mergeCell ref="H41:J41"/>
    <mergeCell ref="L41:N41"/>
    <mergeCell ref="P41:Q41"/>
    <mergeCell ref="D81:G81"/>
    <mergeCell ref="H81:K81"/>
    <mergeCell ref="L81:O81"/>
    <mergeCell ref="P81:Q81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9"/>
  <sheetViews>
    <sheetView topLeftCell="A101" workbookViewId="0">
      <selection activeCell="B85" sqref="B85:B110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</row>
    <row r="2" spans="1:17" ht="41.25" customHeight="1" x14ac:dyDescent="0.25">
      <c r="A2" s="57">
        <v>1</v>
      </c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>
        <f>[1]ΑΝΤΙΣΤΟΙΧΙΣΗ!$D$34</f>
        <v>2025</v>
      </c>
      <c r="H2" s="182" t="str">
        <f>[1]ΑΝΤΙΣΤΟΙΧΙΣΗ!$F$35</f>
        <v>ΠΡΟΥΠΟΛΟΓΙΣΜΟΣ ΤΡΕΧΟΝΤΟΣ ΕΤΟΥΣ</v>
      </c>
      <c r="I2" s="182"/>
      <c r="J2" s="182"/>
      <c r="K2" s="182">
        <f>[1]ΑΝΤΙΣΤΟΙΧΙΣΗ!$D$34</f>
        <v>2025</v>
      </c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0" t="str">
        <f>[1]ΑΝΤΙΣΤΟΙΧΙΣΗ!$F$109</f>
        <v xml:space="preserve">ΑΠΡΙΛΙΟΣ ΤΡΕΧΟΝ ΕΤΟΣ </v>
      </c>
      <c r="E3" s="180"/>
      <c r="F3" s="180"/>
      <c r="G3" s="61">
        <f>[1]ΑΝΤΙΣΤΟΙΧΙΣΗ!$D$34</f>
        <v>2025</v>
      </c>
      <c r="H3" s="180" t="str">
        <f>[1]ΑΝΤΙΣΤΟΙΧΙΣΗ!$F$109</f>
        <v xml:space="preserve">ΑΠΡΙΛΙΟΣ ΤΡΕΧΟΝ ΕΤΟΣ </v>
      </c>
      <c r="I3" s="180"/>
      <c r="J3" s="180"/>
      <c r="K3" s="61">
        <f>[1]ΑΝΤΙΣΤΟΙΧΙΣΗ!$D$34</f>
        <v>2025</v>
      </c>
      <c r="L3" s="180" t="str">
        <f>[1]ΑΝΤΙΣΤΟΙΧΙΣΗ!$F$123</f>
        <v>ΑΠΡΙΛΙΟΣ ΠΡΟΗΓΟΥΜΕΝΟΥ ΕΤΟΥΣ</v>
      </c>
      <c r="M3" s="180"/>
      <c r="N3" s="180"/>
      <c r="O3" s="61">
        <f>[1]ΑΝΤΙΣΤΟΙΧΙΣΗ!$D$33</f>
        <v>2024</v>
      </c>
      <c r="P3" s="180"/>
      <c r="Q3" s="180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 ca="1">D7-D6</f>
        <v>-2245.9141887905716</v>
      </c>
      <c r="E5" s="4"/>
      <c r="F5" s="3">
        <f>F7-F6</f>
        <v>78678.199174041278</v>
      </c>
      <c r="G5" s="4"/>
      <c r="H5" s="3">
        <f ca="1">H159-H6</f>
        <v>0</v>
      </c>
      <c r="I5" s="4"/>
      <c r="J5" s="3">
        <f ca="1">J159-J6</f>
        <v>0</v>
      </c>
      <c r="K5" s="4"/>
      <c r="L5" s="3">
        <f ca="1">L7-L6</f>
        <v>262.1779646017967</v>
      </c>
      <c r="M5" s="4"/>
      <c r="N5" s="3">
        <f ca="1">N7-N6</f>
        <v>-271475.28699115058</v>
      </c>
      <c r="O5" s="4"/>
      <c r="P5" s="3">
        <f ca="1">P159-P6</f>
        <v>-10516.872831858456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 ca="1">D43+D84+D116</f>
        <v>68803.666666666672</v>
      </c>
      <c r="E6" s="4"/>
      <c r="F6" s="3">
        <f>F78+F111+F157</f>
        <v>63144.236666666671</v>
      </c>
      <c r="G6" s="4"/>
      <c r="H6" s="3">
        <f ca="1">H38-H43-H84</f>
        <v>0</v>
      </c>
      <c r="I6" s="4"/>
      <c r="J6" s="66">
        <f ca="1">J38-J43-J84</f>
        <v>113417.90507872538</v>
      </c>
      <c r="K6" s="4"/>
      <c r="L6" s="3">
        <f ca="1">L43+L84+L116</f>
        <v>66534.229999999981</v>
      </c>
      <c r="M6" s="4"/>
      <c r="N6" s="66">
        <f ca="1">N78+N111+N157</f>
        <v>402780.85000000009</v>
      </c>
      <c r="O6" s="4"/>
      <c r="P6" s="3">
        <f ca="1">P38-P43-P84</f>
        <v>10516.872831858456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SUM(D8:D37)</f>
        <v>66557.7524778761</v>
      </c>
      <c r="E7" s="8"/>
      <c r="F7" s="7">
        <f>SUM(F8:F37)</f>
        <v>141822.43584070794</v>
      </c>
      <c r="G7" s="8"/>
      <c r="H7" s="7">
        <f>SUM(H8:H31)</f>
        <v>0</v>
      </c>
      <c r="I7" s="8"/>
      <c r="J7" s="7">
        <f>SUM(J8:J31)</f>
        <v>113417.90507872538</v>
      </c>
      <c r="K7" s="8"/>
      <c r="L7" s="7">
        <f>SUM(L8:L31)</f>
        <v>66796.407964601778</v>
      </c>
      <c r="M7" s="8"/>
      <c r="N7" s="7">
        <f>L7+'[1]2025 Μάρτιος'!N7</f>
        <v>131305.56300884951</v>
      </c>
      <c r="O7" s="8"/>
      <c r="P7" s="7">
        <f>SUM(P8:P31)</f>
        <v>10516.872831858456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'[1]2025_ΕΣΟΔΑ'!F2</f>
        <v>60725.5</v>
      </c>
      <c r="E8" s="11">
        <f>D8/$D$7</f>
        <v>0.91237305556832393</v>
      </c>
      <c r="F8" s="12">
        <f>D8+'[1]2025 Μάρτιος'!F8</f>
        <v>126671.7117699115</v>
      </c>
      <c r="G8" s="11">
        <f>F8/$F$7</f>
        <v>0.89317117576648153</v>
      </c>
      <c r="H8" s="12"/>
      <c r="I8" s="11" t="e">
        <f>H8/$H$7</f>
        <v>#DIV/0!</v>
      </c>
      <c r="J8" s="12">
        <f>H8+'[1]2025 Μάρτιος'!J8</f>
        <v>89193.632954831584</v>
      </c>
      <c r="K8" s="11">
        <f>J8/$J$7</f>
        <v>0.78641580350933749</v>
      </c>
      <c r="L8" s="68">
        <f>'[1]2024_60-69 ΕΞΟΔΑ+ΟΜ 2'!F114</f>
        <v>61207.442477876102</v>
      </c>
      <c r="M8" s="11">
        <f>L8/$L$7</f>
        <v>0.9163283527208903</v>
      </c>
      <c r="N8" s="12">
        <f>L8+'[1]2025 Μάρτιος'!N8</f>
        <v>113275.6201769911</v>
      </c>
      <c r="O8" s="11">
        <f>N8/$N$7</f>
        <v>0.86268713663987517</v>
      </c>
      <c r="P8" s="12">
        <f t="shared" ref="P8:P37" si="0">F8-N8</f>
        <v>13396.091592920406</v>
      </c>
      <c r="Q8" s="11">
        <f t="shared" ref="Q8:Q37" si="1">N8/F8</f>
        <v>0.89424559433401141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'[1]2025_ΕΣΟΔΑ'!F3</f>
        <v>0</v>
      </c>
      <c r="E9" s="11">
        <f t="shared" ref="E9:E37" si="2">D9/$D$7</f>
        <v>0</v>
      </c>
      <c r="F9" s="12">
        <f>D9+'[1]2025 Μάρτιος'!F9</f>
        <v>0</v>
      </c>
      <c r="G9" s="11">
        <f t="shared" ref="G9:G37" si="3">F9/$F$7</f>
        <v>0</v>
      </c>
      <c r="H9" s="12"/>
      <c r="I9" s="11" t="e">
        <f t="shared" ref="I9:I37" si="4">H9/$H$7</f>
        <v>#DIV/0!</v>
      </c>
      <c r="J9" s="12">
        <f>H9+'[1]2025 Μάρτιος'!J9</f>
        <v>603</v>
      </c>
      <c r="K9" s="11">
        <f t="shared" ref="K9:K37" si="5">J9/$J$7</f>
        <v>5.3166208596556862E-3</v>
      </c>
      <c r="L9" s="68">
        <f>'[1]2024_60-69 ΕΞΟΔΑ+ΟΜ 2'!F115</f>
        <v>0</v>
      </c>
      <c r="M9" s="11">
        <f t="shared" ref="M9:M37" si="6">L9/$L$7</f>
        <v>0</v>
      </c>
      <c r="N9" s="12">
        <f>L9+'[1]2025 Μάρτιος'!N9</f>
        <v>0</v>
      </c>
      <c r="O9" s="11">
        <f t="shared" ref="O9:O37" si="7">N9/$N$7</f>
        <v>0</v>
      </c>
      <c r="P9" s="12">
        <f t="shared" si="0"/>
        <v>0</v>
      </c>
      <c r="Q9" s="11" t="e">
        <f t="shared" si="1"/>
        <v>#DIV/0!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'[1]2025_ΕΣΟΔΑ'!F4</f>
        <v>0</v>
      </c>
      <c r="E10" s="11">
        <f t="shared" si="2"/>
        <v>0</v>
      </c>
      <c r="F10" s="12">
        <f>D10+'[1]2025 Μάρτιος'!F10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Μάρτιος'!J10</f>
        <v>0</v>
      </c>
      <c r="K10" s="11">
        <f t="shared" si="5"/>
        <v>0</v>
      </c>
      <c r="L10" s="68">
        <f>'[1]2024_60-69 ΕΞΟΔΑ+ΟΜ 2'!F116</f>
        <v>0</v>
      </c>
      <c r="M10" s="11">
        <f t="shared" si="6"/>
        <v>0</v>
      </c>
      <c r="N10" s="12">
        <f>L10+'[1]2025 Μάρτιος'!N10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'[1]2025_ΕΣΟΔΑ'!F5</f>
        <v>3250.4424778761049</v>
      </c>
      <c r="E11" s="11">
        <f t="shared" si="2"/>
        <v>4.8836421857191725E-2</v>
      </c>
      <c r="F11" s="12">
        <f>D11+'[1]2025 Μάρτιος'!F11</f>
        <v>8707.5440707964572</v>
      </c>
      <c r="G11" s="11">
        <f t="shared" si="3"/>
        <v>6.1397507518320953E-2</v>
      </c>
      <c r="H11" s="12"/>
      <c r="I11" s="11" t="e">
        <f t="shared" si="4"/>
        <v>#DIV/0!</v>
      </c>
      <c r="J11" s="12">
        <f>H11+'[1]2025 Μάρτιος'!J11</f>
        <v>8929.1421238938055</v>
      </c>
      <c r="K11" s="11">
        <f t="shared" si="5"/>
        <v>7.872779979224559E-2</v>
      </c>
      <c r="L11" s="68">
        <f>'[1]2024_60-69 ΕΞΟΔΑ+ΟΜ 2'!F117</f>
        <v>4690.2654867256642</v>
      </c>
      <c r="M11" s="11">
        <f t="shared" si="6"/>
        <v>7.0217330985990034E-2</v>
      </c>
      <c r="N11" s="12">
        <f>L11+'[1]2025 Μάρτιος'!N11</f>
        <v>8743.3628318584088</v>
      </c>
      <c r="O11" s="11">
        <f t="shared" si="7"/>
        <v>6.6587908627063569E-2</v>
      </c>
      <c r="P11" s="12">
        <f t="shared" si="0"/>
        <v>-35.818761061951591</v>
      </c>
      <c r="Q11" s="11">
        <f t="shared" si="1"/>
        <v>1.0041135319868297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'[1]2025_ΕΣΟΔΑ'!F6</f>
        <v>0</v>
      </c>
      <c r="E12" s="11">
        <f t="shared" si="2"/>
        <v>0</v>
      </c>
      <c r="F12" s="12">
        <f>D12+'[1]2025 Μάρτιος'!F12</f>
        <v>1638.42</v>
      </c>
      <c r="G12" s="11">
        <f t="shared" si="3"/>
        <v>1.15526150026096E-2</v>
      </c>
      <c r="H12" s="12"/>
      <c r="I12" s="11" t="e">
        <f t="shared" si="4"/>
        <v>#DIV/0!</v>
      </c>
      <c r="J12" s="12">
        <f>H12+'[1]2025 Μάρτιος'!J12</f>
        <v>1143.79</v>
      </c>
      <c r="K12" s="11">
        <f t="shared" si="5"/>
        <v>1.008473925881522E-2</v>
      </c>
      <c r="L12" s="68">
        <f>'[1]2024_60-69 ΕΞΟΔΑ+ΟΜ 2'!F118</f>
        <v>524.49</v>
      </c>
      <c r="M12" s="11">
        <f t="shared" si="6"/>
        <v>7.852068935771955E-3</v>
      </c>
      <c r="N12" s="12">
        <f>L12+'[1]2025 Μάρτιος'!N12</f>
        <v>1468.28</v>
      </c>
      <c r="O12" s="11">
        <f t="shared" si="7"/>
        <v>1.1182161413077703E-2</v>
      </c>
      <c r="P12" s="12">
        <f t="shared" si="0"/>
        <v>170.1400000000001</v>
      </c>
      <c r="Q12" s="11">
        <f t="shared" si="1"/>
        <v>0.89615605278255872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'[1]2025_ΕΣΟΔΑ'!F7</f>
        <v>837.22</v>
      </c>
      <c r="E13" s="11">
        <f t="shared" si="2"/>
        <v>1.2578850229029192E-2</v>
      </c>
      <c r="F13" s="12">
        <f>D13+'[1]2025 Μάρτιος'!F13</f>
        <v>1443.21</v>
      </c>
      <c r="G13" s="11">
        <f t="shared" si="3"/>
        <v>1.0176175521487897E-2</v>
      </c>
      <c r="H13" s="12"/>
      <c r="I13" s="11" t="e">
        <f t="shared" si="4"/>
        <v>#DIV/0!</v>
      </c>
      <c r="J13" s="12">
        <f>H13+'[1]2025 Μάρτιος'!J13</f>
        <v>1721.95</v>
      </c>
      <c r="K13" s="11">
        <f t="shared" si="5"/>
        <v>1.518234708007315E-2</v>
      </c>
      <c r="L13" s="68">
        <f>'[1]2024_60-69 ΕΞΟΔΑ+ΟΜ 2'!F119</f>
        <v>0</v>
      </c>
      <c r="M13" s="11">
        <f t="shared" si="6"/>
        <v>0</v>
      </c>
      <c r="N13" s="12">
        <f>L13+'[1]2025 Μάρτιος'!N13</f>
        <v>1721.95</v>
      </c>
      <c r="O13" s="11">
        <f t="shared" si="7"/>
        <v>1.3114067374921099E-2</v>
      </c>
      <c r="P13" s="12">
        <f t="shared" si="0"/>
        <v>-278.74</v>
      </c>
      <c r="Q13" s="11">
        <f t="shared" si="1"/>
        <v>1.1931389056339687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'[1]2025_ΕΣΟΔΑ'!F8</f>
        <v>100</v>
      </c>
      <c r="E14" s="11">
        <f t="shared" si="2"/>
        <v>1.5024545793255286E-3</v>
      </c>
      <c r="F14" s="12">
        <f>D14+'[1]2025 Μάρτιος'!F14</f>
        <v>400</v>
      </c>
      <c r="G14" s="11">
        <f t="shared" si="3"/>
        <v>2.820428218066088E-3</v>
      </c>
      <c r="H14" s="12"/>
      <c r="I14" s="11" t="e">
        <f t="shared" si="4"/>
        <v>#DIV/0!</v>
      </c>
      <c r="J14" s="12">
        <f>H14+'[1]2025 Μάρτιος'!J14</f>
        <v>300</v>
      </c>
      <c r="K14" s="11">
        <f t="shared" si="5"/>
        <v>2.6450850048038241E-3</v>
      </c>
      <c r="L14" s="68">
        <f>'[1]2024_60-69 ΕΞΟΔΑ+ΟΜ 2'!F120</f>
        <v>100</v>
      </c>
      <c r="M14" s="11">
        <f t="shared" si="6"/>
        <v>1.4970864908333723E-3</v>
      </c>
      <c r="N14" s="12">
        <f>L14+'[1]2025 Μάρτιος'!N14</f>
        <v>400</v>
      </c>
      <c r="O14" s="11">
        <f t="shared" si="7"/>
        <v>3.0463294230195065E-3</v>
      </c>
      <c r="P14" s="12">
        <f t="shared" si="0"/>
        <v>0</v>
      </c>
      <c r="Q14" s="11">
        <f t="shared" si="1"/>
        <v>1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'[1]2025_ΕΣΟΔΑ'!F9</f>
        <v>339.56</v>
      </c>
      <c r="E15" s="11">
        <f t="shared" si="2"/>
        <v>5.1017347695577649E-3</v>
      </c>
      <c r="F15" s="12">
        <f>D15+'[1]2025 Μάρτιος'!F15</f>
        <v>610.52</v>
      </c>
      <c r="G15" s="11">
        <f t="shared" si="3"/>
        <v>4.3048195892342704E-3</v>
      </c>
      <c r="H15" s="12"/>
      <c r="I15" s="11" t="e">
        <f t="shared" si="4"/>
        <v>#DIV/0!</v>
      </c>
      <c r="J15" s="12">
        <f>H15+'[1]2025 Μάρτιος'!J15</f>
        <v>76.599999999999994</v>
      </c>
      <c r="K15" s="11">
        <f t="shared" si="5"/>
        <v>6.7537837122657641E-4</v>
      </c>
      <c r="L15" s="68">
        <f>'[1]2024_60-69 ΕΞΟΔΑ+ΟΜ 2'!F121</f>
        <v>104.03</v>
      </c>
      <c r="M15" s="11">
        <f t="shared" si="6"/>
        <v>1.5574190764139572E-3</v>
      </c>
      <c r="N15" s="12">
        <f>L15+'[1]2025 Μάρτιος'!N15</f>
        <v>119.35</v>
      </c>
      <c r="O15" s="11">
        <f t="shared" si="7"/>
        <v>9.0894854159344525E-4</v>
      </c>
      <c r="P15" s="12">
        <f t="shared" si="0"/>
        <v>491.16999999999996</v>
      </c>
      <c r="Q15" s="11">
        <f t="shared" si="1"/>
        <v>0.19548909126646138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'[1]2025_ΕΣΟΔΑ'!F10</f>
        <v>284.66000000000003</v>
      </c>
      <c r="E16" s="11">
        <f t="shared" si="2"/>
        <v>4.2768872055080507E-3</v>
      </c>
      <c r="F16" s="12">
        <f>D16+'[1]2025 Μάρτιος'!F16</f>
        <v>377.39000000000004</v>
      </c>
      <c r="G16" s="11">
        <f t="shared" si="3"/>
        <v>2.6610035130399026E-3</v>
      </c>
      <c r="H16" s="12"/>
      <c r="I16" s="11" t="e">
        <f t="shared" si="4"/>
        <v>#DIV/0!</v>
      </c>
      <c r="J16" s="12">
        <f>H16+'[1]2025 Μάρτιος'!J16</f>
        <v>0</v>
      </c>
      <c r="K16" s="11">
        <f t="shared" si="5"/>
        <v>0</v>
      </c>
      <c r="L16" s="68">
        <f>'[1]2024_60-69 ΕΞΟΔΑ+ΟΜ 2'!F122</f>
        <v>0</v>
      </c>
      <c r="M16" s="11">
        <f t="shared" si="6"/>
        <v>0</v>
      </c>
      <c r="N16" s="12">
        <f>L16+'[1]2025 Μάρτιος'!N16</f>
        <v>0</v>
      </c>
      <c r="O16" s="11">
        <f t="shared" si="7"/>
        <v>0</v>
      </c>
      <c r="P16" s="12">
        <f t="shared" si="0"/>
        <v>377.39000000000004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'[1]2025_ΕΣΟΔΑ'!F11</f>
        <v>0</v>
      </c>
      <c r="E17" s="11">
        <f t="shared" si="2"/>
        <v>0</v>
      </c>
      <c r="F17" s="12">
        <f>D17+'[1]2025 Μάρτιος'!F17</f>
        <v>464.6</v>
      </c>
      <c r="G17" s="11">
        <f t="shared" si="3"/>
        <v>3.2759273752837616E-3</v>
      </c>
      <c r="H17" s="12"/>
      <c r="I17" s="11" t="e">
        <f t="shared" si="4"/>
        <v>#DIV/0!</v>
      </c>
      <c r="J17" s="12">
        <f>H17+'[1]2025 Μάρτιος'!J17</f>
        <v>0</v>
      </c>
      <c r="K17" s="11">
        <f t="shared" si="5"/>
        <v>0</v>
      </c>
      <c r="L17" s="68">
        <f>'[1]2024_60-69 ΕΞΟΔΑ+ΟΜ 2'!F123</f>
        <v>0</v>
      </c>
      <c r="M17" s="11">
        <f t="shared" si="6"/>
        <v>0</v>
      </c>
      <c r="N17" s="12">
        <f>L17+'[1]2025 Μάρτιος'!N17</f>
        <v>0</v>
      </c>
      <c r="O17" s="11">
        <f t="shared" si="7"/>
        <v>0</v>
      </c>
      <c r="P17" s="12">
        <f t="shared" si="0"/>
        <v>464.6</v>
      </c>
      <c r="Q17" s="11">
        <f t="shared" si="1"/>
        <v>0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'[1]2025_ΕΣΟΔΑ'!F12</f>
        <v>0</v>
      </c>
      <c r="E18" s="11">
        <f t="shared" si="2"/>
        <v>0</v>
      </c>
      <c r="F18" s="12">
        <f>D18+'[1]2025 Μάρτιος'!F18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Μάρτιος'!J18</f>
        <v>0</v>
      </c>
      <c r="K18" s="11">
        <f t="shared" si="5"/>
        <v>0</v>
      </c>
      <c r="L18" s="68">
        <f>'[1]2024_60-69 ΕΞΟΔΑ+ΟΜ 2'!F124</f>
        <v>0</v>
      </c>
      <c r="M18" s="11">
        <f t="shared" si="6"/>
        <v>0</v>
      </c>
      <c r="N18" s="12">
        <f>L18+'[1]2025 Μάρτιος'!N18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'[1]2025_ΕΣΟΔΑ'!F13</f>
        <v>0</v>
      </c>
      <c r="E19" s="11">
        <f t="shared" si="2"/>
        <v>0</v>
      </c>
      <c r="F19" s="12">
        <f>D19+'[1]2025 Μάρτιος'!F19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Μάρτιος'!J19</f>
        <v>0</v>
      </c>
      <c r="K19" s="11">
        <f t="shared" si="5"/>
        <v>0</v>
      </c>
      <c r="L19" s="68">
        <f>'[1]2024_60-69 ΕΞΟΔΑ+ΟΜ 2'!F125</f>
        <v>0</v>
      </c>
      <c r="M19" s="11">
        <f t="shared" si="6"/>
        <v>0</v>
      </c>
      <c r="N19" s="12">
        <f>L19+'[1]2025 Μάρτιος'!N19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'[1]2025_ΕΣΟΔΑ'!F14</f>
        <v>0</v>
      </c>
      <c r="E20" s="11">
        <f t="shared" si="2"/>
        <v>0</v>
      </c>
      <c r="F20" s="12">
        <f>D20+'[1]2025 Μάρτιος'!F20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Μάρτιος'!J20</f>
        <v>0</v>
      </c>
      <c r="K20" s="11">
        <f t="shared" si="5"/>
        <v>0</v>
      </c>
      <c r="L20" s="68">
        <f>'[1]2024_60-69 ΕΞΟΔΑ+ΟΜ 2'!F126</f>
        <v>0</v>
      </c>
      <c r="M20" s="11">
        <f t="shared" si="6"/>
        <v>0</v>
      </c>
      <c r="N20" s="12">
        <f>L20+'[1]2025 Μάρτιος'!N20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'[1]2025_ΕΣΟΔΑ'!F15</f>
        <v>1274.3399999999999</v>
      </c>
      <c r="E21" s="11">
        <f t="shared" si="2"/>
        <v>1.914637968617694E-2</v>
      </c>
      <c r="F21" s="12">
        <f>D21+'[1]2025 Μάρτιος'!F21</f>
        <v>1504.4299999999998</v>
      </c>
      <c r="G21" s="11">
        <f t="shared" si="3"/>
        <v>1.060784206026291E-2</v>
      </c>
      <c r="H21" s="12"/>
      <c r="I21" s="11" t="e">
        <f t="shared" si="4"/>
        <v>#DIV/0!</v>
      </c>
      <c r="J21" s="12">
        <f>H21+'[1]2025 Μάρτιος'!J21</f>
        <v>0</v>
      </c>
      <c r="K21" s="11">
        <f t="shared" si="5"/>
        <v>0</v>
      </c>
      <c r="L21" s="68">
        <f>'[1]2024_60-69 ΕΞΟΔΑ+ΟΜ 2'!F127</f>
        <v>0</v>
      </c>
      <c r="M21" s="11">
        <f t="shared" si="6"/>
        <v>0</v>
      </c>
      <c r="N21" s="12">
        <f>L21+'[1]2025 Μάρτιος'!N21</f>
        <v>0</v>
      </c>
      <c r="O21" s="11">
        <f t="shared" si="7"/>
        <v>0</v>
      </c>
      <c r="P21" s="12">
        <f t="shared" si="0"/>
        <v>1504.4299999999998</v>
      </c>
      <c r="Q21" s="11">
        <f t="shared" si="1"/>
        <v>0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'[1]2025_ΕΣΟΔΑ'!F16</f>
        <v>0</v>
      </c>
      <c r="E22" s="11">
        <f t="shared" si="2"/>
        <v>0</v>
      </c>
      <c r="F22" s="12">
        <f>D22+'[1]2025 Μάρτιος'!F22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Μάρτιος'!J22</f>
        <v>0</v>
      </c>
      <c r="K22" s="11">
        <f t="shared" si="5"/>
        <v>0</v>
      </c>
      <c r="L22" s="68">
        <f>'[1]2024_60-69 ΕΞΟΔΑ+ΟΜ 2'!F128</f>
        <v>0</v>
      </c>
      <c r="M22" s="11">
        <f t="shared" si="6"/>
        <v>0</v>
      </c>
      <c r="N22" s="12">
        <f>L22+'[1]2025 Μάρτιος'!N22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'[1]2025_ΕΣΟΔΑ'!F17</f>
        <v>0</v>
      </c>
      <c r="E23" s="11">
        <f t="shared" si="2"/>
        <v>0</v>
      </c>
      <c r="F23" s="12">
        <f>D23+'[1]2025 Μάρτιος'!F23</f>
        <v>495.58</v>
      </c>
      <c r="G23" s="11">
        <f t="shared" si="3"/>
        <v>3.4943695407729796E-3</v>
      </c>
      <c r="H23" s="12"/>
      <c r="I23" s="11" t="e">
        <f t="shared" si="4"/>
        <v>#DIV/0!</v>
      </c>
      <c r="J23" s="12">
        <f>H23+'[1]2025 Μάρτιος'!J23</f>
        <v>201.48</v>
      </c>
      <c r="K23" s="11">
        <f t="shared" si="5"/>
        <v>1.7764390892262482E-3</v>
      </c>
      <c r="L23" s="68">
        <f>'[1]2024_60-69 ΕΞΟΔΑ+ΟΜ 2'!F129</f>
        <v>322.58</v>
      </c>
      <c r="M23" s="11">
        <f t="shared" si="6"/>
        <v>4.8293016021302921E-3</v>
      </c>
      <c r="N23" s="12">
        <f>L23+'[1]2025 Μάρτιος'!N23</f>
        <v>524.05999999999995</v>
      </c>
      <c r="O23" s="11">
        <f t="shared" si="7"/>
        <v>3.9911484935690059E-3</v>
      </c>
      <c r="P23" s="12">
        <f t="shared" si="0"/>
        <v>-28.479999999999961</v>
      </c>
      <c r="Q23" s="11">
        <f t="shared" si="1"/>
        <v>1.0574680172726905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'[1]2025_ΕΣΟΔΑ'!F18</f>
        <v>0</v>
      </c>
      <c r="E24" s="11">
        <f>D24/$D$7</f>
        <v>0</v>
      </c>
      <c r="F24" s="12">
        <f>D24+'[1]2025 Μάρτιος'!F24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Μάρτιος'!J24</f>
        <v>0</v>
      </c>
      <c r="K24" s="11">
        <f>J24/$J$7</f>
        <v>0</v>
      </c>
      <c r="L24" s="68">
        <f>'[1]2024_60-69 ΕΞΟΔΑ+ΟΜ 2'!F130</f>
        <v>100.8</v>
      </c>
      <c r="M24" s="11">
        <f>L24/$L$7</f>
        <v>1.5090631827600392E-3</v>
      </c>
      <c r="N24" s="12">
        <f>L24+'[1]2025 Μάρτιος'!N24</f>
        <v>100.8</v>
      </c>
      <c r="O24" s="11">
        <f>N24/$N$7</f>
        <v>7.6767501460091564E-4</v>
      </c>
      <c r="P24" s="12">
        <f>F24-N24</f>
        <v>-100.8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'[1]2025_ΕΣΟΔΑ'!F19</f>
        <v>0</v>
      </c>
      <c r="E25" s="11">
        <f t="shared" si="2"/>
        <v>0</v>
      </c>
      <c r="F25" s="12">
        <f>D25+'[1]2025 Μάρτιος'!F25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Μάρτιος'!J25</f>
        <v>259.2</v>
      </c>
      <c r="K25" s="11">
        <f t="shared" si="5"/>
        <v>2.2853534441505041E-3</v>
      </c>
      <c r="L25" s="68">
        <f>'[1]2024_60-69 ΕΞΟΔΑ+ΟΜ 2'!F131</f>
        <v>0</v>
      </c>
      <c r="M25" s="11">
        <f t="shared" si="6"/>
        <v>0</v>
      </c>
      <c r="N25" s="12">
        <f>L25+'[1]2025 Μάρτιος'!N25</f>
        <v>129.6</v>
      </c>
      <c r="O25" s="11">
        <f t="shared" si="7"/>
        <v>9.8701073305832018E-4</v>
      </c>
      <c r="P25" s="12">
        <f t="shared" si="0"/>
        <v>-129.6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'[1]2025_ΕΣΟΔΑ'!F20</f>
        <v>0</v>
      </c>
      <c r="E26" s="11">
        <f t="shared" si="2"/>
        <v>0</v>
      </c>
      <c r="F26" s="12">
        <f>D26+'[1]2025 Μάρτιος'!F26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Μάρτιος'!J26</f>
        <v>0</v>
      </c>
      <c r="K26" s="11">
        <f t="shared" si="5"/>
        <v>0</v>
      </c>
      <c r="L26" s="68">
        <f>'[1]2024_60-69 ΕΞΟΔΑ+ΟΜ 2'!F132</f>
        <v>0</v>
      </c>
      <c r="M26" s="11">
        <f t="shared" si="6"/>
        <v>0</v>
      </c>
      <c r="N26" s="12">
        <f>L26+'[1]2025 Μάρτιος'!N26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'[1]2025_ΕΣΟΔΑ'!F21</f>
        <v>0</v>
      </c>
      <c r="E27" s="11">
        <f t="shared" si="2"/>
        <v>0</v>
      </c>
      <c r="F27" s="12">
        <f>D27+'[1]2025 Μάρτιος'!F27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Μάρτιος'!J27</f>
        <v>0</v>
      </c>
      <c r="K27" s="11">
        <f t="shared" si="5"/>
        <v>0</v>
      </c>
      <c r="L27" s="68">
        <f>'[1]2024_60-69 ΕΞΟΔΑ+ΟΜ 2'!F133</f>
        <v>0</v>
      </c>
      <c r="M27" s="11">
        <f t="shared" si="6"/>
        <v>0</v>
      </c>
      <c r="N27" s="12">
        <f>L27+'[1]2025 Μάρτιος'!N27</f>
        <v>0</v>
      </c>
      <c r="O27" s="11">
        <f t="shared" si="7"/>
        <v>0</v>
      </c>
      <c r="P27" s="12">
        <f t="shared" si="0"/>
        <v>0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'[1]2025_ΕΣΟΔΑ'!F22</f>
        <v>93.63</v>
      </c>
      <c r="E28" s="11">
        <f t="shared" si="2"/>
        <v>1.4067482226224925E-3</v>
      </c>
      <c r="F28" s="12">
        <f>D28+'[1]2025 Μάρτιος'!F28</f>
        <v>107.88</v>
      </c>
      <c r="G28" s="11">
        <f t="shared" si="3"/>
        <v>7.6066949041242395E-4</v>
      </c>
      <c r="H28" s="12"/>
      <c r="I28" s="11" t="e">
        <f t="shared" si="4"/>
        <v>#DIV/0!</v>
      </c>
      <c r="J28" s="12">
        <f>H28+'[1]2025 Μάρτιος'!J28</f>
        <v>0</v>
      </c>
      <c r="K28" s="11">
        <f t="shared" si="5"/>
        <v>0</v>
      </c>
      <c r="L28" s="68">
        <f>'[1]2024_60-69 ΕΞΟΔΑ+ΟΜ 2'!F134</f>
        <v>0</v>
      </c>
      <c r="M28" s="11">
        <f t="shared" si="6"/>
        <v>0</v>
      </c>
      <c r="N28" s="12">
        <f>L28+'[1]2025 Μάρτιος'!N28</f>
        <v>0</v>
      </c>
      <c r="O28" s="11">
        <f t="shared" si="7"/>
        <v>0</v>
      </c>
      <c r="P28" s="12">
        <f t="shared" si="0"/>
        <v>107.88</v>
      </c>
      <c r="Q28" s="11">
        <f t="shared" si="1"/>
        <v>0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'[1]2025_ΕΣΟΔΑ'!F23</f>
        <v>0</v>
      </c>
      <c r="E29" s="11">
        <f t="shared" si="2"/>
        <v>0</v>
      </c>
      <c r="F29" s="12">
        <f>D29+'[1]2025 Μάρτιος'!F29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Μάρτιος'!J29</f>
        <v>0</v>
      </c>
      <c r="K29" s="11">
        <f t="shared" si="5"/>
        <v>0</v>
      </c>
      <c r="L29" s="68">
        <f>'[1]2024_60-69 ΕΞΟΔΑ+ΟΜ 2'!F135</f>
        <v>75.13</v>
      </c>
      <c r="M29" s="11">
        <f t="shared" si="6"/>
        <v>1.1247610805631126E-3</v>
      </c>
      <c r="N29" s="12">
        <f>L29+'[1]2025 Μάρτιος'!N29</f>
        <v>75.13</v>
      </c>
      <c r="O29" s="11">
        <f t="shared" si="7"/>
        <v>5.7217682387863879E-4</v>
      </c>
      <c r="P29" s="12">
        <f t="shared" si="0"/>
        <v>-75.13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'[1]2025_ΕΣΟΔΑ'!F24</f>
        <v>64.680000000000007</v>
      </c>
      <c r="E30" s="11">
        <f t="shared" si="2"/>
        <v>9.7178762190775207E-4</v>
      </c>
      <c r="F30" s="12">
        <f>D30+'[1]2025 Μάρτιος'!F30</f>
        <v>168.68</v>
      </c>
      <c r="G30" s="11">
        <f t="shared" si="3"/>
        <v>1.1893745795584693E-3</v>
      </c>
      <c r="H30" s="12"/>
      <c r="I30" s="11" t="e">
        <f t="shared" si="4"/>
        <v>#DIV/0!</v>
      </c>
      <c r="J30" s="12">
        <f>H30+'[1]2025 Μάρτιος'!J30</f>
        <v>11269.97</v>
      </c>
      <c r="K30" s="11">
        <f t="shared" si="5"/>
        <v>9.9366762171963177E-2</v>
      </c>
      <c r="L30" s="68">
        <f>'[1]2024_60-69 ΕΞΟΔΑ+ΟΜ 2'!F136</f>
        <v>-328.33</v>
      </c>
      <c r="M30" s="11">
        <f t="shared" si="6"/>
        <v>-4.9153840753532116E-3</v>
      </c>
      <c r="N30" s="12">
        <f>L30+'[1]2025 Μάρτιος'!N30</f>
        <v>5028.3100000000004</v>
      </c>
      <c r="O30" s="11">
        <f t="shared" si="7"/>
        <v>3.8294721752658044E-2</v>
      </c>
      <c r="P30" s="12">
        <f t="shared" si="0"/>
        <v>-4859.63</v>
      </c>
      <c r="Q30" s="11">
        <f t="shared" si="1"/>
        <v>29.809758121887597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'[1]2025_ΕΣΟΔΑ'!F25</f>
        <v>-412.28</v>
      </c>
      <c r="E31" s="11">
        <f t="shared" si="2"/>
        <v>-6.1943197396432895E-3</v>
      </c>
      <c r="F31" s="12">
        <f>D31+'[1]2025 Μάρτιος'!F31</f>
        <v>-767.53</v>
      </c>
      <c r="G31" s="11">
        <f t="shared" si="3"/>
        <v>-5.4119081755306612E-3</v>
      </c>
      <c r="H31" s="12"/>
      <c r="I31" s="11" t="e">
        <f t="shared" si="4"/>
        <v>#DIV/0!</v>
      </c>
      <c r="J31" s="12">
        <f>H31+'[1]2025 Μάρτιος'!J31</f>
        <v>-280.86</v>
      </c>
      <c r="K31" s="11">
        <f t="shared" si="5"/>
        <v>-2.4763285814973402E-3</v>
      </c>
      <c r="L31" s="68">
        <f>'[1]2024_60-69 ΕΞΟΔΑ+ΟΜ 2'!F137</f>
        <v>0</v>
      </c>
      <c r="M31" s="11">
        <f t="shared" si="6"/>
        <v>0</v>
      </c>
      <c r="N31" s="12">
        <f>L31+'[1]2025 Μάρτιος'!N31</f>
        <v>-280.89999999999998</v>
      </c>
      <c r="O31" s="11">
        <f t="shared" si="7"/>
        <v>-2.1392848373154483E-3</v>
      </c>
      <c r="P31" s="12">
        <f t="shared" si="0"/>
        <v>-486.63</v>
      </c>
      <c r="Q31" s="11">
        <f t="shared" si="1"/>
        <v>0.36597917996690682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'[1]2025_ΕΣΟΔΑ'!F26</f>
        <v>0</v>
      </c>
      <c r="E32" s="11">
        <f t="shared" si="2"/>
        <v>0</v>
      </c>
      <c r="F32" s="12">
        <f>D32+'[1]2025 Μάρτιος'!F32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Μάρτιος'!J32</f>
        <v>0</v>
      </c>
      <c r="K32" s="11">
        <f t="shared" si="5"/>
        <v>0</v>
      </c>
      <c r="L32" s="68">
        <f>'[1]2024_60-69 ΕΞΟΔΑ+ΟΜ 2'!F138</f>
        <v>0</v>
      </c>
      <c r="M32" s="11">
        <f t="shared" si="6"/>
        <v>0</v>
      </c>
      <c r="N32" s="12">
        <f>L32+'[1]2025 Μάρτιος'!N32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'[1]2025_ΕΣΟΔΑ'!F27</f>
        <v>0</v>
      </c>
      <c r="E33" s="11">
        <f t="shared" si="2"/>
        <v>0</v>
      </c>
      <c r="F33" s="12">
        <f>D33+'[1]2025 Μάρτιος'!F33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Μάρτιος'!J33</f>
        <v>0</v>
      </c>
      <c r="K33" s="11">
        <f t="shared" si="5"/>
        <v>0</v>
      </c>
      <c r="L33" s="68">
        <f>'[1]2024_60-69 ΕΞΟΔΑ+ΟΜ 2'!F139</f>
        <v>0</v>
      </c>
      <c r="M33" s="11">
        <f t="shared" si="6"/>
        <v>0</v>
      </c>
      <c r="N33" s="12">
        <f>L33+'[1]2025 Μάρτιος'!N33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'[1]2025_ΕΣΟΔΑ'!F28</f>
        <v>0</v>
      </c>
      <c r="E34" s="11">
        <f t="shared" si="2"/>
        <v>0</v>
      </c>
      <c r="F34" s="12">
        <f>D34+'[1]2025 Μάρτιος'!F34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Μάρτιος'!J34</f>
        <v>0</v>
      </c>
      <c r="K34" s="11">
        <f t="shared" si="5"/>
        <v>0</v>
      </c>
      <c r="L34" s="68">
        <f>'[1]2024_60-69 ΕΞΟΔΑ+ΟΜ 2'!F140</f>
        <v>0</v>
      </c>
      <c r="M34" s="11">
        <f t="shared" si="6"/>
        <v>0</v>
      </c>
      <c r="N34" s="12">
        <f>L34+'[1]2025 Μάρτιος'!N34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'[1]2025_ΕΣΟΔΑ'!F29</f>
        <v>0</v>
      </c>
      <c r="E35" s="11">
        <f t="shared" si="2"/>
        <v>0</v>
      </c>
      <c r="F35" s="12">
        <f>D35+'[1]2025 Μάρτιος'!F35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Μάρτιος'!J35</f>
        <v>0</v>
      </c>
      <c r="K35" s="11">
        <f t="shared" si="5"/>
        <v>0</v>
      </c>
      <c r="L35" s="68">
        <f>'[1]2024_60-69 ΕΞΟΔΑ+ΟΜ 2'!F141</f>
        <v>0</v>
      </c>
      <c r="M35" s="11">
        <f t="shared" si="6"/>
        <v>0</v>
      </c>
      <c r="N35" s="12">
        <f>L35+'[1]2025 Μάρτιος'!N35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'[1]2025_ΕΣΟΔΑ'!F30</f>
        <v>0</v>
      </c>
      <c r="E36" s="11">
        <f t="shared" si="2"/>
        <v>0</v>
      </c>
      <c r="F36" s="12">
        <f>D36+'[1]2025 Μάρτιος'!F36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Μάρτιος'!J36</f>
        <v>0</v>
      </c>
      <c r="K36" s="11">
        <f t="shared" si="5"/>
        <v>0</v>
      </c>
      <c r="L36" s="68">
        <f>'[1]2024_60-69 ΕΞΟΔΑ+ΟΜ 2'!F142</f>
        <v>0</v>
      </c>
      <c r="M36" s="11">
        <f t="shared" si="6"/>
        <v>0</v>
      </c>
      <c r="N36" s="12">
        <f>L36+'[1]2025 Μάρτιος'!N36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'[1]2025_ΕΣΟΔΑ'!F31</f>
        <v>0</v>
      </c>
      <c r="E37" s="11">
        <f t="shared" si="2"/>
        <v>0</v>
      </c>
      <c r="F37" s="12">
        <f>D37+'[1]2025 Μάρτιος'!F37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Μάρτιος'!J37</f>
        <v>0</v>
      </c>
      <c r="K37" s="11">
        <f t="shared" si="5"/>
        <v>0</v>
      </c>
      <c r="L37" s="68">
        <f>'[1]2024_60-69 ΕΞΟΔΑ+ΟΜ 2'!F143</f>
        <v>0</v>
      </c>
      <c r="M37" s="11">
        <f t="shared" si="6"/>
        <v>0</v>
      </c>
      <c r="N37" s="12">
        <f>L37+'[1]2025 Μάρτιος'!N37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'[1]2025_ΕΣΟΔΑ'!F32</f>
        <v>0</v>
      </c>
      <c r="E38" s="8"/>
      <c r="F38" s="7" t="str">
        <f>'[1]2025_ΕΣΟΔΑ'!F34</f>
        <v>Απρίλιος</v>
      </c>
      <c r="G38" s="8"/>
      <c r="H38" s="7">
        <f>SUM(H8:H31)</f>
        <v>0</v>
      </c>
      <c r="I38" s="8"/>
      <c r="J38" s="7">
        <f>SUM(J8:J31)</f>
        <v>113417.90507872538</v>
      </c>
      <c r="K38" s="8"/>
      <c r="L38" s="7">
        <f>SUM(L8:L31)</f>
        <v>66796.407964601778</v>
      </c>
      <c r="M38" s="8"/>
      <c r="N38" s="7">
        <f>SUM(N8:N31)</f>
        <v>131305.56300884954</v>
      </c>
      <c r="O38" s="8"/>
      <c r="P38" s="7">
        <f>SUM(P8:P31)</f>
        <v>10516.872831858456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66557.7524778761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0" t="str">
        <f>[1]ΑΝΤΙΣΤΟΙΧΙΣΗ!$F$109</f>
        <v xml:space="preserve">ΑΠΡΙΛΙΟΣ ΤΡΕΧΟΝ ΕΤΟΣ </v>
      </c>
      <c r="E41" s="180"/>
      <c r="F41" s="180"/>
      <c r="G41" s="61">
        <f>[1]ΑΝΤΙΣΤΟΙΧΙΣΗ!$D$34</f>
        <v>2025</v>
      </c>
      <c r="H41" s="180" t="str">
        <f>[1]ΑΝΤΙΣΤΟΙΧΙΣΗ!$F$109</f>
        <v xml:space="preserve">ΑΠΡΙΛΙΟΣ ΤΡΕΧΟΝ ΕΤΟΣ </v>
      </c>
      <c r="I41" s="180"/>
      <c r="J41" s="180"/>
      <c r="K41" s="61">
        <f>[1]ΑΝΤΙΣΤΟΙΧΙΣΗ!$D$34</f>
        <v>2025</v>
      </c>
      <c r="L41" s="180" t="str">
        <f>[1]ΑΝΤΙΣΤΟΙΧΙΣΗ!$F$123</f>
        <v>ΑΠΡΙΛΙΟΣ ΠΡΟΗΓΟΥΜΕΝΟΥ ΕΤΟΥΣ</v>
      </c>
      <c r="M41" s="180"/>
      <c r="N41" s="180"/>
      <c r="O41" s="61">
        <f>[1]ΑΝΤΙΣΤΟΙΧΙΣΗ!$D$33</f>
        <v>2024</v>
      </c>
      <c r="P41" s="180"/>
      <c r="Q41" s="180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SUM(D44:D77)</f>
        <v>55302.196666666678</v>
      </c>
      <c r="E43" s="8"/>
      <c r="F43" s="7">
        <f>SUM(F44:F77)</f>
        <v>338995.29666666669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54804.50999999998</v>
      </c>
      <c r="M43" s="8"/>
      <c r="N43" s="7">
        <f>SUM(N44:N77)</f>
        <v>330231.53000000003</v>
      </c>
      <c r="O43" s="8"/>
      <c r="P43" s="7">
        <f>SUM(P44:P77)</f>
        <v>0</v>
      </c>
      <c r="Q43" s="8"/>
    </row>
    <row r="44" spans="1:17" ht="1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2'!G4</f>
        <v>5695.58</v>
      </c>
      <c r="E44" s="15">
        <f>D44/$D$43</f>
        <v>0.10299012233329609</v>
      </c>
      <c r="F44" s="10">
        <f>D44+'[1]2025 Μάρτιος'!F44</f>
        <v>129910.87999999999</v>
      </c>
      <c r="G44" s="15">
        <f>F44/$F$43</f>
        <v>0.38322325199615104</v>
      </c>
      <c r="H44" s="14"/>
      <c r="I44" s="16" t="e">
        <f>H44/$H$43</f>
        <v>#DIV/0!</v>
      </c>
      <c r="J44" s="10">
        <f>H44</f>
        <v>0</v>
      </c>
      <c r="K44" s="17" t="e">
        <f>J44/$J$43</f>
        <v>#DIV/0!</v>
      </c>
      <c r="L44" s="14">
        <f>'[1]2024_60-69 ΕΞΟΔΑ+ΟΜ 2'!G4</f>
        <v>5421.86</v>
      </c>
      <c r="M44" s="15">
        <f>L44/$L$43</f>
        <v>9.8930909153279567E-2</v>
      </c>
      <c r="N44" s="10">
        <f>L44+'[1]2025 Μάρτιος'!N44</f>
        <v>133029.47999999998</v>
      </c>
      <c r="O44" s="15">
        <f>N44/$N$43</f>
        <v>0.40283700348055795</v>
      </c>
      <c r="P44" s="10"/>
      <c r="Q44" s="15"/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2'!G5</f>
        <v>7422.43</v>
      </c>
      <c r="E45" s="15">
        <f t="shared" ref="E45:E77" si="8">D45/$D$43</f>
        <v>0.13421582590540856</v>
      </c>
      <c r="F45" s="10">
        <f>D45+'[1]2025 Μάρτιος'!F45</f>
        <v>15141.949999999999</v>
      </c>
      <c r="G45" s="15">
        <f t="shared" ref="G45:G77" si="9">F45/$F$43</f>
        <v>4.4667138892162991E-2</v>
      </c>
      <c r="H45" s="14"/>
      <c r="I45" s="16" t="e">
        <f t="shared" ref="I45:I77" si="10">H45/$H$43</f>
        <v>#DIV/0!</v>
      </c>
      <c r="J45" s="10">
        <f>H45</f>
        <v>0</v>
      </c>
      <c r="K45" s="17" t="e">
        <f t="shared" ref="K45:K77" si="11">J45/$J$43</f>
        <v>#DIV/0!</v>
      </c>
      <c r="L45" s="14">
        <f>'[1]2024_60-69 ΕΞΟΔΑ+ΟΜ 2'!G5</f>
        <v>5570.36</v>
      </c>
      <c r="M45" s="15">
        <f t="shared" ref="M45:M77" si="12">L45/$L$43</f>
        <v>0.1016405401672235</v>
      </c>
      <c r="N45" s="10">
        <f>L45+'[1]2025 Μάρτιος'!N45</f>
        <v>14927.579999999998</v>
      </c>
      <c r="O45" s="15">
        <f t="shared" ref="O45:O77" si="13">N45/$N$43</f>
        <v>4.5203375946566933E-2</v>
      </c>
      <c r="P45" s="10"/>
      <c r="Q45" s="15">
        <f>N45/F45</f>
        <v>0.98584264246018505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2'!G6</f>
        <v>3740.09</v>
      </c>
      <c r="E46" s="15">
        <f t="shared" si="8"/>
        <v>6.7630044110966292E-2</v>
      </c>
      <c r="F46" s="10">
        <f>D46+'[1]2025 Μάρτιος'!F46</f>
        <v>15976.2</v>
      </c>
      <c r="G46" s="15">
        <f t="shared" si="9"/>
        <v>4.7128087489984739E-2</v>
      </c>
      <c r="H46" s="14"/>
      <c r="I46" s="16" t="e">
        <f t="shared" si="10"/>
        <v>#DIV/0!</v>
      </c>
      <c r="J46" s="10">
        <f t="shared" ref="J46:J77" si="14">H46</f>
        <v>0</v>
      </c>
      <c r="K46" s="17" t="e">
        <f t="shared" si="11"/>
        <v>#DIV/0!</v>
      </c>
      <c r="L46" s="14">
        <f>'[1]2024_60-69 ΕΞΟΔΑ+ΟΜ 2'!G6</f>
        <v>3696.68</v>
      </c>
      <c r="M46" s="15">
        <f t="shared" si="12"/>
        <v>6.7452112973914027E-2</v>
      </c>
      <c r="N46" s="10">
        <f>L46+'[1]2025 Μάρτιος'!N46</f>
        <v>23597.96</v>
      </c>
      <c r="O46" s="15">
        <f t="shared" si="13"/>
        <v>7.145883374612956E-2</v>
      </c>
      <c r="P46" s="10"/>
      <c r="Q46" s="15">
        <f t="shared" ref="Q46:Q77" si="15">N46/F46</f>
        <v>1.4770696410911228</v>
      </c>
    </row>
    <row r="47" spans="1:17" ht="15" customHeight="1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2'!G37</f>
        <v>2675.96</v>
      </c>
      <c r="E47" s="15">
        <f>D47/$D$111</f>
        <v>0.20696450613942008</v>
      </c>
      <c r="F47" s="79">
        <f>D47+'[1]2025 Μάρτιος'!F81</f>
        <v>28270.92</v>
      </c>
      <c r="G47" s="15" t="e">
        <f>F47/$F$84</f>
        <v>#VALUE!</v>
      </c>
      <c r="H47" s="14"/>
      <c r="I47" s="26" t="e">
        <f ca="1">H47/$H$84</f>
        <v>#DIV/0!</v>
      </c>
      <c r="J47" s="27"/>
      <c r="K47" s="27" t="e">
        <f ca="1">J47/$J$84</f>
        <v>#DIV/0!</v>
      </c>
      <c r="L47" s="79">
        <f>'[1]2024_60-69 ΕΞΟΔΑ+ΟΜ 2'!G35</f>
        <v>2234.79</v>
      </c>
      <c r="M47" s="15">
        <f ca="1">L47/$L$84</f>
        <v>0.24589774313979859</v>
      </c>
      <c r="N47" s="10">
        <f>L47+'[1]2025 Μάρτιος'!N81</f>
        <v>16768.190000000002</v>
      </c>
      <c r="O47" s="15">
        <f ca="1">N47/$N$84</f>
        <v>0.43947452358256789</v>
      </c>
      <c r="P47" s="27"/>
      <c r="Q47" s="28" t="e">
        <f>SUM(D47:P47)</f>
        <v>#VALUE!</v>
      </c>
    </row>
    <row r="48" spans="1:17" ht="15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2'!G38</f>
        <v>2645.07</v>
      </c>
      <c r="E48" s="15">
        <f>D48/$D$111</f>
        <v>0.20457540705174812</v>
      </c>
      <c r="F48" s="79">
        <f>D48+'[1]2025 Μάρτιος'!F82</f>
        <v>7787.98</v>
      </c>
      <c r="G48" s="15" t="e">
        <f>F48/$F$84</f>
        <v>#VALUE!</v>
      </c>
      <c r="H48" s="14"/>
      <c r="I48" s="26" t="e">
        <f ca="1">H48/$H$84</f>
        <v>#DIV/0!</v>
      </c>
      <c r="J48" s="27"/>
      <c r="K48" s="27" t="e">
        <f ca="1">J48/$J$84</f>
        <v>#DIV/0!</v>
      </c>
      <c r="L48" s="79">
        <v>1730.5800000000002</v>
      </c>
      <c r="M48" s="15">
        <f ca="1">L48/$L$84</f>
        <v>0.19041865961583537</v>
      </c>
      <c r="N48" s="10">
        <f>L48+'[1]2025 Μάρτιος'!N82</f>
        <v>6619.94</v>
      </c>
      <c r="O48" s="15">
        <f ca="1">N48/$N$84</f>
        <v>0.17350083566832103</v>
      </c>
      <c r="P48" s="27"/>
      <c r="Q48" s="28" t="e">
        <f>SUM(D48:P48)</f>
        <v>#VALUE!</v>
      </c>
    </row>
    <row r="49" spans="1:17" ht="15" customHeight="1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2'!G7</f>
        <v>1209.9000000000001</v>
      </c>
      <c r="E49" s="15">
        <f t="shared" si="8"/>
        <v>2.1877973623591441E-2</v>
      </c>
      <c r="F49" s="10">
        <f>D49+'[1]2025 Μάρτιος'!F47</f>
        <v>7291.0499999999993</v>
      </c>
      <c r="G49" s="15">
        <f t="shared" si="9"/>
        <v>2.1507820526398845E-2</v>
      </c>
      <c r="H49" s="14"/>
      <c r="I49" s="16" t="e">
        <f t="shared" si="10"/>
        <v>#DIV/0!</v>
      </c>
      <c r="J49" s="10">
        <f t="shared" si="14"/>
        <v>0</v>
      </c>
      <c r="K49" s="17" t="e">
        <f t="shared" si="11"/>
        <v>#DIV/0!</v>
      </c>
      <c r="L49" s="14">
        <f>'[1]2024_60-69 ΕΞΟΔΑ+ΟΜ 2'!G7</f>
        <v>1325.1</v>
      </c>
      <c r="M49" s="15">
        <f t="shared" si="12"/>
        <v>2.4178667047657216E-2</v>
      </c>
      <c r="N49" s="10">
        <f>L49+'[1]2025 Μάρτιος'!N47</f>
        <v>9493.14</v>
      </c>
      <c r="O49" s="15">
        <f t="shared" si="13"/>
        <v>2.8746921894465979E-2</v>
      </c>
      <c r="P49" s="10"/>
      <c r="Q49" s="15">
        <f t="shared" si="15"/>
        <v>1.3020264570946571</v>
      </c>
    </row>
    <row r="50" spans="1:17" ht="15" customHeight="1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2'!G8</f>
        <v>1345.7</v>
      </c>
      <c r="E50" s="15">
        <f t="shared" si="8"/>
        <v>2.4333572283053974E-2</v>
      </c>
      <c r="F50" s="10">
        <f>D50+'[1]2025 Μάρτιος'!F48</f>
        <v>3011.5200000000004</v>
      </c>
      <c r="G50" s="15">
        <f t="shared" si="9"/>
        <v>8.883663076190762E-3</v>
      </c>
      <c r="H50" s="14"/>
      <c r="I50" s="16" t="e">
        <f t="shared" si="10"/>
        <v>#DIV/0!</v>
      </c>
      <c r="J50" s="10">
        <f t="shared" si="14"/>
        <v>0</v>
      </c>
      <c r="K50" s="17" t="e">
        <f t="shared" si="11"/>
        <v>#DIV/0!</v>
      </c>
      <c r="L50" s="14">
        <f>'[1]2024_60-69 ΕΞΟΔΑ+ΟΜ 2'!G8</f>
        <v>1238.6400000000001</v>
      </c>
      <c r="M50" s="15">
        <f t="shared" si="12"/>
        <v>2.2601059657316534E-2</v>
      </c>
      <c r="N50" s="10">
        <f>L50+'[1]2025 Μάρτιος'!N48</f>
        <v>3500.83</v>
      </c>
      <c r="O50" s="15">
        <f t="shared" si="13"/>
        <v>1.0601137934951274E-2</v>
      </c>
      <c r="P50" s="10"/>
      <c r="Q50" s="15">
        <f t="shared" si="15"/>
        <v>1.1624794123897564</v>
      </c>
    </row>
    <row r="51" spans="1:17" ht="28.5" customHeight="1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2'!G9</f>
        <v>921.08</v>
      </c>
      <c r="E51" s="15">
        <f t="shared" si="8"/>
        <v>1.6655396268466488E-2</v>
      </c>
      <c r="F51" s="10">
        <f>D51+'[1]2025 Μάρτιος'!F49</f>
        <v>3084.71</v>
      </c>
      <c r="G51" s="15">
        <f t="shared" si="9"/>
        <v>9.0995657766697238E-3</v>
      </c>
      <c r="H51" s="14"/>
      <c r="I51" s="16" t="e">
        <f t="shared" si="10"/>
        <v>#DIV/0!</v>
      </c>
      <c r="J51" s="10">
        <f t="shared" si="14"/>
        <v>0</v>
      </c>
      <c r="K51" s="17" t="e">
        <f t="shared" si="11"/>
        <v>#DIV/0!</v>
      </c>
      <c r="L51" s="14">
        <f>'[1]2024_60-69 ΕΞΟΔΑ+ΟΜ 2'!G9</f>
        <v>977.3900000000001</v>
      </c>
      <c r="M51" s="15">
        <f t="shared" si="12"/>
        <v>1.7834116206859627E-2</v>
      </c>
      <c r="N51" s="10">
        <f>L51+'[1]2025 Μάρτιος'!N49</f>
        <v>4537.16</v>
      </c>
      <c r="O51" s="15">
        <f t="shared" si="13"/>
        <v>1.3739330099703077E-2</v>
      </c>
      <c r="P51" s="10"/>
      <c r="Q51" s="15">
        <f t="shared" si="15"/>
        <v>1.4708546346334015</v>
      </c>
    </row>
    <row r="52" spans="1:17" ht="20.25" customHeight="1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2'!G41</f>
        <v>523.53</v>
      </c>
      <c r="E52" s="15">
        <f>D52/$D$111</f>
        <v>4.0490937046581632E-2</v>
      </c>
      <c r="F52" s="79">
        <f>D52+'[1]2025 Μάρτιος'!F85</f>
        <v>3992.8899999999994</v>
      </c>
      <c r="G52" s="15" t="e">
        <f>F52/$F$84</f>
        <v>#VALUE!</v>
      </c>
      <c r="H52" s="14"/>
      <c r="I52" s="26" t="e">
        <f ca="1">H52/$H$84</f>
        <v>#DIV/0!</v>
      </c>
      <c r="J52" s="27"/>
      <c r="K52" s="27" t="e">
        <f ca="1">J52/$J$84</f>
        <v>#DIV/0!</v>
      </c>
      <c r="L52" s="79">
        <v>498.13</v>
      </c>
      <c r="M52" s="15">
        <f ca="1">L52/$L$84</f>
        <v>5.4810090787155784E-2</v>
      </c>
      <c r="N52" s="10">
        <f>L52+'[1]2025 Μάρτιος'!N85</f>
        <v>498.13</v>
      </c>
      <c r="O52" s="15">
        <f ca="1">N52/$N$84</f>
        <v>1.3055400996302195E-2</v>
      </c>
      <c r="P52" s="27"/>
      <c r="Q52" s="28" t="e">
        <f>SUM(D52:P52)</f>
        <v>#VALUE!</v>
      </c>
    </row>
    <row r="53" spans="1:17" ht="20.25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2'!G42</f>
        <v>530.74</v>
      </c>
      <c r="E53" s="15">
        <f>D53/$D$111</f>
        <v>4.1048573965394027E-2</v>
      </c>
      <c r="F53" s="79">
        <f>D53+'[1]2025 Μάρτιος'!F86</f>
        <v>1586.01</v>
      </c>
      <c r="G53" s="15" t="e">
        <f>F53/$F$84</f>
        <v>#VALUE!</v>
      </c>
      <c r="H53" s="14"/>
      <c r="I53" s="26" t="e">
        <f ca="1">H53/$H$84</f>
        <v>#DIV/0!</v>
      </c>
      <c r="J53" s="27"/>
      <c r="K53" s="27" t="e">
        <f ca="1">J53/$J$84</f>
        <v>#DIV/0!</v>
      </c>
      <c r="L53" s="79">
        <v>385.75</v>
      </c>
      <c r="M53" s="15">
        <f ca="1">L53/$L$84</f>
        <v>4.2444728326230793E-2</v>
      </c>
      <c r="N53" s="10">
        <f>L53+'[1]2025 Μάρτιος'!N86</f>
        <v>1174.77</v>
      </c>
      <c r="O53" s="15">
        <f ca="1">N53/$N$84</f>
        <v>3.0789338984654469E-2</v>
      </c>
      <c r="P53" s="27"/>
      <c r="Q53" s="28" t="e">
        <f>SUM(D53:P53)</f>
        <v>#VALUE!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2'!G10</f>
        <v>9916.1200000000008</v>
      </c>
      <c r="E54" s="15">
        <f t="shared" si="8"/>
        <v>0.17930788644381151</v>
      </c>
      <c r="F54" s="10">
        <f>D54+'[1]2025 Μάρτιος'!F50</f>
        <v>11416.390000000001</v>
      </c>
      <c r="G54" s="15">
        <f t="shared" si="9"/>
        <v>3.367713390792472E-2</v>
      </c>
      <c r="H54" s="14"/>
      <c r="I54" s="16" t="e">
        <f t="shared" si="10"/>
        <v>#DIV/0!</v>
      </c>
      <c r="J54" s="10">
        <f t="shared" si="14"/>
        <v>0</v>
      </c>
      <c r="K54" s="17" t="e">
        <f t="shared" si="11"/>
        <v>#DIV/0!</v>
      </c>
      <c r="L54" s="14">
        <f>'[1]2024_60-69 ΕΞΟΔΑ+ΟΜ 2'!G10</f>
        <v>9312.57</v>
      </c>
      <c r="M54" s="15">
        <f t="shared" si="12"/>
        <v>0.1699234241853454</v>
      </c>
      <c r="N54" s="10">
        <f>L54+'[1]2025 Μάρτιος'!N50</f>
        <v>11472.2</v>
      </c>
      <c r="O54" s="15">
        <f t="shared" si="13"/>
        <v>3.4739868721802548E-2</v>
      </c>
      <c r="P54" s="10"/>
      <c r="Q54" s="15">
        <f t="shared" si="15"/>
        <v>1.0048885856211989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2'!G11</f>
        <v>0</v>
      </c>
      <c r="E55" s="15">
        <f t="shared" si="8"/>
        <v>0</v>
      </c>
      <c r="F55" s="10">
        <f>D55+'[1]2025 Μάρτιος'!F51</f>
        <v>27434.759999999995</v>
      </c>
      <c r="G55" s="15">
        <f t="shared" si="9"/>
        <v>8.092961840404686E-2</v>
      </c>
      <c r="H55" s="14"/>
      <c r="I55" s="16" t="e">
        <f t="shared" si="10"/>
        <v>#DIV/0!</v>
      </c>
      <c r="J55" s="10">
        <f t="shared" si="14"/>
        <v>0</v>
      </c>
      <c r="K55" s="17" t="e">
        <f t="shared" si="11"/>
        <v>#DIV/0!</v>
      </c>
      <c r="L55" s="14">
        <f>'[1]2024_60-69 ΕΞΟΔΑ+ΟΜ 2'!G11</f>
        <v>0</v>
      </c>
      <c r="M55" s="15">
        <f t="shared" si="12"/>
        <v>0</v>
      </c>
      <c r="N55" s="10">
        <f>L55+'[1]2025 Μάρτιος'!N51</f>
        <v>27933.71</v>
      </c>
      <c r="O55" s="15">
        <f t="shared" si="13"/>
        <v>8.4588258425838364E-2</v>
      </c>
      <c r="P55" s="10"/>
      <c r="Q55" s="15">
        <f t="shared" si="15"/>
        <v>1.0181867820239727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2'!G12</f>
        <v>350.21</v>
      </c>
      <c r="E56" s="15">
        <f t="shared" si="8"/>
        <v>6.3326598419026015E-3</v>
      </c>
      <c r="F56" s="10">
        <f>D56+'[1]2025 Μάρτιος'!F52</f>
        <v>350.21</v>
      </c>
      <c r="G56" s="15">
        <f t="shared" si="9"/>
        <v>1.0330821797340766E-3</v>
      </c>
      <c r="H56" s="14"/>
      <c r="I56" s="16" t="e">
        <f t="shared" si="10"/>
        <v>#DIV/0!</v>
      </c>
      <c r="J56" s="10">
        <f t="shared" si="14"/>
        <v>0</v>
      </c>
      <c r="K56" s="17" t="e">
        <f t="shared" si="11"/>
        <v>#DIV/0!</v>
      </c>
      <c r="L56" s="14">
        <f>'[1]2024_60-69 ΕΞΟΔΑ+ΟΜ 2'!G12</f>
        <v>327.67</v>
      </c>
      <c r="M56" s="15">
        <f t="shared" si="12"/>
        <v>5.9788875039663734E-3</v>
      </c>
      <c r="N56" s="10">
        <f>L56+'[1]2025 Μάρτιος'!N52</f>
        <v>327.67</v>
      </c>
      <c r="O56" s="15">
        <f t="shared" si="13"/>
        <v>9.9224323007557759E-4</v>
      </c>
      <c r="P56" s="10"/>
      <c r="Q56" s="15">
        <f t="shared" si="15"/>
        <v>0.93563861682990213</v>
      </c>
    </row>
    <row r="57" spans="1:17" ht="15" customHeight="1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2'!G13</f>
        <v>506.04000000000008</v>
      </c>
      <c r="E57" s="15">
        <f t="shared" si="8"/>
        <v>9.1504502624036813E-3</v>
      </c>
      <c r="F57" s="10">
        <f>D57+'[1]2025 Μάρτιος'!F53</f>
        <v>1470.27</v>
      </c>
      <c r="G57" s="15">
        <f t="shared" si="9"/>
        <v>4.3371398201011418E-3</v>
      </c>
      <c r="H57" s="14"/>
      <c r="I57" s="16" t="e">
        <f t="shared" si="10"/>
        <v>#DIV/0!</v>
      </c>
      <c r="J57" s="10">
        <f t="shared" si="14"/>
        <v>0</v>
      </c>
      <c r="K57" s="17" t="e">
        <f t="shared" si="11"/>
        <v>#DIV/0!</v>
      </c>
      <c r="L57" s="14">
        <f>'[1]2024_60-69 ΕΞΟΔΑ+ΟΜ 2'!G13</f>
        <v>292.92</v>
      </c>
      <c r="M57" s="15">
        <f t="shared" si="12"/>
        <v>5.3448156000299998E-3</v>
      </c>
      <c r="N57" s="10">
        <f>L57+'[1]2025 Μάρτιος'!N53</f>
        <v>1283.3500000000001</v>
      </c>
      <c r="O57" s="15">
        <f t="shared" si="13"/>
        <v>3.886212803483665E-3</v>
      </c>
      <c r="P57" s="10"/>
      <c r="Q57" s="15">
        <f t="shared" si="15"/>
        <v>0.87286688839464865</v>
      </c>
    </row>
    <row r="58" spans="1:17" ht="15" customHeight="1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2'!G14</f>
        <v>458.47</v>
      </c>
      <c r="E58" s="15">
        <f t="shared" si="8"/>
        <v>8.2902674330175789E-3</v>
      </c>
      <c r="F58" s="10">
        <f>D58+'[1]2025 Μάρτιος'!F54</f>
        <v>2183.5299999999997</v>
      </c>
      <c r="G58" s="15">
        <f t="shared" si="9"/>
        <v>6.4411808112696612E-3</v>
      </c>
      <c r="H58" s="14"/>
      <c r="I58" s="16" t="e">
        <f t="shared" si="10"/>
        <v>#DIV/0!</v>
      </c>
      <c r="J58" s="10">
        <f t="shared" si="14"/>
        <v>0</v>
      </c>
      <c r="K58" s="17" t="e">
        <f t="shared" si="11"/>
        <v>#DIV/0!</v>
      </c>
      <c r="L58" s="14">
        <f>'[1]2024_60-69 ΕΞΟΔΑ+ΟΜ 2'!G14</f>
        <v>-113.33</v>
      </c>
      <c r="M58" s="15">
        <f t="shared" si="12"/>
        <v>-2.0678955071398329E-3</v>
      </c>
      <c r="N58" s="10">
        <f>L58+'[1]2025 Μάρτιος'!N54</f>
        <v>1855.5500000000002</v>
      </c>
      <c r="O58" s="15">
        <f t="shared" si="13"/>
        <v>5.6189365079706349E-3</v>
      </c>
      <c r="P58" s="10"/>
      <c r="Q58" s="15">
        <f t="shared" si="15"/>
        <v>0.8497936827064434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2'!G15</f>
        <v>0</v>
      </c>
      <c r="E59" s="15">
        <f t="shared" si="8"/>
        <v>0</v>
      </c>
      <c r="F59" s="10">
        <f>D59+'[1]2025 Μάρτιος'!F55</f>
        <v>2145.25</v>
      </c>
      <c r="G59" s="15">
        <f t="shared" si="9"/>
        <v>6.3282588905928675E-3</v>
      </c>
      <c r="H59" s="14"/>
      <c r="I59" s="16" t="e">
        <f t="shared" si="10"/>
        <v>#DIV/0!</v>
      </c>
      <c r="J59" s="10">
        <f t="shared" si="14"/>
        <v>0</v>
      </c>
      <c r="K59" s="17" t="e">
        <f t="shared" si="11"/>
        <v>#DIV/0!</v>
      </c>
      <c r="L59" s="14">
        <f>'[1]2024_60-69 ΕΞΟΔΑ+ΟΜ 2'!G15</f>
        <v>0</v>
      </c>
      <c r="M59" s="15">
        <f t="shared" si="12"/>
        <v>0</v>
      </c>
      <c r="N59" s="10">
        <f>L59+'[1]2025 Μάρτιος'!N55</f>
        <v>1868.75</v>
      </c>
      <c r="O59" s="15">
        <f t="shared" si="13"/>
        <v>5.6589084634044483E-3</v>
      </c>
      <c r="P59" s="10"/>
      <c r="Q59" s="15">
        <f t="shared" si="15"/>
        <v>0.87111059317095907</v>
      </c>
    </row>
    <row r="60" spans="1:17" ht="15" customHeight="1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2'!G16</f>
        <v>407.89</v>
      </c>
      <c r="E60" s="15">
        <f t="shared" si="8"/>
        <v>7.3756563859217385E-3</v>
      </c>
      <c r="F60" s="10">
        <f>D60+'[1]2025 Μάρτιος'!F56</f>
        <v>1130.58</v>
      </c>
      <c r="G60" s="15">
        <f t="shared" si="9"/>
        <v>3.3350905192991416E-3</v>
      </c>
      <c r="H60" s="14"/>
      <c r="I60" s="16" t="e">
        <f t="shared" si="10"/>
        <v>#DIV/0!</v>
      </c>
      <c r="J60" s="10"/>
      <c r="K60" s="17" t="e">
        <f t="shared" si="11"/>
        <v>#DIV/0!</v>
      </c>
      <c r="L60" s="14">
        <f>'[1]2024_60-69 ΕΞΟΔΑ+ΟΜ 2'!G16</f>
        <v>271.67</v>
      </c>
      <c r="M60" s="15">
        <f t="shared" si="12"/>
        <v>4.9570737882703468E-3</v>
      </c>
      <c r="N60" s="10">
        <f>L60+'[1]2025 Μάρτιος'!N56</f>
        <v>271.67</v>
      </c>
      <c r="O60" s="15">
        <f t="shared" si="13"/>
        <v>8.2266523732606634E-4</v>
      </c>
      <c r="P60" s="10"/>
      <c r="Q60" s="15"/>
    </row>
    <row r="61" spans="1:17" ht="42.75" customHeight="1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2'!G17</f>
        <v>43.87</v>
      </c>
      <c r="E61" s="15">
        <f t="shared" si="8"/>
        <v>7.9327771127114344E-4</v>
      </c>
      <c r="F61" s="10">
        <f>D61+'[1]2025 Μάρτιος'!F57</f>
        <v>940.93999999999994</v>
      </c>
      <c r="G61" s="15">
        <f t="shared" si="9"/>
        <v>2.7756727283600757E-3</v>
      </c>
      <c r="H61" s="14"/>
      <c r="I61" s="16" t="e">
        <f t="shared" si="10"/>
        <v>#DIV/0!</v>
      </c>
      <c r="J61" s="10">
        <f t="shared" si="14"/>
        <v>0</v>
      </c>
      <c r="K61" s="17" t="e">
        <f t="shared" si="11"/>
        <v>#DIV/0!</v>
      </c>
      <c r="L61" s="14">
        <f>'[1]2024_60-69 ΕΞΟΔΑ+ΟΜ 2'!G17</f>
        <v>24.39</v>
      </c>
      <c r="M61" s="15">
        <f t="shared" si="12"/>
        <v>4.4503636653260852E-4</v>
      </c>
      <c r="N61" s="10">
        <f>L61+'[1]2025 Μάρτιος'!N57</f>
        <v>868.65</v>
      </c>
      <c r="O61" s="15">
        <f t="shared" si="13"/>
        <v>2.630427203604695E-3</v>
      </c>
      <c r="P61" s="10"/>
      <c r="Q61" s="15">
        <f t="shared" si="15"/>
        <v>0.92317257210874237</v>
      </c>
    </row>
    <row r="62" spans="1:17" ht="42.75" customHeight="1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2'!G18</f>
        <v>0</v>
      </c>
      <c r="E62" s="15">
        <f t="shared" si="8"/>
        <v>0</v>
      </c>
      <c r="F62" s="10">
        <f>D62+'[1]2025 Μάρτιος'!F58</f>
        <v>84.57</v>
      </c>
      <c r="G62" s="15">
        <f t="shared" si="9"/>
        <v>2.494724877648007E-4</v>
      </c>
      <c r="H62" s="14"/>
      <c r="I62" s="16" t="e">
        <f t="shared" si="10"/>
        <v>#DIV/0!</v>
      </c>
      <c r="J62" s="10">
        <f t="shared" si="14"/>
        <v>0</v>
      </c>
      <c r="K62" s="17" t="e">
        <f t="shared" si="11"/>
        <v>#DIV/0!</v>
      </c>
      <c r="L62" s="14">
        <f>'[1]2024_60-69 ΕΞΟΔΑ+ΟΜ 2'!G18</f>
        <v>0</v>
      </c>
      <c r="M62" s="15">
        <f t="shared" si="12"/>
        <v>0</v>
      </c>
      <c r="N62" s="10">
        <f>L62+'[1]2025 Μάρτιος'!N58</f>
        <v>-20.589999999999971</v>
      </c>
      <c r="O62" s="15">
        <f t="shared" si="13"/>
        <v>-6.2350194119864847E-5</v>
      </c>
      <c r="P62" s="10"/>
      <c r="Q62" s="15">
        <f t="shared" si="15"/>
        <v>-0.24346695045524386</v>
      </c>
    </row>
    <row r="63" spans="1:17" ht="15" customHeight="1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2'!G19</f>
        <v>55.66</v>
      </c>
      <c r="E63" s="15">
        <f t="shared" si="8"/>
        <v>1.0064699660212409E-3</v>
      </c>
      <c r="F63" s="10">
        <f>D63+'[1]2025 Μάρτιος'!F59</f>
        <v>3836.3599999999997</v>
      </c>
      <c r="G63" s="15">
        <f t="shared" si="9"/>
        <v>1.1316853176792844E-2</v>
      </c>
      <c r="H63" s="14"/>
      <c r="I63" s="16" t="e">
        <f t="shared" si="10"/>
        <v>#DIV/0!</v>
      </c>
      <c r="J63" s="10">
        <f t="shared" si="14"/>
        <v>0</v>
      </c>
      <c r="K63" s="17" t="e">
        <f t="shared" si="11"/>
        <v>#DIV/0!</v>
      </c>
      <c r="L63" s="14">
        <f>'[1]2024_60-69 ΕΞΟΔΑ+ΟΜ 2'!G19</f>
        <v>256.40999999999985</v>
      </c>
      <c r="M63" s="15">
        <f t="shared" si="12"/>
        <v>4.6786295507431769E-3</v>
      </c>
      <c r="N63" s="10">
        <f>L63+'[1]2025 Μάρτιος'!N59</f>
        <v>1024.72</v>
      </c>
      <c r="O63" s="15">
        <f t="shared" si="13"/>
        <v>3.1030350130406988E-3</v>
      </c>
      <c r="P63" s="10"/>
      <c r="Q63" s="15">
        <f t="shared" si="15"/>
        <v>0.26710736218707321</v>
      </c>
    </row>
    <row r="64" spans="1:17" ht="42.75" customHeight="1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2'!G20</f>
        <v>0</v>
      </c>
      <c r="E64" s="15">
        <f t="shared" si="8"/>
        <v>0</v>
      </c>
      <c r="F64" s="10">
        <f>D64+'[1]2025 Μάρτιος'!F60</f>
        <v>229.05</v>
      </c>
      <c r="G64" s="15">
        <f t="shared" si="9"/>
        <v>6.7567309119696828E-4</v>
      </c>
      <c r="H64" s="14"/>
      <c r="I64" s="16" t="e">
        <f t="shared" si="10"/>
        <v>#DIV/0!</v>
      </c>
      <c r="J64" s="10">
        <f t="shared" si="14"/>
        <v>0</v>
      </c>
      <c r="K64" s="17" t="e">
        <f t="shared" si="11"/>
        <v>#DIV/0!</v>
      </c>
      <c r="L64" s="14">
        <f>'[1]2024_60-69 ΕΞΟΔΑ+ΟΜ 2'!G20</f>
        <v>0</v>
      </c>
      <c r="M64" s="15">
        <f t="shared" si="12"/>
        <v>0</v>
      </c>
      <c r="N64" s="10">
        <f>L64+'[1]2025 Μάρτιος'!N60</f>
        <v>254.5</v>
      </c>
      <c r="O64" s="15">
        <f t="shared" si="13"/>
        <v>7.7067141347768938E-4</v>
      </c>
      <c r="P64" s="10"/>
      <c r="Q64" s="15">
        <f t="shared" si="15"/>
        <v>1.1111111111111112</v>
      </c>
    </row>
    <row r="65" spans="1:17" ht="28.5" customHeight="1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2'!G21</f>
        <v>0</v>
      </c>
      <c r="E65" s="15">
        <f t="shared" si="8"/>
        <v>0</v>
      </c>
      <c r="F65" s="10">
        <f>D65+'[1]2025 Μάρτιος'!F61</f>
        <v>0</v>
      </c>
      <c r="G65" s="15">
        <f t="shared" si="9"/>
        <v>0</v>
      </c>
      <c r="H65" s="14"/>
      <c r="I65" s="16" t="e">
        <f t="shared" si="10"/>
        <v>#DIV/0!</v>
      </c>
      <c r="J65" s="10">
        <f t="shared" si="14"/>
        <v>0</v>
      </c>
      <c r="K65" s="17" t="e">
        <f t="shared" si="11"/>
        <v>#DIV/0!</v>
      </c>
      <c r="L65" s="14">
        <f>'[1]2024_60-69 ΕΞΟΔΑ+ΟΜ 2'!G21</f>
        <v>0</v>
      </c>
      <c r="M65" s="15">
        <f t="shared" si="12"/>
        <v>0</v>
      </c>
      <c r="N65" s="10">
        <f>L65+'[1]2025 Μάρτιος'!N61</f>
        <v>0</v>
      </c>
      <c r="O65" s="15">
        <f t="shared" si="13"/>
        <v>0</v>
      </c>
      <c r="P65" s="10"/>
      <c r="Q65" s="15" t="e">
        <f t="shared" si="15"/>
        <v>#DIV/0!</v>
      </c>
    </row>
    <row r="66" spans="1:17" ht="15" customHeight="1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2'!G22</f>
        <v>0</v>
      </c>
      <c r="E66" s="15">
        <f t="shared" si="8"/>
        <v>0</v>
      </c>
      <c r="F66" s="10">
        <f>D66+'[1]2025 Μάρτιος'!F62</f>
        <v>0</v>
      </c>
      <c r="G66" s="15">
        <f t="shared" si="9"/>
        <v>0</v>
      </c>
      <c r="H66" s="14"/>
      <c r="I66" s="16" t="e">
        <f t="shared" si="10"/>
        <v>#DIV/0!</v>
      </c>
      <c r="J66" s="10">
        <f t="shared" si="14"/>
        <v>0</v>
      </c>
      <c r="K66" s="17" t="e">
        <f t="shared" si="11"/>
        <v>#DIV/0!</v>
      </c>
      <c r="L66" s="14">
        <f>'[1]2024_60-69 ΕΞΟΔΑ+ΟΜ 2'!G22</f>
        <v>0</v>
      </c>
      <c r="M66" s="15">
        <f t="shared" si="12"/>
        <v>0</v>
      </c>
      <c r="N66" s="10">
        <f>L66+'[1]2025 Μάρτιος'!N62</f>
        <v>17.98</v>
      </c>
      <c r="O66" s="15">
        <f t="shared" si="13"/>
        <v>5.4446648386360926E-5</v>
      </c>
      <c r="P66" s="10"/>
      <c r="Q66" s="15" t="e">
        <f t="shared" si="15"/>
        <v>#DIV/0!</v>
      </c>
    </row>
    <row r="67" spans="1:17" ht="22.5" customHeight="1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2'!G23</f>
        <v>49.57</v>
      </c>
      <c r="E67" s="15">
        <f t="shared" si="8"/>
        <v>8.9634775809689041E-4</v>
      </c>
      <c r="F67" s="10">
        <f>D67+'[1]2025 Μάρτιος'!F63</f>
        <v>49.57</v>
      </c>
      <c r="G67" s="15">
        <f t="shared" si="9"/>
        <v>1.4622621755351983E-4</v>
      </c>
      <c r="H67" s="14"/>
      <c r="I67" s="16" t="e">
        <f t="shared" si="10"/>
        <v>#DIV/0!</v>
      </c>
      <c r="J67" s="10">
        <f t="shared" si="14"/>
        <v>0</v>
      </c>
      <c r="K67" s="17" t="e">
        <f t="shared" si="11"/>
        <v>#DIV/0!</v>
      </c>
      <c r="L67" s="14">
        <f>'[1]2024_60-69 ΕΞΟΔΑ+ΟΜ 2'!G23</f>
        <v>0</v>
      </c>
      <c r="M67" s="15">
        <f t="shared" si="12"/>
        <v>0</v>
      </c>
      <c r="N67" s="10">
        <f>L67+'[1]2025 Μάρτιος'!N63</f>
        <v>61.85</v>
      </c>
      <c r="O67" s="15">
        <f t="shared" si="13"/>
        <v>1.8729283663495124E-4</v>
      </c>
      <c r="P67" s="10"/>
      <c r="Q67" s="15">
        <f t="shared" si="15"/>
        <v>1.2477304821464597</v>
      </c>
    </row>
    <row r="68" spans="1:17" ht="36" customHeight="1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2'!G24</f>
        <v>4093.02</v>
      </c>
      <c r="E68" s="15">
        <f t="shared" si="8"/>
        <v>7.4011888255915564E-2</v>
      </c>
      <c r="F68" s="10">
        <f>D68+'[1]2025 Μάρτιος'!F64</f>
        <v>4231.2</v>
      </c>
      <c r="G68" s="15">
        <f t="shared" si="9"/>
        <v>1.2481589100513477E-2</v>
      </c>
      <c r="H68" s="14"/>
      <c r="I68" s="16" t="e">
        <f t="shared" si="10"/>
        <v>#DIV/0!</v>
      </c>
      <c r="J68" s="10">
        <f t="shared" si="14"/>
        <v>0</v>
      </c>
      <c r="K68" s="17" t="e">
        <f t="shared" si="11"/>
        <v>#DIV/0!</v>
      </c>
      <c r="L68" s="14">
        <f>'[1]2024_60-69 ΕΞΟΔΑ+ΟΜ 2'!G24</f>
        <v>7312.44</v>
      </c>
      <c r="M68" s="15">
        <f t="shared" si="12"/>
        <v>0.13342770512864729</v>
      </c>
      <c r="N68" s="10">
        <f>L68+'[1]2025 Μάρτιος'!N64</f>
        <v>7774.92</v>
      </c>
      <c r="O68" s="15">
        <f t="shared" si="13"/>
        <v>2.3543845131929104E-2</v>
      </c>
      <c r="P68" s="10"/>
      <c r="Q68" s="15">
        <f t="shared" si="15"/>
        <v>1.8375212705615429</v>
      </c>
    </row>
    <row r="69" spans="1:17" ht="36" customHeight="1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2'!G25</f>
        <v>918.31999999999994</v>
      </c>
      <c r="E69" s="15">
        <f t="shared" si="8"/>
        <v>1.6605488666845598E-2</v>
      </c>
      <c r="F69" s="10">
        <f>D69+'[1]2025 Μάρτιος'!F65</f>
        <v>26206.63</v>
      </c>
      <c r="G69" s="15">
        <f t="shared" si="9"/>
        <v>7.7306765780201722E-2</v>
      </c>
      <c r="H69" s="14"/>
      <c r="I69" s="16" t="e">
        <f t="shared" si="10"/>
        <v>#DIV/0!</v>
      </c>
      <c r="J69" s="10">
        <f t="shared" si="14"/>
        <v>0</v>
      </c>
      <c r="K69" s="17" t="e">
        <f t="shared" si="11"/>
        <v>#DIV/0!</v>
      </c>
      <c r="L69" s="14">
        <f>'[1]2024_60-69 ΕΞΟΔΑ+ΟΜ 2'!G25</f>
        <v>0</v>
      </c>
      <c r="M69" s="15">
        <f t="shared" si="12"/>
        <v>0</v>
      </c>
      <c r="N69" s="10">
        <f>L69+'[1]2025 Μάρτιος'!N65</f>
        <v>13882.39</v>
      </c>
      <c r="O69" s="15">
        <f t="shared" si="13"/>
        <v>4.203835412081941E-2</v>
      </c>
      <c r="P69" s="10"/>
      <c r="Q69" s="15">
        <f t="shared" si="15"/>
        <v>0.52972816420882807</v>
      </c>
    </row>
    <row r="70" spans="1:17" ht="36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2'!G26</f>
        <v>0</v>
      </c>
      <c r="E70" s="15">
        <f t="shared" si="8"/>
        <v>0</v>
      </c>
      <c r="F70" s="10">
        <f>D70+'[1]2025 Μάρτιος'!F66</f>
        <v>768.5</v>
      </c>
      <c r="G70" s="15">
        <f t="shared" si="9"/>
        <v>2.2669931044962677E-3</v>
      </c>
      <c r="H70" s="14"/>
      <c r="I70" s="16" t="e">
        <f t="shared" si="10"/>
        <v>#DIV/0!</v>
      </c>
      <c r="J70" s="10">
        <f t="shared" si="14"/>
        <v>0</v>
      </c>
      <c r="K70" s="17" t="e">
        <f t="shared" si="11"/>
        <v>#DIV/0!</v>
      </c>
      <c r="L70" s="14">
        <f>'[1]2024_60-69 ΕΞΟΔΑ+ΟΜ 2'!G26</f>
        <v>0</v>
      </c>
      <c r="M70" s="15">
        <f t="shared" si="12"/>
        <v>0</v>
      </c>
      <c r="N70" s="10">
        <f>L70+'[1]2025 Μάρτιος'!N66</f>
        <v>0</v>
      </c>
      <c r="O70" s="15">
        <f t="shared" si="13"/>
        <v>0</v>
      </c>
      <c r="P70" s="10"/>
      <c r="Q70" s="15">
        <f t="shared" si="15"/>
        <v>0</v>
      </c>
    </row>
    <row r="71" spans="1:17" ht="15.75" customHeight="1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2'!G27</f>
        <v>141.5</v>
      </c>
      <c r="E71" s="15">
        <f t="shared" si="8"/>
        <v>2.5586687062882788E-3</v>
      </c>
      <c r="F71" s="10">
        <f>D71+'[1]2025 Μάρτιος'!F67</f>
        <v>141.5</v>
      </c>
      <c r="G71" s="15">
        <f t="shared" si="9"/>
        <v>4.1740992099703562E-4</v>
      </c>
      <c r="H71" s="14"/>
      <c r="I71" s="16" t="e">
        <f t="shared" si="10"/>
        <v>#DIV/0!</v>
      </c>
      <c r="J71" s="10">
        <f t="shared" si="14"/>
        <v>0</v>
      </c>
      <c r="K71" s="17" t="e">
        <f t="shared" si="11"/>
        <v>#DIV/0!</v>
      </c>
      <c r="L71" s="14">
        <f>'[1]2024_60-69 ΕΞΟΔΑ+ΟΜ 2'!G27</f>
        <v>0</v>
      </c>
      <c r="M71" s="15">
        <f t="shared" si="12"/>
        <v>0</v>
      </c>
      <c r="N71" s="10">
        <f>L71+'[1]2025 Μάρτιος'!N67</f>
        <v>0</v>
      </c>
      <c r="O71" s="15">
        <f t="shared" si="13"/>
        <v>0</v>
      </c>
      <c r="P71" s="10"/>
      <c r="Q71" s="15">
        <f t="shared" si="15"/>
        <v>0</v>
      </c>
    </row>
    <row r="72" spans="1:17" ht="27.7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2'!G28</f>
        <v>1736.58</v>
      </c>
      <c r="E72" s="15">
        <f t="shared" si="8"/>
        <v>3.1401645950290456E-2</v>
      </c>
      <c r="F72" s="10">
        <f>D72+'[1]2025 Μάρτιος'!F68</f>
        <v>1736.58</v>
      </c>
      <c r="G72" s="15">
        <f t="shared" si="9"/>
        <v>5.1227259406716047E-3</v>
      </c>
      <c r="H72" s="14"/>
      <c r="I72" s="16" t="e">
        <f t="shared" si="10"/>
        <v>#DIV/0!</v>
      </c>
      <c r="J72" s="10">
        <f t="shared" si="14"/>
        <v>0</v>
      </c>
      <c r="K72" s="17" t="e">
        <f t="shared" si="11"/>
        <v>#DIV/0!</v>
      </c>
      <c r="L72" s="14">
        <f>'[1]2024_60-69 ΕΞΟΔΑ+ΟΜ 2'!G28</f>
        <v>2162.85</v>
      </c>
      <c r="M72" s="15">
        <f t="shared" si="12"/>
        <v>3.9464817767734819E-2</v>
      </c>
      <c r="N72" s="10">
        <f>L72+'[1]2025 Μάρτιος'!N68</f>
        <v>2162.85</v>
      </c>
      <c r="O72" s="15">
        <f t="shared" si="13"/>
        <v>6.549495743183577E-3</v>
      </c>
      <c r="P72" s="10"/>
      <c r="Q72" s="15">
        <f t="shared" si="15"/>
        <v>1.245465224752099</v>
      </c>
    </row>
    <row r="73" spans="1:17" ht="78.75" customHeight="1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2'!G29</f>
        <v>234.66</v>
      </c>
      <c r="E73" s="15">
        <f t="shared" si="8"/>
        <v>4.2432310856368024E-3</v>
      </c>
      <c r="F73" s="10">
        <f>D73+'[1]2025 Μάρτιος'!F69</f>
        <v>2478.6</v>
      </c>
      <c r="G73" s="15">
        <f t="shared" si="9"/>
        <v>7.3116058670194524E-3</v>
      </c>
      <c r="H73" s="14"/>
      <c r="I73" s="16" t="e">
        <f t="shared" si="10"/>
        <v>#DIV/0!</v>
      </c>
      <c r="J73" s="10">
        <f t="shared" si="14"/>
        <v>0</v>
      </c>
      <c r="K73" s="17" t="e">
        <f t="shared" si="11"/>
        <v>#DIV/0!</v>
      </c>
      <c r="L73" s="14">
        <f>'[1]2024_60-69 ΕΞΟΔΑ+ΟΜ 2'!G29</f>
        <v>0</v>
      </c>
      <c r="M73" s="15">
        <f t="shared" si="12"/>
        <v>0</v>
      </c>
      <c r="N73" s="10">
        <f>L73+'[1]2025 Μάρτιος'!N69</f>
        <v>2181.1099999999997</v>
      </c>
      <c r="O73" s="15">
        <f t="shared" si="13"/>
        <v>6.6047902815336845E-3</v>
      </c>
      <c r="P73" s="10"/>
      <c r="Q73" s="15">
        <f t="shared" si="15"/>
        <v>0.87997659969337516</v>
      </c>
    </row>
    <row r="74" spans="1:17" ht="30" customHeight="1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v>0</v>
      </c>
      <c r="E74" s="15">
        <f t="shared" si="8"/>
        <v>0</v>
      </c>
      <c r="F74" s="10">
        <f>D74+'[1]2025 Μάρτιος'!F70</f>
        <v>0</v>
      </c>
      <c r="G74" s="15">
        <f t="shared" si="9"/>
        <v>0</v>
      </c>
      <c r="H74" s="14"/>
      <c r="I74" s="16" t="e">
        <f t="shared" si="10"/>
        <v>#DIV/0!</v>
      </c>
      <c r="J74" s="10">
        <f t="shared" si="14"/>
        <v>0</v>
      </c>
      <c r="K74" s="17" t="e">
        <f t="shared" si="11"/>
        <v>#DIV/0!</v>
      </c>
      <c r="L74" s="14">
        <f>'[1]2024_60-69 ΕΞΟΔΑ+ΟΜ 2'!G30</f>
        <v>328.35</v>
      </c>
      <c r="M74" s="15">
        <f t="shared" si="12"/>
        <v>5.9912952419426818E-3</v>
      </c>
      <c r="N74" s="10">
        <f>L74+'[1]2025 Μάρτιος'!N70</f>
        <v>3962.9</v>
      </c>
      <c r="O74" s="15">
        <f t="shared" si="13"/>
        <v>1.2000368347625679E-2</v>
      </c>
      <c r="P74" s="10"/>
      <c r="Q74" s="15" t="e">
        <f t="shared" si="15"/>
        <v>#DIV/0!</v>
      </c>
    </row>
    <row r="75" spans="1:17" ht="33.75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2'!G31</f>
        <v>7839.9766666666674</v>
      </c>
      <c r="E75" s="15">
        <f t="shared" si="8"/>
        <v>0.14176609862212222</v>
      </c>
      <c r="F75" s="10">
        <f>D75+'[1]2025 Μάρτιος'!F71</f>
        <v>7839.9766666666674</v>
      </c>
      <c r="G75" s="15">
        <f t="shared" si="9"/>
        <v>2.3127095696480117E-2</v>
      </c>
      <c r="H75" s="14"/>
      <c r="I75" s="16" t="e">
        <f t="shared" si="10"/>
        <v>#DIV/0!</v>
      </c>
      <c r="J75" s="10">
        <f t="shared" si="14"/>
        <v>0</v>
      </c>
      <c r="K75" s="17" t="e">
        <f t="shared" si="11"/>
        <v>#DIV/0!</v>
      </c>
      <c r="L75" s="14">
        <f>'[1]2024_60-69 ΕΞΟΔΑ+ΟΜ 2'!G31</f>
        <v>7839.98</v>
      </c>
      <c r="M75" s="15">
        <f t="shared" si="12"/>
        <v>0.14305355526397376</v>
      </c>
      <c r="N75" s="10">
        <f>L75+'[1]2025 Μάρτιος'!N71</f>
        <v>8120.8399999999992</v>
      </c>
      <c r="O75" s="15">
        <f t="shared" si="13"/>
        <v>2.4591352618570365E-2</v>
      </c>
      <c r="P75" s="10"/>
      <c r="Q75" s="15">
        <f t="shared" si="15"/>
        <v>1.0358245113824742</v>
      </c>
    </row>
    <row r="76" spans="1:17" ht="28.5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2'!G32</f>
        <v>1346.45</v>
      </c>
      <c r="E76" s="15">
        <f t="shared" si="8"/>
        <v>2.4347134131320516E-2</v>
      </c>
      <c r="F76" s="10">
        <f>D76+'[1]2025 Μάρτιος'!F72</f>
        <v>24866.38</v>
      </c>
      <c r="G76" s="15">
        <f t="shared" si="9"/>
        <v>7.3353171104468318E-2</v>
      </c>
      <c r="H76" s="14"/>
      <c r="I76" s="16" t="e">
        <f t="shared" si="10"/>
        <v>#DIV/0!</v>
      </c>
      <c r="J76" s="10">
        <f t="shared" si="14"/>
        <v>0</v>
      </c>
      <c r="K76" s="17" t="e">
        <f t="shared" si="11"/>
        <v>#DIV/0!</v>
      </c>
      <c r="L76" s="14">
        <f>'[1]2024_60-69 ΕΞΟΔΑ+ΟΜ 2'!G32</f>
        <v>3709.31</v>
      </c>
      <c r="M76" s="15">
        <f t="shared" si="12"/>
        <v>6.7682568460150472E-2</v>
      </c>
      <c r="N76" s="10">
        <f>L76+'[1]2025 Μάρτιος'!N72</f>
        <v>27229.25</v>
      </c>
      <c r="O76" s="15">
        <f t="shared" si="13"/>
        <v>8.2455027840618367E-2</v>
      </c>
      <c r="P76" s="10"/>
      <c r="Q76" s="15">
        <f t="shared" si="15"/>
        <v>1.0950226772051259</v>
      </c>
    </row>
    <row r="77" spans="1:17" ht="28.5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2'!G33</f>
        <v>493.78</v>
      </c>
      <c r="E77" s="15">
        <f t="shared" si="8"/>
        <v>8.9287592494065472E-3</v>
      </c>
      <c r="F77" s="10">
        <f>D77+'[1]2025 Μάρτιος'!F73</f>
        <v>3400.34</v>
      </c>
      <c r="G77" s="15">
        <f t="shared" si="9"/>
        <v>1.0030640641435055E-2</v>
      </c>
      <c r="H77" s="14"/>
      <c r="I77" s="16" t="e">
        <f t="shared" si="10"/>
        <v>#DIV/0!</v>
      </c>
      <c r="J77" s="10">
        <f t="shared" si="14"/>
        <v>0</v>
      </c>
      <c r="K77" s="17" t="e">
        <f t="shared" si="11"/>
        <v>#DIV/0!</v>
      </c>
      <c r="L77" s="14">
        <f>'[1]2024_60-69 ΕΞΟΔΑ+ΟΜ 2'!G33</f>
        <v>0</v>
      </c>
      <c r="M77" s="15">
        <f t="shared" si="12"/>
        <v>0</v>
      </c>
      <c r="N77" s="10">
        <f>L77+'[1]2025 Μάρτιος'!N73</f>
        <v>3550.08</v>
      </c>
      <c r="O77" s="15">
        <f t="shared" si="13"/>
        <v>1.0750275723217585E-2</v>
      </c>
      <c r="P77" s="10"/>
      <c r="Q77" s="15">
        <f t="shared" si="15"/>
        <v>1.0440367727933089</v>
      </c>
    </row>
    <row r="78" spans="1:17" ht="28.5" customHeight="1" x14ac:dyDescent="0.25">
      <c r="A78" s="60">
        <v>77</v>
      </c>
      <c r="B78" s="60"/>
      <c r="C78" s="75" t="s">
        <v>163</v>
      </c>
      <c r="D78" s="7">
        <f>'[1]2025_60-69 ΕΞΟΔΑ+ΟΜ 2'!G3</f>
        <v>49339.176666666674</v>
      </c>
      <c r="E78" s="21"/>
      <c r="F78" s="7">
        <f>D78+'[1]2025 Μάρτιος'!F74</f>
        <v>49339.176666666674</v>
      </c>
      <c r="G78" s="21"/>
      <c r="H78" s="7">
        <f>SUM(H44:H77)</f>
        <v>0</v>
      </c>
      <c r="I78" s="21"/>
      <c r="J78" s="7">
        <f>SUM(J44:J77)</f>
        <v>0</v>
      </c>
      <c r="K78" s="21"/>
      <c r="L78" s="7">
        <f>SUM(L44:L77)</f>
        <v>54804.50999999998</v>
      </c>
      <c r="M78" s="21"/>
      <c r="N78" s="7">
        <f>SUM(N44:N77)</f>
        <v>330231.53000000003</v>
      </c>
      <c r="O78" s="21"/>
      <c r="P78" s="7">
        <f>SUM(P44:P77)</f>
        <v>0</v>
      </c>
      <c r="Q78" s="21"/>
    </row>
    <row r="79" spans="1:17" ht="33" customHeight="1" x14ac:dyDescent="0.25">
      <c r="A79" s="60">
        <v>78</v>
      </c>
      <c r="B79" s="60"/>
      <c r="C79" s="22" t="s">
        <v>18</v>
      </c>
      <c r="D79" s="7">
        <f>D43-D78</f>
        <v>5963.0200000000041</v>
      </c>
      <c r="E79" s="21"/>
      <c r="F79" s="7">
        <f>F43-F78</f>
        <v>289656.12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0</v>
      </c>
      <c r="M79" s="21"/>
      <c r="N79" s="7">
        <f>N43-N78</f>
        <v>0</v>
      </c>
      <c r="O79" s="21"/>
      <c r="P79" s="7">
        <f>P43-P78</f>
        <v>0</v>
      </c>
      <c r="Q79" s="21"/>
    </row>
    <row r="80" spans="1:17" ht="27" customHeight="1" x14ac:dyDescent="0.25">
      <c r="A80" s="76">
        <v>79</v>
      </c>
      <c r="B80" s="76"/>
      <c r="C80" s="13" t="s">
        <v>32</v>
      </c>
      <c r="D80" s="23">
        <f>D38-D78</f>
        <v>-49339.176666666674</v>
      </c>
      <c r="E80" s="24"/>
      <c r="F80" s="23" t="e">
        <f>F38-F78</f>
        <v>#VALUE!</v>
      </c>
      <c r="G80" s="24"/>
      <c r="H80" s="25">
        <f>H38-H78</f>
        <v>0</v>
      </c>
      <c r="I80" s="24" t="e">
        <f t="shared" ref="I80" si="16">H80/$I$39</f>
        <v>#DIV/0!</v>
      </c>
      <c r="J80" s="25">
        <f>J38-J78</f>
        <v>113417.90507872538</v>
      </c>
      <c r="K80" s="24"/>
      <c r="L80" s="77">
        <f>L38-L78</f>
        <v>11991.897964601798</v>
      </c>
      <c r="M80" s="24"/>
      <c r="N80" s="23">
        <f>N38-N78</f>
        <v>-198925.96699115049</v>
      </c>
      <c r="O80" s="24"/>
      <c r="P80" s="23">
        <f>P38-P78</f>
        <v>10516.872831858456</v>
      </c>
      <c r="Q80" s="24"/>
    </row>
    <row r="81" spans="1:17" ht="30.75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</row>
    <row r="82" spans="1:17" ht="24.75" customHeight="1" x14ac:dyDescent="0.25">
      <c r="A82" s="19">
        <v>81</v>
      </c>
      <c r="B82" s="19"/>
      <c r="C82" s="5" t="s">
        <v>3</v>
      </c>
      <c r="D82" s="180" t="str">
        <f>[1]ΑΝΤΙΣΤΟΙΧΙΣΗ!$F$109</f>
        <v xml:space="preserve">ΑΠΡΙΛΙΟΣ ΤΡΕΧΟΝ ΕΤΟΣ </v>
      </c>
      <c r="E82" s="180"/>
      <c r="F82" s="180"/>
      <c r="G82" s="61">
        <f>[1]ΑΝΤΙΣΤΟΙΧΙΣΗ!$D$34</f>
        <v>2025</v>
      </c>
      <c r="H82" s="180" t="str">
        <f>[1]ΑΝΤΙΣΤΟΙΧΙΣΗ!$F$109</f>
        <v xml:space="preserve">ΑΠΡΙΛΙΟΣ ΤΡΕΧΟΝ ΕΤΟΣ </v>
      </c>
      <c r="I82" s="180"/>
      <c r="J82" s="180"/>
      <c r="K82" s="61">
        <f>[1]ΑΝΤΙΣΤΟΙΧΙΣΗ!$D$34</f>
        <v>2025</v>
      </c>
      <c r="L82" s="180" t="str">
        <f>[1]ΑΝΤΙΣΤΟΙΧΙΣΗ!$F$123</f>
        <v>ΑΠΡΙΛΙΟΣ ΠΡΟΗΓΟΥΜΕΝΟΥ ΕΤΟΥΣ</v>
      </c>
      <c r="M82" s="180"/>
      <c r="N82" s="180"/>
      <c r="O82" s="61">
        <f>[1]ΑΝΤΙΣΤΟΙΧΙΣΗ!$D$33</f>
        <v>2024</v>
      </c>
      <c r="P82" s="180"/>
      <c r="Q82" s="180"/>
    </row>
    <row r="83" spans="1:17" ht="15" customHeight="1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</row>
    <row r="84" spans="1:17" ht="15" customHeight="1" x14ac:dyDescent="0.25">
      <c r="A84" s="19">
        <v>83</v>
      </c>
      <c r="B84" s="19" t="s">
        <v>2</v>
      </c>
      <c r="C84" s="75" t="s">
        <v>165</v>
      </c>
      <c r="D84" s="7">
        <f ca="1">SUM(D47:D110)</f>
        <v>12929.560000000001</v>
      </c>
      <c r="E84" s="8"/>
      <c r="F84" s="7" t="e">
        <f>SUM(F47:F110)</f>
        <v>#VALUE!</v>
      </c>
      <c r="G84" s="8"/>
      <c r="H84" s="7">
        <f ca="1">SUM(H47:H110)</f>
        <v>0</v>
      </c>
      <c r="I84" s="8"/>
      <c r="J84" s="7">
        <f ca="1">SUM(J47:J110)</f>
        <v>0</v>
      </c>
      <c r="K84" s="8"/>
      <c r="L84" s="7">
        <f ca="1">SUM(L47:L110)</f>
        <v>9088.2899999999991</v>
      </c>
      <c r="M84" s="8"/>
      <c r="N84" s="7">
        <f ca="1">SUM(N47:N110)</f>
        <v>38155.090000000004</v>
      </c>
      <c r="O84" s="8"/>
      <c r="P84" s="7">
        <f ca="1">SUM(P47:P110)</f>
        <v>0</v>
      </c>
      <c r="Q84" s="8"/>
    </row>
    <row r="85" spans="1:17" ht="24.75" customHeight="1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2'!G39</f>
        <v>1629.66</v>
      </c>
      <c r="E85" s="15">
        <f>D85/$D$111</f>
        <v>0.12604141208208169</v>
      </c>
      <c r="F85" s="79">
        <f>D85+'[1]2025 Μάρτιος'!F83</f>
        <v>6833.28</v>
      </c>
      <c r="G85" s="15" t="e">
        <f t="shared" ref="G85:G105" si="17">F85/$F$84</f>
        <v>#VALUE!</v>
      </c>
      <c r="H85" s="14"/>
      <c r="I85" s="26" t="e">
        <f t="shared" ref="I85:I105" ca="1" si="18">H85/$H$84</f>
        <v>#DIV/0!</v>
      </c>
      <c r="J85" s="27"/>
      <c r="K85" s="27" t="e">
        <f t="shared" ref="K85:K104" ca="1" si="19">J85/$J$84</f>
        <v>#DIV/0!</v>
      </c>
      <c r="L85" s="79">
        <v>2128.84</v>
      </c>
      <c r="M85" s="15">
        <f t="shared" ref="M85:M105" ca="1" si="20">L85/$L$84</f>
        <v>0.23423988451072758</v>
      </c>
      <c r="N85" s="10">
        <f>L85+'[1]2025 Μάρτιος'!N83</f>
        <v>2128.84</v>
      </c>
      <c r="O85" s="15">
        <f t="shared" ref="O85:O105" ca="1" si="21">N85/$N$84</f>
        <v>5.5794390735285908E-2</v>
      </c>
      <c r="P85" s="27"/>
      <c r="Q85" s="28" t="e">
        <f t="shared" ref="Q85:Q105" si="22">SUM(D85:P85)</f>
        <v>#VALUE!</v>
      </c>
    </row>
    <row r="86" spans="1:17" ht="20.25" customHeight="1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2'!G40</f>
        <v>1744.53</v>
      </c>
      <c r="E86" s="15">
        <f>D86/$D$111</f>
        <v>0.13492570512840343</v>
      </c>
      <c r="F86" s="79">
        <f>D86+'[1]2025 Μάρτιος'!F84</f>
        <v>5046.97</v>
      </c>
      <c r="G86" s="15" t="e">
        <f t="shared" si="17"/>
        <v>#VALUE!</v>
      </c>
      <c r="H86" s="14"/>
      <c r="I86" s="26" t="e">
        <f t="shared" ca="1" si="18"/>
        <v>#DIV/0!</v>
      </c>
      <c r="J86" s="27"/>
      <c r="K86" s="27" t="e">
        <f t="shared" ca="1" si="19"/>
        <v>#DIV/0!</v>
      </c>
      <c r="L86" s="79">
        <v>0</v>
      </c>
      <c r="M86" s="15">
        <f t="shared" ca="1" si="20"/>
        <v>0</v>
      </c>
      <c r="N86" s="10">
        <f>L86+'[1]2025 Μάρτιος'!N84</f>
        <v>3804.21</v>
      </c>
      <c r="O86" s="15">
        <f t="shared" ca="1" si="21"/>
        <v>9.9703866509029321E-2</v>
      </c>
      <c r="P86" s="27"/>
      <c r="Q86" s="28" t="e">
        <f t="shared" si="22"/>
        <v>#VALUE!</v>
      </c>
    </row>
    <row r="87" spans="1:17" ht="20.25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2'!G43</f>
        <v>231.44</v>
      </c>
      <c r="E87" s="15">
        <f>D87/$D$111</f>
        <v>1.7900067751725503E-2</v>
      </c>
      <c r="F87" s="79">
        <f>D87+'[1]2025 Μάρτιος'!F87</f>
        <v>1299.93</v>
      </c>
      <c r="G87" s="15" t="e">
        <f t="shared" si="17"/>
        <v>#VALUE!</v>
      </c>
      <c r="H87" s="14"/>
      <c r="I87" s="26" t="e">
        <f t="shared" ca="1" si="18"/>
        <v>#DIV/0!</v>
      </c>
      <c r="J87" s="27"/>
      <c r="K87" s="27" t="e">
        <f t="shared" ca="1" si="19"/>
        <v>#DIV/0!</v>
      </c>
      <c r="L87" s="79">
        <v>427.49</v>
      </c>
      <c r="M87" s="15">
        <f t="shared" ca="1" si="20"/>
        <v>4.7037451489774208E-2</v>
      </c>
      <c r="N87" s="10">
        <f>L87+'[1]2025 Μάρτιος'!N87</f>
        <v>728.31</v>
      </c>
      <c r="O87" s="15">
        <f t="shared" ca="1" si="21"/>
        <v>1.9088147872276015E-2</v>
      </c>
      <c r="P87" s="27"/>
      <c r="Q87" s="28" t="e">
        <f t="shared" si="22"/>
        <v>#VALUE!</v>
      </c>
    </row>
    <row r="88" spans="1:17" ht="20.25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2'!G44</f>
        <v>241.26</v>
      </c>
      <c r="E88" s="15">
        <f>D88/$D$111</f>
        <v>1.8659567688304939E-2</v>
      </c>
      <c r="F88" s="79">
        <f>D88+'[1]2025 Μάρτιος'!F88</f>
        <v>695.53</v>
      </c>
      <c r="G88" s="15" t="e">
        <f t="shared" si="17"/>
        <v>#VALUE!</v>
      </c>
      <c r="H88" s="14"/>
      <c r="I88" s="26" t="e">
        <f t="shared" ca="1" si="18"/>
        <v>#DIV/0!</v>
      </c>
      <c r="J88" s="27"/>
      <c r="K88" s="27" t="e">
        <f t="shared" ca="1" si="19"/>
        <v>#DIV/0!</v>
      </c>
      <c r="L88" s="79">
        <v>0</v>
      </c>
      <c r="M88" s="15">
        <f t="shared" ca="1" si="20"/>
        <v>0</v>
      </c>
      <c r="N88" s="10">
        <f>L88+'[1]2025 Μάρτιος'!N88</f>
        <v>757.98</v>
      </c>
      <c r="O88" s="15">
        <f t="shared" ca="1" si="21"/>
        <v>1.9865763650406799E-2</v>
      </c>
      <c r="P88" s="27"/>
      <c r="Q88" s="28" t="e">
        <f t="shared" si="22"/>
        <v>#VALUE!</v>
      </c>
    </row>
    <row r="89" spans="1:17" ht="20.2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2'!G45</f>
        <v>0</v>
      </c>
      <c r="E89" s="15">
        <f>D89/$D$111</f>
        <v>0</v>
      </c>
      <c r="F89" s="79">
        <f>D89+'[1]2025 Μάρτιος'!F89</f>
        <v>479.53</v>
      </c>
      <c r="G89" s="15" t="e">
        <f t="shared" si="17"/>
        <v>#VALUE!</v>
      </c>
      <c r="H89" s="80"/>
      <c r="I89" s="26" t="e">
        <f t="shared" ca="1" si="18"/>
        <v>#DIV/0!</v>
      </c>
      <c r="J89" s="80"/>
      <c r="K89" s="27" t="e">
        <f t="shared" ca="1" si="19"/>
        <v>#DIV/0!</v>
      </c>
      <c r="L89" s="79">
        <v>0</v>
      </c>
      <c r="M89" s="15">
        <f t="shared" ca="1" si="20"/>
        <v>0</v>
      </c>
      <c r="N89" s="10">
        <f>L89+'[1]2025 Μάρτιος'!N89</f>
        <v>0</v>
      </c>
      <c r="O89" s="15">
        <f t="shared" ca="1" si="21"/>
        <v>0</v>
      </c>
      <c r="P89" s="80"/>
      <c r="Q89" s="28" t="e">
        <f t="shared" si="22"/>
        <v>#VALUE!</v>
      </c>
    </row>
    <row r="90" spans="1:17" ht="42.75" customHeight="1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2'!G46</f>
        <v>0</v>
      </c>
      <c r="E90" s="15">
        <f>D90/$D$111</f>
        <v>0</v>
      </c>
      <c r="F90" s="79">
        <f>D90+'[1]2025 Μάρτιος'!F90</f>
        <v>0</v>
      </c>
      <c r="G90" s="15" t="e">
        <f t="shared" si="17"/>
        <v>#VALUE!</v>
      </c>
      <c r="H90" s="80"/>
      <c r="I90" s="26" t="e">
        <f t="shared" ca="1" si="18"/>
        <v>#DIV/0!</v>
      </c>
      <c r="J90" s="80"/>
      <c r="K90" s="27" t="e">
        <f t="shared" ca="1" si="19"/>
        <v>#DIV/0!</v>
      </c>
      <c r="L90" s="79">
        <v>0</v>
      </c>
      <c r="M90" s="15">
        <f t="shared" ca="1" si="20"/>
        <v>0</v>
      </c>
      <c r="N90" s="10">
        <f>L90+'[1]2025 Μάρτιος'!N90</f>
        <v>0</v>
      </c>
      <c r="O90" s="15">
        <f t="shared" ca="1" si="21"/>
        <v>0</v>
      </c>
      <c r="P90" s="80"/>
      <c r="Q90" s="28" t="e">
        <f t="shared" si="22"/>
        <v>#VALUE!</v>
      </c>
    </row>
    <row r="91" spans="1:17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2'!G47</f>
        <v>0</v>
      </c>
      <c r="E91" s="15">
        <f>D91/$D$111</f>
        <v>0</v>
      </c>
      <c r="F91" s="79">
        <f>D91+'[1]2025 Μάρτιος'!F91</f>
        <v>0</v>
      </c>
      <c r="G91" s="15" t="e">
        <f t="shared" si="17"/>
        <v>#VALUE!</v>
      </c>
      <c r="H91" s="80"/>
      <c r="I91" s="26" t="e">
        <f t="shared" ca="1" si="18"/>
        <v>#DIV/0!</v>
      </c>
      <c r="J91" s="80"/>
      <c r="K91" s="27" t="e">
        <f t="shared" ca="1" si="19"/>
        <v>#DIV/0!</v>
      </c>
      <c r="L91" s="79">
        <v>0</v>
      </c>
      <c r="M91" s="15">
        <f t="shared" ca="1" si="20"/>
        <v>0</v>
      </c>
      <c r="N91" s="10">
        <f>L91+'[1]2025 Μάρτιος'!N91</f>
        <v>0</v>
      </c>
      <c r="O91" s="15">
        <f t="shared" ca="1" si="21"/>
        <v>0</v>
      </c>
      <c r="P91" s="80"/>
      <c r="Q91" s="28" t="e">
        <f t="shared" si="22"/>
        <v>#VALUE!</v>
      </c>
    </row>
    <row r="92" spans="1:17" ht="15" customHeight="1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2'!G48</f>
        <v>0</v>
      </c>
      <c r="E92" s="15">
        <f>D92/$D$111</f>
        <v>0</v>
      </c>
      <c r="F92" s="79">
        <f>D92+'[1]2025 Μάρτιος'!F92</f>
        <v>0</v>
      </c>
      <c r="G92" s="15" t="e">
        <f t="shared" si="17"/>
        <v>#VALUE!</v>
      </c>
      <c r="H92" s="14"/>
      <c r="I92" s="26" t="e">
        <f t="shared" ca="1" si="18"/>
        <v>#DIV/0!</v>
      </c>
      <c r="J92" s="27"/>
      <c r="K92" s="27" t="e">
        <f t="shared" ca="1" si="19"/>
        <v>#DIV/0!</v>
      </c>
      <c r="L92" s="79">
        <v>0</v>
      </c>
      <c r="M92" s="15">
        <f t="shared" ca="1" si="20"/>
        <v>0</v>
      </c>
      <c r="N92" s="10">
        <f>L92+'[1]2025 Μάρτιος'!N92</f>
        <v>0</v>
      </c>
      <c r="O92" s="15">
        <f t="shared" ca="1" si="21"/>
        <v>0</v>
      </c>
      <c r="P92" s="27"/>
      <c r="Q92" s="28" t="e">
        <f t="shared" si="22"/>
        <v>#VALUE!</v>
      </c>
    </row>
    <row r="93" spans="1:17" ht="15" customHeight="1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2'!G49</f>
        <v>0</v>
      </c>
      <c r="E93" s="15">
        <f>D93/$D$111</f>
        <v>0</v>
      </c>
      <c r="F93" s="79">
        <f>D93+'[1]2025 Μάρτιος'!F93</f>
        <v>0</v>
      </c>
      <c r="G93" s="15" t="e">
        <f t="shared" si="17"/>
        <v>#VALUE!</v>
      </c>
      <c r="H93" s="14"/>
      <c r="I93" s="26" t="e">
        <f t="shared" ca="1" si="18"/>
        <v>#DIV/0!</v>
      </c>
      <c r="J93" s="27"/>
      <c r="K93" s="27" t="e">
        <f t="shared" ca="1" si="19"/>
        <v>#DIV/0!</v>
      </c>
      <c r="L93" s="79">
        <v>0</v>
      </c>
      <c r="M93" s="15">
        <f t="shared" ca="1" si="20"/>
        <v>0</v>
      </c>
      <c r="N93" s="10">
        <f>L93+'[1]2025 Μάρτιος'!N93</f>
        <v>0</v>
      </c>
      <c r="O93" s="15">
        <f t="shared" ca="1" si="21"/>
        <v>0</v>
      </c>
      <c r="P93" s="27"/>
      <c r="Q93" s="28" t="e">
        <f t="shared" si="22"/>
        <v>#VALUE!</v>
      </c>
    </row>
    <row r="94" spans="1:17" ht="1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2'!G50</f>
        <v>0</v>
      </c>
      <c r="E94" s="15">
        <f>D94/$D$111</f>
        <v>0</v>
      </c>
      <c r="F94" s="79">
        <f>D94+'[1]2025 Μάρτιος'!F94</f>
        <v>0</v>
      </c>
      <c r="G94" s="15" t="e">
        <f t="shared" si="17"/>
        <v>#VALUE!</v>
      </c>
      <c r="H94" s="81"/>
      <c r="I94" s="26" t="e">
        <f t="shared" ca="1" si="18"/>
        <v>#DIV/0!</v>
      </c>
      <c r="J94" s="81"/>
      <c r="K94" s="27" t="e">
        <f t="shared" ca="1" si="19"/>
        <v>#DIV/0!</v>
      </c>
      <c r="L94" s="79">
        <v>0</v>
      </c>
      <c r="M94" s="15">
        <f t="shared" ca="1" si="20"/>
        <v>0</v>
      </c>
      <c r="N94" s="10">
        <f>L94+'[1]2025 Μάρτιος'!N94</f>
        <v>0</v>
      </c>
      <c r="O94" s="15">
        <f t="shared" ca="1" si="21"/>
        <v>0</v>
      </c>
      <c r="P94" s="81"/>
      <c r="Q94" s="28" t="e">
        <f t="shared" si="22"/>
        <v>#VALUE!</v>
      </c>
    </row>
    <row r="95" spans="1:17" ht="28.5" customHeight="1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2'!G51</f>
        <v>0</v>
      </c>
      <c r="E95" s="15">
        <f>D95/$D$111</f>
        <v>0</v>
      </c>
      <c r="F95" s="79">
        <f>D95+'[1]2025 Μάρτιος'!F95</f>
        <v>0</v>
      </c>
      <c r="G95" s="15" t="e">
        <f t="shared" si="17"/>
        <v>#VALUE!</v>
      </c>
      <c r="H95" s="14"/>
      <c r="I95" s="26" t="e">
        <f t="shared" ca="1" si="18"/>
        <v>#DIV/0!</v>
      </c>
      <c r="J95" s="27"/>
      <c r="K95" s="27" t="e">
        <f t="shared" ca="1" si="19"/>
        <v>#DIV/0!</v>
      </c>
      <c r="L95" s="79">
        <v>0</v>
      </c>
      <c r="M95" s="15">
        <f t="shared" ca="1" si="20"/>
        <v>0</v>
      </c>
      <c r="N95" s="10">
        <f>L95+'[1]2025 Μάρτιος'!N95</f>
        <v>0</v>
      </c>
      <c r="O95" s="15">
        <f t="shared" ca="1" si="21"/>
        <v>0</v>
      </c>
      <c r="P95" s="27"/>
      <c r="Q95" s="28" t="e">
        <f t="shared" si="22"/>
        <v>#VALUE!</v>
      </c>
    </row>
    <row r="96" spans="1:17" ht="15" customHeight="1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2'!G52</f>
        <v>34.4</v>
      </c>
      <c r="E96" s="15">
        <f>D96/$D$111</f>
        <v>2.6605700426000577E-3</v>
      </c>
      <c r="F96" s="79">
        <f>D96+'[1]2025 Μάρτιος'!F96</f>
        <v>34.4</v>
      </c>
      <c r="G96" s="15" t="e">
        <f t="shared" si="17"/>
        <v>#VALUE!</v>
      </c>
      <c r="H96" s="14"/>
      <c r="I96" s="26" t="e">
        <f t="shared" ca="1" si="18"/>
        <v>#DIV/0!</v>
      </c>
      <c r="J96" s="27"/>
      <c r="K96" s="27" t="e">
        <f t="shared" ca="1" si="19"/>
        <v>#DIV/0!</v>
      </c>
      <c r="L96" s="79">
        <v>0</v>
      </c>
      <c r="M96" s="15">
        <f t="shared" ca="1" si="20"/>
        <v>0</v>
      </c>
      <c r="N96" s="10">
        <f>L96+'[1]2025 Μάρτιος'!N96</f>
        <v>246.76</v>
      </c>
      <c r="O96" s="15">
        <f t="shared" ca="1" si="21"/>
        <v>6.4672891611577896E-3</v>
      </c>
      <c r="P96" s="27"/>
      <c r="Q96" s="28" t="e">
        <f t="shared" si="22"/>
        <v>#VALUE!</v>
      </c>
    </row>
    <row r="97" spans="1:17" ht="15" customHeight="1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2'!G53</f>
        <v>0</v>
      </c>
      <c r="E97" s="15">
        <f>D97/$D$111</f>
        <v>0</v>
      </c>
      <c r="F97" s="79">
        <f>D97+'[1]2025 Μάρτιος'!F97</f>
        <v>269.82</v>
      </c>
      <c r="G97" s="15" t="e">
        <f t="shared" si="17"/>
        <v>#VALUE!</v>
      </c>
      <c r="H97" s="14"/>
      <c r="I97" s="26" t="e">
        <f t="shared" ca="1" si="18"/>
        <v>#DIV/0!</v>
      </c>
      <c r="J97" s="27"/>
      <c r="K97" s="27" t="e">
        <f t="shared" ca="1" si="19"/>
        <v>#DIV/0!</v>
      </c>
      <c r="L97" s="79">
        <v>0</v>
      </c>
      <c r="M97" s="15">
        <f t="shared" ca="1" si="20"/>
        <v>0</v>
      </c>
      <c r="N97" s="10">
        <f>L97+'[1]2025 Μάρτιος'!N97</f>
        <v>8.0399999999999991</v>
      </c>
      <c r="O97" s="15">
        <f t="shared" ca="1" si="21"/>
        <v>2.1071893684433712E-4</v>
      </c>
      <c r="P97" s="27"/>
      <c r="Q97" s="28" t="e">
        <f t="shared" si="22"/>
        <v>#VALUE!</v>
      </c>
    </row>
    <row r="98" spans="1:17" ht="15" customHeight="1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2'!G54</f>
        <v>0</v>
      </c>
      <c r="E98" s="15">
        <f>D98/$D$111</f>
        <v>0</v>
      </c>
      <c r="F98" s="79">
        <f>D98+'[1]2025 Μάρτιος'!F98</f>
        <v>0</v>
      </c>
      <c r="G98" s="15" t="e">
        <f t="shared" si="17"/>
        <v>#VALUE!</v>
      </c>
      <c r="H98" s="14"/>
      <c r="I98" s="26" t="e">
        <f t="shared" ca="1" si="18"/>
        <v>#DIV/0!</v>
      </c>
      <c r="J98" s="27"/>
      <c r="K98" s="27" t="e">
        <f t="shared" ca="1" si="19"/>
        <v>#DIV/0!</v>
      </c>
      <c r="L98" s="79">
        <v>0</v>
      </c>
      <c r="M98" s="15">
        <f t="shared" ca="1" si="20"/>
        <v>0</v>
      </c>
      <c r="N98" s="10">
        <f>L98+'[1]2025 Μάρτιος'!N98</f>
        <v>0</v>
      </c>
      <c r="O98" s="15">
        <f t="shared" ca="1" si="21"/>
        <v>0</v>
      </c>
      <c r="P98" s="27"/>
      <c r="Q98" s="28" t="e">
        <f t="shared" si="22"/>
        <v>#VALUE!</v>
      </c>
    </row>
    <row r="99" spans="1:17" ht="1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2'!G55</f>
        <v>2500</v>
      </c>
      <c r="E99" s="15">
        <f>D99/$D$111</f>
        <v>0.19335538100291116</v>
      </c>
      <c r="F99" s="79">
        <f>D99+'[1]2025 Μάρτιος'!F99</f>
        <v>2500</v>
      </c>
      <c r="G99" s="15" t="e">
        <f t="shared" si="17"/>
        <v>#VALUE!</v>
      </c>
      <c r="H99" s="14"/>
      <c r="I99" s="26" t="e">
        <f t="shared" ca="1" si="18"/>
        <v>#DIV/0!</v>
      </c>
      <c r="J99" s="27"/>
      <c r="K99" s="27" t="e">
        <f t="shared" ca="1" si="19"/>
        <v>#DIV/0!</v>
      </c>
      <c r="L99" s="79">
        <v>37.19</v>
      </c>
      <c r="M99" s="15">
        <f t="shared" ca="1" si="20"/>
        <v>4.0920789279391395E-3</v>
      </c>
      <c r="N99" s="10">
        <f>L99+'[1]2025 Μάρτιος'!N99</f>
        <v>37.19</v>
      </c>
      <c r="O99" s="15">
        <f t="shared" ca="1" si="21"/>
        <v>9.7470612702001212E-4</v>
      </c>
      <c r="P99" s="27"/>
      <c r="Q99" s="28" t="e">
        <f t="shared" si="22"/>
        <v>#VALUE!</v>
      </c>
    </row>
    <row r="100" spans="1:17" ht="15" customHeight="1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2'!G56</f>
        <v>89.14</v>
      </c>
      <c r="E100" s="15">
        <f>D100/$D$111</f>
        <v>6.8942794650398006E-3</v>
      </c>
      <c r="F100" s="79">
        <f>D100+'[1]2025 Μάρτιος'!F100</f>
        <v>2336.5899999999997</v>
      </c>
      <c r="G100" s="15" t="e">
        <f t="shared" si="17"/>
        <v>#VALUE!</v>
      </c>
      <c r="H100" s="14"/>
      <c r="I100" s="26" t="e">
        <f t="shared" ca="1" si="18"/>
        <v>#DIV/0!</v>
      </c>
      <c r="J100" s="27"/>
      <c r="K100" s="27" t="e">
        <f t="shared" ca="1" si="19"/>
        <v>#DIV/0!</v>
      </c>
      <c r="L100" s="79">
        <v>645.52</v>
      </c>
      <c r="M100" s="15">
        <f t="shared" ca="1" si="20"/>
        <v>7.1027663069730393E-2</v>
      </c>
      <c r="N100" s="10">
        <f>L100+'[1]2025 Μάρτιος'!N100</f>
        <v>728.21</v>
      </c>
      <c r="O100" s="15">
        <f t="shared" ca="1" si="21"/>
        <v>1.908552698997696E-2</v>
      </c>
      <c r="P100" s="27"/>
      <c r="Q100" s="28" t="e">
        <f t="shared" si="22"/>
        <v>#VALUE!</v>
      </c>
    </row>
    <row r="101" spans="1:17" ht="25.5" customHeight="1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2'!G57</f>
        <v>0</v>
      </c>
      <c r="E101" s="15">
        <f>D101/$D$111</f>
        <v>0</v>
      </c>
      <c r="F101" s="79">
        <f>D101+'[1]2025 Μάρτιος'!F101</f>
        <v>711.89</v>
      </c>
      <c r="G101" s="15" t="e">
        <f t="shared" si="17"/>
        <v>#VALUE!</v>
      </c>
      <c r="H101" s="14"/>
      <c r="I101" s="26" t="e">
        <f t="shared" ca="1" si="18"/>
        <v>#DIV/0!</v>
      </c>
      <c r="J101" s="27"/>
      <c r="K101" s="27" t="e">
        <f t="shared" ca="1" si="19"/>
        <v>#DIV/0!</v>
      </c>
      <c r="L101" s="79">
        <v>0</v>
      </c>
      <c r="M101" s="15">
        <f t="shared" ca="1" si="20"/>
        <v>0</v>
      </c>
      <c r="N101" s="10">
        <f>L101+'[1]2025 Μάρτιος'!N101</f>
        <v>660</v>
      </c>
      <c r="O101" s="15">
        <f t="shared" ca="1" si="21"/>
        <v>1.7297823173788869E-2</v>
      </c>
      <c r="P101" s="27"/>
      <c r="Q101" s="28" t="e">
        <f t="shared" si="22"/>
        <v>#VALUE!</v>
      </c>
    </row>
    <row r="102" spans="1:17" ht="24" customHeight="1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2'!G58</f>
        <v>0</v>
      </c>
      <c r="E102" s="15">
        <f>D102/$D$111</f>
        <v>0</v>
      </c>
      <c r="F102" s="79">
        <f>D102+'[1]2025 Μάρτιος'!F102</f>
        <v>0</v>
      </c>
      <c r="G102" s="15" t="e">
        <f t="shared" si="17"/>
        <v>#VALUE!</v>
      </c>
      <c r="H102" s="14"/>
      <c r="I102" s="26" t="e">
        <f t="shared" ca="1" si="18"/>
        <v>#DIV/0!</v>
      </c>
      <c r="J102" s="27"/>
      <c r="K102" s="27" t="e">
        <f t="shared" ca="1" si="19"/>
        <v>#DIV/0!</v>
      </c>
      <c r="L102" s="79">
        <v>0</v>
      </c>
      <c r="M102" s="15">
        <f t="shared" ca="1" si="20"/>
        <v>0</v>
      </c>
      <c r="N102" s="10">
        <f>L102+'[1]2025 Μάρτιος'!N102</f>
        <v>0</v>
      </c>
      <c r="O102" s="15">
        <f t="shared" ca="1" si="21"/>
        <v>0</v>
      </c>
      <c r="P102" s="27"/>
      <c r="Q102" s="28" t="e">
        <f t="shared" si="22"/>
        <v>#VALUE!</v>
      </c>
    </row>
    <row r="103" spans="1:17" ht="15.75" hidden="1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2'!G59</f>
        <v>83.83</v>
      </c>
      <c r="E103" s="15">
        <f>D103/$D$111</f>
        <v>6.483592635789617E-3</v>
      </c>
      <c r="F103" s="79">
        <f>D103+'[1]2025 Μάρτιος'!F103</f>
        <v>83.83</v>
      </c>
      <c r="G103" s="15" t="e">
        <f t="shared" si="17"/>
        <v>#VALUE!</v>
      </c>
      <c r="H103" s="14"/>
      <c r="I103" s="26" t="e">
        <f t="shared" ca="1" si="18"/>
        <v>#DIV/0!</v>
      </c>
      <c r="J103" s="27"/>
      <c r="K103" s="27" t="e">
        <f t="shared" ca="1" si="19"/>
        <v>#DIV/0!</v>
      </c>
      <c r="L103" s="79">
        <v>1000</v>
      </c>
      <c r="M103" s="15">
        <f t="shared" ca="1" si="20"/>
        <v>0.11003170013280827</v>
      </c>
      <c r="N103" s="10">
        <f>L103+'[1]2025 Μάρτιος'!N103</f>
        <v>2396.23</v>
      </c>
      <c r="O103" s="15">
        <f t="shared" ca="1" si="21"/>
        <v>6.2802367914739546E-2</v>
      </c>
      <c r="P103" s="27"/>
      <c r="Q103" s="28" t="e">
        <f t="shared" si="22"/>
        <v>#VALUE!</v>
      </c>
    </row>
    <row r="104" spans="1:17" ht="15.75" hidden="1" customHeight="1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2'!G60</f>
        <v>0</v>
      </c>
      <c r="E104" s="15">
        <f>D104/$D$111</f>
        <v>0</v>
      </c>
      <c r="F104" s="79">
        <f>D104+'[1]2025 Μάρτιος'!F104</f>
        <v>2189.91</v>
      </c>
      <c r="G104" s="15" t="e">
        <f t="shared" si="17"/>
        <v>#VALUE!</v>
      </c>
      <c r="H104" s="14"/>
      <c r="I104" s="26" t="e">
        <f t="shared" ca="1" si="18"/>
        <v>#DIV/0!</v>
      </c>
      <c r="J104" s="27"/>
      <c r="K104" s="27" t="e">
        <f t="shared" ca="1" si="19"/>
        <v>#DIV/0!</v>
      </c>
      <c r="L104" s="79">
        <v>0</v>
      </c>
      <c r="M104" s="15">
        <f t="shared" ca="1" si="20"/>
        <v>0</v>
      </c>
      <c r="N104" s="10">
        <f>L104+'[1]2025 Μάρτιος'!N104</f>
        <v>1598.29</v>
      </c>
      <c r="O104" s="15">
        <f t="shared" ca="1" si="21"/>
        <v>4.1889299697628807E-2</v>
      </c>
      <c r="P104" s="27"/>
      <c r="Q104" s="28" t="e">
        <f t="shared" si="22"/>
        <v>#VALUE!</v>
      </c>
    </row>
    <row r="105" spans="1:17" ht="31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2'!G61</f>
        <v>0</v>
      </c>
      <c r="E105" s="15">
        <f>D105/$D$111</f>
        <v>0</v>
      </c>
      <c r="F105" s="79">
        <f>D105+'[1]2025 Μάρτιος'!F105</f>
        <v>0</v>
      </c>
      <c r="G105" s="15" t="e">
        <f t="shared" si="17"/>
        <v>#VALUE!</v>
      </c>
      <c r="H105" s="14"/>
      <c r="I105" s="26" t="e">
        <f t="shared" ca="1" si="18"/>
        <v>#DIV/0!</v>
      </c>
      <c r="J105" s="27"/>
      <c r="K105" s="27" t="e">
        <f ca="1">J105/$J$84</f>
        <v>#DIV/0!</v>
      </c>
      <c r="L105" s="79">
        <v>0</v>
      </c>
      <c r="M105" s="15">
        <f t="shared" ca="1" si="20"/>
        <v>0</v>
      </c>
      <c r="N105" s="10">
        <f>L105+'[1]2025 Μάρτιος'!N105</f>
        <v>0</v>
      </c>
      <c r="O105" s="15">
        <f t="shared" ca="1" si="21"/>
        <v>0</v>
      </c>
      <c r="P105" s="27"/>
      <c r="Q105" s="28" t="e">
        <f t="shared" si="22"/>
        <v>#VALUE!</v>
      </c>
    </row>
    <row r="106" spans="1:17" ht="45" customHeight="1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26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2'!G36</f>
        <v>12929.56</v>
      </c>
      <c r="E111" s="8"/>
      <c r="F111" s="7">
        <f>D111+'[1]2025 Μάρτιος'!F111</f>
        <v>12929.56</v>
      </c>
      <c r="G111" s="8"/>
      <c r="H111" s="7">
        <f ca="1">SUM(H47:H110)</f>
        <v>0</v>
      </c>
      <c r="I111" s="8"/>
      <c r="J111" s="7">
        <f ca="1">SUM(J47:J110)</f>
        <v>0</v>
      </c>
      <c r="K111" s="8"/>
      <c r="L111" s="7">
        <f ca="1">SUM(L47:L110)</f>
        <v>9088.2899999999991</v>
      </c>
      <c r="M111" s="8"/>
      <c r="N111" s="7">
        <f ca="1">SUM(N47:N110)</f>
        <v>38155.090000000004</v>
      </c>
      <c r="O111" s="8"/>
      <c r="P111" s="7">
        <f ca="1">SUM(P47:P110)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 ca="1">D84-D111</f>
        <v>0</v>
      </c>
      <c r="E112" s="8"/>
      <c r="F112" s="7" t="e">
        <f>F84-F111</f>
        <v>#VALUE!</v>
      </c>
      <c r="G112" s="8"/>
      <c r="H112" s="7">
        <f ca="1">H84-H111</f>
        <v>0</v>
      </c>
      <c r="I112" s="8"/>
      <c r="J112" s="7">
        <f ca="1">J84-J111</f>
        <v>0</v>
      </c>
      <c r="K112" s="8"/>
      <c r="L112" s="7">
        <f ca="1">L84-L111</f>
        <v>0</v>
      </c>
      <c r="M112" s="8"/>
      <c r="N112" s="7">
        <f ca="1">N84-N111</f>
        <v>0</v>
      </c>
      <c r="O112" s="8"/>
      <c r="P112" s="7">
        <f ca="1">P84-P111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0" t="str">
        <f>[1]ΑΝΤΙΣΤΟΙΧΙΣΗ!$F$109</f>
        <v xml:space="preserve">ΑΠΡΙΛΙΟΣ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[1]ΑΝΤΙΣΤΟΙΧΙΣΗ!$F$109</f>
        <v xml:space="preserve">ΑΠΡΙΛΙΟΣ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[1]ΑΝΤΙΣΤΟΙΧΙΣΗ!$F$123</f>
        <v>ΑΠΡΙΛΙΟΣ ΠΡΟΗΓΟΥΜΕΝΟΥ ΕΤΟΥΣ</v>
      </c>
      <c r="M114" s="180"/>
      <c r="N114" s="180"/>
      <c r="O114" s="61">
        <f>[1]ΑΝΤΙΣΤΟΙΧΙΣΗ!$D$33</f>
        <v>2024</v>
      </c>
      <c r="P114" s="180"/>
      <c r="Q114" s="180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6947.2100000000009</v>
      </c>
      <c r="E116" s="8"/>
      <c r="F116" s="7">
        <f>SUM(F117:F156)</f>
        <v>64164.159999999989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7490.6799999999985</v>
      </c>
      <c r="M116" s="8"/>
      <c r="N116" s="7">
        <f>SUM(N117:N156)</f>
        <v>59455.259999999973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2'!G74</f>
        <v>0</v>
      </c>
      <c r="E117" s="15">
        <f>D117/$D$116</f>
        <v>0</v>
      </c>
      <c r="F117" s="10">
        <f>D117+'[1]2025 Μάρτιος'!F117</f>
        <v>29446.39</v>
      </c>
      <c r="G117" s="15">
        <f>F117/$F$116</f>
        <v>0.45892270700652832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2'!G66</f>
        <v>1313.16</v>
      </c>
      <c r="M117" s="15">
        <f>L117/$L$116</f>
        <v>0.17530584673220592</v>
      </c>
      <c r="N117" s="10">
        <f>L117+'[1]2025 Μάρτιος'!N117</f>
        <v>29952.219999999998</v>
      </c>
      <c r="O117" s="15">
        <f>N117/$N$116</f>
        <v>0.50377746224640196</v>
      </c>
      <c r="P117" s="10"/>
      <c r="Q117" s="30" t="e">
        <f t="shared" ref="Q117:Q153" si="23"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2'!G75</f>
        <v>248.55</v>
      </c>
      <c r="E118" s="15">
        <f t="shared" ref="E118:E153" si="24">D118/$D$116</f>
        <v>3.5776952186561219E-2</v>
      </c>
      <c r="F118" s="10">
        <f>D118+'[1]2025 Μάρτιος'!F118</f>
        <v>3713.9700000000003</v>
      </c>
      <c r="G118" s="15">
        <f t="shared" ref="G118:G153" si="25">F118/$F$116</f>
        <v>5.788231311685528E-2</v>
      </c>
      <c r="H118" s="14"/>
      <c r="I118" s="29" t="e">
        <f t="shared" ref="I118:I153" si="26">H118/$H$116</f>
        <v>#DIV/0!</v>
      </c>
      <c r="J118" s="10"/>
      <c r="K118" s="10" t="e">
        <f t="shared" ref="K118:K153" si="27">J118/$J$116</f>
        <v>#DIV/0!</v>
      </c>
      <c r="L118" s="14">
        <f>'[1]2024_60-69 ΕΞΟΔΑ+ΟΜ 2'!G67</f>
        <v>292.7</v>
      </c>
      <c r="M118" s="15">
        <f t="shared" ref="M118:M153" si="28">L118/$L$116</f>
        <v>3.9075224145204444E-2</v>
      </c>
      <c r="N118" s="10">
        <f>L118+'[1]2025 Μάρτιος'!N118</f>
        <v>4493.0099999999993</v>
      </c>
      <c r="O118" s="15">
        <f t="shared" ref="O118:O153" si="29">N118/$N$116</f>
        <v>7.5569596365401503E-2</v>
      </c>
      <c r="P118" s="10"/>
      <c r="Q118" s="30" t="e">
        <f t="shared" si="23"/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2'!G76</f>
        <v>965.25</v>
      </c>
      <c r="E119" s="15">
        <f t="shared" si="24"/>
        <v>0.13894066826826881</v>
      </c>
      <c r="F119" s="10">
        <f>D119+'[1]2025 Μάρτιος'!F119</f>
        <v>1665.88</v>
      </c>
      <c r="G119" s="15">
        <f t="shared" si="25"/>
        <v>2.5962780468099331E-2</v>
      </c>
      <c r="H119" s="14"/>
      <c r="I119" s="29" t="e">
        <f t="shared" si="26"/>
        <v>#DIV/0!</v>
      </c>
      <c r="J119" s="10"/>
      <c r="K119" s="10" t="e">
        <f t="shared" si="27"/>
        <v>#DIV/0!</v>
      </c>
      <c r="L119" s="14">
        <f>'[1]2024_60-69 ΕΞΟΔΑ+ΟΜ 2'!G68</f>
        <v>850</v>
      </c>
      <c r="M119" s="15">
        <f t="shared" si="28"/>
        <v>0.11347434411829102</v>
      </c>
      <c r="N119" s="10">
        <f>L119+'[1]2025 Μάρτιος'!N119</f>
        <v>1662.92</v>
      </c>
      <c r="O119" s="15">
        <f t="shared" si="29"/>
        <v>2.7969266302090023E-2</v>
      </c>
      <c r="P119" s="10"/>
      <c r="Q119" s="30" t="e">
        <f t="shared" si="23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2'!G77</f>
        <v>31.52</v>
      </c>
      <c r="E120" s="15">
        <f t="shared" si="24"/>
        <v>4.5370731559863592E-3</v>
      </c>
      <c r="F120" s="10">
        <f>D120+'[1]2025 Μάρτιος'!F120</f>
        <v>2658.02</v>
      </c>
      <c r="G120" s="15">
        <f t="shared" si="25"/>
        <v>4.1425306588600247E-2</v>
      </c>
      <c r="H120" s="14"/>
      <c r="I120" s="29" t="e">
        <f t="shared" si="26"/>
        <v>#DIV/0!</v>
      </c>
      <c r="J120" s="10"/>
      <c r="K120" s="10" t="e">
        <f t="shared" si="27"/>
        <v>#DIV/0!</v>
      </c>
      <c r="L120" s="14">
        <f>'[1]2024_60-69 ΕΞΟΔΑ+ΟΜ 2'!G69</f>
        <v>0</v>
      </c>
      <c r="M120" s="15">
        <f t="shared" si="28"/>
        <v>0</v>
      </c>
      <c r="N120" s="10">
        <f>L120+'[1]2025 Μάρτιος'!N120</f>
        <v>2550</v>
      </c>
      <c r="O120" s="15">
        <f t="shared" si="29"/>
        <v>4.2889392797205848E-2</v>
      </c>
      <c r="P120" s="10"/>
      <c r="Q120" s="30" t="e">
        <f t="shared" si="23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2'!G78</f>
        <v>8.9499999999999993</v>
      </c>
      <c r="E121" s="15">
        <f t="shared" si="24"/>
        <v>1.2882869526039946E-3</v>
      </c>
      <c r="F121" s="10">
        <f>D121+'[1]2025 Μάρτιος'!F121</f>
        <v>8.9499999999999993</v>
      </c>
      <c r="G121" s="15">
        <f t="shared" si="25"/>
        <v>1.3948596849082105E-4</v>
      </c>
      <c r="H121" s="14"/>
      <c r="I121" s="29" t="e">
        <f t="shared" si="26"/>
        <v>#DIV/0!</v>
      </c>
      <c r="J121" s="10"/>
      <c r="K121" s="10" t="e">
        <f t="shared" si="27"/>
        <v>#DIV/0!</v>
      </c>
      <c r="L121" s="14">
        <f>'[1]2024_60-69 ΕΞΟΔΑ+ΟΜ 2'!G70</f>
        <v>241.31</v>
      </c>
      <c r="M121" s="15">
        <f t="shared" si="28"/>
        <v>3.2214698799040951E-2</v>
      </c>
      <c r="N121" s="10">
        <f>L121+'[1]2025 Μάρτιος'!N121</f>
        <v>241.31</v>
      </c>
      <c r="O121" s="15">
        <f t="shared" si="29"/>
        <v>4.0586821081936252E-3</v>
      </c>
      <c r="P121" s="10"/>
      <c r="Q121" s="30" t="e">
        <f t="shared" si="23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2'!G79</f>
        <v>0</v>
      </c>
      <c r="E122" s="15">
        <f t="shared" si="24"/>
        <v>0</v>
      </c>
      <c r="F122" s="10">
        <f>D122+'[1]2025 Μάρτιος'!F122</f>
        <v>745.65000000000009</v>
      </c>
      <c r="G122" s="15">
        <f t="shared" si="25"/>
        <v>1.162097345309282E-2</v>
      </c>
      <c r="H122" s="14"/>
      <c r="I122" s="29" t="e">
        <f t="shared" si="26"/>
        <v>#DIV/0!</v>
      </c>
      <c r="J122" s="10"/>
      <c r="K122" s="10" t="e">
        <f t="shared" si="27"/>
        <v>#DIV/0!</v>
      </c>
      <c r="L122" s="14">
        <f>'[1]2024_60-69 ΕΞΟΔΑ+ΟΜ 2'!G71</f>
        <v>965.25</v>
      </c>
      <c r="M122" s="15">
        <f t="shared" si="28"/>
        <v>0.12886013018844752</v>
      </c>
      <c r="N122" s="10">
        <f>L122+'[1]2025 Μάρτιος'!N122</f>
        <v>1689.18</v>
      </c>
      <c r="O122" s="15">
        <f t="shared" si="29"/>
        <v>2.841094295105262E-2</v>
      </c>
      <c r="P122" s="10"/>
      <c r="Q122" s="30" t="e">
        <f t="shared" si="23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2'!G80</f>
        <v>34.75</v>
      </c>
      <c r="E123" s="15">
        <f t="shared" si="24"/>
        <v>5.002008000333946E-3</v>
      </c>
      <c r="F123" s="10">
        <f>D123+'[1]2025 Μάρτιος'!F123</f>
        <v>2930.5</v>
      </c>
      <c r="G123" s="15">
        <f t="shared" si="25"/>
        <v>4.5671914040486164E-2</v>
      </c>
      <c r="H123" s="14"/>
      <c r="I123" s="29" t="e">
        <f t="shared" si="26"/>
        <v>#DIV/0!</v>
      </c>
      <c r="J123" s="10"/>
      <c r="K123" s="10" t="e">
        <f t="shared" si="27"/>
        <v>#DIV/0!</v>
      </c>
      <c r="L123" s="14">
        <f>'[1]2024_60-69 ΕΞΟΔΑ+ΟΜ 2'!G72</f>
        <v>30.6</v>
      </c>
      <c r="M123" s="15">
        <f t="shared" si="28"/>
        <v>4.0850763882584766E-3</v>
      </c>
      <c r="N123" s="10">
        <f>L123+'[1]2025 Μάρτιος'!N123</f>
        <v>2926.35</v>
      </c>
      <c r="O123" s="15">
        <f t="shared" si="29"/>
        <v>4.9219362592981701E-2</v>
      </c>
      <c r="P123" s="10"/>
      <c r="Q123" s="30" t="e">
        <f t="shared" si="23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2'!G81</f>
        <v>0</v>
      </c>
      <c r="E124" s="15">
        <f t="shared" si="24"/>
        <v>0</v>
      </c>
      <c r="F124" s="10">
        <f>D124+'[1]2025 Μάρτιος'!F124</f>
        <v>94.56</v>
      </c>
      <c r="G124" s="15">
        <f t="shared" si="25"/>
        <v>1.4737199084348649E-3</v>
      </c>
      <c r="H124" s="14"/>
      <c r="I124" s="29" t="e">
        <f t="shared" si="26"/>
        <v>#DIV/0!</v>
      </c>
      <c r="J124" s="10"/>
      <c r="K124" s="10" t="e">
        <f t="shared" si="27"/>
        <v>#DIV/0!</v>
      </c>
      <c r="L124" s="14">
        <f>'[1]2024_60-69 ΕΞΟΔΑ+ΟΜ 2'!G73</f>
        <v>8.69</v>
      </c>
      <c r="M124" s="15">
        <f t="shared" si="28"/>
        <v>1.1601082945740576E-3</v>
      </c>
      <c r="N124" s="10">
        <f>L124+'[1]2025 Μάρτιος'!N124</f>
        <v>100.49000000000001</v>
      </c>
      <c r="O124" s="15">
        <f t="shared" si="29"/>
        <v>1.6901784636043987E-3</v>
      </c>
      <c r="P124" s="10"/>
      <c r="Q124" s="30" t="e">
        <f t="shared" si="23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2'!G82</f>
        <v>0</v>
      </c>
      <c r="E125" s="15">
        <f t="shared" si="24"/>
        <v>0</v>
      </c>
      <c r="F125" s="10">
        <f>D125+'[1]2025 Μάρτιος'!F125</f>
        <v>26.849999999999998</v>
      </c>
      <c r="G125" s="15">
        <f t="shared" si="25"/>
        <v>4.1845790547246318E-4</v>
      </c>
      <c r="H125" s="14"/>
      <c r="I125" s="29" t="e">
        <f t="shared" si="26"/>
        <v>#DIV/0!</v>
      </c>
      <c r="J125" s="10"/>
      <c r="K125" s="10" t="e">
        <f t="shared" si="27"/>
        <v>#DIV/0!</v>
      </c>
      <c r="L125" s="14">
        <f>'[1]2024_60-69 ΕΞΟΔΑ+ΟΜ 2'!G74</f>
        <v>0</v>
      </c>
      <c r="M125" s="15">
        <f t="shared" si="28"/>
        <v>0</v>
      </c>
      <c r="N125" s="10">
        <f>L125+'[1]2025 Μάρτιος'!N125</f>
        <v>26.07</v>
      </c>
      <c r="O125" s="15">
        <f t="shared" si="29"/>
        <v>4.3848096871496338E-4</v>
      </c>
      <c r="P125" s="10"/>
      <c r="Q125" s="30" t="e">
        <f t="shared" si="23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2'!G83</f>
        <v>0</v>
      </c>
      <c r="E126" s="15">
        <f t="shared" si="24"/>
        <v>0</v>
      </c>
      <c r="F126" s="10">
        <f>D126+'[1]2025 Μάρτιος'!F126</f>
        <v>0</v>
      </c>
      <c r="G126" s="15">
        <f t="shared" si="25"/>
        <v>0</v>
      </c>
      <c r="H126" s="14"/>
      <c r="I126" s="29" t="e">
        <f t="shared" si="26"/>
        <v>#DIV/0!</v>
      </c>
      <c r="J126" s="10"/>
      <c r="K126" s="10" t="e">
        <f t="shared" si="27"/>
        <v>#DIV/0!</v>
      </c>
      <c r="L126" s="14">
        <f>'[1]2024_60-69 ΕΞΟΔΑ+ΟΜ 2'!G75</f>
        <v>34.75</v>
      </c>
      <c r="M126" s="15">
        <f t="shared" si="28"/>
        <v>4.6390981860124861E-3</v>
      </c>
      <c r="N126" s="10">
        <f>L126+'[1]2025 Μάρτιος'!N126</f>
        <v>34.75</v>
      </c>
      <c r="O126" s="15">
        <f t="shared" si="29"/>
        <v>5.8447309792270723E-4</v>
      </c>
      <c r="P126" s="10"/>
      <c r="Q126" s="30" t="e">
        <f t="shared" si="23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2'!G84</f>
        <v>39.700000000000003</v>
      </c>
      <c r="E127" s="15">
        <f t="shared" si="24"/>
        <v>5.7145242478635304E-3</v>
      </c>
      <c r="F127" s="10">
        <f>D127+'[1]2025 Μάρτιος'!F127</f>
        <v>143.94999999999999</v>
      </c>
      <c r="G127" s="15">
        <f t="shared" si="25"/>
        <v>2.2434642641624234E-3</v>
      </c>
      <c r="H127" s="14"/>
      <c r="I127" s="29" t="e">
        <f t="shared" si="26"/>
        <v>#DIV/0!</v>
      </c>
      <c r="J127" s="10"/>
      <c r="K127" s="10" t="e">
        <f t="shared" si="27"/>
        <v>#DIV/0!</v>
      </c>
      <c r="L127" s="14">
        <f>'[1]2024_60-69 ΕΞΟΔΑ+ΟΜ 2'!G76</f>
        <v>0</v>
      </c>
      <c r="M127" s="15">
        <f t="shared" si="28"/>
        <v>0</v>
      </c>
      <c r="N127" s="10">
        <f>L127+'[1]2025 Μάρτιος'!N127</f>
        <v>104.25</v>
      </c>
      <c r="O127" s="15">
        <f t="shared" si="29"/>
        <v>1.7534192937681216E-3</v>
      </c>
      <c r="P127" s="10"/>
      <c r="Q127" s="30" t="e">
        <f t="shared" si="23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2'!G85</f>
        <v>178.54</v>
      </c>
      <c r="E128" s="15">
        <f t="shared" si="24"/>
        <v>2.5699525420996339E-2</v>
      </c>
      <c r="F128" s="10">
        <f>D128+'[1]2025 Μάρτιος'!F128</f>
        <v>178.54</v>
      </c>
      <c r="G128" s="15">
        <f t="shared" si="25"/>
        <v>2.7825502585867253E-3</v>
      </c>
      <c r="H128" s="14"/>
      <c r="I128" s="29" t="e">
        <f t="shared" si="26"/>
        <v>#DIV/0!</v>
      </c>
      <c r="J128" s="10"/>
      <c r="K128" s="10" t="e">
        <f t="shared" si="27"/>
        <v>#DIV/0!</v>
      </c>
      <c r="L128" s="14">
        <f>'[1]2024_60-69 ΕΞΟΔΑ+ΟΜ 2'!G77</f>
        <v>0</v>
      </c>
      <c r="M128" s="15">
        <f t="shared" si="28"/>
        <v>0</v>
      </c>
      <c r="N128" s="10">
        <f>L128+'[1]2025 Μάρτιος'!N128</f>
        <v>0</v>
      </c>
      <c r="O128" s="15">
        <f t="shared" si="29"/>
        <v>0</v>
      </c>
      <c r="P128" s="10"/>
      <c r="Q128" s="30" t="e">
        <f t="shared" si="23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2'!G86</f>
        <v>22.79</v>
      </c>
      <c r="E129" s="15">
        <f t="shared" si="24"/>
        <v>3.280453592161457E-3</v>
      </c>
      <c r="F129" s="10">
        <f>D129+'[1]2025 Μάρτιος'!F129</f>
        <v>22.79</v>
      </c>
      <c r="G129" s="15">
        <f t="shared" si="25"/>
        <v>3.5518270635819129E-4</v>
      </c>
      <c r="H129" s="14"/>
      <c r="I129" s="29" t="e">
        <f t="shared" si="26"/>
        <v>#DIV/0!</v>
      </c>
      <c r="J129" s="10"/>
      <c r="K129" s="10" t="e">
        <f t="shared" si="27"/>
        <v>#DIV/0!</v>
      </c>
      <c r="L129" s="14">
        <f>'[1]2024_60-69 ΕΞΟΔΑ+ΟΜ 2'!G78</f>
        <v>0</v>
      </c>
      <c r="M129" s="15">
        <f t="shared" si="28"/>
        <v>0</v>
      </c>
      <c r="N129" s="10">
        <f>L129+'[1]2025 Μάρτιος'!N129</f>
        <v>0</v>
      </c>
      <c r="O129" s="15">
        <f t="shared" si="29"/>
        <v>0</v>
      </c>
      <c r="P129" s="10"/>
      <c r="Q129" s="30" t="e">
        <f t="shared" si="23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2'!G87</f>
        <v>11.49</v>
      </c>
      <c r="E130" s="15">
        <f t="shared" si="24"/>
        <v>1.6539013503262458E-3</v>
      </c>
      <c r="F130" s="10">
        <f>D130+'[1]2025 Μάρτιος'!F130</f>
        <v>11.49</v>
      </c>
      <c r="G130" s="15">
        <f t="shared" si="25"/>
        <v>1.7907193049827196E-4</v>
      </c>
      <c r="H130" s="14"/>
      <c r="I130" s="29" t="e">
        <f t="shared" si="26"/>
        <v>#DIV/0!</v>
      </c>
      <c r="J130" s="10"/>
      <c r="K130" s="10" t="e">
        <f t="shared" si="27"/>
        <v>#DIV/0!</v>
      </c>
      <c r="L130" s="14">
        <f>'[1]2024_60-69 ΕΞΟΔΑ+ΟΜ 2'!G79</f>
        <v>38</v>
      </c>
      <c r="M130" s="15">
        <f t="shared" si="28"/>
        <v>5.0729706782294808E-3</v>
      </c>
      <c r="N130" s="10">
        <f>L130+'[1]2025 Μάρτιος'!N130</f>
        <v>38</v>
      </c>
      <c r="O130" s="15">
        <f t="shared" si="29"/>
        <v>6.3913604952698917E-4</v>
      </c>
      <c r="P130" s="10"/>
      <c r="Q130" s="30" t="e">
        <f t="shared" si="23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2'!G88</f>
        <v>14.13</v>
      </c>
      <c r="E131" s="15">
        <f t="shared" si="24"/>
        <v>2.0339100156753572E-3</v>
      </c>
      <c r="F131" s="10">
        <f>D131+'[1]2025 Μάρτιος'!F131</f>
        <v>115.92999999999999</v>
      </c>
      <c r="G131" s="15">
        <f t="shared" si="25"/>
        <v>1.8067718801274733E-3</v>
      </c>
      <c r="H131" s="14"/>
      <c r="I131" s="29" t="e">
        <f t="shared" si="26"/>
        <v>#DIV/0!</v>
      </c>
      <c r="J131" s="10"/>
      <c r="K131" s="10" t="e">
        <f t="shared" si="27"/>
        <v>#DIV/0!</v>
      </c>
      <c r="L131" s="14">
        <f>'[1]2024_60-69 ΕΞΟΔΑ+ΟΜ 2'!G80</f>
        <v>25.36</v>
      </c>
      <c r="M131" s="15">
        <f t="shared" si="28"/>
        <v>3.3855404315763062E-3</v>
      </c>
      <c r="N131" s="10">
        <f>L131+'[1]2025 Μάρτιος'!N131</f>
        <v>172.86</v>
      </c>
      <c r="O131" s="15">
        <f t="shared" si="29"/>
        <v>2.907396250558825E-3</v>
      </c>
      <c r="P131" s="10"/>
      <c r="Q131" s="30" t="e">
        <f t="shared" si="23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2'!G89</f>
        <v>306.85000000000002</v>
      </c>
      <c r="E132" s="15">
        <f t="shared" si="24"/>
        <v>4.4168810213020764E-2</v>
      </c>
      <c r="F132" s="10">
        <f>D132+'[1]2025 Μάρτιος'!F132</f>
        <v>740.47</v>
      </c>
      <c r="G132" s="15">
        <f t="shared" si="25"/>
        <v>1.1540243026636679E-2</v>
      </c>
      <c r="H132" s="14"/>
      <c r="I132" s="29" t="e">
        <f t="shared" si="26"/>
        <v>#DIV/0!</v>
      </c>
      <c r="J132" s="10"/>
      <c r="K132" s="10" t="e">
        <f t="shared" si="27"/>
        <v>#DIV/0!</v>
      </c>
      <c r="L132" s="14">
        <f>'[1]2024_60-69 ΕΞΟΔΑ+ΟΜ 2'!G81</f>
        <v>-1.98</v>
      </c>
      <c r="M132" s="15">
        <f t="shared" si="28"/>
        <v>-2.6432847218143082E-4</v>
      </c>
      <c r="N132" s="10">
        <f>L132+'[1]2025 Μάρτιος'!N132</f>
        <v>320.49</v>
      </c>
      <c r="O132" s="15">
        <f t="shared" si="29"/>
        <v>5.3904398029711777E-3</v>
      </c>
      <c r="P132" s="10"/>
      <c r="Q132" s="30" t="e">
        <f t="shared" si="23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2'!G90</f>
        <v>0</v>
      </c>
      <c r="E133" s="15">
        <f t="shared" si="24"/>
        <v>0</v>
      </c>
      <c r="F133" s="10">
        <f>D133+'[1]2025 Μάρτιος'!F133</f>
        <v>49.99</v>
      </c>
      <c r="G133" s="15">
        <f t="shared" si="25"/>
        <v>7.7909537037498832E-4</v>
      </c>
      <c r="H133" s="14"/>
      <c r="I133" s="29" t="e">
        <f t="shared" si="26"/>
        <v>#DIV/0!</v>
      </c>
      <c r="J133" s="10"/>
      <c r="K133" s="10" t="e">
        <f t="shared" si="27"/>
        <v>#DIV/0!</v>
      </c>
      <c r="L133" s="14">
        <f>'[1]2024_60-69 ΕΞΟΔΑ+ΟΜ 2'!G82</f>
        <v>9.49</v>
      </c>
      <c r="M133" s="15">
        <f t="shared" si="28"/>
        <v>1.2669076772736257E-3</v>
      </c>
      <c r="N133" s="10">
        <f>L133+'[1]2025 Μάρτιος'!N133</f>
        <v>14.490000000000004</v>
      </c>
      <c r="O133" s="15">
        <f t="shared" si="29"/>
        <v>2.4371266730647566E-4</v>
      </c>
      <c r="P133" s="10"/>
      <c r="Q133" s="30" t="e">
        <f t="shared" si="23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2'!G91</f>
        <v>74.5</v>
      </c>
      <c r="E134" s="15">
        <f t="shared" si="24"/>
        <v>1.0723729382010907E-2</v>
      </c>
      <c r="F134" s="10">
        <f>D134+'[1]2025 Μάρτιος'!F134</f>
        <v>95.86</v>
      </c>
      <c r="G134" s="15">
        <f t="shared" si="25"/>
        <v>1.4939804401709617E-3</v>
      </c>
      <c r="H134" s="14"/>
      <c r="I134" s="29" t="e">
        <f t="shared" si="26"/>
        <v>#DIV/0!</v>
      </c>
      <c r="J134" s="10"/>
      <c r="K134" s="10" t="e">
        <f t="shared" si="27"/>
        <v>#DIV/0!</v>
      </c>
      <c r="L134" s="14">
        <f>'[1]2024_60-69 ΕΞΟΔΑ+ΟΜ 2'!G83</f>
        <v>-12.76</v>
      </c>
      <c r="M134" s="15">
        <f t="shared" si="28"/>
        <v>-1.7034501540581098E-3</v>
      </c>
      <c r="N134" s="10">
        <f>L134+'[1]2025 Μάρτιος'!N134</f>
        <v>23.140000000000008</v>
      </c>
      <c r="O134" s="15">
        <f t="shared" si="29"/>
        <v>3.8920021542248771E-4</v>
      </c>
      <c r="P134" s="10"/>
      <c r="Q134" s="30" t="e">
        <f t="shared" si="23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2'!G92</f>
        <v>0</v>
      </c>
      <c r="E135" s="15">
        <f t="shared" si="24"/>
        <v>0</v>
      </c>
      <c r="F135" s="10">
        <f>D135+'[1]2025 Μάρτιος'!F135</f>
        <v>35.5</v>
      </c>
      <c r="G135" s="15">
        <f t="shared" si="25"/>
        <v>5.532683666395696E-4</v>
      </c>
      <c r="H135" s="14"/>
      <c r="I135" s="29" t="e">
        <f t="shared" si="26"/>
        <v>#DIV/0!</v>
      </c>
      <c r="J135" s="10"/>
      <c r="K135" s="10" t="e">
        <f t="shared" si="27"/>
        <v>#DIV/0!</v>
      </c>
      <c r="L135" s="14">
        <f>'[1]2024_60-69 ΕΞΟΔΑ+ΟΜ 2'!G84</f>
        <v>334.3</v>
      </c>
      <c r="M135" s="15">
        <f t="shared" si="28"/>
        <v>4.462879204558199E-2</v>
      </c>
      <c r="N135" s="10">
        <f>L135+'[1]2025 Μάρτιος'!N135</f>
        <v>379.11</v>
      </c>
      <c r="O135" s="15">
        <f t="shared" si="29"/>
        <v>6.3763912562151805E-3</v>
      </c>
      <c r="P135" s="10"/>
      <c r="Q135" s="30" t="e">
        <f t="shared" si="23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2'!G93</f>
        <v>0</v>
      </c>
      <c r="E136" s="15">
        <f t="shared" si="24"/>
        <v>0</v>
      </c>
      <c r="F136" s="10">
        <f>D136+'[1]2025 Μάρτιος'!F136</f>
        <v>830.32</v>
      </c>
      <c r="G136" s="15">
        <f t="shared" si="25"/>
        <v>1.2940557470089225E-2</v>
      </c>
      <c r="H136" s="14"/>
      <c r="I136" s="29" t="e">
        <f t="shared" si="26"/>
        <v>#DIV/0!</v>
      </c>
      <c r="J136" s="10"/>
      <c r="K136" s="10" t="e">
        <f t="shared" si="27"/>
        <v>#DIV/0!</v>
      </c>
      <c r="L136" s="14">
        <f>'[1]2024_60-69 ΕΞΟΔΑ+ΟΜ 2'!G85</f>
        <v>0</v>
      </c>
      <c r="M136" s="15">
        <f t="shared" si="28"/>
        <v>0</v>
      </c>
      <c r="N136" s="10">
        <f>L136+'[1]2025 Μάρτιος'!N136</f>
        <v>764.81999999999994</v>
      </c>
      <c r="O136" s="15">
        <f t="shared" si="29"/>
        <v>1.2863790352611364E-2</v>
      </c>
      <c r="P136" s="10"/>
      <c r="Q136" s="30" t="e">
        <f t="shared" si="23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2'!G94</f>
        <v>0</v>
      </c>
      <c r="E137" s="15">
        <f t="shared" si="24"/>
        <v>0</v>
      </c>
      <c r="F137" s="10">
        <f>D137+'[1]2025 Μάρτιος'!F137</f>
        <v>12.13</v>
      </c>
      <c r="G137" s="15">
        <f t="shared" si="25"/>
        <v>1.8904634612219661E-4</v>
      </c>
      <c r="H137" s="14"/>
      <c r="I137" s="29" t="e">
        <f t="shared" si="26"/>
        <v>#DIV/0!</v>
      </c>
      <c r="J137" s="10"/>
      <c r="K137" s="10" t="e">
        <f t="shared" si="27"/>
        <v>#DIV/0!</v>
      </c>
      <c r="L137" s="14">
        <f>'[1]2024_60-69 ΕΞΟΔΑ+ΟΜ 2'!G86</f>
        <v>71.5</v>
      </c>
      <c r="M137" s="15">
        <f t="shared" si="28"/>
        <v>9.5451948287738914E-3</v>
      </c>
      <c r="N137" s="10">
        <f>L137+'[1]2025 Μάρτιος'!N137</f>
        <v>100.13</v>
      </c>
      <c r="O137" s="15">
        <f t="shared" si="29"/>
        <v>1.6841234905036163E-3</v>
      </c>
      <c r="P137" s="10"/>
      <c r="Q137" s="30" t="e">
        <f t="shared" si="23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2'!G95</f>
        <v>0</v>
      </c>
      <c r="E138" s="15">
        <f t="shared" si="24"/>
        <v>0</v>
      </c>
      <c r="F138" s="10">
        <f>D138+'[1]2025 Μάρτιος'!F138</f>
        <v>224.75</v>
      </c>
      <c r="G138" s="15">
        <f t="shared" si="25"/>
        <v>3.5027342366829089E-3</v>
      </c>
      <c r="H138" s="14"/>
      <c r="I138" s="29" t="e">
        <f t="shared" si="26"/>
        <v>#DIV/0!</v>
      </c>
      <c r="J138" s="10"/>
      <c r="K138" s="10" t="e">
        <f t="shared" si="27"/>
        <v>#DIV/0!</v>
      </c>
      <c r="L138" s="14">
        <f>'[1]2024_60-69 ΕΞΟΔΑ+ΟΜ 2'!G87</f>
        <v>0</v>
      </c>
      <c r="M138" s="15">
        <f t="shared" si="28"/>
        <v>0</v>
      </c>
      <c r="N138" s="10">
        <f>L138+'[1]2025 Μάρτιος'!N138</f>
        <v>316.24</v>
      </c>
      <c r="O138" s="15">
        <f t="shared" si="29"/>
        <v>5.3189574816425011E-3</v>
      </c>
      <c r="P138" s="10"/>
      <c r="Q138" s="30" t="e">
        <f t="shared" si="23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2'!G96</f>
        <v>1210</v>
      </c>
      <c r="E139" s="15">
        <f t="shared" si="24"/>
        <v>0.17417063828500937</v>
      </c>
      <c r="F139" s="10">
        <f>D139+'[1]2025 Μάρτιος'!F139</f>
        <v>1210</v>
      </c>
      <c r="G139" s="15">
        <f t="shared" si="25"/>
        <v>1.8857879538982512E-2</v>
      </c>
      <c r="H139" s="14"/>
      <c r="I139" s="29" t="e">
        <f t="shared" si="26"/>
        <v>#DIV/0!</v>
      </c>
      <c r="J139" s="10"/>
      <c r="K139" s="10" t="e">
        <f t="shared" si="27"/>
        <v>#DIV/0!</v>
      </c>
      <c r="L139" s="14">
        <f>'[1]2024_60-69 ΕΞΟΔΑ+ΟΜ 2'!G88</f>
        <v>0</v>
      </c>
      <c r="M139" s="15">
        <f t="shared" si="28"/>
        <v>0</v>
      </c>
      <c r="N139" s="10">
        <f>L139+'[1]2025 Μάρτιος'!N139</f>
        <v>0</v>
      </c>
      <c r="O139" s="15">
        <f t="shared" si="29"/>
        <v>0</v>
      </c>
      <c r="P139" s="10"/>
      <c r="Q139" s="30" t="e">
        <f t="shared" si="23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2'!G97</f>
        <v>788.73</v>
      </c>
      <c r="E140" s="15">
        <f t="shared" si="24"/>
        <v>0.11353190705333507</v>
      </c>
      <c r="F140" s="10">
        <f>D140+'[1]2025 Μάρτιος'!F140</f>
        <v>788.73</v>
      </c>
      <c r="G140" s="15">
        <f t="shared" si="25"/>
        <v>1.2292376304778247E-2</v>
      </c>
      <c r="H140" s="14"/>
      <c r="I140" s="29" t="e">
        <f t="shared" si="26"/>
        <v>#DIV/0!</v>
      </c>
      <c r="J140" s="10"/>
      <c r="K140" s="10" t="e">
        <f t="shared" si="27"/>
        <v>#DIV/0!</v>
      </c>
      <c r="L140" s="14">
        <f>'[1]2024_60-69 ΕΞΟΔΑ+ΟΜ 2'!G89</f>
        <v>0</v>
      </c>
      <c r="M140" s="15">
        <f t="shared" si="28"/>
        <v>0</v>
      </c>
      <c r="N140" s="10">
        <f>L140+'[1]2025 Μάρτιος'!N140</f>
        <v>0</v>
      </c>
      <c r="O140" s="15">
        <f t="shared" si="29"/>
        <v>0</v>
      </c>
      <c r="P140" s="10"/>
      <c r="Q140" s="30" t="e">
        <f t="shared" si="23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2'!G98</f>
        <v>172.38</v>
      </c>
      <c r="E141" s="15">
        <f t="shared" si="24"/>
        <v>2.4812838535181746E-2</v>
      </c>
      <c r="F141" s="10">
        <f>D141+'[1]2025 Μάρτιος'!F141</f>
        <v>172.38</v>
      </c>
      <c r="G141" s="15">
        <f t="shared" si="25"/>
        <v>2.686546508206451E-3</v>
      </c>
      <c r="H141" s="14"/>
      <c r="I141" s="29" t="e">
        <f t="shared" si="26"/>
        <v>#DIV/0!</v>
      </c>
      <c r="J141" s="10"/>
      <c r="K141" s="10" t="e">
        <f t="shared" si="27"/>
        <v>#DIV/0!</v>
      </c>
      <c r="L141" s="14">
        <f>'[1]2024_60-69 ΕΞΟΔΑ+ΟΜ 2'!G90</f>
        <v>133.24</v>
      </c>
      <c r="M141" s="15">
        <f t="shared" si="28"/>
        <v>1.7787437188613055E-2</v>
      </c>
      <c r="N141" s="10">
        <f>L141+'[1]2025 Μάρτιος'!N141</f>
        <v>133.24</v>
      </c>
      <c r="O141" s="15">
        <f t="shared" si="29"/>
        <v>2.241012822078317E-3</v>
      </c>
      <c r="P141" s="10"/>
      <c r="Q141" s="30" t="e">
        <f t="shared" si="23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2'!G99</f>
        <v>65.22</v>
      </c>
      <c r="E142" s="15">
        <f t="shared" si="24"/>
        <v>9.3879413462382728E-3</v>
      </c>
      <c r="F142" s="10">
        <f>D142+'[1]2025 Μάρτιος'!F142</f>
        <v>553.76</v>
      </c>
      <c r="G142" s="15">
        <f t="shared" si="25"/>
        <v>8.6303631186007909E-3</v>
      </c>
      <c r="H142" s="14"/>
      <c r="I142" s="29" t="e">
        <f t="shared" si="26"/>
        <v>#DIV/0!</v>
      </c>
      <c r="J142" s="10"/>
      <c r="K142" s="10" t="e">
        <f t="shared" si="27"/>
        <v>#DIV/0!</v>
      </c>
      <c r="L142" s="14">
        <f>'[1]2024_60-69 ΕΞΟΔΑ+ΟΜ 2'!G91</f>
        <v>900</v>
      </c>
      <c r="M142" s="15">
        <f t="shared" si="28"/>
        <v>0.12014930553701401</v>
      </c>
      <c r="N142" s="10">
        <f>L142+'[1]2025 Μάρτιος'!N142</f>
        <v>900</v>
      </c>
      <c r="O142" s="15">
        <f t="shared" si="29"/>
        <v>1.5137432751955006E-2</v>
      </c>
      <c r="P142" s="10"/>
      <c r="Q142" s="30" t="e">
        <f t="shared" si="23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2'!G100</f>
        <v>0</v>
      </c>
      <c r="E143" s="15">
        <f t="shared" si="24"/>
        <v>0</v>
      </c>
      <c r="F143" s="10">
        <f>D143+'[1]2025 Μάρτιος'!F143</f>
        <v>3532.73</v>
      </c>
      <c r="G143" s="15">
        <f t="shared" si="25"/>
        <v>5.5057683292355122E-2</v>
      </c>
      <c r="H143" s="14"/>
      <c r="I143" s="29" t="e">
        <f t="shared" si="26"/>
        <v>#DIV/0!</v>
      </c>
      <c r="J143" s="10"/>
      <c r="K143" s="10" t="e">
        <f t="shared" si="27"/>
        <v>#DIV/0!</v>
      </c>
      <c r="L143" s="14">
        <f>'[1]2024_60-69 ΕΞΟΔΑ+ΟΜ 2'!G92</f>
        <v>0</v>
      </c>
      <c r="M143" s="15">
        <f t="shared" si="28"/>
        <v>0</v>
      </c>
      <c r="N143" s="10">
        <f>L143+'[1]2025 Μάρτιος'!N143</f>
        <v>2100</v>
      </c>
      <c r="O143" s="15">
        <f t="shared" si="29"/>
        <v>3.5320676421228346E-2</v>
      </c>
      <c r="P143" s="10"/>
      <c r="Q143" s="30" t="e">
        <f t="shared" si="23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2'!G101</f>
        <v>0</v>
      </c>
      <c r="E144" s="15">
        <f t="shared" si="24"/>
        <v>0</v>
      </c>
      <c r="F144" s="10">
        <f>D144+'[1]2025 Μάρτιος'!F144</f>
        <v>3645.5200000000004</v>
      </c>
      <c r="G144" s="15">
        <f t="shared" si="25"/>
        <v>5.6815518195827718E-2</v>
      </c>
      <c r="H144" s="14"/>
      <c r="I144" s="29" t="e">
        <f t="shared" si="26"/>
        <v>#DIV/0!</v>
      </c>
      <c r="J144" s="10"/>
      <c r="K144" s="10" t="e">
        <f t="shared" si="27"/>
        <v>#DIV/0!</v>
      </c>
      <c r="L144" s="14">
        <f>'[1]2024_60-69 ΕΞΟΔΑ+ΟΜ 2'!G93</f>
        <v>841.99</v>
      </c>
      <c r="M144" s="15">
        <f t="shared" si="28"/>
        <v>0.11240501529901159</v>
      </c>
      <c r="N144" s="10">
        <f>L144+'[1]2025 Μάρτιος'!N144</f>
        <v>3242.41</v>
      </c>
      <c r="O144" s="15">
        <f t="shared" si="29"/>
        <v>5.4535292588073811E-2</v>
      </c>
      <c r="P144" s="10"/>
      <c r="Q144" s="30" t="e">
        <f t="shared" si="23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2'!G102</f>
        <v>1130.75</v>
      </c>
      <c r="E145" s="15">
        <f t="shared" si="24"/>
        <v>0.16276318119072258</v>
      </c>
      <c r="F145" s="10">
        <f>D145+'[1]2025 Μάρτιος'!F145</f>
        <v>2926.4300000000003</v>
      </c>
      <c r="G145" s="15">
        <f t="shared" si="25"/>
        <v>4.5608482991127769E-2</v>
      </c>
      <c r="H145" s="14"/>
      <c r="I145" s="29" t="e">
        <f t="shared" si="26"/>
        <v>#DIV/0!</v>
      </c>
      <c r="J145" s="10"/>
      <c r="K145" s="10" t="e">
        <f t="shared" si="27"/>
        <v>#DIV/0!</v>
      </c>
      <c r="L145" s="14">
        <f>'[1]2024_60-69 ΕΞΟΔΑ+ΟΜ 2'!G94</f>
        <v>224.23</v>
      </c>
      <c r="M145" s="15">
        <f t="shared" si="28"/>
        <v>2.993453197840517E-2</v>
      </c>
      <c r="N145" s="10">
        <f>L145+'[1]2025 Μάρτιος'!N145</f>
        <v>611.08000000000004</v>
      </c>
      <c r="O145" s="15">
        <f t="shared" si="29"/>
        <v>1.0277980451182962E-2</v>
      </c>
      <c r="P145" s="10"/>
      <c r="Q145" s="30" t="e">
        <f t="shared" si="23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2'!G103</f>
        <v>0</v>
      </c>
      <c r="E146" s="15">
        <f t="shared" si="24"/>
        <v>0</v>
      </c>
      <c r="F146" s="10">
        <f>D146+'[1]2025 Μάρτιος'!F146</f>
        <v>214.18</v>
      </c>
      <c r="G146" s="15">
        <f t="shared" si="25"/>
        <v>3.3380005286440285E-3</v>
      </c>
      <c r="H146" s="14"/>
      <c r="I146" s="29" t="e">
        <f t="shared" si="26"/>
        <v>#DIV/0!</v>
      </c>
      <c r="J146" s="10"/>
      <c r="K146" s="10" t="e">
        <f t="shared" si="27"/>
        <v>#DIV/0!</v>
      </c>
      <c r="L146" s="14">
        <f>'[1]2024_60-69 ΕΞΟΔΑ+ΟΜ 2'!G95</f>
        <v>0</v>
      </c>
      <c r="M146" s="15">
        <f t="shared" si="28"/>
        <v>0</v>
      </c>
      <c r="N146" s="10">
        <f>L146+'[1]2025 Μάρτιος'!N146</f>
        <v>284.32</v>
      </c>
      <c r="O146" s="15">
        <f t="shared" si="29"/>
        <v>4.7820832000398305E-3</v>
      </c>
      <c r="P146" s="10"/>
      <c r="Q146" s="30" t="e">
        <f t="shared" si="23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2'!G104</f>
        <v>766.93</v>
      </c>
      <c r="E147" s="15">
        <f t="shared" si="24"/>
        <v>0.11039395671067952</v>
      </c>
      <c r="F147" s="10">
        <f>D147+'[1]2025 Μάρτιος'!F147</f>
        <v>766.93</v>
      </c>
      <c r="G147" s="15">
        <f t="shared" si="25"/>
        <v>1.1952622772588312E-2</v>
      </c>
      <c r="H147" s="14"/>
      <c r="I147" s="29" t="e">
        <f t="shared" si="26"/>
        <v>#DIV/0!</v>
      </c>
      <c r="J147" s="10"/>
      <c r="K147" s="10" t="e">
        <f t="shared" si="27"/>
        <v>#DIV/0!</v>
      </c>
      <c r="L147" s="14">
        <f>'[1]2024_60-69 ΕΞΟΔΑ+ΟΜ 2'!G96</f>
        <v>0</v>
      </c>
      <c r="M147" s="15">
        <f t="shared" si="28"/>
        <v>0</v>
      </c>
      <c r="N147" s="10">
        <f>L147+'[1]2025 Μάρτιος'!N147</f>
        <v>0</v>
      </c>
      <c r="O147" s="15">
        <f t="shared" si="29"/>
        <v>0</v>
      </c>
      <c r="P147" s="10"/>
      <c r="Q147" s="30" t="e">
        <f t="shared" si="23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2'!G105</f>
        <v>0</v>
      </c>
      <c r="E148" s="15">
        <f t="shared" si="24"/>
        <v>0</v>
      </c>
      <c r="F148" s="10">
        <f>D148+'[1]2025 Μάρτιος'!F148</f>
        <v>0</v>
      </c>
      <c r="G148" s="15">
        <f t="shared" si="25"/>
        <v>0</v>
      </c>
      <c r="H148" s="14"/>
      <c r="I148" s="29" t="e">
        <f t="shared" si="26"/>
        <v>#DIV/0!</v>
      </c>
      <c r="J148" s="10"/>
      <c r="K148" s="10" t="e">
        <f t="shared" si="27"/>
        <v>#DIV/0!</v>
      </c>
      <c r="L148" s="14">
        <f>'[1]2024_60-69 ΕΞΟΔΑ+ΟΜ 2'!G97</f>
        <v>140.5199999999999</v>
      </c>
      <c r="M148" s="15">
        <f t="shared" si="28"/>
        <v>1.8759311571179108E-2</v>
      </c>
      <c r="N148" s="10">
        <f>L148+'[1]2025 Μάρτιος'!N148</f>
        <v>140.5199999999999</v>
      </c>
      <c r="O148" s="15">
        <f t="shared" si="29"/>
        <v>2.3634578336719065E-3</v>
      </c>
      <c r="P148" s="10"/>
      <c r="Q148" s="30" t="e">
        <f t="shared" si="23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2'!G106</f>
        <v>777.67000000000007</v>
      </c>
      <c r="E149" s="15">
        <f t="shared" si="24"/>
        <v>0.11193990105380433</v>
      </c>
      <c r="F149" s="10">
        <f>D149+'[1]2025 Μάρτιος'!F149</f>
        <v>2608.7200000000003</v>
      </c>
      <c r="G149" s="15">
        <f t="shared" si="25"/>
        <v>4.0656964885069806E-2</v>
      </c>
      <c r="H149" s="14"/>
      <c r="I149" s="29" t="e">
        <f t="shared" si="26"/>
        <v>#DIV/0!</v>
      </c>
      <c r="J149" s="10"/>
      <c r="K149" s="10" t="e">
        <f t="shared" si="27"/>
        <v>#DIV/0!</v>
      </c>
      <c r="L149" s="14">
        <f>'[1]2024_60-69 ΕΞΟΔΑ+ΟΜ 2'!G98</f>
        <v>0</v>
      </c>
      <c r="M149" s="15">
        <f t="shared" si="28"/>
        <v>0</v>
      </c>
      <c r="N149" s="10">
        <f>L149+'[1]2025 Μάρτιος'!N149</f>
        <v>2377.5700000000002</v>
      </c>
      <c r="O149" s="15">
        <f t="shared" si="29"/>
        <v>3.9989228875628516E-2</v>
      </c>
      <c r="P149" s="10"/>
      <c r="Q149" s="30" t="e">
        <f t="shared" si="23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2'!G107</f>
        <v>98.51</v>
      </c>
      <c r="E150" s="15">
        <f t="shared" si="24"/>
        <v>1.4179793039220059E-2</v>
      </c>
      <c r="F150" s="10">
        <f>D150+'[1]2025 Μάρτιος'!F150</f>
        <v>98.51</v>
      </c>
      <c r="G150" s="15">
        <f t="shared" si="25"/>
        <v>1.5352807548637748E-3</v>
      </c>
      <c r="H150" s="14"/>
      <c r="I150" s="29" t="e">
        <f t="shared" si="26"/>
        <v>#DIV/0!</v>
      </c>
      <c r="J150" s="10"/>
      <c r="K150" s="10" t="e">
        <f t="shared" si="27"/>
        <v>#DIV/0!</v>
      </c>
      <c r="L150" s="14">
        <f>'[1]2024_60-69 ΕΞΟΔΑ+ΟΜ 2'!G99</f>
        <v>0</v>
      </c>
      <c r="M150" s="15">
        <f t="shared" si="28"/>
        <v>0</v>
      </c>
      <c r="N150" s="10">
        <f>L150+'[1]2025 Μάρτιος'!N150</f>
        <v>0</v>
      </c>
      <c r="O150" s="15">
        <f t="shared" si="29"/>
        <v>0</v>
      </c>
      <c r="P150" s="10"/>
      <c r="Q150" s="30" t="e">
        <f t="shared" si="23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2'!G108</f>
        <v>0</v>
      </c>
      <c r="E151" s="15">
        <f t="shared" si="24"/>
        <v>0</v>
      </c>
      <c r="F151" s="10">
        <f>D151+'[1]2025 Μάρτιος'!F151</f>
        <v>1560.77</v>
      </c>
      <c r="G151" s="15">
        <f t="shared" si="25"/>
        <v>2.4324638552113833E-2</v>
      </c>
      <c r="H151" s="14"/>
      <c r="I151" s="29" t="e">
        <f t="shared" si="26"/>
        <v>#DIV/0!</v>
      </c>
      <c r="J151" s="10"/>
      <c r="K151" s="10" t="e">
        <f t="shared" si="27"/>
        <v>#DIV/0!</v>
      </c>
      <c r="L151" s="14">
        <f>'[1]2024_60-69 ΕΞΟΔΑ+ΟΜ 2'!G100</f>
        <v>911.16</v>
      </c>
      <c r="M151" s="15">
        <f t="shared" si="28"/>
        <v>0.12163915692567299</v>
      </c>
      <c r="N151" s="10">
        <f>L151+'[1]2025 Μάρτιος'!N151</f>
        <v>1467.38</v>
      </c>
      <c r="O151" s="15">
        <f t="shared" si="29"/>
        <v>2.4680406746181931E-2</v>
      </c>
      <c r="P151" s="10"/>
      <c r="Q151" s="30" t="e">
        <f t="shared" si="23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2'!G109</f>
        <v>0</v>
      </c>
      <c r="E152" s="15">
        <f t="shared" si="24"/>
        <v>0</v>
      </c>
      <c r="F152" s="10">
        <f>D152+'[1]2025 Μάρτιος'!F152</f>
        <v>0</v>
      </c>
      <c r="G152" s="15">
        <f t="shared" si="25"/>
        <v>0</v>
      </c>
      <c r="H152" s="14"/>
      <c r="I152" s="29" t="e">
        <f t="shared" si="26"/>
        <v>#DIV/0!</v>
      </c>
      <c r="J152" s="10"/>
      <c r="K152" s="10" t="e">
        <f t="shared" si="27"/>
        <v>#DIV/0!</v>
      </c>
      <c r="L152" s="14">
        <f>'[1]2024_60-69 ΕΞΟΔΑ+ΟΜ 2'!G101</f>
        <v>0</v>
      </c>
      <c r="M152" s="15">
        <f t="shared" si="28"/>
        <v>0</v>
      </c>
      <c r="N152" s="10">
        <f>L152+'[1]2025 Μάρτιος'!N152</f>
        <v>2149.7400000000002</v>
      </c>
      <c r="O152" s="15">
        <f t="shared" si="29"/>
        <v>3.6157271871319729E-2</v>
      </c>
      <c r="P152" s="10"/>
      <c r="Q152" s="30" t="e">
        <f t="shared" si="23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2'!G110</f>
        <v>0</v>
      </c>
      <c r="E153" s="15">
        <f t="shared" si="24"/>
        <v>0</v>
      </c>
      <c r="F153" s="10">
        <f>D153+'[1]2025 Μάρτιος'!F153</f>
        <v>2333.0100000000002</v>
      </c>
      <c r="G153" s="15">
        <f t="shared" si="25"/>
        <v>3.6360017804331901E-2</v>
      </c>
      <c r="H153" s="14"/>
      <c r="I153" s="29" t="e">
        <f t="shared" si="26"/>
        <v>#DIV/0!</v>
      </c>
      <c r="J153" s="10"/>
      <c r="K153" s="10" t="e">
        <f t="shared" si="27"/>
        <v>#DIV/0!</v>
      </c>
      <c r="L153" s="14">
        <f>'[1]2024_60-69 ΕΞΟΔΑ+ΟΜ 2'!G102</f>
        <v>139.16999999999999</v>
      </c>
      <c r="M153" s="15">
        <f t="shared" si="28"/>
        <v>1.85790876128736E-2</v>
      </c>
      <c r="N153" s="10">
        <f>L153+'[1]2025 Μάρτιος'!N153</f>
        <v>139.16999999999999</v>
      </c>
      <c r="O153" s="15">
        <f t="shared" si="29"/>
        <v>2.3407516845439756E-3</v>
      </c>
      <c r="P153" s="10"/>
      <c r="Q153" s="30" t="e">
        <f t="shared" si="23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2'!G73</f>
        <v>875.5</v>
      </c>
      <c r="E157" s="8"/>
      <c r="F157" s="7">
        <f>D157+'[1]2025 Μάρτιος'!F157</f>
        <v>875.5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7490.6799999999985</v>
      </c>
      <c r="M157" s="8"/>
      <c r="N157" s="7">
        <f>SUM(N117:N156)</f>
        <v>59455.259999999973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6071.7100000000009</v>
      </c>
      <c r="E158" s="8"/>
      <c r="F158" s="7">
        <f>F116-F157</f>
        <v>63288.659999999989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D7-D78-D111-D157</f>
        <v>3413.5158112094268</v>
      </c>
      <c r="E159" s="4"/>
      <c r="F159" s="31">
        <f>F7-F78-F111-F157</f>
        <v>78678.199174041278</v>
      </c>
      <c r="G159" s="4"/>
      <c r="H159" s="31">
        <f ca="1">H7-H78-H111-H157</f>
        <v>0</v>
      </c>
      <c r="I159" s="4"/>
      <c r="J159" s="31">
        <f ca="1">J7-J78-J111-J157</f>
        <v>113417.90507872538</v>
      </c>
      <c r="K159" s="4"/>
      <c r="L159" s="31">
        <f ca="1">L7-L78-L111-L157</f>
        <v>262.17796460180034</v>
      </c>
      <c r="M159" s="4"/>
      <c r="N159" s="31">
        <f ca="1">N7-N78-N111-N157</f>
        <v>-271475.28699115058</v>
      </c>
      <c r="O159" s="4"/>
      <c r="P159" s="31"/>
      <c r="Q159" s="4"/>
    </row>
  </sheetData>
  <mergeCells count="33">
    <mergeCell ref="D114:F114"/>
    <mergeCell ref="H114:J114"/>
    <mergeCell ref="L114:N114"/>
    <mergeCell ref="P114:Q114"/>
    <mergeCell ref="D82:F82"/>
    <mergeCell ref="H82:J82"/>
    <mergeCell ref="L82:N82"/>
    <mergeCell ref="P82:Q82"/>
    <mergeCell ref="D113:G113"/>
    <mergeCell ref="H113:K113"/>
    <mergeCell ref="L113:O113"/>
    <mergeCell ref="P113:Q113"/>
    <mergeCell ref="D41:F41"/>
    <mergeCell ref="H41:J41"/>
    <mergeCell ref="L41:N41"/>
    <mergeCell ref="P41:Q41"/>
    <mergeCell ref="D81:G81"/>
    <mergeCell ref="H81:K81"/>
    <mergeCell ref="L81:O81"/>
    <mergeCell ref="P81:Q81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59"/>
  <sheetViews>
    <sheetView topLeftCell="A90" workbookViewId="0">
      <selection activeCell="D106" sqref="D106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</row>
    <row r="2" spans="1:17" ht="41.25" customHeight="1" x14ac:dyDescent="0.25">
      <c r="A2" s="57">
        <v>1</v>
      </c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>
        <f>[1]ΑΝΤΙΣΤΟΙΧΙΣΗ!$D$34</f>
        <v>2025</v>
      </c>
      <c r="H2" s="182" t="str">
        <f>[1]ΑΝΤΙΣΤΟΙΧΙΣΗ!$F$35</f>
        <v>ΠΡΟΥΠΟΛΟΓΙΣΜΟΣ ΤΡΕΧΟΝΤΟΣ ΕΤΟΥΣ</v>
      </c>
      <c r="I2" s="182"/>
      <c r="J2" s="182"/>
      <c r="K2" s="182">
        <f>[1]ΑΝΤΙΣΤΟΙΧΙΣΗ!$D$34</f>
        <v>2025</v>
      </c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0" t="str">
        <f>[1]ΑΝΤΙΣΤΟΙΧΙΣΗ!$F$110</f>
        <v xml:space="preserve">ΜΑΙΟΣ ΤΡΕΧΟΝ ΕΤΟΣ </v>
      </c>
      <c r="E3" s="180"/>
      <c r="F3" s="180"/>
      <c r="G3" s="61">
        <f>[1]ΑΝΤΙΣΤΟΙΧΙΣΗ!$D$34</f>
        <v>2025</v>
      </c>
      <c r="H3" s="180" t="str">
        <f>[1]ΑΝΤΙΣΤΟΙΧΙΣΗ!$F$110</f>
        <v xml:space="preserve">ΜΑΙΟΣ ΤΡΕΧΟΝ ΕΤΟΣ </v>
      </c>
      <c r="I3" s="180"/>
      <c r="J3" s="180"/>
      <c r="K3" s="61">
        <f>[1]ΑΝΤΙΣΤΟΙΧΙΣΗ!$D$34</f>
        <v>2025</v>
      </c>
      <c r="L3" s="180" t="str">
        <f>[1]ΑΝΤΙΣΤΟΙΧΙΣΗ!$F$124</f>
        <v>ΜΑΙΟΣ ΠΡΟΗΓΟΥΜΕΝΟΥ ΕΤΟΥΣ</v>
      </c>
      <c r="M3" s="180"/>
      <c r="N3" s="180"/>
      <c r="O3" s="61">
        <f>[1]ΑΝΤΙΣΤΟΙΧΙΣΗ!$D$33</f>
        <v>2024</v>
      </c>
      <c r="P3" s="180"/>
      <c r="Q3" s="180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 ca="1">D7-D6</f>
        <v>10655.453333333353</v>
      </c>
      <c r="E5" s="4"/>
      <c r="F5" s="3">
        <f>F7-F6</f>
        <v>157058.44917404131</v>
      </c>
      <c r="G5" s="4"/>
      <c r="H5" s="3">
        <f ca="1">H159-H6</f>
        <v>0</v>
      </c>
      <c r="I5" s="4"/>
      <c r="J5" s="3">
        <f ca="1">J159-J6</f>
        <v>0</v>
      </c>
      <c r="K5" s="4"/>
      <c r="L5" s="3">
        <f ca="1">L7-L6</f>
        <v>6845.3150442478218</v>
      </c>
      <c r="M5" s="4"/>
      <c r="N5" s="3">
        <f ca="1">N7-N6</f>
        <v>-331025.03194690257</v>
      </c>
      <c r="O5" s="4"/>
      <c r="P5" s="3">
        <f ca="1">P159-P6</f>
        <v>-12138.557787610636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 ca="1">D43+D84+D116</f>
        <v>63361.676666666666</v>
      </c>
      <c r="E6" s="4"/>
      <c r="F6" s="3">
        <f>F78+F111+F157</f>
        <v>58781.116666666669</v>
      </c>
      <c r="G6" s="4"/>
      <c r="H6" s="3">
        <f ca="1">H38-H43-H84</f>
        <v>0</v>
      </c>
      <c r="I6" s="4"/>
      <c r="J6" s="66">
        <f ca="1">J38-J43-J84</f>
        <v>175527.74350020537</v>
      </c>
      <c r="K6" s="4"/>
      <c r="L6" s="3">
        <f ca="1">L43+L84+L116</f>
        <v>65550.13</v>
      </c>
      <c r="M6" s="4"/>
      <c r="N6" s="66">
        <f ca="1">N78+N111+N157</f>
        <v>534726.03999999992</v>
      </c>
      <c r="O6" s="4"/>
      <c r="P6" s="3">
        <f ca="1">P38-P43-P84</f>
        <v>12138.557787610636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SUM(D8:D31)</f>
        <v>74017.130000000019</v>
      </c>
      <c r="E7" s="8"/>
      <c r="F7" s="7">
        <f>SUM(F8:F31)</f>
        <v>215839.56584070798</v>
      </c>
      <c r="G7" s="8"/>
      <c r="H7" s="7">
        <f>SUM(H8:H31)</f>
        <v>0</v>
      </c>
      <c r="I7" s="8"/>
      <c r="J7" s="7">
        <f>SUM(J8:J31)</f>
        <v>175527.74350020537</v>
      </c>
      <c r="K7" s="8"/>
      <c r="L7" s="7">
        <f>SUM(L8:L31)</f>
        <v>72395.445044247826</v>
      </c>
      <c r="M7" s="8"/>
      <c r="N7" s="7">
        <f>L7+'[1]2025 Απρίλιος'!N7</f>
        <v>203701.00805309735</v>
      </c>
      <c r="O7" s="8"/>
      <c r="P7" s="7">
        <f>SUM(P8:P31)</f>
        <v>12138.557787610636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'[1]2025_ΕΣΟΔΑ'!G2</f>
        <v>64639.62</v>
      </c>
      <c r="E8" s="11">
        <f>D8/$D$7</f>
        <v>0.87330621978993217</v>
      </c>
      <c r="F8" s="12">
        <f>D8+'[1]2025 Απρίλιος'!F8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Απρίλιος'!J8</f>
        <v>140304.34040286022</v>
      </c>
      <c r="K8" s="11">
        <f>J8/$J$7</f>
        <v>0.79932857111386535</v>
      </c>
      <c r="L8" s="68">
        <f>'[1]2024_60-69 ΕΞΟΔΑ+ΟΜ 2'!G114</f>
        <v>64011.902654867299</v>
      </c>
      <c r="M8" s="11">
        <f>L8/$L$7</f>
        <v>0.88419793007341085</v>
      </c>
      <c r="N8" s="12">
        <f>L8+'[1]2025 Απρίλιος'!N8</f>
        <v>177287.5228318584</v>
      </c>
      <c r="O8" s="11">
        <f>N8/$N$7</f>
        <v>0.8703320839023343</v>
      </c>
      <c r="P8" s="12">
        <f t="shared" ref="P8:P37" si="0">F8-N8</f>
        <v>14023.808938053116</v>
      </c>
      <c r="Q8" s="11">
        <f t="shared" ref="Q8:Q37" si="1">N8/F8</f>
        <v>0.92669640209854676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'[1]2025_ΕΣΟΔΑ'!G3</f>
        <v>44.25</v>
      </c>
      <c r="E9" s="11">
        <f t="shared" ref="E9:E37" si="2">D9/$D$7</f>
        <v>5.978345823460054E-4</v>
      </c>
      <c r="F9" s="12">
        <f>D9+'[1]2025 Απρίλιος'!F9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Απρίλιος'!J9</f>
        <v>806</v>
      </c>
      <c r="K9" s="11">
        <f t="shared" ref="K9:K37" si="5">J9/$J$7</f>
        <v>4.5918666982638955E-3</v>
      </c>
      <c r="L9" s="68">
        <f>'[1]2024_60-69 ΕΞΟΔΑ+ΟΜ 2'!G115</f>
        <v>0</v>
      </c>
      <c r="M9" s="11">
        <f t="shared" ref="M9:M37" si="6">L9/$L$7</f>
        <v>0</v>
      </c>
      <c r="N9" s="12">
        <f>L9+'[1]2025 Απρίλιος'!N9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'[1]2025_ΕΣΟΔΑ'!G4</f>
        <v>0</v>
      </c>
      <c r="E10" s="11">
        <f t="shared" si="2"/>
        <v>0</v>
      </c>
      <c r="F10" s="12">
        <f>D10+'[1]2025 Απρίλιος'!F10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Απρίλιος'!J10</f>
        <v>0</v>
      </c>
      <c r="K10" s="11">
        <f t="shared" si="5"/>
        <v>0</v>
      </c>
      <c r="L10" s="68">
        <f>'[1]2024_60-69 ΕΞΟΔΑ+ΟΜ 2'!G116</f>
        <v>0</v>
      </c>
      <c r="M10" s="11">
        <f t="shared" si="6"/>
        <v>0</v>
      </c>
      <c r="N10" s="12">
        <f>L10+'[1]2025 Απρίλιος'!N10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'[1]2025_ΕΣΟΔΑ'!G5</f>
        <v>4452.21</v>
      </c>
      <c r="E11" s="11">
        <f t="shared" si="2"/>
        <v>6.0151075838795677E-2</v>
      </c>
      <c r="F11" s="12">
        <f>D11+'[1]2025 Απρίλιος'!F11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Απρίλιος'!J11</f>
        <v>18309.673097345134</v>
      </c>
      <c r="K11" s="11">
        <f t="shared" si="5"/>
        <v>0.10431213170198197</v>
      </c>
      <c r="L11" s="68">
        <f>'[1]2024_60-69 ΕΞΟΔΑ+ΟΜ 2'!G117</f>
        <v>5252.212389380531</v>
      </c>
      <c r="M11" s="11">
        <f t="shared" si="6"/>
        <v>7.2548934344838945E-2</v>
      </c>
      <c r="N11" s="12">
        <f>L11+'[1]2025 Απρίλιος'!N11</f>
        <v>13995.57522123894</v>
      </c>
      <c r="O11" s="11">
        <f t="shared" si="7"/>
        <v>6.8706460291992316E-2</v>
      </c>
      <c r="P11" s="12">
        <f t="shared" si="0"/>
        <v>-835.82115044248167</v>
      </c>
      <c r="Q11" s="11">
        <f t="shared" si="1"/>
        <v>1.0635134323898423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'[1]2025_ΕΣΟΔΑ'!G6</f>
        <v>587.21</v>
      </c>
      <c r="E12" s="11">
        <f t="shared" si="2"/>
        <v>7.9334337875570145E-3</v>
      </c>
      <c r="F12" s="12">
        <f>D12+'[1]2025 Απρίλιος'!F12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Απρίλιος'!J12</f>
        <v>1668.28</v>
      </c>
      <c r="K12" s="11">
        <f t="shared" si="5"/>
        <v>9.5043664706944073E-3</v>
      </c>
      <c r="L12" s="68">
        <f>'[1]2024_60-69 ΕΞΟΔΑ+ΟΜ 2'!G118</f>
        <v>296.2</v>
      </c>
      <c r="M12" s="11">
        <f t="shared" si="6"/>
        <v>4.0914176274344837E-3</v>
      </c>
      <c r="N12" s="12">
        <f>L12+'[1]2025 Απρίλιος'!N12</f>
        <v>1764.48</v>
      </c>
      <c r="O12" s="11">
        <f t="shared" si="7"/>
        <v>8.6621073546188105E-3</v>
      </c>
      <c r="P12" s="12">
        <f t="shared" si="0"/>
        <v>461.15000000000009</v>
      </c>
      <c r="Q12" s="11">
        <f t="shared" si="1"/>
        <v>0.79280024083068612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'[1]2025_ΕΣΟΔΑ'!G7</f>
        <v>1883.5</v>
      </c>
      <c r="E13" s="11">
        <f t="shared" si="2"/>
        <v>2.5446812109575168E-2</v>
      </c>
      <c r="F13" s="12">
        <f>D13+'[1]2025 Απρίλιος'!F13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Απρίλιος'!J13</f>
        <v>1721.95</v>
      </c>
      <c r="K13" s="11">
        <f t="shared" si="5"/>
        <v>9.8101301005899689E-3</v>
      </c>
      <c r="L13" s="68">
        <f>'[1]2024_60-69 ΕΞΟΔΑ+ΟΜ 2'!G119</f>
        <v>2404.79</v>
      </c>
      <c r="M13" s="11">
        <f t="shared" si="6"/>
        <v>3.3217421324369251E-2</v>
      </c>
      <c r="N13" s="12">
        <f>L13+'[1]2025 Απρίλιος'!N13</f>
        <v>4126.74</v>
      </c>
      <c r="O13" s="11">
        <f t="shared" si="7"/>
        <v>2.0258809906941209E-2</v>
      </c>
      <c r="P13" s="12">
        <f t="shared" si="0"/>
        <v>-800.02999999999975</v>
      </c>
      <c r="Q13" s="11">
        <f t="shared" si="1"/>
        <v>1.2404868473657156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'[1]2025_ΕΣΟΔΑ'!G8</f>
        <v>100</v>
      </c>
      <c r="E14" s="11">
        <f t="shared" si="2"/>
        <v>1.3510386041717638E-3</v>
      </c>
      <c r="F14" s="12">
        <f>D14+'[1]2025 Απρίλιος'!F14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Απρίλιος'!J14</f>
        <v>400</v>
      </c>
      <c r="K14" s="11">
        <f t="shared" si="5"/>
        <v>2.2788420338778637E-3</v>
      </c>
      <c r="L14" s="68">
        <f>'[1]2024_60-69 ΕΞΟΔΑ+ΟΜ 2'!G120</f>
        <v>100</v>
      </c>
      <c r="M14" s="11">
        <f t="shared" si="6"/>
        <v>1.3813023725302105E-3</v>
      </c>
      <c r="N14" s="12">
        <f>L14+'[1]2025 Απρίλιος'!N14</f>
        <v>500</v>
      </c>
      <c r="O14" s="11">
        <f t="shared" si="7"/>
        <v>2.4545779364511951E-3</v>
      </c>
      <c r="P14" s="12">
        <f t="shared" si="0"/>
        <v>0</v>
      </c>
      <c r="Q14" s="11">
        <f t="shared" si="1"/>
        <v>1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'[1]2025_ΕΣΟΔΑ'!G9</f>
        <v>564.57000000000005</v>
      </c>
      <c r="E15" s="11">
        <f t="shared" si="2"/>
        <v>7.6275586475725264E-3</v>
      </c>
      <c r="F15" s="12">
        <f>D15+'[1]2025 Απρίλιος'!F15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Απρίλιος'!J15</f>
        <v>596.75</v>
      </c>
      <c r="K15" s="11">
        <f t="shared" si="5"/>
        <v>3.3997474592915382E-3</v>
      </c>
      <c r="L15" s="68">
        <f>'[1]2024_60-69 ΕΞΟΔΑ+ΟΜ 2'!G121</f>
        <v>87.88</v>
      </c>
      <c r="M15" s="11">
        <f t="shared" si="6"/>
        <v>1.213888524979549E-3</v>
      </c>
      <c r="N15" s="12">
        <f>L15+'[1]2025 Απρίλιος'!N15</f>
        <v>207.23</v>
      </c>
      <c r="O15" s="11">
        <f t="shared" si="7"/>
        <v>1.0173243715415623E-3</v>
      </c>
      <c r="P15" s="12">
        <f t="shared" si="0"/>
        <v>967.86000000000013</v>
      </c>
      <c r="Q15" s="11">
        <f t="shared" si="1"/>
        <v>0.17635244959960511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'[1]2025_ΕΣΟΔΑ'!G10</f>
        <v>295.89999999999992</v>
      </c>
      <c r="E16" s="11">
        <f t="shared" si="2"/>
        <v>3.9977232297442478E-3</v>
      </c>
      <c r="F16" s="12">
        <f>D16+'[1]2025 Απρίλιος'!F16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Απρίλιος'!J16</f>
        <v>0</v>
      </c>
      <c r="K16" s="11">
        <f t="shared" si="5"/>
        <v>0</v>
      </c>
      <c r="L16" s="68">
        <f>'[1]2024_60-69 ΕΞΟΔΑ+ΟΜ 2'!G122</f>
        <v>0</v>
      </c>
      <c r="M16" s="11">
        <f t="shared" si="6"/>
        <v>0</v>
      </c>
      <c r="N16" s="12">
        <f>L16+'[1]2025 Απρίλιος'!N16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'[1]2025_ΕΣΟΔΑ'!G11</f>
        <v>0</v>
      </c>
      <c r="E17" s="11">
        <f t="shared" si="2"/>
        <v>0</v>
      </c>
      <c r="F17" s="12">
        <f>D17+'[1]2025 Απρίλιος'!F17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Απρίλιος'!J17</f>
        <v>0</v>
      </c>
      <c r="K17" s="11">
        <f t="shared" si="5"/>
        <v>0</v>
      </c>
      <c r="L17" s="68">
        <f>'[1]2024_60-69 ΕΞΟΔΑ+ΟΜ 2'!G123</f>
        <v>0</v>
      </c>
      <c r="M17" s="11">
        <f t="shared" si="6"/>
        <v>0</v>
      </c>
      <c r="N17" s="12">
        <f>L17+'[1]2025 Απρίλιος'!N17</f>
        <v>0</v>
      </c>
      <c r="O17" s="11">
        <f t="shared" si="7"/>
        <v>0</v>
      </c>
      <c r="P17" s="12">
        <f t="shared" si="0"/>
        <v>464.6</v>
      </c>
      <c r="Q17" s="11">
        <f t="shared" si="1"/>
        <v>0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'[1]2025_ΕΣΟΔΑ'!G12</f>
        <v>0</v>
      </c>
      <c r="E18" s="11">
        <f t="shared" si="2"/>
        <v>0</v>
      </c>
      <c r="F18" s="12">
        <f>D18+'[1]2025 Απρίλιος'!F18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Απρίλιος'!J18</f>
        <v>0</v>
      </c>
      <c r="K18" s="11">
        <f t="shared" si="5"/>
        <v>0</v>
      </c>
      <c r="L18" s="68">
        <f>'[1]2024_60-69 ΕΞΟΔΑ+ΟΜ 2'!G124</f>
        <v>0</v>
      </c>
      <c r="M18" s="11">
        <f t="shared" si="6"/>
        <v>0</v>
      </c>
      <c r="N18" s="12">
        <f>L18+'[1]2025 Απρίλιος'!N18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'[1]2025_ΕΣΟΔΑ'!G13</f>
        <v>0</v>
      </c>
      <c r="E19" s="11">
        <f t="shared" si="2"/>
        <v>0</v>
      </c>
      <c r="F19" s="12">
        <f>D19+'[1]2025 Απρίλιος'!F19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Απρίλιος'!J19</f>
        <v>0</v>
      </c>
      <c r="K19" s="11">
        <f t="shared" si="5"/>
        <v>0</v>
      </c>
      <c r="L19" s="68">
        <f>'[1]2024_60-69 ΕΞΟΔΑ+ΟΜ 2'!G125</f>
        <v>0</v>
      </c>
      <c r="M19" s="11">
        <f t="shared" si="6"/>
        <v>0</v>
      </c>
      <c r="N19" s="12">
        <f>L19+'[1]2025 Απρίλιος'!N19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'[1]2025_ΕΣΟΔΑ'!G14</f>
        <v>0</v>
      </c>
      <c r="E20" s="11">
        <f t="shared" si="2"/>
        <v>0</v>
      </c>
      <c r="F20" s="12">
        <f>D20+'[1]2025 Απρίλιος'!F20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Απρίλιος'!J20</f>
        <v>0</v>
      </c>
      <c r="K20" s="11">
        <f t="shared" si="5"/>
        <v>0</v>
      </c>
      <c r="L20" s="68">
        <f>'[1]2024_60-69 ΕΞΟΔΑ+ΟΜ 2'!G126</f>
        <v>0</v>
      </c>
      <c r="M20" s="11">
        <f t="shared" si="6"/>
        <v>0</v>
      </c>
      <c r="N20" s="12">
        <f>L20+'[1]2025 Απρίλιος'!N20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'[1]2025_ΕΣΟΔΑ'!G15</f>
        <v>1725.63</v>
      </c>
      <c r="E21" s="11">
        <f t="shared" si="2"/>
        <v>2.3313927465169207E-2</v>
      </c>
      <c r="F21" s="12">
        <f>D21+'[1]2025 Απρίλιος'!F21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Απρίλιος'!J21</f>
        <v>0</v>
      </c>
      <c r="K21" s="11">
        <f t="shared" si="5"/>
        <v>0</v>
      </c>
      <c r="L21" s="68">
        <f>'[1]2024_60-69 ΕΞΟΔΑ+ΟΜ 2'!G127</f>
        <v>150.44</v>
      </c>
      <c r="M21" s="11">
        <f t="shared" si="6"/>
        <v>2.0780312892344486E-3</v>
      </c>
      <c r="N21" s="12">
        <f>L21+'[1]2025 Απρίλιος'!N21</f>
        <v>150.44</v>
      </c>
      <c r="O21" s="11">
        <f t="shared" si="7"/>
        <v>7.385334095194356E-4</v>
      </c>
      <c r="P21" s="12">
        <f t="shared" si="0"/>
        <v>3079.62</v>
      </c>
      <c r="Q21" s="11">
        <f t="shared" si="1"/>
        <v>4.657498622316613E-2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'[1]2025_ΕΣΟΔΑ'!G16</f>
        <v>0</v>
      </c>
      <c r="E22" s="11">
        <f t="shared" si="2"/>
        <v>0</v>
      </c>
      <c r="F22" s="12">
        <f>D22+'[1]2025 Απρίλιος'!F22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Απρίλιος'!J22</f>
        <v>0</v>
      </c>
      <c r="K22" s="11">
        <f t="shared" si="5"/>
        <v>0</v>
      </c>
      <c r="L22" s="68">
        <f>'[1]2024_60-69 ΕΞΟΔΑ+ΟΜ 2'!G128</f>
        <v>0</v>
      </c>
      <c r="M22" s="11">
        <f t="shared" si="6"/>
        <v>0</v>
      </c>
      <c r="N22" s="12">
        <f>L22+'[1]2025 Απρίλιος'!N22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'[1]2025_ΕΣΟΔΑ'!G17</f>
        <v>0</v>
      </c>
      <c r="E23" s="11">
        <f t="shared" si="2"/>
        <v>0</v>
      </c>
      <c r="F23" s="12">
        <f>D23+'[1]2025 Απρίλιος'!F23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Απρίλιος'!J23</f>
        <v>524.05999999999995</v>
      </c>
      <c r="K23" s="11">
        <f t="shared" si="5"/>
        <v>2.9856248906850831E-3</v>
      </c>
      <c r="L23" s="68">
        <f>'[1]2024_60-69 ΕΞΟΔΑ+ΟΜ 2'!G129</f>
        <v>0</v>
      </c>
      <c r="M23" s="11">
        <f t="shared" si="6"/>
        <v>0</v>
      </c>
      <c r="N23" s="12">
        <f>L23+'[1]2025 Απρίλιος'!N23</f>
        <v>524.05999999999995</v>
      </c>
      <c r="O23" s="11">
        <f t="shared" si="7"/>
        <v>2.5726922267532266E-3</v>
      </c>
      <c r="P23" s="12">
        <f t="shared" si="0"/>
        <v>-28.479999999999961</v>
      </c>
      <c r="Q23" s="11">
        <f t="shared" si="1"/>
        <v>1.0574680172726905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'[1]2025_ΕΣΟΔΑ'!G18</f>
        <v>0</v>
      </c>
      <c r="E24" s="11">
        <f>D24/$D$7</f>
        <v>0</v>
      </c>
      <c r="F24" s="12">
        <f>D24+'[1]2025 Απρίλιος'!F24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Απρίλιος'!J24</f>
        <v>0</v>
      </c>
      <c r="K24" s="11">
        <f>J24/$J$7</f>
        <v>0</v>
      </c>
      <c r="L24" s="68">
        <f>'[1]2024_60-69 ΕΞΟΔΑ+ΟΜ 2'!G130</f>
        <v>401.1</v>
      </c>
      <c r="M24" s="11">
        <f>L24/$L$7</f>
        <v>5.5404038162186753E-3</v>
      </c>
      <c r="N24" s="12">
        <f>L24+'[1]2025 Απρίλιος'!N24</f>
        <v>401.1</v>
      </c>
      <c r="O24" s="11">
        <f>N24/$N$7</f>
        <v>1.9690624206211487E-3</v>
      </c>
      <c r="P24" s="12">
        <f>F24-N24</f>
        <v>-401.1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'[1]2025_ΕΣΟΔΑ'!G19</f>
        <v>0</v>
      </c>
      <c r="E25" s="11">
        <f t="shared" si="2"/>
        <v>0</v>
      </c>
      <c r="F25" s="12">
        <f>D25+'[1]2025 Απρίλιος'!F25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Απρίλιος'!J25</f>
        <v>460.79999999999995</v>
      </c>
      <c r="K25" s="11">
        <f t="shared" si="5"/>
        <v>2.6252260230272989E-3</v>
      </c>
      <c r="L25" s="68">
        <f>'[1]2024_60-69 ΕΞΟΔΑ+ΟΜ 2'!G131</f>
        <v>0</v>
      </c>
      <c r="M25" s="11">
        <f t="shared" si="6"/>
        <v>0</v>
      </c>
      <c r="N25" s="12">
        <f>L25+'[1]2025 Απρίλιος'!N25</f>
        <v>230.39999999999998</v>
      </c>
      <c r="O25" s="11">
        <f t="shared" si="7"/>
        <v>1.1310695131167108E-3</v>
      </c>
      <c r="P25" s="12">
        <f t="shared" si="0"/>
        <v>-230.39999999999998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'[1]2025_ΕΣΟΔΑ'!G20</f>
        <v>0</v>
      </c>
      <c r="E26" s="11">
        <f t="shared" si="2"/>
        <v>0</v>
      </c>
      <c r="F26" s="12">
        <f>D26+'[1]2025 Απρίλιος'!F26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Απρίλιος'!J26</f>
        <v>0</v>
      </c>
      <c r="K26" s="11">
        <f t="shared" si="5"/>
        <v>0</v>
      </c>
      <c r="L26" s="68">
        <f>'[1]2024_60-69 ΕΞΟΔΑ+ΟΜ 2'!G132</f>
        <v>0</v>
      </c>
      <c r="M26" s="11">
        <f t="shared" si="6"/>
        <v>0</v>
      </c>
      <c r="N26" s="12">
        <f>L26+'[1]2025 Απρίλιος'!N26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'[1]2025_ΕΣΟΔΑ'!G21</f>
        <v>0</v>
      </c>
      <c r="E27" s="11">
        <f t="shared" si="2"/>
        <v>0</v>
      </c>
      <c r="F27" s="12">
        <f>D27+'[1]2025 Απρίλιος'!F27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Απρίλιος'!J27</f>
        <v>0</v>
      </c>
      <c r="K27" s="11">
        <f t="shared" si="5"/>
        <v>0</v>
      </c>
      <c r="L27" s="68">
        <f>'[1]2024_60-69 ΕΞΟΔΑ+ΟΜ 2'!G133</f>
        <v>0</v>
      </c>
      <c r="M27" s="11">
        <f t="shared" si="6"/>
        <v>0</v>
      </c>
      <c r="N27" s="12">
        <f>L27+'[1]2025 Απρίλιος'!N27</f>
        <v>0</v>
      </c>
      <c r="O27" s="11">
        <f t="shared" si="7"/>
        <v>0</v>
      </c>
      <c r="P27" s="12">
        <f t="shared" si="0"/>
        <v>0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'[1]2025_ΕΣΟΔΑ'!G22</f>
        <v>142.82</v>
      </c>
      <c r="E28" s="11">
        <f t="shared" si="2"/>
        <v>1.9295533344781128E-3</v>
      </c>
      <c r="F28" s="12">
        <f>D28+'[1]2025 Απρίλιος'!F28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Απρίλιος'!J28</f>
        <v>0</v>
      </c>
      <c r="K28" s="11">
        <f t="shared" si="5"/>
        <v>0</v>
      </c>
      <c r="L28" s="68">
        <f>'[1]2024_60-69 ΕΞΟΔΑ+ΟΜ 2'!G134</f>
        <v>0</v>
      </c>
      <c r="M28" s="11">
        <f t="shared" si="6"/>
        <v>0</v>
      </c>
      <c r="N28" s="12">
        <f>L28+'[1]2025 Απρίλιος'!N28</f>
        <v>0</v>
      </c>
      <c r="O28" s="11">
        <f t="shared" si="7"/>
        <v>0</v>
      </c>
      <c r="P28" s="12">
        <f t="shared" si="0"/>
        <v>250.7</v>
      </c>
      <c r="Q28" s="11">
        <f t="shared" si="1"/>
        <v>0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'[1]2025_ΕΣΟΔΑ'!G23</f>
        <v>0</v>
      </c>
      <c r="E29" s="11">
        <f t="shared" si="2"/>
        <v>0</v>
      </c>
      <c r="F29" s="12">
        <f>D29+'[1]2025 Απρίλιος'!F29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Απρίλιος'!J29</f>
        <v>0</v>
      </c>
      <c r="K29" s="11">
        <f t="shared" si="5"/>
        <v>0</v>
      </c>
      <c r="L29" s="68">
        <f>'[1]2024_60-69 ΕΞΟΔΑ+ΟΜ 2'!G135</f>
        <v>34.61</v>
      </c>
      <c r="M29" s="11">
        <f t="shared" si="6"/>
        <v>4.780687511327059E-4</v>
      </c>
      <c r="N29" s="12">
        <f>L29+'[1]2025 Απρίλιος'!N29</f>
        <v>34.61</v>
      </c>
      <c r="O29" s="11">
        <f t="shared" si="7"/>
        <v>1.6990588476115172E-4</v>
      </c>
      <c r="P29" s="12">
        <f t="shared" si="0"/>
        <v>-34.61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'[1]2025_ΕΣΟΔΑ'!G24</f>
        <v>95.75</v>
      </c>
      <c r="E30" s="11">
        <f t="shared" si="2"/>
        <v>1.2936194634944637E-3</v>
      </c>
      <c r="F30" s="12">
        <f>D30+'[1]2025 Απρίλιος'!F30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Απρίλιος'!J30</f>
        <v>11345.099999999999</v>
      </c>
      <c r="K30" s="11">
        <f t="shared" si="5"/>
        <v>6.4634226896369371E-2</v>
      </c>
      <c r="L30" s="68">
        <f>'[1]2024_60-69 ΕΞΟΔΑ+ΟΜ 2'!G136</f>
        <v>-343.69</v>
      </c>
      <c r="M30" s="11">
        <f t="shared" si="6"/>
        <v>-4.7473981241490807E-3</v>
      </c>
      <c r="N30" s="12">
        <f>L30+'[1]2025 Απρίλιος'!N30</f>
        <v>5088.0800000000008</v>
      </c>
      <c r="O30" s="11">
        <f t="shared" si="7"/>
        <v>2.49781778137972E-2</v>
      </c>
      <c r="P30" s="12">
        <f t="shared" si="0"/>
        <v>-4823.6500000000005</v>
      </c>
      <c r="Q30" s="11">
        <f t="shared" si="1"/>
        <v>19.241689672124952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'[1]2025_ΕΣΟΔΑ'!G25</f>
        <v>-514.33000000000004</v>
      </c>
      <c r="E31" s="11">
        <f t="shared" si="2"/>
        <v>-6.9487968528366331E-3</v>
      </c>
      <c r="F31" s="12">
        <f>D31+'[1]2025 Απρίλιος'!F31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Απρίλιος'!J31</f>
        <v>-609.21</v>
      </c>
      <c r="K31" s="11">
        <f t="shared" si="5"/>
        <v>-3.4707333886468336E-3</v>
      </c>
      <c r="L31" s="68">
        <f>'[1]2024_60-69 ΕΞΟΔΑ+ΟΜ 2'!G137</f>
        <v>0</v>
      </c>
      <c r="M31" s="11">
        <f t="shared" si="6"/>
        <v>0</v>
      </c>
      <c r="N31" s="12">
        <f>L31+'[1]2025 Απρίλιος'!N31</f>
        <v>-609.23</v>
      </c>
      <c r="O31" s="11">
        <f t="shared" si="7"/>
        <v>-2.9908050324483236E-3</v>
      </c>
      <c r="P31" s="12">
        <f t="shared" si="0"/>
        <v>-672.63000000000011</v>
      </c>
      <c r="Q31" s="11">
        <f t="shared" si="1"/>
        <v>0.47527031033030126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'[1]2025_ΕΣΟΔΑ'!G26</f>
        <v>0</v>
      </c>
      <c r="E32" s="11">
        <f t="shared" si="2"/>
        <v>0</v>
      </c>
      <c r="F32" s="12">
        <f>D32+'[1]2025 Απρίλιος'!F32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Απρίλιος'!J32</f>
        <v>0</v>
      </c>
      <c r="K32" s="11">
        <f t="shared" si="5"/>
        <v>0</v>
      </c>
      <c r="L32" s="68">
        <f>'[1]2024_60-69 ΕΞΟΔΑ+ΟΜ 2'!G138</f>
        <v>0</v>
      </c>
      <c r="M32" s="11">
        <f t="shared" si="6"/>
        <v>0</v>
      </c>
      <c r="N32" s="12">
        <f>L32+'[1]2025 Απρίλιος'!N32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'[1]2025_ΕΣΟΔΑ'!G27</f>
        <v>0</v>
      </c>
      <c r="E33" s="11">
        <f t="shared" si="2"/>
        <v>0</v>
      </c>
      <c r="F33" s="12">
        <f>D33+'[1]2025 Απρίλιος'!F33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Απρίλιος'!J33</f>
        <v>0</v>
      </c>
      <c r="K33" s="11">
        <f t="shared" si="5"/>
        <v>0</v>
      </c>
      <c r="L33" s="68">
        <f>'[1]2024_60-69 ΕΞΟΔΑ+ΟΜ 2'!G139</f>
        <v>0</v>
      </c>
      <c r="M33" s="11">
        <f t="shared" si="6"/>
        <v>0</v>
      </c>
      <c r="N33" s="12">
        <f>L33+'[1]2025 Απρίλιος'!N33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'[1]2025_ΕΣΟΔΑ'!G28</f>
        <v>0</v>
      </c>
      <c r="E34" s="11">
        <f t="shared" si="2"/>
        <v>0</v>
      </c>
      <c r="F34" s="12">
        <f>D34+'[1]2025 Απρίλιος'!F34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Απρίλιος'!J34</f>
        <v>0</v>
      </c>
      <c r="K34" s="11">
        <f t="shared" si="5"/>
        <v>0</v>
      </c>
      <c r="L34" s="68">
        <f>'[1]2024_60-69 ΕΞΟΔΑ+ΟΜ 2'!G140</f>
        <v>0</v>
      </c>
      <c r="M34" s="11">
        <f t="shared" si="6"/>
        <v>0</v>
      </c>
      <c r="N34" s="12">
        <f>L34+'[1]2025 Απρίλιος'!N34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'[1]2025_ΕΣΟΔΑ'!G29</f>
        <v>0</v>
      </c>
      <c r="E35" s="11">
        <f t="shared" si="2"/>
        <v>0</v>
      </c>
      <c r="F35" s="12">
        <f>D35+'[1]2025 Απρίλιος'!F35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Απρίλιος'!J35</f>
        <v>0</v>
      </c>
      <c r="K35" s="11">
        <f t="shared" si="5"/>
        <v>0</v>
      </c>
      <c r="L35" s="68">
        <f>'[1]2024_60-69 ΕΞΟΔΑ+ΟΜ 2'!G141</f>
        <v>0</v>
      </c>
      <c r="M35" s="11">
        <f t="shared" si="6"/>
        <v>0</v>
      </c>
      <c r="N35" s="12">
        <f>L35+'[1]2025 Απρίλιος'!N35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'[1]2025_ΕΣΟΔΑ'!G30</f>
        <v>0</v>
      </c>
      <c r="E36" s="11">
        <f t="shared" si="2"/>
        <v>0</v>
      </c>
      <c r="F36" s="12">
        <f>D36+'[1]2025 Απρίλιος'!F36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Απρίλιος'!J36</f>
        <v>0</v>
      </c>
      <c r="K36" s="11">
        <f t="shared" si="5"/>
        <v>0</v>
      </c>
      <c r="L36" s="68">
        <f>'[1]2024_60-69 ΕΞΟΔΑ+ΟΜ 2'!G142</f>
        <v>0</v>
      </c>
      <c r="M36" s="11">
        <f t="shared" si="6"/>
        <v>0</v>
      </c>
      <c r="N36" s="12">
        <f>L36+'[1]2025 Απρίλιος'!N36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'[1]2025_ΕΣΟΔΑ'!G31</f>
        <v>0</v>
      </c>
      <c r="E37" s="11">
        <f t="shared" si="2"/>
        <v>0</v>
      </c>
      <c r="F37" s="12">
        <f>D37+'[1]2025 Απρίλιος'!F37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Απρίλιος'!J37</f>
        <v>0</v>
      </c>
      <c r="K37" s="11">
        <f t="shared" si="5"/>
        <v>0</v>
      </c>
      <c r="L37" s="68">
        <f>'[1]2024_60-69 ΕΞΟΔΑ+ΟΜ 2'!G143</f>
        <v>0</v>
      </c>
      <c r="M37" s="11">
        <f t="shared" si="6"/>
        <v>0</v>
      </c>
      <c r="N37" s="12">
        <f>L37+'[1]2025 Απρίλιος'!N37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'[1]2025_ΕΣΟΔΑ'!G32</f>
        <v>0</v>
      </c>
      <c r="E38" s="8"/>
      <c r="F38" s="7" t="str">
        <f>'[1]2025_ΕΣΟΔΑ'!G34</f>
        <v>Μάιος</v>
      </c>
      <c r="G38" s="8"/>
      <c r="H38" s="7">
        <f>SUM(H8:H31)</f>
        <v>0</v>
      </c>
      <c r="I38" s="8"/>
      <c r="J38" s="7">
        <f>SUM(J8:J31)</f>
        <v>175527.74350020537</v>
      </c>
      <c r="K38" s="8"/>
      <c r="L38" s="7">
        <f>SUM(L8:L31)</f>
        <v>72395.445044247826</v>
      </c>
      <c r="M38" s="8"/>
      <c r="N38" s="7">
        <f>SUM(N8:N31)</f>
        <v>203701.00805309732</v>
      </c>
      <c r="O38" s="8"/>
      <c r="P38" s="7">
        <f>SUM(P8:P31)</f>
        <v>12138.557787610636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74017.130000000019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0" t="str">
        <f>[1]ΑΝΤΙΣΤΟΙΧΙΣΗ!$F$110</f>
        <v xml:space="preserve">ΜΑΙΟΣ ΤΡΕΧΟΝ ΕΤΟΣ </v>
      </c>
      <c r="E41" s="180"/>
      <c r="F41" s="180"/>
      <c r="G41" s="61">
        <f>[1]ΑΝΤΙΣΤΟΙΧΙΣΗ!$D$34</f>
        <v>2025</v>
      </c>
      <c r="H41" s="180" t="str">
        <f>[1]ΑΝΤΙΣΤΟΙΧΙΣΗ!$F$110</f>
        <v xml:space="preserve">ΜΑΙΟΣ ΤΡΕΧΟΝ ΕΤΟΣ </v>
      </c>
      <c r="I41" s="180"/>
      <c r="J41" s="180"/>
      <c r="K41" s="61">
        <f>[1]ΑΝΤΙΣΤΟΙΧΙΣΗ!$D$34</f>
        <v>2025</v>
      </c>
      <c r="L41" s="180" t="str">
        <f>[1]ΑΝΤΙΣΤΟΙΧΙΣΗ!$F$124</f>
        <v>ΜΑΙΟΣ ΠΡΟΗΓΟΥΜΕΝΟΥ ΕΤΟΥΣ</v>
      </c>
      <c r="M41" s="180"/>
      <c r="N41" s="180"/>
      <c r="O41" s="61">
        <f>[1]ΑΝΤΙΣΤΟΙΧΙΣΗ!$D$33</f>
        <v>2024</v>
      </c>
      <c r="P41" s="180"/>
      <c r="Q41" s="180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SUM(D44:D77)</f>
        <v>54752.336666666662</v>
      </c>
      <c r="E43" s="8"/>
      <c r="F43" s="7">
        <f>SUM(F44:F77)</f>
        <v>453679.03000000009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54386.660000000011</v>
      </c>
      <c r="M43" s="8"/>
      <c r="N43" s="7">
        <f>SUM(N44:N77)</f>
        <v>441545.41</v>
      </c>
      <c r="O43" s="8"/>
      <c r="P43" s="7">
        <f>SUM(P44:P77)</f>
        <v>0</v>
      </c>
      <c r="Q43" s="8"/>
    </row>
    <row r="44" spans="1:17" ht="36.7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2'!H4</f>
        <v>3675.16</v>
      </c>
      <c r="E44" s="15">
        <f>D44/$D$43</f>
        <v>6.7123345298931228E-2</v>
      </c>
      <c r="F44" s="10">
        <f>D44+'[1]2025 Απρίλιος'!F44</f>
        <v>176817.35666666672</v>
      </c>
      <c r="G44" s="15">
        <f>F44/$F$43</f>
        <v>0.38974108339692642</v>
      </c>
      <c r="H44" s="14"/>
      <c r="I44" s="16" t="e">
        <f>H44/$H$43</f>
        <v>#DIV/0!</v>
      </c>
      <c r="J44" s="10"/>
      <c r="K44" s="17" t="e">
        <f>J44/$J445</f>
        <v>#DIV/0!</v>
      </c>
      <c r="L44" s="14">
        <f>'[1]2024_60-69 ΕΞΟΔΑ+ΟΜ 2'!H4</f>
        <v>5098.67</v>
      </c>
      <c r="M44" s="15">
        <f>L44/$L$43</f>
        <v>9.3748540542846329E-2</v>
      </c>
      <c r="N44" s="10">
        <f>L44+'[1]2025 Απρίλιος'!N44</f>
        <v>182661.55000000002</v>
      </c>
      <c r="O44" s="15">
        <f>N44/$N$43</f>
        <v>0.41368689576005335</v>
      </c>
      <c r="P44" s="10"/>
      <c r="Q44" s="15" t="e">
        <f t="shared" ref="Q44" ca="1" si="8">SUM(Q45:Q80)</f>
        <v>#DIV/0!</v>
      </c>
    </row>
    <row r="45" spans="1:17" ht="36.7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2'!H5</f>
        <v>5221.4599999999991</v>
      </c>
      <c r="E45" s="15">
        <f t="shared" ref="E45:E77" si="9">D45/$D$43</f>
        <v>9.536506234954599E-2</v>
      </c>
      <c r="F45" s="10">
        <f>D45+'[1]2025 Απρίλιος'!F45</f>
        <v>18636.559999999998</v>
      </c>
      <c r="G45" s="15">
        <f t="shared" ref="G45:G77" si="10">F45/$F$43</f>
        <v>4.107873357073611E-2</v>
      </c>
      <c r="H45" s="14"/>
      <c r="I45" s="16" t="e">
        <f t="shared" ref="I45:I77" si="11">H45/$H$43</f>
        <v>#DIV/0!</v>
      </c>
      <c r="J45" s="10"/>
      <c r="K45" s="17" t="e">
        <f>J45/$J446</f>
        <v>#DIV/0!</v>
      </c>
      <c r="L45" s="14">
        <f>'[1]2024_60-69 ΕΞΟΔΑ+ΟΜ 2'!H5</f>
        <v>3696.09</v>
      </c>
      <c r="M45" s="15">
        <f t="shared" ref="M45:M77" si="12">L45/$L$43</f>
        <v>6.7959495949925952E-2</v>
      </c>
      <c r="N45" s="10">
        <f>L45+'[1]2025 Απρίλιος'!N45</f>
        <v>18475.169999999998</v>
      </c>
      <c r="O45" s="15">
        <f t="shared" ref="O45:O77" si="13">N45/$N$43</f>
        <v>4.1842061046450461E-2</v>
      </c>
      <c r="P45" s="10"/>
      <c r="Q45" s="15">
        <f>N45/F45</f>
        <v>0.9913401400258417</v>
      </c>
    </row>
    <row r="46" spans="1:17" ht="36.7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2'!H6</f>
        <v>4379.5599999999986</v>
      </c>
      <c r="E46" s="15">
        <f t="shared" si="9"/>
        <v>7.9988549651549098E-2</v>
      </c>
      <c r="F46" s="10">
        <f>D46+'[1]2025 Απρίλιος'!F46</f>
        <v>24038.1</v>
      </c>
      <c r="G46" s="15">
        <f t="shared" si="10"/>
        <v>5.2984816159565483E-2</v>
      </c>
      <c r="H46" s="14"/>
      <c r="I46" s="16" t="e">
        <f t="shared" si="11"/>
        <v>#DIV/0!</v>
      </c>
      <c r="J46" s="10"/>
      <c r="K46" s="17" t="e">
        <f>J46/$J447</f>
        <v>#DIV/0!</v>
      </c>
      <c r="L46" s="14">
        <f>'[1]2024_60-69 ΕΞΟΔΑ+ΟΜ 2'!H6</f>
        <v>2821.13</v>
      </c>
      <c r="M46" s="15">
        <f t="shared" si="12"/>
        <v>5.1871727368439237E-2</v>
      </c>
      <c r="N46" s="10">
        <f>L46+'[1]2025 Απρίλιος'!N46</f>
        <v>28292.77</v>
      </c>
      <c r="O46" s="15">
        <f t="shared" si="13"/>
        <v>6.4076693719905278E-2</v>
      </c>
      <c r="P46" s="10"/>
      <c r="Q46" s="15">
        <f t="shared" ref="Q46:Q77" si="14">N46/F46</f>
        <v>1.1769969340338879</v>
      </c>
    </row>
    <row r="47" spans="1:17" ht="23.25" customHeight="1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2'!H37</f>
        <v>1632.17</v>
      </c>
      <c r="E47" s="15">
        <f ca="1">D47/$D$84</f>
        <v>0.20998427855012722</v>
      </c>
      <c r="F47" s="79">
        <f>D47+'[1]2025 Απρίλιος'!F81</f>
        <v>40156.689999999995</v>
      </c>
      <c r="G47" s="15" t="e">
        <f>F47/$F$84</f>
        <v>#VALUE!</v>
      </c>
      <c r="H47" s="14"/>
      <c r="I47" s="26" t="e">
        <f ca="1">H47/$H$84</f>
        <v>#DIV/0!</v>
      </c>
      <c r="J47" s="27"/>
      <c r="K47" s="27" t="e">
        <f ca="1">J47/$J$84</f>
        <v>#DIV/0!</v>
      </c>
      <c r="L47" s="79">
        <f>'[1]2024_60-69 ΕΞΟΔΑ+ΟΜ 2'!H35</f>
        <v>1573.33</v>
      </c>
      <c r="M47" s="15">
        <f ca="1">L47/$L$84</f>
        <v>0.20699422695386299</v>
      </c>
      <c r="N47" s="10">
        <f>L47+'[1]2025 Απρίλιος'!N81</f>
        <v>25195.020000000004</v>
      </c>
      <c r="O47" s="15">
        <f ca="1">N47/$N$84</f>
        <v>0.45939243916678918</v>
      </c>
      <c r="P47" s="27"/>
      <c r="Q47" s="28"/>
    </row>
    <row r="48" spans="1:17" ht="23.25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2'!H38</f>
        <v>2304.38</v>
      </c>
      <c r="E48" s="15">
        <f ca="1">D48/$D$84</f>
        <v>0.29646640472827102</v>
      </c>
      <c r="F48" s="79">
        <f>D48+'[1]2025 Απρίλιος'!F82</f>
        <v>10123.25</v>
      </c>
      <c r="G48" s="15" t="e">
        <f>F48/$F$84</f>
        <v>#VALUE!</v>
      </c>
      <c r="H48" s="14"/>
      <c r="I48" s="26" t="e">
        <f ca="1">H48/$H$84</f>
        <v>#DIV/0!</v>
      </c>
      <c r="J48" s="27"/>
      <c r="K48" s="27" t="e">
        <f ca="1">J48/$J$84</f>
        <v>#DIV/0!</v>
      </c>
      <c r="L48" s="79">
        <f>'[1]2024_60-69 ΕΞΟΔΑ+ΟΜ 2'!H36</f>
        <v>1490.71</v>
      </c>
      <c r="M48" s="15">
        <f ca="1">L48/$L$84</f>
        <v>0.19612437572689334</v>
      </c>
      <c r="N48" s="10">
        <f>L48+'[1]2025 Απρίλιος'!N82</f>
        <v>8614.86</v>
      </c>
      <c r="O48" s="15">
        <f ca="1">N48/$N$84</f>
        <v>0.15707872224274499</v>
      </c>
      <c r="P48" s="27"/>
      <c r="Q48" s="28" t="e">
        <f ca="1">SUM(D48:P48)</f>
        <v>#DIV/0!</v>
      </c>
    </row>
    <row r="49" spans="1:17" ht="36.75" customHeight="1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2'!H7</f>
        <v>797.23</v>
      </c>
      <c r="E49" s="15">
        <f t="shared" si="9"/>
        <v>1.4560657106810846E-2</v>
      </c>
      <c r="F49" s="10">
        <f>D49+'[1]2025 Απρίλιος'!F47</f>
        <v>10618.47</v>
      </c>
      <c r="G49" s="15">
        <f t="shared" si="10"/>
        <v>2.3405247538110803E-2</v>
      </c>
      <c r="H49" s="14"/>
      <c r="I49" s="16" t="e">
        <f t="shared" si="11"/>
        <v>#DIV/0!</v>
      </c>
      <c r="J49" s="10"/>
      <c r="K49" s="17" t="e">
        <f>J49/$J448</f>
        <v>#DIV/0!</v>
      </c>
      <c r="L49" s="14">
        <f>'[1]2024_60-69 ΕΞΟΔΑ+ΟΜ 2'!H7</f>
        <v>1221.99</v>
      </c>
      <c r="M49" s="15">
        <f t="shared" si="12"/>
        <v>2.2468561224388475E-2</v>
      </c>
      <c r="N49" s="10">
        <f>L49+'[1]2025 Απρίλιος'!N47</f>
        <v>13086.71</v>
      </c>
      <c r="O49" s="15">
        <f t="shared" si="13"/>
        <v>2.9638423825988816E-2</v>
      </c>
      <c r="P49" s="10"/>
      <c r="Q49" s="15">
        <f t="shared" si="14"/>
        <v>1.2324478008601993</v>
      </c>
    </row>
    <row r="50" spans="1:17" ht="36.75" customHeight="1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2'!H8</f>
        <v>999.18999999999994</v>
      </c>
      <c r="E50" s="15">
        <f t="shared" si="9"/>
        <v>1.8249266804503502E-2</v>
      </c>
      <c r="F50" s="10">
        <f>D50+'[1]2025 Απρίλιος'!F48</f>
        <v>3874.9100000000003</v>
      </c>
      <c r="G50" s="15">
        <f t="shared" si="10"/>
        <v>8.5410824476502677E-3</v>
      </c>
      <c r="H50" s="14"/>
      <c r="I50" s="16" t="e">
        <f t="shared" si="11"/>
        <v>#DIV/0!</v>
      </c>
      <c r="J50" s="10"/>
      <c r="K50" s="17" t="e">
        <f>J50/$J449</f>
        <v>#DIV/0!</v>
      </c>
      <c r="L50" s="14">
        <f>'[1]2024_60-69 ΕΞΟΔΑ+ΟΜ 2'!H8</f>
        <v>823.86000000000013</v>
      </c>
      <c r="M50" s="15">
        <f t="shared" si="12"/>
        <v>1.5148199944618771E-2</v>
      </c>
      <c r="N50" s="10">
        <f>L50+'[1]2025 Απρίλιος'!N48</f>
        <v>4411.1499999999996</v>
      </c>
      <c r="O50" s="15">
        <f t="shared" si="13"/>
        <v>9.9902521917281401E-3</v>
      </c>
      <c r="P50" s="10"/>
      <c r="Q50" s="15">
        <f t="shared" si="14"/>
        <v>1.1383877302956713</v>
      </c>
    </row>
    <row r="51" spans="1:17" ht="28.5" customHeight="1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2'!H9</f>
        <v>611.53</v>
      </c>
      <c r="E51" s="15">
        <f t="shared" si="9"/>
        <v>1.1169021035997186E-2</v>
      </c>
      <c r="F51" s="10">
        <f>D51+'[1]2025 Απρίλιος'!F49</f>
        <v>4120.8599999999997</v>
      </c>
      <c r="G51" s="15">
        <f t="shared" si="10"/>
        <v>9.0832058074185162E-3</v>
      </c>
      <c r="H51" s="14"/>
      <c r="I51" s="16" t="e">
        <f t="shared" si="11"/>
        <v>#DIV/0!</v>
      </c>
      <c r="J51" s="10"/>
      <c r="K51" s="17" t="e">
        <f>J51/$J450</f>
        <v>#DIV/0!</v>
      </c>
      <c r="L51" s="14">
        <f>'[1]2024_60-69 ΕΞΟΔΑ+ΟΜ 2'!H9</f>
        <v>745.91</v>
      </c>
      <c r="M51" s="15">
        <f t="shared" si="12"/>
        <v>1.3714944069005154E-2</v>
      </c>
      <c r="N51" s="10">
        <f>L51+'[1]2025 Απρίλιος'!N49</f>
        <v>5544.32</v>
      </c>
      <c r="O51" s="15">
        <f t="shared" si="13"/>
        <v>1.2556624696879988E-2</v>
      </c>
      <c r="P51" s="10"/>
      <c r="Q51" s="15">
        <f t="shared" si="14"/>
        <v>1.3454278961187713</v>
      </c>
    </row>
    <row r="52" spans="1:17" ht="23.25" customHeight="1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2'!H41</f>
        <v>334.43</v>
      </c>
      <c r="E52" s="15">
        <f ca="1">D52/$D$84</f>
        <v>4.3025568583860162E-2</v>
      </c>
      <c r="F52" s="79">
        <f>D52+'[1]2025 Απρίλιος'!F85</f>
        <v>5548.32</v>
      </c>
      <c r="G52" s="15" t="e">
        <f>F52/$F$84</f>
        <v>#VALUE!</v>
      </c>
      <c r="H52" s="14"/>
      <c r="I52" s="26" t="e">
        <f ca="1">H52/$H$84</f>
        <v>#DIV/0!</v>
      </c>
      <c r="J52" s="27"/>
      <c r="K52" s="27" t="e">
        <f ca="1">J52/$J$84</f>
        <v>#DIV/0!</v>
      </c>
      <c r="L52" s="79">
        <f>'[1]2024_60-69 ΕΞΟΔΑ+ΟΜ 2'!H39</f>
        <v>350.7</v>
      </c>
      <c r="M52" s="15">
        <f ca="1">L52/$L$84</f>
        <v>4.6139637197993903E-2</v>
      </c>
      <c r="N52" s="10">
        <f>L52+'[1]2025 Απρίλιος'!N85</f>
        <v>350.7</v>
      </c>
      <c r="O52" s="15">
        <f ca="1">N52/$N$84</f>
        <v>6.3944751151534286E-3</v>
      </c>
      <c r="P52" s="27"/>
      <c r="Q52" s="28" t="e">
        <f ca="1">SUM(D52:P52)</f>
        <v>#DIV/0!</v>
      </c>
    </row>
    <row r="53" spans="1:17" ht="23.25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2'!H42</f>
        <v>481.17</v>
      </c>
      <c r="E53" s="15">
        <f ca="1">D53/$D$84</f>
        <v>6.1904173774768992E-2</v>
      </c>
      <c r="F53" s="79">
        <f>D53+'[1]2025 Απρίλιος'!F86</f>
        <v>2059.9699999999998</v>
      </c>
      <c r="G53" s="15" t="e">
        <f>F53/$F$84</f>
        <v>#VALUE!</v>
      </c>
      <c r="H53" s="14"/>
      <c r="I53" s="26" t="e">
        <f ca="1">H53/$H$84</f>
        <v>#DIV/0!</v>
      </c>
      <c r="J53" s="27"/>
      <c r="K53" s="27" t="e">
        <f ca="1">J53/$J$84</f>
        <v>#DIV/0!</v>
      </c>
      <c r="L53" s="79">
        <f>'[1]2024_60-69 ΕΞΟΔΑ+ΟΜ 2'!H40</f>
        <v>332.28</v>
      </c>
      <c r="M53" s="15">
        <f ca="1">L53/$L$84</f>
        <v>4.3716220838749396E-2</v>
      </c>
      <c r="N53" s="10">
        <f>L53+'[1]2025 Απρίλιος'!N86</f>
        <v>1619.43</v>
      </c>
      <c r="O53" s="15">
        <f ca="1">N53/$N$84</f>
        <v>2.9527815328579749E-2</v>
      </c>
      <c r="P53" s="27"/>
      <c r="Q53" s="28" t="e">
        <f ca="1">SUM(D53:P53)</f>
        <v>#DIV/0!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2'!H10</f>
        <v>9916.1200000000008</v>
      </c>
      <c r="E54" s="15">
        <f t="shared" si="9"/>
        <v>0.18110861752566909</v>
      </c>
      <c r="F54" s="10">
        <f>D54+'[1]2025 Απρίλιος'!F50</f>
        <v>12337.470000000001</v>
      </c>
      <c r="G54" s="15">
        <f t="shared" si="10"/>
        <v>2.7194269922504462E-2</v>
      </c>
      <c r="H54" s="14"/>
      <c r="I54" s="16" t="e">
        <f t="shared" si="11"/>
        <v>#DIV/0!</v>
      </c>
      <c r="J54" s="10"/>
      <c r="K54" s="17" t="e">
        <f>J54/$J451</f>
        <v>#DIV/0!</v>
      </c>
      <c r="L54" s="14">
        <f>'[1]2024_60-69 ΕΞΟΔΑ+ΟΜ 2'!H10</f>
        <v>9312.57</v>
      </c>
      <c r="M54" s="15">
        <f t="shared" si="12"/>
        <v>0.17122893739016146</v>
      </c>
      <c r="N54" s="10">
        <f>L54+'[1]2025 Απρίλιος'!N50</f>
        <v>12449.59</v>
      </c>
      <c r="O54" s="15">
        <f t="shared" si="13"/>
        <v>2.8195491829481369E-2</v>
      </c>
      <c r="P54" s="10"/>
      <c r="Q54" s="15">
        <f t="shared" si="14"/>
        <v>1.0090877627260693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2'!H11</f>
        <v>0</v>
      </c>
      <c r="E55" s="15">
        <f t="shared" si="9"/>
        <v>0</v>
      </c>
      <c r="F55" s="10">
        <f>D55+'[1]2025 Απρίλιος'!F51</f>
        <v>37350.879999999997</v>
      </c>
      <c r="G55" s="15">
        <f t="shared" si="10"/>
        <v>8.2328865850378824E-2</v>
      </c>
      <c r="H55" s="14"/>
      <c r="I55" s="16" t="e">
        <f t="shared" si="11"/>
        <v>#DIV/0!</v>
      </c>
      <c r="J55" s="10"/>
      <c r="K55" s="17" t="e">
        <f>J55/$J452</f>
        <v>#DIV/0!</v>
      </c>
      <c r="L55" s="14">
        <f>'[1]2024_60-69 ΕΞΟΔΑ+ΟΜ 2'!H11</f>
        <v>0</v>
      </c>
      <c r="M55" s="15">
        <f t="shared" si="12"/>
        <v>0</v>
      </c>
      <c r="N55" s="10">
        <f>L55+'[1]2025 Απρίλιος'!N51</f>
        <v>37246.28</v>
      </c>
      <c r="O55" s="15">
        <f t="shared" si="13"/>
        <v>8.4354358932187748E-2</v>
      </c>
      <c r="P55" s="10"/>
      <c r="Q55" s="15">
        <f t="shared" si="14"/>
        <v>0.99719953050637633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2'!H12</f>
        <v>350.21</v>
      </c>
      <c r="E56" s="15">
        <f t="shared" si="9"/>
        <v>6.39625669552855E-3</v>
      </c>
      <c r="F56" s="10">
        <f>D56+'[1]2025 Απρίλιος'!F52</f>
        <v>350.21</v>
      </c>
      <c r="G56" s="15">
        <f t="shared" si="10"/>
        <v>7.7193340851570752E-4</v>
      </c>
      <c r="H56" s="14"/>
      <c r="I56" s="16" t="e">
        <f t="shared" si="11"/>
        <v>#DIV/0!</v>
      </c>
      <c r="J56" s="10"/>
      <c r="K56" s="17" t="e">
        <f>J56/$J453</f>
        <v>#DIV/0!</v>
      </c>
      <c r="L56" s="14">
        <f>'[1]2024_60-69 ΕΞΟΔΑ+ΟΜ 2'!H12</f>
        <v>327.67</v>
      </c>
      <c r="M56" s="15">
        <f t="shared" si="12"/>
        <v>6.0248229988750911E-3</v>
      </c>
      <c r="N56" s="10">
        <f>L56+'[1]2025 Απρίλιος'!N52</f>
        <v>327.67</v>
      </c>
      <c r="O56" s="15">
        <f t="shared" si="13"/>
        <v>7.4209807774923994E-4</v>
      </c>
      <c r="P56" s="10"/>
      <c r="Q56" s="15">
        <f t="shared" si="14"/>
        <v>0.93563861682990213</v>
      </c>
    </row>
    <row r="57" spans="1:17" ht="15" customHeight="1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2'!H13</f>
        <v>196.4</v>
      </c>
      <c r="E57" s="15">
        <f t="shared" si="9"/>
        <v>3.5870615202358794E-3</v>
      </c>
      <c r="F57" s="10">
        <f>D57+'[1]2025 Απρίλιος'!F53</f>
        <v>1510.8400000000001</v>
      </c>
      <c r="G57" s="15">
        <f t="shared" si="10"/>
        <v>3.3301957994399693E-3</v>
      </c>
      <c r="H57" s="14"/>
      <c r="I57" s="16" t="e">
        <f t="shared" si="11"/>
        <v>#DIV/0!</v>
      </c>
      <c r="J57" s="10"/>
      <c r="K57" s="17" t="e">
        <f>J57/$J454</f>
        <v>#DIV/0!</v>
      </c>
      <c r="L57" s="14">
        <f>'[1]2024_60-69 ΕΞΟΔΑ+ΟΜ 2'!H13</f>
        <v>259.83</v>
      </c>
      <c r="M57" s="15">
        <f t="shared" si="12"/>
        <v>4.7774582958394563E-3</v>
      </c>
      <c r="N57" s="10">
        <f>L57+'[1]2025 Απρίλιος'!N53</f>
        <v>1577.93</v>
      </c>
      <c r="O57" s="15">
        <f t="shared" si="13"/>
        <v>3.5736528208955907E-3</v>
      </c>
      <c r="P57" s="10"/>
      <c r="Q57" s="15">
        <f t="shared" si="14"/>
        <v>1.0444057610335971</v>
      </c>
    </row>
    <row r="58" spans="1:17" ht="15" customHeight="1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2'!H14</f>
        <v>779.78</v>
      </c>
      <c r="E58" s="15">
        <f t="shared" si="9"/>
        <v>1.4241949247706385E-2</v>
      </c>
      <c r="F58" s="10">
        <f>D58+'[1]2025 Απρίλιος'!F54</f>
        <v>3010.88</v>
      </c>
      <c r="G58" s="15">
        <f t="shared" si="10"/>
        <v>6.6365862226429101E-3</v>
      </c>
      <c r="H58" s="14"/>
      <c r="I58" s="16" t="e">
        <f t="shared" si="11"/>
        <v>#DIV/0!</v>
      </c>
      <c r="J58" s="10"/>
      <c r="K58" s="17" t="e">
        <f>J58/$J455</f>
        <v>#DIV/0!</v>
      </c>
      <c r="L58" s="14">
        <f>'[1]2024_60-69 ΕΞΟΔΑ+ΟΜ 2'!H14</f>
        <v>606.06999999999994</v>
      </c>
      <c r="M58" s="15">
        <f t="shared" si="12"/>
        <v>1.1143725317936417E-2</v>
      </c>
      <c r="N58" s="10">
        <f>L58+'[1]2025 Απρίλιος'!N54</f>
        <v>2867.87</v>
      </c>
      <c r="O58" s="15">
        <f t="shared" si="13"/>
        <v>6.4950737456426055E-3</v>
      </c>
      <c r="P58" s="10"/>
      <c r="Q58" s="15">
        <f t="shared" si="14"/>
        <v>0.95250225847592729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2'!H15</f>
        <v>356.39</v>
      </c>
      <c r="E59" s="15">
        <f t="shared" si="9"/>
        <v>6.5091285906154024E-3</v>
      </c>
      <c r="F59" s="10">
        <f>D59+'[1]2025 Απρίλιος'!F55</f>
        <v>2960.11</v>
      </c>
      <c r="G59" s="15">
        <f t="shared" si="10"/>
        <v>6.5246789123138433E-3</v>
      </c>
      <c r="H59" s="14"/>
      <c r="I59" s="16" t="e">
        <f t="shared" si="11"/>
        <v>#DIV/0!</v>
      </c>
      <c r="J59" s="10"/>
      <c r="K59" s="17" t="e">
        <f>J59/$J456</f>
        <v>#DIV/0!</v>
      </c>
      <c r="L59" s="14">
        <f>'[1]2024_60-69 ΕΞΟΔΑ+ΟΜ 2'!H15</f>
        <v>0</v>
      </c>
      <c r="M59" s="15">
        <f t="shared" si="12"/>
        <v>0</v>
      </c>
      <c r="N59" s="10">
        <f>L59+'[1]2025 Απρίλιος'!N55</f>
        <v>1755.42</v>
      </c>
      <c r="O59" s="15">
        <f t="shared" si="13"/>
        <v>3.9756273312862665E-3</v>
      </c>
      <c r="P59" s="10"/>
      <c r="Q59" s="15">
        <f t="shared" si="14"/>
        <v>0.59302525919644877</v>
      </c>
    </row>
    <row r="60" spans="1:17" ht="15" customHeight="1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2'!H16</f>
        <v>373.33</v>
      </c>
      <c r="E60" s="15">
        <f t="shared" si="9"/>
        <v>6.8185217787660934E-3</v>
      </c>
      <c r="F60" s="10">
        <f>D60+'[1]2025 Απρίλιος'!F56</f>
        <v>1096.02</v>
      </c>
      <c r="G60" s="15">
        <f t="shared" si="10"/>
        <v>2.4158489317877437E-3</v>
      </c>
      <c r="H60" s="14"/>
      <c r="I60" s="16" t="e">
        <f t="shared" si="11"/>
        <v>#DIV/0!</v>
      </c>
      <c r="J60" s="10"/>
      <c r="K60" s="17" t="e">
        <f>J60/$J457</f>
        <v>#DIV/0!</v>
      </c>
      <c r="L60" s="14">
        <f>'[1]2024_60-69 ΕΞΟΔΑ+ΟΜ 2'!H16</f>
        <v>356.69</v>
      </c>
      <c r="M60" s="15">
        <f t="shared" si="12"/>
        <v>6.5584097276795436E-3</v>
      </c>
      <c r="N60" s="10">
        <f>L60+'[1]2025 Απρίλιος'!N56</f>
        <v>356.69</v>
      </c>
      <c r="O60" s="15">
        <f t="shared" si="13"/>
        <v>8.0782178213561324E-4</v>
      </c>
      <c r="P60" s="10"/>
      <c r="Q60" s="15"/>
    </row>
    <row r="61" spans="1:17" ht="42.75" customHeight="1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2'!H17</f>
        <v>158.62</v>
      </c>
      <c r="E61" s="15">
        <f t="shared" si="9"/>
        <v>2.8970453072292017E-3</v>
      </c>
      <c r="F61" s="10">
        <f>D61+'[1]2025 Απρίλιος'!F57</f>
        <v>1463.58</v>
      </c>
      <c r="G61" s="15">
        <f t="shared" si="10"/>
        <v>3.2260252363879361E-3</v>
      </c>
      <c r="H61" s="14"/>
      <c r="I61" s="16" t="e">
        <f t="shared" si="11"/>
        <v>#DIV/0!</v>
      </c>
      <c r="J61" s="10"/>
      <c r="K61" s="17" t="e">
        <f>J61/$J458</f>
        <v>#DIV/0!</v>
      </c>
      <c r="L61" s="14">
        <f>'[1]2024_60-69 ΕΞΟΔΑ+ΟΜ 2'!H17</f>
        <v>206.35</v>
      </c>
      <c r="M61" s="15">
        <f t="shared" si="12"/>
        <v>3.7941289279393138E-3</v>
      </c>
      <c r="N61" s="10">
        <f>L61+'[1]2025 Απρίλιος'!N57</f>
        <v>1322.28</v>
      </c>
      <c r="O61" s="15">
        <f t="shared" si="13"/>
        <v>2.9946636745697345E-3</v>
      </c>
      <c r="P61" s="10"/>
      <c r="Q61" s="15">
        <f t="shared" si="14"/>
        <v>0.90345590948222854</v>
      </c>
    </row>
    <row r="62" spans="1:17" ht="42.75" customHeight="1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2'!H18</f>
        <v>0</v>
      </c>
      <c r="E62" s="15">
        <f t="shared" si="9"/>
        <v>0</v>
      </c>
      <c r="F62" s="10">
        <f>D62+'[1]2025 Απρίλιος'!F58</f>
        <v>128.44</v>
      </c>
      <c r="G62" s="15">
        <f t="shared" si="10"/>
        <v>2.8310764110036111E-4</v>
      </c>
      <c r="H62" s="14"/>
      <c r="I62" s="16" t="e">
        <f t="shared" si="11"/>
        <v>#DIV/0!</v>
      </c>
      <c r="J62" s="10"/>
      <c r="K62" s="17" t="e">
        <f>J62/$J459</f>
        <v>#DIV/0!</v>
      </c>
      <c r="L62" s="14">
        <f>'[1]2024_60-69 ΕΞΟΔΑ+ΟΜ 2'!H18</f>
        <v>0</v>
      </c>
      <c r="M62" s="15">
        <f t="shared" si="12"/>
        <v>0</v>
      </c>
      <c r="N62" s="10">
        <f>L62+'[1]2025 Απρίλιος'!N58</f>
        <v>3.8000000000000291</v>
      </c>
      <c r="O62" s="15">
        <f t="shared" si="13"/>
        <v>8.6061363428056676E-6</v>
      </c>
      <c r="P62" s="10"/>
      <c r="Q62" s="15">
        <f t="shared" si="14"/>
        <v>2.9585798816568275E-2</v>
      </c>
    </row>
    <row r="63" spans="1:17" ht="15" customHeight="1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2'!H19</f>
        <v>78.540000000000006</v>
      </c>
      <c r="E63" s="15">
        <f t="shared" si="9"/>
        <v>1.4344593268804785E-3</v>
      </c>
      <c r="F63" s="10">
        <f>D63+'[1]2025 Απρίλιος'!F59</f>
        <v>3859.24</v>
      </c>
      <c r="G63" s="15">
        <f t="shared" si="10"/>
        <v>8.5065426100915421E-3</v>
      </c>
      <c r="H63" s="14"/>
      <c r="I63" s="16" t="e">
        <f t="shared" si="11"/>
        <v>#DIV/0!</v>
      </c>
      <c r="J63" s="10"/>
      <c r="K63" s="17" t="e">
        <f>J63/$J460</f>
        <v>#DIV/0!</v>
      </c>
      <c r="L63" s="14">
        <f>'[1]2024_60-69 ΕΞΟΔΑ+ΟΜ 2'!H19</f>
        <v>86.929999999999836</v>
      </c>
      <c r="M63" s="15">
        <f t="shared" si="12"/>
        <v>1.5983698943821852E-3</v>
      </c>
      <c r="N63" s="10">
        <f>L63+'[1]2025 Απρίλιος'!N59</f>
        <v>855.24</v>
      </c>
      <c r="O63" s="15">
        <f t="shared" si="13"/>
        <v>1.9369242225844904E-3</v>
      </c>
      <c r="P63" s="10"/>
      <c r="Q63" s="15">
        <f t="shared" si="14"/>
        <v>0.22160839958126471</v>
      </c>
    </row>
    <row r="64" spans="1:17" ht="42.75" customHeight="1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2'!H20</f>
        <v>0</v>
      </c>
      <c r="E64" s="15">
        <f t="shared" si="9"/>
        <v>0</v>
      </c>
      <c r="F64" s="10">
        <f>D64+'[1]2025 Απρίλιος'!F60</f>
        <v>284.71000000000004</v>
      </c>
      <c r="G64" s="15">
        <f t="shared" si="10"/>
        <v>6.2755821004113852E-4</v>
      </c>
      <c r="H64" s="14"/>
      <c r="I64" s="16" t="e">
        <f t="shared" si="11"/>
        <v>#DIV/0!</v>
      </c>
      <c r="J64" s="10"/>
      <c r="K64" s="17" t="e">
        <f>J64/$J461</f>
        <v>#DIV/0!</v>
      </c>
      <c r="L64" s="14">
        <f>'[1]2024_60-69 ΕΞΟΔΑ+ΟΜ 2'!H20</f>
        <v>0</v>
      </c>
      <c r="M64" s="15">
        <f t="shared" si="12"/>
        <v>0</v>
      </c>
      <c r="N64" s="10">
        <f>L64+'[1]2025 Απρίλιος'!N60</f>
        <v>510.90999999999985</v>
      </c>
      <c r="O64" s="15">
        <f t="shared" si="13"/>
        <v>1.157095031290213E-3</v>
      </c>
      <c r="P64" s="10"/>
      <c r="Q64" s="15">
        <f t="shared" si="14"/>
        <v>1.7944926416353475</v>
      </c>
    </row>
    <row r="65" spans="1:17" ht="28.5" customHeight="1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2'!H21</f>
        <v>0</v>
      </c>
      <c r="E65" s="15">
        <f t="shared" si="9"/>
        <v>0</v>
      </c>
      <c r="F65" s="10">
        <f>D65+'[1]2025 Απρίλιος'!F61</f>
        <v>0</v>
      </c>
      <c r="G65" s="15">
        <f t="shared" si="10"/>
        <v>0</v>
      </c>
      <c r="H65" s="14"/>
      <c r="I65" s="16" t="e">
        <f t="shared" si="11"/>
        <v>#DIV/0!</v>
      </c>
      <c r="J65" s="10"/>
      <c r="K65" s="17" t="e">
        <f>J65/$J462</f>
        <v>#DIV/0!</v>
      </c>
      <c r="L65" s="14">
        <f>'[1]2024_60-69 ΕΞΟΔΑ+ΟΜ 2'!H21</f>
        <v>0</v>
      </c>
      <c r="M65" s="15">
        <f t="shared" si="12"/>
        <v>0</v>
      </c>
      <c r="N65" s="10">
        <f>L65+'[1]2025 Απρίλιος'!N61</f>
        <v>0</v>
      </c>
      <c r="O65" s="15">
        <f t="shared" si="13"/>
        <v>0</v>
      </c>
      <c r="P65" s="10"/>
      <c r="Q65" s="15" t="e">
        <f t="shared" si="14"/>
        <v>#DIV/0!</v>
      </c>
    </row>
    <row r="66" spans="1:17" ht="15" customHeight="1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2'!H22</f>
        <v>0</v>
      </c>
      <c r="E66" s="15">
        <f t="shared" si="9"/>
        <v>0</v>
      </c>
      <c r="F66" s="10">
        <f>D66+'[1]2025 Απρίλιος'!F62</f>
        <v>0</v>
      </c>
      <c r="G66" s="15">
        <f t="shared" si="10"/>
        <v>0</v>
      </c>
      <c r="H66" s="14"/>
      <c r="I66" s="16" t="e">
        <f t="shared" si="11"/>
        <v>#DIV/0!</v>
      </c>
      <c r="J66" s="10"/>
      <c r="K66" s="17" t="e">
        <f>J66/$J463</f>
        <v>#DIV/0!</v>
      </c>
      <c r="L66" s="14">
        <f>'[1]2024_60-69 ΕΞΟΔΑ+ΟΜ 2'!H22</f>
        <v>0</v>
      </c>
      <c r="M66" s="15">
        <f t="shared" si="12"/>
        <v>0</v>
      </c>
      <c r="N66" s="10">
        <f>L66+'[1]2025 Απρίλιος'!N62</f>
        <v>17.98</v>
      </c>
      <c r="O66" s="15">
        <f t="shared" si="13"/>
        <v>4.0720613537801249E-5</v>
      </c>
      <c r="P66" s="10"/>
      <c r="Q66" s="15" t="e">
        <f t="shared" si="14"/>
        <v>#DIV/0!</v>
      </c>
    </row>
    <row r="67" spans="1:17" ht="22.5" customHeight="1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2'!H23</f>
        <v>0.96</v>
      </c>
      <c r="E67" s="15">
        <f t="shared" si="9"/>
        <v>1.7533498265918759E-5</v>
      </c>
      <c r="F67" s="10">
        <f>D67+'[1]2025 Απρίλιος'!F63</f>
        <v>0.96</v>
      </c>
      <c r="G67" s="15">
        <f t="shared" si="10"/>
        <v>2.1160334432913942E-6</v>
      </c>
      <c r="H67" s="14"/>
      <c r="I67" s="16" t="e">
        <f t="shared" si="11"/>
        <v>#DIV/0!</v>
      </c>
      <c r="J67" s="10"/>
      <c r="K67" s="17" t="e">
        <f>J67/$J464</f>
        <v>#DIV/0!</v>
      </c>
      <c r="L67" s="14">
        <f>'[1]2024_60-69 ΕΞΟΔΑ+ΟΜ 2'!H23</f>
        <v>0</v>
      </c>
      <c r="M67" s="15">
        <f t="shared" si="12"/>
        <v>0</v>
      </c>
      <c r="N67" s="10">
        <f>L67+'[1]2025 Απρίλιος'!N63</f>
        <v>61.85</v>
      </c>
      <c r="O67" s="15">
        <f t="shared" si="13"/>
        <v>1.4007619284277015E-4</v>
      </c>
      <c r="P67" s="10"/>
      <c r="Q67" s="15">
        <f t="shared" si="14"/>
        <v>64.427083333333343</v>
      </c>
    </row>
    <row r="68" spans="1:17" ht="36" customHeight="1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2'!H24</f>
        <v>6964.8099999999986</v>
      </c>
      <c r="E68" s="15">
        <f t="shared" si="9"/>
        <v>0.1272057125598475</v>
      </c>
      <c r="F68" s="10">
        <f>D68+'[1]2025 Απρίλιος'!F64</f>
        <v>7152.5599999999986</v>
      </c>
      <c r="G68" s="15">
        <f t="shared" si="10"/>
        <v>1.5765683505362806E-2</v>
      </c>
      <c r="H68" s="14"/>
      <c r="I68" s="16" t="e">
        <f t="shared" si="11"/>
        <v>#DIV/0!</v>
      </c>
      <c r="J68" s="10"/>
      <c r="K68" s="17" t="e">
        <f>J68/$J465</f>
        <v>#DIV/0!</v>
      </c>
      <c r="L68" s="14">
        <f>'[1]2024_60-69 ΕΞΟΔΑ+ΟΜ 2'!H24</f>
        <v>11237</v>
      </c>
      <c r="M68" s="15">
        <f t="shared" si="12"/>
        <v>0.2066131658020551</v>
      </c>
      <c r="N68" s="10">
        <f>L68+'[1]2025 Απρίλιος'!N64</f>
        <v>11699.48</v>
      </c>
      <c r="O68" s="15">
        <f t="shared" si="13"/>
        <v>2.649666316313876E-2</v>
      </c>
      <c r="P68" s="10"/>
      <c r="Q68" s="15">
        <f t="shared" si="14"/>
        <v>1.6357052579775635</v>
      </c>
    </row>
    <row r="69" spans="1:17" ht="36" customHeight="1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2'!H25</f>
        <v>1213.27</v>
      </c>
      <c r="E69" s="15">
        <f t="shared" si="9"/>
        <v>2.2159236917803388E-2</v>
      </c>
      <c r="F69" s="10">
        <f>D69+'[1]2025 Απρίλιος'!F65</f>
        <v>30594.600000000002</v>
      </c>
      <c r="G69" s="15">
        <f t="shared" si="10"/>
        <v>6.7436663316794682E-2</v>
      </c>
      <c r="H69" s="14"/>
      <c r="I69" s="16" t="e">
        <f t="shared" si="11"/>
        <v>#DIV/0!</v>
      </c>
      <c r="J69" s="10"/>
      <c r="K69" s="17" t="e">
        <f>J69/$J466</f>
        <v>#DIV/0!</v>
      </c>
      <c r="L69" s="14">
        <f>'[1]2024_60-69 ΕΞΟΔΑ+ΟΜ 2'!H25</f>
        <v>0</v>
      </c>
      <c r="M69" s="15">
        <f t="shared" si="12"/>
        <v>0</v>
      </c>
      <c r="N69" s="10">
        <f>L69+'[1]2025 Απρίλιος'!N65</f>
        <v>21194.829999999998</v>
      </c>
      <c r="O69" s="15">
        <f t="shared" si="13"/>
        <v>4.8001472826996433E-2</v>
      </c>
      <c r="P69" s="10"/>
      <c r="Q69" s="15">
        <f t="shared" si="14"/>
        <v>0.69276375569544946</v>
      </c>
    </row>
    <row r="70" spans="1:17" ht="36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2'!H26</f>
        <v>0</v>
      </c>
      <c r="E70" s="15">
        <f t="shared" si="9"/>
        <v>0</v>
      </c>
      <c r="F70" s="10">
        <f>D70+'[1]2025 Απρίλιος'!F66</f>
        <v>1686.82</v>
      </c>
      <c r="G70" s="15">
        <f t="shared" si="10"/>
        <v>3.7180911800133226E-3</v>
      </c>
      <c r="H70" s="14"/>
      <c r="I70" s="16" t="e">
        <f t="shared" si="11"/>
        <v>#DIV/0!</v>
      </c>
      <c r="J70" s="10"/>
      <c r="K70" s="17" t="e">
        <f>J70/$J467</f>
        <v>#DIV/0!</v>
      </c>
      <c r="L70" s="14">
        <f>'[1]2024_60-69 ΕΞΟΔΑ+ΟΜ 2'!H26</f>
        <v>0</v>
      </c>
      <c r="M70" s="15">
        <f t="shared" si="12"/>
        <v>0</v>
      </c>
      <c r="N70" s="10">
        <f>L70+'[1]2025 Απρίλιος'!N66</f>
        <v>0</v>
      </c>
      <c r="O70" s="15">
        <f t="shared" si="13"/>
        <v>0</v>
      </c>
      <c r="P70" s="10"/>
      <c r="Q70" s="15">
        <f t="shared" si="14"/>
        <v>0</v>
      </c>
    </row>
    <row r="71" spans="1:17" ht="15.75" customHeight="1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2'!H27</f>
        <v>257.56</v>
      </c>
      <c r="E71" s="15">
        <f t="shared" si="9"/>
        <v>4.7040914722604535E-3</v>
      </c>
      <c r="F71" s="10">
        <f>D71+'[1]2025 Απρίλιος'!F67</f>
        <v>257.56</v>
      </c>
      <c r="G71" s="15">
        <f t="shared" si="10"/>
        <v>5.6771413922305375E-4</v>
      </c>
      <c r="H71" s="14"/>
      <c r="I71" s="16" t="e">
        <f t="shared" si="11"/>
        <v>#DIV/0!</v>
      </c>
      <c r="J71" s="10"/>
      <c r="K71" s="17" t="e">
        <f>J71/$J468</f>
        <v>#DIV/0!</v>
      </c>
      <c r="L71" s="14">
        <f>'[1]2024_60-69 ΕΞΟΔΑ+ΟΜ 2'!H27</f>
        <v>0</v>
      </c>
      <c r="M71" s="15">
        <f t="shared" si="12"/>
        <v>0</v>
      </c>
      <c r="N71" s="10">
        <f>L71+'[1]2025 Απρίλιος'!N67</f>
        <v>0</v>
      </c>
      <c r="O71" s="15">
        <f t="shared" si="13"/>
        <v>0</v>
      </c>
      <c r="P71" s="10"/>
      <c r="Q71" s="15">
        <f t="shared" si="14"/>
        <v>0</v>
      </c>
    </row>
    <row r="72" spans="1:17" ht="27.7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2'!H28</f>
        <v>2013.94</v>
      </c>
      <c r="E72" s="15">
        <f t="shared" si="9"/>
        <v>3.6782722393400441E-2</v>
      </c>
      <c r="F72" s="10">
        <f>D72+'[1]2025 Απρίλιος'!F68</f>
        <v>2155.44</v>
      </c>
      <c r="G72" s="15">
        <f t="shared" si="10"/>
        <v>4.7510240885500037E-3</v>
      </c>
      <c r="H72" s="14"/>
      <c r="I72" s="16" t="e">
        <f t="shared" si="11"/>
        <v>#DIV/0!</v>
      </c>
      <c r="J72" s="10"/>
      <c r="K72" s="17" t="e">
        <f>J72/$J469</f>
        <v>#DIV/0!</v>
      </c>
      <c r="L72" s="14">
        <f>'[1]2024_60-69 ΕΞΟΔΑ+ΟΜ 2'!H28</f>
        <v>2563.73</v>
      </c>
      <c r="M72" s="15">
        <f t="shared" si="12"/>
        <v>4.7138949146720899E-2</v>
      </c>
      <c r="N72" s="10">
        <f>L72+'[1]2025 Απρίλιος'!N68</f>
        <v>2563.73</v>
      </c>
      <c r="O72" s="15">
        <f t="shared" si="13"/>
        <v>5.8062657700371067E-3</v>
      </c>
      <c r="P72" s="10"/>
      <c r="Q72" s="15">
        <f t="shared" si="14"/>
        <v>1.1894230412352003</v>
      </c>
    </row>
    <row r="73" spans="1:17" ht="78.75" customHeight="1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2'!H29</f>
        <v>1577.17</v>
      </c>
      <c r="E73" s="15">
        <f t="shared" si="9"/>
        <v>2.880552860422822E-2</v>
      </c>
      <c r="F73" s="10">
        <f>D73+'[1]2025 Απρίλιος'!F69</f>
        <v>5557.6900000000005</v>
      </c>
      <c r="G73" s="15">
        <f t="shared" si="10"/>
        <v>1.2250268653589741E-2</v>
      </c>
      <c r="H73" s="14"/>
      <c r="I73" s="16" t="e">
        <f t="shared" si="11"/>
        <v>#DIV/0!</v>
      </c>
      <c r="J73" s="10"/>
      <c r="K73" s="17" t="e">
        <f>J73/$J470</f>
        <v>#DIV/0!</v>
      </c>
      <c r="L73" s="14">
        <f>'[1]2024_60-69 ΕΞΟΔΑ+ΟΜ 2'!H29</f>
        <v>0</v>
      </c>
      <c r="M73" s="15">
        <f t="shared" si="12"/>
        <v>0</v>
      </c>
      <c r="N73" s="10">
        <f>L73+'[1]2025 Απρίλιος'!N69</f>
        <v>4343.9599999999991</v>
      </c>
      <c r="O73" s="15">
        <f t="shared" si="13"/>
        <v>9.8380821125510047E-3</v>
      </c>
      <c r="P73" s="10"/>
      <c r="Q73" s="15">
        <f t="shared" si="14"/>
        <v>0.78161250447578012</v>
      </c>
    </row>
    <row r="74" spans="1:17" ht="30" customHeight="1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v>0</v>
      </c>
      <c r="E74" s="15">
        <f t="shared" si="9"/>
        <v>0</v>
      </c>
      <c r="F74" s="10">
        <f>D74+'[1]2025 Απρίλιος'!F70</f>
        <v>234.66</v>
      </c>
      <c r="G74" s="15">
        <f t="shared" si="10"/>
        <v>5.1723792479454024E-4</v>
      </c>
      <c r="H74" s="14"/>
      <c r="I74" s="16" t="e">
        <f t="shared" si="11"/>
        <v>#DIV/0!</v>
      </c>
      <c r="J74" s="10"/>
      <c r="K74" s="17" t="e">
        <f>J74/$J471</f>
        <v>#DIV/0!</v>
      </c>
      <c r="L74" s="14">
        <f>'[1]2024_60-69 ΕΞΟΔΑ+ΟΜ 2'!H30</f>
        <v>343.69</v>
      </c>
      <c r="M74" s="15">
        <f t="shared" si="12"/>
        <v>6.3193805245624554E-3</v>
      </c>
      <c r="N74" s="10">
        <f>L74+'[1]2025 Απρίλιος'!N70</f>
        <v>3978.2400000000002</v>
      </c>
      <c r="O74" s="15">
        <f t="shared" si="13"/>
        <v>9.0098094327376206E-3</v>
      </c>
      <c r="P74" s="10"/>
      <c r="Q74" s="15">
        <f t="shared" si="14"/>
        <v>16.953208897980058</v>
      </c>
    </row>
    <row r="75" spans="1:17" ht="33.75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2'!H31</f>
        <v>7839.9766666666674</v>
      </c>
      <c r="E75" s="15">
        <f t="shared" si="9"/>
        <v>0.14318980967692035</v>
      </c>
      <c r="F75" s="10">
        <f>D75+'[1]2025 Απρίλιος'!F71</f>
        <v>7839.9766666666674</v>
      </c>
      <c r="G75" s="15">
        <f t="shared" si="10"/>
        <v>1.7280888355511309E-2</v>
      </c>
      <c r="H75" s="14"/>
      <c r="I75" s="16" t="e">
        <f t="shared" si="11"/>
        <v>#DIV/0!</v>
      </c>
      <c r="J75" s="10"/>
      <c r="K75" s="17" t="e">
        <f>J75/$J472</f>
        <v>#DIV/0!</v>
      </c>
      <c r="L75" s="14">
        <f>'[1]2024_60-69 ΕΞΟΔΑ+ΟΜ 2'!H31</f>
        <v>7839.98</v>
      </c>
      <c r="M75" s="15">
        <f t="shared" si="12"/>
        <v>0.14415262860414665</v>
      </c>
      <c r="N75" s="10">
        <f>L75+'[1]2025 Απρίλιος'!N71</f>
        <v>8449.1899999999987</v>
      </c>
      <c r="O75" s="15">
        <f t="shared" si="13"/>
        <v>1.9135495033228856E-2</v>
      </c>
      <c r="P75" s="10"/>
      <c r="Q75" s="15">
        <f t="shared" si="14"/>
        <v>1.0777060135808225</v>
      </c>
    </row>
    <row r="76" spans="1:17" ht="28.5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2'!H32</f>
        <v>1553.22</v>
      </c>
      <c r="E76" s="15">
        <f t="shared" si="9"/>
        <v>2.8368104350614931E-2</v>
      </c>
      <c r="F76" s="10">
        <f>D76+'[1]2025 Απρίλιος'!F72</f>
        <v>32913.126666666671</v>
      </c>
      <c r="G76" s="15">
        <f t="shared" si="10"/>
        <v>7.2547163281200505E-2</v>
      </c>
      <c r="H76" s="14"/>
      <c r="I76" s="16" t="e">
        <f t="shared" si="11"/>
        <v>#DIV/0!</v>
      </c>
      <c r="J76" s="10"/>
      <c r="K76" s="17" t="e">
        <f>J76/$J473</f>
        <v>#DIV/0!</v>
      </c>
      <c r="L76" s="14">
        <f>'[1]2024_60-69 ΕΞΟΔΑ+ΟΜ 2'!H32</f>
        <v>3091.48</v>
      </c>
      <c r="M76" s="15">
        <f t="shared" si="12"/>
        <v>5.6842615450185749E-2</v>
      </c>
      <c r="N76" s="10">
        <f>L76+'[1]2025 Απρίλιος'!N72</f>
        <v>34451.4</v>
      </c>
      <c r="O76" s="15">
        <f t="shared" si="13"/>
        <v>7.8024590947508674E-2</v>
      </c>
      <c r="P76" s="10"/>
      <c r="Q76" s="15">
        <f t="shared" si="14"/>
        <v>1.0467373807694558</v>
      </c>
    </row>
    <row r="77" spans="1:17" ht="28.5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2'!H33</f>
        <v>685.76</v>
      </c>
      <c r="E77" s="15">
        <f t="shared" si="9"/>
        <v>1.2524762261287967E-2</v>
      </c>
      <c r="F77" s="10">
        <f>D77+'[1]2025 Απρίλιος'!F73</f>
        <v>4938.7700000000004</v>
      </c>
      <c r="G77" s="15">
        <f t="shared" si="10"/>
        <v>1.088604425908775E-2</v>
      </c>
      <c r="H77" s="14"/>
      <c r="I77" s="16" t="e">
        <f t="shared" si="11"/>
        <v>#DIV/0!</v>
      </c>
      <c r="J77" s="10"/>
      <c r="K77" s="17" t="e">
        <f>J77/$J474</f>
        <v>#DIV/0!</v>
      </c>
      <c r="L77" s="14">
        <f>'[1]2024_60-69 ΕΞΟΔΑ+ΟΜ 2'!H33</f>
        <v>0</v>
      </c>
      <c r="M77" s="15">
        <f t="shared" si="12"/>
        <v>0</v>
      </c>
      <c r="N77" s="10">
        <f>L77+'[1]2025 Απρίλιος'!N73</f>
        <v>7259.3899999999994</v>
      </c>
      <c r="O77" s="15">
        <f t="shared" si="13"/>
        <v>1.6440868448841989E-2</v>
      </c>
      <c r="P77" s="10"/>
      <c r="Q77" s="15">
        <f t="shared" si="14"/>
        <v>1.4698781275499768</v>
      </c>
    </row>
    <row r="78" spans="1:17" ht="28.5" customHeight="1" x14ac:dyDescent="0.25">
      <c r="A78" s="60">
        <v>77</v>
      </c>
      <c r="B78" s="60"/>
      <c r="C78" s="75" t="s">
        <v>163</v>
      </c>
      <c r="D78" s="7">
        <f>'[1]2025_60-69 ΕΞΟΔΑ+ΟΜ 2'!H3</f>
        <v>50514.51666666667</v>
      </c>
      <c r="E78" s="21"/>
      <c r="F78" s="7">
        <f>D78+'[1]2025 Απρίλιος'!F74</f>
        <v>51008.296666666669</v>
      </c>
      <c r="G78" s="21"/>
      <c r="H78" s="7">
        <f>SUM(H44:H77)</f>
        <v>0</v>
      </c>
      <c r="I78" s="21"/>
      <c r="J78" s="7">
        <f>SUM(J44:J77)</f>
        <v>0</v>
      </c>
      <c r="K78" s="21"/>
      <c r="L78" s="7">
        <f>SUM(L44:L77)</f>
        <v>54386.660000000011</v>
      </c>
      <c r="M78" s="21"/>
      <c r="N78" s="7">
        <f>SUM(N44:N77)</f>
        <v>441545.41</v>
      </c>
      <c r="O78" s="21"/>
      <c r="P78" s="7">
        <f>SUM(P44:P77)</f>
        <v>0</v>
      </c>
      <c r="Q78" s="21"/>
    </row>
    <row r="79" spans="1:17" ht="33" customHeight="1" x14ac:dyDescent="0.25">
      <c r="A79" s="60">
        <v>78</v>
      </c>
      <c r="B79" s="60"/>
      <c r="C79" s="22" t="s">
        <v>18</v>
      </c>
      <c r="D79" s="7">
        <f>D43-D78</f>
        <v>4237.8199999999924</v>
      </c>
      <c r="E79" s="21"/>
      <c r="F79" s="7">
        <f>F43-F78</f>
        <v>402670.7333333334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0</v>
      </c>
      <c r="M79" s="21"/>
      <c r="N79" s="7">
        <f>N43-N78</f>
        <v>0</v>
      </c>
      <c r="O79" s="21"/>
      <c r="P79" s="7">
        <f>P43-P78</f>
        <v>0</v>
      </c>
      <c r="Q79" s="21"/>
    </row>
    <row r="80" spans="1:17" ht="27" customHeight="1" x14ac:dyDescent="0.25">
      <c r="A80" s="76">
        <v>79</v>
      </c>
      <c r="B80" s="76"/>
      <c r="C80" s="13" t="s">
        <v>32</v>
      </c>
      <c r="D80" s="23">
        <f>D38-D78</f>
        <v>-50514.51666666667</v>
      </c>
      <c r="E80" s="24"/>
      <c r="F80" s="23" t="e">
        <f>F38-F78</f>
        <v>#VALUE!</v>
      </c>
      <c r="G80" s="24"/>
      <c r="H80" s="25">
        <f>H38-H78</f>
        <v>0</v>
      </c>
      <c r="I80" s="24" t="e">
        <f t="shared" ref="I80" si="15">H80/$I$39</f>
        <v>#DIV/0!</v>
      </c>
      <c r="J80" s="25">
        <f>J38-J78</f>
        <v>175527.74350020537</v>
      </c>
      <c r="K80" s="24"/>
      <c r="L80" s="77">
        <f>L38-L78</f>
        <v>18008.785044247816</v>
      </c>
      <c r="M80" s="24"/>
      <c r="N80" s="23">
        <f>N38-N78</f>
        <v>-237844.40194690265</v>
      </c>
      <c r="O80" s="24"/>
      <c r="P80" s="23">
        <f>P38-P78</f>
        <v>12138.557787610636</v>
      </c>
      <c r="Q80" s="24"/>
    </row>
    <row r="81" spans="1:17" ht="30.75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</row>
    <row r="82" spans="1:17" ht="24.75" customHeight="1" x14ac:dyDescent="0.25">
      <c r="A82" s="19">
        <v>81</v>
      </c>
      <c r="B82" s="19"/>
      <c r="C82" s="5" t="s">
        <v>3</v>
      </c>
      <c r="D82" s="180" t="str">
        <f>[1]ΑΝΤΙΣΤΟΙΧΙΣΗ!$F$110</f>
        <v xml:space="preserve">ΜΑΙΟΣ ΤΡΕΧΟΝ ΕΤΟΣ </v>
      </c>
      <c r="E82" s="180"/>
      <c r="F82" s="180"/>
      <c r="G82" s="61">
        <f>[1]ΑΝΤΙΣΤΟΙΧΙΣΗ!$D$34</f>
        <v>2025</v>
      </c>
      <c r="H82" s="180" t="str">
        <f>[1]ΑΝΤΙΣΤΟΙΧΙΣΗ!$F$110</f>
        <v xml:space="preserve">ΜΑΙΟΣ ΤΡΕΧΟΝ ΕΤΟΣ </v>
      </c>
      <c r="I82" s="180"/>
      <c r="J82" s="180"/>
      <c r="K82" s="61">
        <f>[1]ΑΝΤΙΣΤΟΙΧΙΣΗ!$D$34</f>
        <v>2025</v>
      </c>
      <c r="L82" s="180" t="str">
        <f>[1]ΑΝΤΙΣΤΟΙΧΙΣΗ!$F$124</f>
        <v>ΜΑΙΟΣ ΠΡΟΗΓΟΥΜΕΝΟΥ ΕΤΟΥΣ</v>
      </c>
      <c r="M82" s="180"/>
      <c r="N82" s="180"/>
      <c r="O82" s="61">
        <f>[1]ΑΝΤΙΣΤΟΙΧΙΣΗ!$D$33</f>
        <v>2024</v>
      </c>
      <c r="P82" s="180"/>
      <c r="Q82" s="180"/>
    </row>
    <row r="83" spans="1:17" ht="15" customHeight="1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</row>
    <row r="84" spans="1:17" ht="15" customHeight="1" x14ac:dyDescent="0.25">
      <c r="A84" s="19">
        <v>83</v>
      </c>
      <c r="B84" s="19" t="s">
        <v>2</v>
      </c>
      <c r="C84" s="75" t="s">
        <v>165</v>
      </c>
      <c r="D84" s="7">
        <f ca="1">SUM(D47:D110)</f>
        <v>7772.8200000000015</v>
      </c>
      <c r="E84" s="8"/>
      <c r="F84" s="7" t="e">
        <f>SUM(F47:F110)</f>
        <v>#VALUE!</v>
      </c>
      <c r="G84" s="8"/>
      <c r="H84" s="7">
        <f ca="1">SUM(H47:H110)</f>
        <v>0</v>
      </c>
      <c r="I84" s="8"/>
      <c r="J84" s="7">
        <f ca="1">SUM(J47:J110)</f>
        <v>0</v>
      </c>
      <c r="K84" s="8"/>
      <c r="L84" s="7">
        <f ca="1">SUM(L47:L110)</f>
        <v>7600.84</v>
      </c>
      <c r="M84" s="8"/>
      <c r="N84" s="7">
        <f ca="1">SUM(N47:N110)</f>
        <v>54844.22</v>
      </c>
      <c r="O84" s="8"/>
      <c r="P84" s="7">
        <f ca="1">SUM(P47:P110)</f>
        <v>0</v>
      </c>
      <c r="Q84" s="8"/>
    </row>
    <row r="85" spans="1:17" ht="23.25" customHeight="1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2'!H39</f>
        <v>988.92</v>
      </c>
      <c r="E85" s="15">
        <f t="shared" ref="E85:E105" ca="1" si="16">D85/$D$84</f>
        <v>0.12722795587701757</v>
      </c>
      <c r="F85" s="79">
        <f>D85+'[1]2025 Απρίλιος'!F83</f>
        <v>8837.61</v>
      </c>
      <c r="G85" s="15" t="e">
        <f t="shared" ref="G85:G105" si="17">F85/$F$84</f>
        <v>#VALUE!</v>
      </c>
      <c r="H85" s="14"/>
      <c r="I85" s="26" t="e">
        <f t="shared" ref="I85:I106" ca="1" si="18">H85/$H$84</f>
        <v>#DIV/0!</v>
      </c>
      <c r="J85" s="27"/>
      <c r="K85" s="27" t="e">
        <f t="shared" ref="K85:K106" ca="1" si="19">J85/$J$84</f>
        <v>#DIV/0!</v>
      </c>
      <c r="L85" s="79">
        <f>'[1]2024_60-69 ΕΞΟΔΑ+ΟΜ 2'!H37</f>
        <v>2241.0100000000002</v>
      </c>
      <c r="M85" s="15">
        <f t="shared" ref="M85:M106" ca="1" si="20">L85/$L$84</f>
        <v>0.29483714957820456</v>
      </c>
      <c r="N85" s="10">
        <f>L85+'[1]2025 Απρίλιος'!N83</f>
        <v>3971.59</v>
      </c>
      <c r="O85" s="15">
        <f t="shared" ref="O85:O106" ca="1" si="21">N85/$N$84</f>
        <v>7.241583525118965E-2</v>
      </c>
      <c r="P85" s="27"/>
      <c r="Q85" s="28" t="e">
        <f t="shared" ref="Q85:Q106" ca="1" si="22">SUM(D85:P85)</f>
        <v>#DIV/0!</v>
      </c>
    </row>
    <row r="86" spans="1:17" ht="23.25" customHeight="1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2'!H40</f>
        <v>1056.97</v>
      </c>
      <c r="E86" s="15">
        <f t="shared" ca="1" si="16"/>
        <v>0.13598282219323229</v>
      </c>
      <c r="F86" s="79">
        <f>D86+'[1]2025 Απρίλιος'!F84</f>
        <v>5989.0700000000006</v>
      </c>
      <c r="G86" s="15" t="e">
        <f t="shared" si="17"/>
        <v>#VALUE!</v>
      </c>
      <c r="H86" s="14"/>
      <c r="I86" s="26" t="e">
        <f t="shared" ca="1" si="18"/>
        <v>#DIV/0!</v>
      </c>
      <c r="J86" s="27"/>
      <c r="K86" s="27" t="e">
        <f t="shared" ca="1" si="19"/>
        <v>#DIV/0!</v>
      </c>
      <c r="L86" s="79">
        <f>'[1]2024_60-69 ΕΞΟΔΑ+ΟΜ 2'!H38</f>
        <v>0</v>
      </c>
      <c r="M86" s="15">
        <f t="shared" ca="1" si="20"/>
        <v>0</v>
      </c>
      <c r="N86" s="10">
        <f>L86+'[1]2025 Απρίλιος'!N84</f>
        <v>5933.05</v>
      </c>
      <c r="O86" s="15">
        <f t="shared" ca="1" si="21"/>
        <v>0.10818004157958669</v>
      </c>
      <c r="P86" s="27"/>
      <c r="Q86" s="28" t="e">
        <f t="shared" ca="1" si="22"/>
        <v>#DIV/0!</v>
      </c>
    </row>
    <row r="87" spans="1:17" ht="23.25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2'!H43</f>
        <v>215.49</v>
      </c>
      <c r="E87" s="15">
        <f t="shared" ca="1" si="16"/>
        <v>2.7723528912286657E-2</v>
      </c>
      <c r="F87" s="79">
        <f>D87+'[1]2025 Απρίλιος'!F87</f>
        <v>1814.72</v>
      </c>
      <c r="G87" s="15" t="e">
        <f t="shared" si="17"/>
        <v>#VALUE!</v>
      </c>
      <c r="H87" s="14"/>
      <c r="I87" s="26" t="e">
        <f t="shared" ca="1" si="18"/>
        <v>#DIV/0!</v>
      </c>
      <c r="J87" s="27"/>
      <c r="K87" s="27" t="e">
        <f t="shared" ca="1" si="19"/>
        <v>#DIV/0!</v>
      </c>
      <c r="L87" s="79">
        <f>'[1]2024_60-69 ΕΞΟΔΑ+ΟΜ 2'!H41</f>
        <v>414.21</v>
      </c>
      <c r="M87" s="15">
        <f t="shared" ca="1" si="20"/>
        <v>5.449529262555191E-2</v>
      </c>
      <c r="N87" s="10">
        <f>L87+'[1]2025 Απρίλιος'!N87</f>
        <v>1100.78</v>
      </c>
      <c r="O87" s="15">
        <f t="shared" ca="1" si="21"/>
        <v>2.0071030274475595E-2</v>
      </c>
      <c r="P87" s="27"/>
      <c r="Q87" s="28" t="e">
        <f t="shared" ca="1" si="22"/>
        <v>#DIV/0!</v>
      </c>
    </row>
    <row r="88" spans="1:17" ht="23.25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2'!H44</f>
        <v>159.91</v>
      </c>
      <c r="E88" s="15">
        <f t="shared" ca="1" si="16"/>
        <v>2.0572970942334953E-2</v>
      </c>
      <c r="F88" s="79">
        <f>D88+'[1]2025 Απρίλιος'!F88</f>
        <v>845.62</v>
      </c>
      <c r="G88" s="15" t="e">
        <f t="shared" si="17"/>
        <v>#VALUE!</v>
      </c>
      <c r="H88" s="14"/>
      <c r="I88" s="26" t="e">
        <f t="shared" ca="1" si="18"/>
        <v>#DIV/0!</v>
      </c>
      <c r="J88" s="27"/>
      <c r="K88" s="27" t="e">
        <f t="shared" ca="1" si="19"/>
        <v>#DIV/0!</v>
      </c>
      <c r="L88" s="79">
        <f>'[1]2024_60-69 ΕΞΟΔΑ+ΟΜ 2'!H42</f>
        <v>0</v>
      </c>
      <c r="M88" s="15">
        <f t="shared" ca="1" si="20"/>
        <v>0</v>
      </c>
      <c r="N88" s="10">
        <f>L88+'[1]2025 Απρίλιος'!N88</f>
        <v>1185.47</v>
      </c>
      <c r="O88" s="15">
        <f t="shared" ca="1" si="21"/>
        <v>2.1615222169264144E-2</v>
      </c>
      <c r="P88" s="27"/>
      <c r="Q88" s="28" t="e">
        <f t="shared" ca="1" si="22"/>
        <v>#DIV/0!</v>
      </c>
    </row>
    <row r="89" spans="1:17" ht="23.2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2'!H45</f>
        <v>0</v>
      </c>
      <c r="E89" s="15">
        <f t="shared" ca="1" si="16"/>
        <v>0</v>
      </c>
      <c r="F89" s="79">
        <f>D89+'[1]2025 Απρίλιος'!F89</f>
        <v>720.79</v>
      </c>
      <c r="G89" s="15" t="e">
        <f t="shared" si="17"/>
        <v>#VALUE!</v>
      </c>
      <c r="H89" s="80"/>
      <c r="I89" s="26" t="e">
        <f t="shared" ca="1" si="18"/>
        <v>#DIV/0!</v>
      </c>
      <c r="J89" s="80"/>
      <c r="K89" s="27" t="e">
        <f t="shared" ca="1" si="19"/>
        <v>#DIV/0!</v>
      </c>
      <c r="L89" s="79">
        <f>'[1]2024_60-69 ΕΞΟΔΑ+ΟΜ 2'!H43</f>
        <v>0</v>
      </c>
      <c r="M89" s="15">
        <f t="shared" ca="1" si="20"/>
        <v>0</v>
      </c>
      <c r="N89" s="10">
        <f>L89+'[1]2025 Απρίλιος'!N89</f>
        <v>0</v>
      </c>
      <c r="O89" s="15">
        <f t="shared" ca="1" si="21"/>
        <v>0</v>
      </c>
      <c r="P89" s="80"/>
      <c r="Q89" s="28" t="e">
        <f t="shared" ca="1" si="22"/>
        <v>#DIV/0!</v>
      </c>
    </row>
    <row r="90" spans="1:17" ht="42.75" customHeight="1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2'!H46</f>
        <v>0</v>
      </c>
      <c r="E90" s="15">
        <f t="shared" ca="1" si="16"/>
        <v>0</v>
      </c>
      <c r="F90" s="79">
        <f>D90+'[1]2025 Απρίλιος'!F90</f>
        <v>0</v>
      </c>
      <c r="G90" s="15" t="e">
        <f t="shared" si="17"/>
        <v>#VALUE!</v>
      </c>
      <c r="H90" s="80"/>
      <c r="I90" s="26" t="e">
        <f t="shared" ca="1" si="18"/>
        <v>#DIV/0!</v>
      </c>
      <c r="J90" s="80"/>
      <c r="K90" s="27" t="e">
        <f t="shared" ca="1" si="19"/>
        <v>#DIV/0!</v>
      </c>
      <c r="L90" s="79">
        <f>'[1]2024_60-69 ΕΞΟΔΑ+ΟΜ 2'!H44</f>
        <v>0</v>
      </c>
      <c r="M90" s="15">
        <f t="shared" ca="1" si="20"/>
        <v>0</v>
      </c>
      <c r="N90" s="10">
        <f>L90+'[1]2025 Απρίλιος'!N90</f>
        <v>0</v>
      </c>
      <c r="O90" s="15">
        <f t="shared" ca="1" si="21"/>
        <v>0</v>
      </c>
      <c r="P90" s="80"/>
      <c r="Q90" s="28" t="e">
        <f t="shared" ca="1" si="22"/>
        <v>#DIV/0!</v>
      </c>
    </row>
    <row r="91" spans="1:17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2'!H47</f>
        <v>0</v>
      </c>
      <c r="E91" s="15">
        <f t="shared" ca="1" si="16"/>
        <v>0</v>
      </c>
      <c r="F91" s="79">
        <f>D91+'[1]2025 Απρίλιος'!F91</f>
        <v>0</v>
      </c>
      <c r="G91" s="15" t="e">
        <f t="shared" si="17"/>
        <v>#VALUE!</v>
      </c>
      <c r="H91" s="80"/>
      <c r="I91" s="26" t="e">
        <f t="shared" ca="1" si="18"/>
        <v>#DIV/0!</v>
      </c>
      <c r="J91" s="80"/>
      <c r="K91" s="27" t="e">
        <f t="shared" ca="1" si="19"/>
        <v>#DIV/0!</v>
      </c>
      <c r="L91" s="79">
        <f>'[1]2024_60-69 ΕΞΟΔΑ+ΟΜ 2'!H45</f>
        <v>0</v>
      </c>
      <c r="M91" s="15">
        <f t="shared" ca="1" si="20"/>
        <v>0</v>
      </c>
      <c r="N91" s="10">
        <f>L91+'[1]2025 Απρίλιος'!N91</f>
        <v>0</v>
      </c>
      <c r="O91" s="15">
        <f t="shared" ca="1" si="21"/>
        <v>0</v>
      </c>
      <c r="P91" s="80"/>
      <c r="Q91" s="28" t="e">
        <f t="shared" ca="1" si="22"/>
        <v>#DIV/0!</v>
      </c>
    </row>
    <row r="92" spans="1:17" ht="15" customHeight="1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2'!H48</f>
        <v>0</v>
      </c>
      <c r="E92" s="15">
        <f t="shared" ca="1" si="16"/>
        <v>0</v>
      </c>
      <c r="F92" s="79">
        <f>D92+'[1]2025 Απρίλιος'!F92</f>
        <v>0</v>
      </c>
      <c r="G92" s="15" t="e">
        <f t="shared" si="17"/>
        <v>#VALUE!</v>
      </c>
      <c r="H92" s="14"/>
      <c r="I92" s="26" t="e">
        <f t="shared" ca="1" si="18"/>
        <v>#DIV/0!</v>
      </c>
      <c r="J92" s="27"/>
      <c r="K92" s="27" t="e">
        <f t="shared" ca="1" si="19"/>
        <v>#DIV/0!</v>
      </c>
      <c r="L92" s="79">
        <f>'[1]2024_60-69 ΕΞΟΔΑ+ΟΜ 2'!H46</f>
        <v>0</v>
      </c>
      <c r="M92" s="15">
        <f t="shared" ca="1" si="20"/>
        <v>0</v>
      </c>
      <c r="N92" s="10">
        <f>L92+'[1]2025 Απρίλιος'!N92</f>
        <v>0</v>
      </c>
      <c r="O92" s="15">
        <f t="shared" ca="1" si="21"/>
        <v>0</v>
      </c>
      <c r="P92" s="27"/>
      <c r="Q92" s="28" t="e">
        <f t="shared" ca="1" si="22"/>
        <v>#DIV/0!</v>
      </c>
    </row>
    <row r="93" spans="1:17" ht="15" customHeight="1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2'!H49</f>
        <v>0</v>
      </c>
      <c r="E93" s="15">
        <f t="shared" ca="1" si="16"/>
        <v>0</v>
      </c>
      <c r="F93" s="79">
        <f>D93+'[1]2025 Απρίλιος'!F93</f>
        <v>0</v>
      </c>
      <c r="G93" s="15" t="e">
        <f t="shared" si="17"/>
        <v>#VALUE!</v>
      </c>
      <c r="H93" s="14"/>
      <c r="I93" s="26" t="e">
        <f t="shared" ca="1" si="18"/>
        <v>#DIV/0!</v>
      </c>
      <c r="J93" s="27"/>
      <c r="K93" s="27" t="e">
        <f t="shared" ca="1" si="19"/>
        <v>#DIV/0!</v>
      </c>
      <c r="L93" s="79">
        <f>'[1]2024_60-69 ΕΞΟΔΑ+ΟΜ 2'!H47</f>
        <v>0</v>
      </c>
      <c r="M93" s="15">
        <f t="shared" ca="1" si="20"/>
        <v>0</v>
      </c>
      <c r="N93" s="10">
        <f>L93+'[1]2025 Απρίλιος'!N93</f>
        <v>0</v>
      </c>
      <c r="O93" s="15">
        <f t="shared" ca="1" si="21"/>
        <v>0</v>
      </c>
      <c r="P93" s="27"/>
      <c r="Q93" s="28" t="e">
        <f t="shared" ca="1" si="22"/>
        <v>#DIV/0!</v>
      </c>
    </row>
    <row r="94" spans="1:17" ht="1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2'!H50</f>
        <v>0</v>
      </c>
      <c r="E94" s="15">
        <f t="shared" ca="1" si="16"/>
        <v>0</v>
      </c>
      <c r="F94" s="79">
        <f>D94+'[1]2025 Απρίλιος'!F94</f>
        <v>0</v>
      </c>
      <c r="G94" s="15" t="e">
        <f t="shared" si="17"/>
        <v>#VALUE!</v>
      </c>
      <c r="H94" s="81"/>
      <c r="I94" s="26" t="e">
        <f t="shared" ca="1" si="18"/>
        <v>#DIV/0!</v>
      </c>
      <c r="J94" s="81"/>
      <c r="K94" s="27" t="e">
        <f t="shared" ca="1" si="19"/>
        <v>#DIV/0!</v>
      </c>
      <c r="L94" s="79">
        <f>'[1]2024_60-69 ΕΞΟΔΑ+ΟΜ 2'!H48</f>
        <v>0</v>
      </c>
      <c r="M94" s="15">
        <f t="shared" ca="1" si="20"/>
        <v>0</v>
      </c>
      <c r="N94" s="10">
        <f>L94+'[1]2025 Απρίλιος'!N94</f>
        <v>0</v>
      </c>
      <c r="O94" s="15">
        <f t="shared" ca="1" si="21"/>
        <v>0</v>
      </c>
      <c r="P94" s="81"/>
      <c r="Q94" s="28" t="e">
        <f t="shared" ca="1" si="22"/>
        <v>#DIV/0!</v>
      </c>
    </row>
    <row r="95" spans="1:17" ht="28.5" customHeight="1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2'!H51</f>
        <v>0</v>
      </c>
      <c r="E95" s="15">
        <f t="shared" ca="1" si="16"/>
        <v>0</v>
      </c>
      <c r="F95" s="79">
        <f>D95+'[1]2025 Απρίλιος'!F95</f>
        <v>0</v>
      </c>
      <c r="G95" s="15" t="e">
        <f t="shared" si="17"/>
        <v>#VALUE!</v>
      </c>
      <c r="H95" s="14"/>
      <c r="I95" s="26" t="e">
        <f t="shared" ca="1" si="18"/>
        <v>#DIV/0!</v>
      </c>
      <c r="J95" s="27"/>
      <c r="K95" s="27" t="e">
        <f t="shared" ca="1" si="19"/>
        <v>#DIV/0!</v>
      </c>
      <c r="L95" s="79">
        <f>'[1]2024_60-69 ΕΞΟΔΑ+ΟΜ 2'!H49</f>
        <v>0</v>
      </c>
      <c r="M95" s="15">
        <f t="shared" ca="1" si="20"/>
        <v>0</v>
      </c>
      <c r="N95" s="10">
        <f>L95+'[1]2025 Απρίλιος'!N95</f>
        <v>0</v>
      </c>
      <c r="O95" s="15">
        <f t="shared" ca="1" si="21"/>
        <v>0</v>
      </c>
      <c r="P95" s="27"/>
      <c r="Q95" s="28" t="e">
        <f t="shared" ca="1" si="22"/>
        <v>#DIV/0!</v>
      </c>
    </row>
    <row r="96" spans="1:17" ht="15" customHeight="1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2'!H52</f>
        <v>250.56</v>
      </c>
      <c r="E96" s="15">
        <f t="shared" ca="1" si="16"/>
        <v>3.2235404910958949E-2</v>
      </c>
      <c r="F96" s="79">
        <f>D96+'[1]2025 Απρίλιος'!F96</f>
        <v>250.56</v>
      </c>
      <c r="G96" s="15" t="e">
        <f t="shared" si="17"/>
        <v>#VALUE!</v>
      </c>
      <c r="H96" s="14"/>
      <c r="I96" s="26" t="e">
        <f t="shared" ca="1" si="18"/>
        <v>#DIV/0!</v>
      </c>
      <c r="J96" s="27"/>
      <c r="K96" s="27" t="e">
        <f t="shared" ca="1" si="19"/>
        <v>#DIV/0!</v>
      </c>
      <c r="L96" s="79">
        <f>'[1]2024_60-69 ΕΞΟΔΑ+ΟΜ 2'!H50</f>
        <v>13.75</v>
      </c>
      <c r="M96" s="15">
        <f t="shared" ca="1" si="20"/>
        <v>1.8090105830408218E-3</v>
      </c>
      <c r="N96" s="10">
        <f>L96+'[1]2025 Απρίλιος'!N96</f>
        <v>260.51</v>
      </c>
      <c r="O96" s="15">
        <f t="shared" ca="1" si="21"/>
        <v>4.7499991794942107E-3</v>
      </c>
      <c r="P96" s="27"/>
      <c r="Q96" s="28" t="e">
        <f t="shared" ca="1" si="22"/>
        <v>#DIV/0!</v>
      </c>
    </row>
    <row r="97" spans="1:17" ht="15" customHeight="1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2'!H53</f>
        <v>0</v>
      </c>
      <c r="E97" s="15">
        <f t="shared" ca="1" si="16"/>
        <v>0</v>
      </c>
      <c r="F97" s="79">
        <f>D97+'[1]2025 Απρίλιος'!F97</f>
        <v>304.21999999999997</v>
      </c>
      <c r="G97" s="15" t="e">
        <f t="shared" si="17"/>
        <v>#VALUE!</v>
      </c>
      <c r="H97" s="14"/>
      <c r="I97" s="26" t="e">
        <f t="shared" ca="1" si="18"/>
        <v>#DIV/0!</v>
      </c>
      <c r="J97" s="27"/>
      <c r="K97" s="27" t="e">
        <f t="shared" ca="1" si="19"/>
        <v>#DIV/0!</v>
      </c>
      <c r="L97" s="79">
        <f>'[1]2024_60-69 ΕΞΟΔΑ+ΟΜ 2'!H51</f>
        <v>0</v>
      </c>
      <c r="M97" s="15">
        <f t="shared" ca="1" si="20"/>
        <v>0</v>
      </c>
      <c r="N97" s="10">
        <f>L97+'[1]2025 Απρίλιος'!N97</f>
        <v>8.0399999999999991</v>
      </c>
      <c r="O97" s="15">
        <f t="shared" ca="1" si="21"/>
        <v>1.4659703429094258E-4</v>
      </c>
      <c r="P97" s="27"/>
      <c r="Q97" s="28" t="e">
        <f t="shared" ca="1" si="22"/>
        <v>#DIV/0!</v>
      </c>
    </row>
    <row r="98" spans="1:17" ht="15" customHeight="1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2'!H54</f>
        <v>0</v>
      </c>
      <c r="E98" s="15">
        <f t="shared" ca="1" si="16"/>
        <v>0</v>
      </c>
      <c r="F98" s="79">
        <f>D98+'[1]2025 Απρίλιος'!F98</f>
        <v>0</v>
      </c>
      <c r="G98" s="15" t="e">
        <f t="shared" si="17"/>
        <v>#VALUE!</v>
      </c>
      <c r="H98" s="14"/>
      <c r="I98" s="26" t="e">
        <f t="shared" ca="1" si="18"/>
        <v>#DIV/0!</v>
      </c>
      <c r="J98" s="27"/>
      <c r="K98" s="27" t="e">
        <f t="shared" ca="1" si="19"/>
        <v>#DIV/0!</v>
      </c>
      <c r="L98" s="79">
        <f>'[1]2024_60-69 ΕΞΟΔΑ+ΟΜ 2'!H52</f>
        <v>0</v>
      </c>
      <c r="M98" s="15">
        <f t="shared" ca="1" si="20"/>
        <v>0</v>
      </c>
      <c r="N98" s="10">
        <f>L98+'[1]2025 Απρίλιος'!N98</f>
        <v>0</v>
      </c>
      <c r="O98" s="15">
        <f t="shared" ca="1" si="21"/>
        <v>0</v>
      </c>
      <c r="P98" s="27"/>
      <c r="Q98" s="28" t="e">
        <f t="shared" ca="1" si="22"/>
        <v>#DIV/0!</v>
      </c>
    </row>
    <row r="99" spans="1:17" ht="1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2'!H55</f>
        <v>0</v>
      </c>
      <c r="E99" s="15">
        <f t="shared" ca="1" si="16"/>
        <v>0</v>
      </c>
      <c r="F99" s="79">
        <f>D99+'[1]2025 Απρίλιος'!F99</f>
        <v>0</v>
      </c>
      <c r="G99" s="15" t="e">
        <f t="shared" si="17"/>
        <v>#VALUE!</v>
      </c>
      <c r="H99" s="14"/>
      <c r="I99" s="26" t="e">
        <f t="shared" ca="1" si="18"/>
        <v>#DIV/0!</v>
      </c>
      <c r="J99" s="27"/>
      <c r="K99" s="27" t="e">
        <f t="shared" ca="1" si="19"/>
        <v>#DIV/0!</v>
      </c>
      <c r="L99" s="79">
        <f>'[1]2024_60-69 ΕΞΟΔΑ+ΟΜ 2'!H53</f>
        <v>0</v>
      </c>
      <c r="M99" s="15">
        <f t="shared" ca="1" si="20"/>
        <v>0</v>
      </c>
      <c r="N99" s="10">
        <f>L99+'[1]2025 Απρίλιος'!N99</f>
        <v>0</v>
      </c>
      <c r="O99" s="15">
        <f t="shared" ca="1" si="21"/>
        <v>0</v>
      </c>
      <c r="P99" s="27"/>
      <c r="Q99" s="28" t="e">
        <f t="shared" ca="1" si="22"/>
        <v>#DIV/0!</v>
      </c>
    </row>
    <row r="100" spans="1:17" ht="15" customHeight="1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2'!H56</f>
        <v>77.09</v>
      </c>
      <c r="E100" s="15">
        <f t="shared" ca="1" si="16"/>
        <v>9.9178933771784227E-3</v>
      </c>
      <c r="F100" s="79">
        <f>D100+'[1]2025 Απρίλιος'!F100</f>
        <v>4824.54</v>
      </c>
      <c r="G100" s="15" t="e">
        <f t="shared" si="17"/>
        <v>#VALUE!</v>
      </c>
      <c r="H100" s="14"/>
      <c r="I100" s="26" t="e">
        <f t="shared" ca="1" si="18"/>
        <v>#DIV/0!</v>
      </c>
      <c r="J100" s="27"/>
      <c r="K100" s="27" t="e">
        <f t="shared" ca="1" si="19"/>
        <v>#DIV/0!</v>
      </c>
      <c r="L100" s="79">
        <f>'[1]2024_60-69 ΕΞΟΔΑ+ΟΜ 2'!H54</f>
        <v>124.91</v>
      </c>
      <c r="M100" s="15">
        <f t="shared" ca="1" si="20"/>
        <v>1.6433709958373021E-2</v>
      </c>
      <c r="N100" s="10">
        <f>L100+'[1]2025 Απρίλιος'!N100</f>
        <v>244.79</v>
      </c>
      <c r="O100" s="15">
        <f t="shared" ca="1" si="21"/>
        <v>4.4633691572238607E-3</v>
      </c>
      <c r="P100" s="27"/>
      <c r="Q100" s="28" t="e">
        <f t="shared" ca="1" si="22"/>
        <v>#DIV/0!</v>
      </c>
    </row>
    <row r="101" spans="1:17" ht="25.5" customHeight="1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2'!H57</f>
        <v>0</v>
      </c>
      <c r="E101" s="15">
        <f t="shared" ca="1" si="16"/>
        <v>0</v>
      </c>
      <c r="F101" s="79">
        <f>D101+'[1]2025 Απρίλιος'!F101</f>
        <v>801.03</v>
      </c>
      <c r="G101" s="15" t="e">
        <f t="shared" si="17"/>
        <v>#VALUE!</v>
      </c>
      <c r="H101" s="14"/>
      <c r="I101" s="26" t="e">
        <f t="shared" ca="1" si="18"/>
        <v>#DIV/0!</v>
      </c>
      <c r="J101" s="27"/>
      <c r="K101" s="27" t="e">
        <f t="shared" ca="1" si="19"/>
        <v>#DIV/0!</v>
      </c>
      <c r="L101" s="79">
        <f>'[1]2024_60-69 ΕΞΟΔΑ+ΟΜ 2'!H55</f>
        <v>0</v>
      </c>
      <c r="M101" s="15">
        <f t="shared" ca="1" si="20"/>
        <v>0</v>
      </c>
      <c r="N101" s="10">
        <f>L101+'[1]2025 Απρίλιος'!N101</f>
        <v>1305.52</v>
      </c>
      <c r="O101" s="15">
        <f t="shared" ca="1" si="21"/>
        <v>2.3804149279541217E-2</v>
      </c>
      <c r="P101" s="27"/>
      <c r="Q101" s="28" t="e">
        <f t="shared" ca="1" si="22"/>
        <v>#DIV/0!</v>
      </c>
    </row>
    <row r="102" spans="1:17" ht="24" customHeight="1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2'!H58</f>
        <v>0</v>
      </c>
      <c r="E102" s="15">
        <f t="shared" ca="1" si="16"/>
        <v>0</v>
      </c>
      <c r="F102" s="79">
        <f>D102+'[1]2025 Απρίλιος'!F102</f>
        <v>0</v>
      </c>
      <c r="G102" s="15" t="e">
        <f t="shared" si="17"/>
        <v>#VALUE!</v>
      </c>
      <c r="H102" s="14"/>
      <c r="I102" s="26" t="e">
        <f t="shared" ca="1" si="18"/>
        <v>#DIV/0!</v>
      </c>
      <c r="J102" s="27"/>
      <c r="K102" s="27" t="e">
        <f t="shared" ca="1" si="19"/>
        <v>#DIV/0!</v>
      </c>
      <c r="L102" s="79">
        <f>'[1]2024_60-69 ΕΞΟΔΑ+ΟΜ 2'!H56</f>
        <v>0</v>
      </c>
      <c r="M102" s="15">
        <f t="shared" ca="1" si="20"/>
        <v>0</v>
      </c>
      <c r="N102" s="10">
        <f>L102+'[1]2025 Απρίλιος'!N102</f>
        <v>0</v>
      </c>
      <c r="O102" s="15">
        <f t="shared" ca="1" si="21"/>
        <v>0</v>
      </c>
      <c r="P102" s="27"/>
      <c r="Q102" s="28" t="e">
        <f t="shared" ca="1" si="22"/>
        <v>#DIV/0!</v>
      </c>
    </row>
    <row r="103" spans="1:17" ht="15.75" hidden="1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2'!H59</f>
        <v>271.73</v>
      </c>
      <c r="E103" s="15">
        <f t="shared" ca="1" si="16"/>
        <v>3.4958998149963588E-2</v>
      </c>
      <c r="F103" s="79">
        <f>D103+'[1]2025 Απρίλιος'!F103</f>
        <v>271.73</v>
      </c>
      <c r="G103" s="15" t="e">
        <f t="shared" si="17"/>
        <v>#VALUE!</v>
      </c>
      <c r="H103" s="14"/>
      <c r="I103" s="26" t="e">
        <f t="shared" ca="1" si="18"/>
        <v>#DIV/0!</v>
      </c>
      <c r="J103" s="27"/>
      <c r="K103" s="27" t="e">
        <f t="shared" ca="1" si="19"/>
        <v>#DIV/0!</v>
      </c>
      <c r="L103" s="79">
        <f>'[1]2024_60-69 ΕΞΟΔΑ+ΟΜ 2'!H57</f>
        <v>1059.94</v>
      </c>
      <c r="M103" s="15">
        <f t="shared" ca="1" si="20"/>
        <v>0.13945037653733008</v>
      </c>
      <c r="N103" s="10">
        <f>L103+'[1]2025 Απρίλιος'!N103</f>
        <v>2456.17</v>
      </c>
      <c r="O103" s="15">
        <f t="shared" ca="1" si="21"/>
        <v>4.4784482302784138E-2</v>
      </c>
      <c r="P103" s="27"/>
      <c r="Q103" s="28" t="e">
        <f t="shared" ca="1" si="22"/>
        <v>#DIV/0!</v>
      </c>
    </row>
    <row r="104" spans="1:17" ht="15.75" hidden="1" customHeight="1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2'!H60</f>
        <v>0</v>
      </c>
      <c r="E104" s="15">
        <f t="shared" ca="1" si="16"/>
        <v>0</v>
      </c>
      <c r="F104" s="79">
        <f>D104+'[1]2025 Απρίλιος'!F104</f>
        <v>2273.7399999999998</v>
      </c>
      <c r="G104" s="15" t="e">
        <f t="shared" si="17"/>
        <v>#VALUE!</v>
      </c>
      <c r="H104" s="14"/>
      <c r="I104" s="26" t="e">
        <f t="shared" ca="1" si="18"/>
        <v>#DIV/0!</v>
      </c>
      <c r="J104" s="27"/>
      <c r="K104" s="27" t="e">
        <f t="shared" ca="1" si="19"/>
        <v>#DIV/0!</v>
      </c>
      <c r="L104" s="79">
        <f>'[1]2024_60-69 ΕΞΟΔΑ+ΟΜ 2'!H58</f>
        <v>0</v>
      </c>
      <c r="M104" s="15">
        <f t="shared" ca="1" si="20"/>
        <v>0</v>
      </c>
      <c r="N104" s="10">
        <f>L104+'[1]2025 Απρίλιος'!N104</f>
        <v>2598.29</v>
      </c>
      <c r="O104" s="15">
        <f t="shared" ca="1" si="21"/>
        <v>4.7375821918882247E-2</v>
      </c>
      <c r="P104" s="27"/>
      <c r="Q104" s="28" t="e">
        <f t="shared" ca="1" si="22"/>
        <v>#DIV/0!</v>
      </c>
    </row>
    <row r="105" spans="1:17" ht="31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2'!H61</f>
        <v>0</v>
      </c>
      <c r="E105" s="15">
        <f t="shared" ca="1" si="16"/>
        <v>0</v>
      </c>
      <c r="F105" s="79">
        <f>D105+'[1]2025 Απρίλιος'!F105</f>
        <v>0</v>
      </c>
      <c r="G105" s="15" t="e">
        <f t="shared" si="17"/>
        <v>#VALUE!</v>
      </c>
      <c r="H105" s="14"/>
      <c r="I105" s="26" t="e">
        <f t="shared" ca="1" si="18"/>
        <v>#DIV/0!</v>
      </c>
      <c r="J105" s="27"/>
      <c r="K105" s="27" t="e">
        <f t="shared" ca="1" si="19"/>
        <v>#DIV/0!</v>
      </c>
      <c r="L105" s="79">
        <f>'[1]2024_60-69 ΕΞΟΔΑ+ΟΜ 2'!H59</f>
        <v>0</v>
      </c>
      <c r="M105" s="15">
        <f t="shared" ca="1" si="20"/>
        <v>0</v>
      </c>
      <c r="N105" s="10">
        <f>L105+'[1]2025 Απρίλιος'!N105</f>
        <v>0</v>
      </c>
      <c r="O105" s="15">
        <f t="shared" ca="1" si="21"/>
        <v>0</v>
      </c>
      <c r="P105" s="27"/>
      <c r="Q105" s="28" t="e">
        <f t="shared" ca="1" si="22"/>
        <v>#DIV/0!</v>
      </c>
    </row>
    <row r="106" spans="1:17" ht="45" customHeight="1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 t="e">
        <f t="shared" ca="1" si="18"/>
        <v>#DIV/0!</v>
      </c>
      <c r="J106" s="27"/>
      <c r="K106" s="27" t="e">
        <f t="shared" ca="1" si="19"/>
        <v>#DIV/0!</v>
      </c>
      <c r="L106" s="79">
        <f>'[1]2024_60-69 ΕΞΟΔΑ+ΟΜ 2'!H60</f>
        <v>0</v>
      </c>
      <c r="M106" s="15">
        <f t="shared" ca="1" si="20"/>
        <v>0</v>
      </c>
      <c r="N106" s="27">
        <f>L106+'[1]2025 Απρίλιος'!N106</f>
        <v>0</v>
      </c>
      <c r="O106" s="27">
        <f t="shared" ca="1" si="21"/>
        <v>0</v>
      </c>
      <c r="P106" s="27"/>
      <c r="Q106" s="28" t="e">
        <f t="shared" ca="1" si="22"/>
        <v>#DIV/0!</v>
      </c>
    </row>
    <row r="107" spans="1:17" ht="30" customHeight="1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>
        <f>'[1]2024_60-69 ΕΞΟΔΑ+ΟΜ 2'!H61</f>
        <v>0</v>
      </c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26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2'!H36</f>
        <v>7772.8200000000024</v>
      </c>
      <c r="E111" s="8"/>
      <c r="F111" s="7">
        <f>D111+'[1]2025 Απρίλιος'!F111</f>
        <v>7772.8200000000024</v>
      </c>
      <c r="G111" s="8"/>
      <c r="H111" s="7">
        <f ca="1">SUM(H47:H110)</f>
        <v>0</v>
      </c>
      <c r="I111" s="8"/>
      <c r="J111" s="7">
        <f ca="1">SUM(J47:J110)</f>
        <v>0</v>
      </c>
      <c r="K111" s="8"/>
      <c r="L111" s="7">
        <f ca="1">SUM(L47:L110)</f>
        <v>7600.84</v>
      </c>
      <c r="M111" s="8"/>
      <c r="N111" s="7">
        <f ca="1">SUM(N47:N110)</f>
        <v>54844.22</v>
      </c>
      <c r="O111" s="8"/>
      <c r="P111" s="7">
        <f ca="1">SUM(P47:P110)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 ca="1">D84-D111</f>
        <v>0</v>
      </c>
      <c r="E112" s="8"/>
      <c r="F112" s="7" t="e">
        <f>F84-F111</f>
        <v>#VALUE!</v>
      </c>
      <c r="G112" s="8"/>
      <c r="H112" s="7">
        <f ca="1">H84-H111</f>
        <v>0</v>
      </c>
      <c r="I112" s="8"/>
      <c r="J112" s="7">
        <f ca="1">J84-J111</f>
        <v>0</v>
      </c>
      <c r="K112" s="8"/>
      <c r="L112" s="7">
        <f ca="1">L84-L111</f>
        <v>0</v>
      </c>
      <c r="M112" s="8"/>
      <c r="N112" s="7">
        <f ca="1">N84-N111</f>
        <v>0</v>
      </c>
      <c r="O112" s="8"/>
      <c r="P112" s="7">
        <f ca="1">P84-P111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0" t="str">
        <f>[1]ΑΝΤΙΣΤΟΙΧΙΣΗ!$F$110</f>
        <v xml:space="preserve">ΜΑΙΟΣ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[1]ΑΝΤΙΣΤΟΙΧΙΣΗ!$F$110</f>
        <v xml:space="preserve">ΜΑΙΟΣ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[1]ΑΝΤΙΣΤΟΙΧΙΣΗ!$F$124</f>
        <v>ΜΑΙΟΣ ΠΡΟΗΓΟΥΜΕΝΟΥ ΕΤΟΥΣ</v>
      </c>
      <c r="M114" s="180"/>
      <c r="N114" s="180"/>
      <c r="O114" s="61">
        <f>[1]ΑΝΤΙΣΤΟΙΧΙΣΗ!$D$33</f>
        <v>2024</v>
      </c>
      <c r="P114" s="180"/>
      <c r="Q114" s="180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5588.67</v>
      </c>
      <c r="E116" s="8"/>
      <c r="F116" s="7">
        <f>SUM(F117:F156)</f>
        <v>82790.409999999974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7309.6500000000015</v>
      </c>
      <c r="M116" s="8"/>
      <c r="N116" s="7">
        <f>SUM(N117:N156)</f>
        <v>74116.419999999969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2'!H74</f>
        <v>0</v>
      </c>
      <c r="E117" s="15">
        <f>D117/$D$116</f>
        <v>0</v>
      </c>
      <c r="F117" s="10">
        <f>D117+'[1]2025 Απρίλιος'!F117</f>
        <v>39488.04</v>
      </c>
      <c r="G117" s="15">
        <f>F117/$F$116</f>
        <v>0.47696393821458322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2'!H66</f>
        <v>1079</v>
      </c>
      <c r="M117" s="15">
        <f>L117/$L$116</f>
        <v>0.14761308680990196</v>
      </c>
      <c r="N117" s="10">
        <f>L117+'[1]2025 Απρίλιος'!N117</f>
        <v>37208.740000000005</v>
      </c>
      <c r="O117" s="15">
        <f>N117/$N$116</f>
        <v>0.50203099394169359</v>
      </c>
      <c r="P117" s="10"/>
      <c r="Q117" s="30" t="e">
        <f t="shared" ref="Q117:Q153" si="23"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2'!H75</f>
        <v>248.55</v>
      </c>
      <c r="E118" s="15">
        <f t="shared" ref="E118:E153" si="24">D118/$D$116</f>
        <v>4.4473908819092918E-2</v>
      </c>
      <c r="F118" s="10">
        <f>D118+'[1]2025 Απρίλιος'!F118</f>
        <v>5553.8</v>
      </c>
      <c r="G118" s="15">
        <f t="shared" ref="G118:G153" si="25">F118/$F$116</f>
        <v>6.7082648823698326E-2</v>
      </c>
      <c r="H118" s="14"/>
      <c r="I118" s="29" t="e">
        <f t="shared" ref="I118:I153" si="26">H118/$H$116</f>
        <v>#DIV/0!</v>
      </c>
      <c r="J118" s="10"/>
      <c r="K118" s="10" t="e">
        <f t="shared" ref="K118:K153" si="27">J118/$J$116</f>
        <v>#DIV/0!</v>
      </c>
      <c r="L118" s="14">
        <f>'[1]2024_60-69 ΕΞΟΔΑ+ΟΜ 2'!H67</f>
        <v>240.51</v>
      </c>
      <c r="M118" s="15">
        <f t="shared" ref="M118:M153" si="28">L118/$L$116</f>
        <v>3.2903080174837368E-2</v>
      </c>
      <c r="N118" s="10">
        <f>L118+'[1]2025 Απρίλιος'!N118</f>
        <v>5753.98</v>
      </c>
      <c r="O118" s="15">
        <f t="shared" ref="O118:O152" si="29">N118/$N$116</f>
        <v>7.7634348771837627E-2</v>
      </c>
      <c r="P118" s="10"/>
      <c r="Q118" s="30" t="e">
        <f t="shared" si="23"/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2'!H76</f>
        <v>965.25</v>
      </c>
      <c r="E119" s="15">
        <f t="shared" si="24"/>
        <v>0.17271551191965173</v>
      </c>
      <c r="F119" s="10">
        <f>D119+'[1]2025 Απρίλιος'!F119</f>
        <v>2044.99</v>
      </c>
      <c r="G119" s="15">
        <f t="shared" si="25"/>
        <v>2.470080773848083E-2</v>
      </c>
      <c r="H119" s="14"/>
      <c r="I119" s="29" t="e">
        <f t="shared" si="26"/>
        <v>#DIV/0!</v>
      </c>
      <c r="J119" s="10"/>
      <c r="K119" s="10" t="e">
        <f t="shared" si="27"/>
        <v>#DIV/0!</v>
      </c>
      <c r="L119" s="14">
        <f>'[1]2024_60-69 ΕΞΟΔΑ+ΟΜ 2'!H68</f>
        <v>850</v>
      </c>
      <c r="M119" s="15">
        <f t="shared" si="28"/>
        <v>0.11628463743134074</v>
      </c>
      <c r="N119" s="10">
        <f>L119+'[1]2025 Απρίλιος'!N119</f>
        <v>1955.6200000000001</v>
      </c>
      <c r="O119" s="15">
        <f t="shared" si="29"/>
        <v>2.6385786037695844E-2</v>
      </c>
      <c r="P119" s="10"/>
      <c r="Q119" s="30" t="e">
        <f t="shared" si="23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2'!H77</f>
        <v>31.52</v>
      </c>
      <c r="E120" s="15">
        <f t="shared" si="24"/>
        <v>5.6399823213752111E-3</v>
      </c>
      <c r="F120" s="10">
        <f>D120+'[1]2025 Απρίλιος'!F120</f>
        <v>3533.52</v>
      </c>
      <c r="G120" s="15">
        <f t="shared" si="25"/>
        <v>4.2680305605443926E-2</v>
      </c>
      <c r="H120" s="14"/>
      <c r="I120" s="29" t="e">
        <f t="shared" si="26"/>
        <v>#DIV/0!</v>
      </c>
      <c r="J120" s="10"/>
      <c r="K120" s="10" t="e">
        <f t="shared" si="27"/>
        <v>#DIV/0!</v>
      </c>
      <c r="L120" s="14">
        <f>'[1]2024_60-69 ΕΞΟΔΑ+ΟΜ 2'!H69</f>
        <v>0</v>
      </c>
      <c r="M120" s="15">
        <f t="shared" si="28"/>
        <v>0</v>
      </c>
      <c r="N120" s="10">
        <f>L120+'[1]2025 Απρίλιος'!N120</f>
        <v>3400</v>
      </c>
      <c r="O120" s="15">
        <f t="shared" si="29"/>
        <v>4.5873775338852056E-2</v>
      </c>
      <c r="P120" s="10"/>
      <c r="Q120" s="30" t="e">
        <f t="shared" si="23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2'!H78</f>
        <v>8.9499999999999993</v>
      </c>
      <c r="E121" s="15">
        <f t="shared" si="24"/>
        <v>1.6014543710757656E-3</v>
      </c>
      <c r="F121" s="10">
        <f>D121+'[1]2025 Απρίλιος'!F121</f>
        <v>8.9499999999999993</v>
      </c>
      <c r="G121" s="15">
        <f t="shared" si="25"/>
        <v>1.0810430821637436E-4</v>
      </c>
      <c r="H121" s="14"/>
      <c r="I121" s="29" t="e">
        <f t="shared" si="26"/>
        <v>#DIV/0!</v>
      </c>
      <c r="J121" s="10"/>
      <c r="K121" s="10" t="e">
        <f t="shared" si="27"/>
        <v>#DIV/0!</v>
      </c>
      <c r="L121" s="14">
        <f>'[1]2024_60-69 ΕΞΟΔΑ+ΟΜ 2'!H70</f>
        <v>241.31</v>
      </c>
      <c r="M121" s="15">
        <f t="shared" si="28"/>
        <v>3.301252453947863E-2</v>
      </c>
      <c r="N121" s="10">
        <f>L121+'[1]2025 Απρίλιος'!N121</f>
        <v>241.31</v>
      </c>
      <c r="O121" s="15">
        <f t="shared" si="29"/>
        <v>3.2558237432407031E-3</v>
      </c>
      <c r="P121" s="10"/>
      <c r="Q121" s="30" t="e">
        <f t="shared" si="23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2'!H79</f>
        <v>0</v>
      </c>
      <c r="E122" s="15">
        <f t="shared" si="24"/>
        <v>0</v>
      </c>
      <c r="F122" s="10">
        <f>D122+'[1]2025 Απρίλιος'!F122</f>
        <v>994.2</v>
      </c>
      <c r="G122" s="15">
        <f t="shared" si="25"/>
        <v>1.2008637232259152E-2</v>
      </c>
      <c r="H122" s="14"/>
      <c r="I122" s="29" t="e">
        <f t="shared" si="26"/>
        <v>#DIV/0!</v>
      </c>
      <c r="J122" s="10"/>
      <c r="K122" s="10" t="e">
        <f t="shared" si="27"/>
        <v>#DIV/0!</v>
      </c>
      <c r="L122" s="14">
        <f>'[1]2024_60-69 ΕΞΟΔΑ+ΟΜ 2'!H71</f>
        <v>965.25</v>
      </c>
      <c r="M122" s="15">
        <f t="shared" si="28"/>
        <v>0.13205146621247252</v>
      </c>
      <c r="N122" s="10">
        <f>L122+'[1]2025 Απρίλιος'!N122</f>
        <v>1930.49</v>
      </c>
      <c r="O122" s="15">
        <f t="shared" si="29"/>
        <v>2.6046724868794266E-2</v>
      </c>
      <c r="P122" s="10"/>
      <c r="Q122" s="30" t="e">
        <f t="shared" si="23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2'!H80</f>
        <v>34.75</v>
      </c>
      <c r="E123" s="15">
        <f t="shared" si="24"/>
        <v>6.2179373625567439E-3</v>
      </c>
      <c r="F123" s="10">
        <f>D123+'[1]2025 Απρίλιος'!F123</f>
        <v>3895.75</v>
      </c>
      <c r="G123" s="15">
        <f t="shared" si="25"/>
        <v>4.7055570808261504E-2</v>
      </c>
      <c r="H123" s="14"/>
      <c r="I123" s="29" t="e">
        <f t="shared" si="26"/>
        <v>#DIV/0!</v>
      </c>
      <c r="J123" s="10"/>
      <c r="K123" s="10" t="e">
        <f t="shared" si="27"/>
        <v>#DIV/0!</v>
      </c>
      <c r="L123" s="14">
        <f>'[1]2024_60-69 ΕΞΟΔΑ+ΟΜ 2'!H72</f>
        <v>30.6</v>
      </c>
      <c r="M123" s="15">
        <f t="shared" si="28"/>
        <v>4.186246947528267E-3</v>
      </c>
      <c r="N123" s="10">
        <f>L123+'[1]2025 Απρίλιος'!N123</f>
        <v>3891.6</v>
      </c>
      <c r="O123" s="15">
        <f t="shared" si="29"/>
        <v>5.250658356137549E-2</v>
      </c>
      <c r="P123" s="10"/>
      <c r="Q123" s="30" t="e">
        <f t="shared" si="23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2'!H81</f>
        <v>0</v>
      </c>
      <c r="E124" s="15">
        <f t="shared" si="24"/>
        <v>0</v>
      </c>
      <c r="F124" s="10">
        <f>D124+'[1]2025 Απρίλιος'!F124</f>
        <v>126.08</v>
      </c>
      <c r="G124" s="15">
        <f t="shared" si="25"/>
        <v>1.5228816960805005E-3</v>
      </c>
      <c r="H124" s="14"/>
      <c r="I124" s="29" t="e">
        <f t="shared" si="26"/>
        <v>#DIV/0!</v>
      </c>
      <c r="J124" s="10"/>
      <c r="K124" s="10" t="e">
        <f t="shared" si="27"/>
        <v>#DIV/0!</v>
      </c>
      <c r="L124" s="14">
        <f>'[1]2024_60-69 ΕΞΟΔΑ+ΟΜ 2'!H73</f>
        <v>8.69</v>
      </c>
      <c r="M124" s="15">
        <f t="shared" si="28"/>
        <v>1.188839410915707E-3</v>
      </c>
      <c r="N124" s="10">
        <f>L124+'[1]2025 Απρίλιος'!N124</f>
        <v>131.09</v>
      </c>
      <c r="O124" s="15">
        <f t="shared" si="29"/>
        <v>1.7687038850500343E-3</v>
      </c>
      <c r="P124" s="10"/>
      <c r="Q124" s="30" t="e">
        <f t="shared" si="23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2'!H82</f>
        <v>0</v>
      </c>
      <c r="E125" s="15">
        <f t="shared" si="24"/>
        <v>0</v>
      </c>
      <c r="F125" s="10">
        <f>D125+'[1]2025 Απρίλιος'!F125</f>
        <v>35.799999999999997</v>
      </c>
      <c r="G125" s="15">
        <f t="shared" si="25"/>
        <v>4.3241723286549744E-4</v>
      </c>
      <c r="H125" s="14"/>
      <c r="I125" s="29" t="e">
        <f t="shared" si="26"/>
        <v>#DIV/0!</v>
      </c>
      <c r="J125" s="10"/>
      <c r="K125" s="10" t="e">
        <f t="shared" si="27"/>
        <v>#DIV/0!</v>
      </c>
      <c r="L125" s="14">
        <f>'[1]2024_60-69 ΕΞΟΔΑ+ΟΜ 2'!H74</f>
        <v>0</v>
      </c>
      <c r="M125" s="15">
        <f t="shared" si="28"/>
        <v>0</v>
      </c>
      <c r="N125" s="10">
        <f>L125+'[1]2025 Απρίλιος'!N125</f>
        <v>34.76</v>
      </c>
      <c r="O125" s="15">
        <f t="shared" si="29"/>
        <v>4.6899189140544044E-4</v>
      </c>
      <c r="P125" s="10"/>
      <c r="Q125" s="30" t="e">
        <f t="shared" si="23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2'!H83</f>
        <v>0</v>
      </c>
      <c r="E126" s="15">
        <f t="shared" si="24"/>
        <v>0</v>
      </c>
      <c r="F126" s="10">
        <f>D126+'[1]2025 Απρίλιος'!F126</f>
        <v>0</v>
      </c>
      <c r="G126" s="15">
        <f t="shared" si="25"/>
        <v>0</v>
      </c>
      <c r="H126" s="14"/>
      <c r="I126" s="29" t="e">
        <f t="shared" si="26"/>
        <v>#DIV/0!</v>
      </c>
      <c r="J126" s="10"/>
      <c r="K126" s="10" t="e">
        <f t="shared" si="27"/>
        <v>#DIV/0!</v>
      </c>
      <c r="L126" s="14">
        <f>'[1]2024_60-69 ΕΞΟΔΑ+ΟΜ 2'!H75</f>
        <v>34.75</v>
      </c>
      <c r="M126" s="15">
        <f t="shared" si="28"/>
        <v>4.7539895891048128E-3</v>
      </c>
      <c r="N126" s="10">
        <f>L126+'[1]2025 Απρίλιος'!N126</f>
        <v>34.75</v>
      </c>
      <c r="O126" s="15">
        <f t="shared" si="29"/>
        <v>4.6885696853679674E-4</v>
      </c>
      <c r="P126" s="10"/>
      <c r="Q126" s="30" t="e">
        <f t="shared" si="23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2'!H84</f>
        <v>31</v>
      </c>
      <c r="E127" s="15">
        <f t="shared" si="24"/>
        <v>5.5469369277484628E-3</v>
      </c>
      <c r="F127" s="10">
        <f>D127+'[1]2025 Απρίλιος'!F127</f>
        <v>170</v>
      </c>
      <c r="G127" s="15">
        <f t="shared" si="25"/>
        <v>2.0533779214283398E-3</v>
      </c>
      <c r="H127" s="14"/>
      <c r="I127" s="29" t="e">
        <f t="shared" si="26"/>
        <v>#DIV/0!</v>
      </c>
      <c r="J127" s="10"/>
      <c r="K127" s="10" t="e">
        <f t="shared" si="27"/>
        <v>#DIV/0!</v>
      </c>
      <c r="L127" s="14">
        <f>'[1]2024_60-69 ΕΞΟΔΑ+ΟΜ 2'!H76</f>
        <v>0</v>
      </c>
      <c r="M127" s="15">
        <f t="shared" si="28"/>
        <v>0</v>
      </c>
      <c r="N127" s="10">
        <f>L127+'[1]2025 Απρίλιος'!N127</f>
        <v>139</v>
      </c>
      <c r="O127" s="15">
        <f t="shared" si="29"/>
        <v>1.875427874147187E-3</v>
      </c>
      <c r="P127" s="10"/>
      <c r="Q127" s="30" t="e">
        <f t="shared" si="23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2'!H85</f>
        <v>139.47999999999999</v>
      </c>
      <c r="E128" s="15">
        <f t="shared" si="24"/>
        <v>2.4957637505882434E-2</v>
      </c>
      <c r="F128" s="10">
        <f>D128+'[1]2025 Απρίλιος'!F128</f>
        <v>139.47999999999999</v>
      </c>
      <c r="G128" s="15">
        <f t="shared" si="25"/>
        <v>1.6847361910636756E-3</v>
      </c>
      <c r="H128" s="14"/>
      <c r="I128" s="29" t="e">
        <f t="shared" si="26"/>
        <v>#DIV/0!</v>
      </c>
      <c r="J128" s="10"/>
      <c r="K128" s="10" t="e">
        <f t="shared" si="27"/>
        <v>#DIV/0!</v>
      </c>
      <c r="L128" s="14">
        <f>'[1]2024_60-69 ΕΞΟΔΑ+ΟΜ 2'!H77</f>
        <v>0</v>
      </c>
      <c r="M128" s="15">
        <f t="shared" si="28"/>
        <v>0</v>
      </c>
      <c r="N128" s="10">
        <f>L128+'[1]2025 Απρίλιος'!N128</f>
        <v>0</v>
      </c>
      <c r="O128" s="15">
        <f t="shared" si="29"/>
        <v>0</v>
      </c>
      <c r="P128" s="10"/>
      <c r="Q128" s="30" t="e">
        <f t="shared" si="23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2'!H86</f>
        <v>15.9</v>
      </c>
      <c r="E129" s="15">
        <f t="shared" si="24"/>
        <v>2.8450418435871146E-3</v>
      </c>
      <c r="F129" s="10">
        <f>D129+'[1]2025 Απρίλιος'!F129</f>
        <v>15.9</v>
      </c>
      <c r="G129" s="15">
        <f t="shared" si="25"/>
        <v>1.9205122912182708E-4</v>
      </c>
      <c r="H129" s="14"/>
      <c r="I129" s="29" t="e">
        <f t="shared" si="26"/>
        <v>#DIV/0!</v>
      </c>
      <c r="J129" s="10"/>
      <c r="K129" s="10" t="e">
        <f t="shared" si="27"/>
        <v>#DIV/0!</v>
      </c>
      <c r="L129" s="14">
        <f>'[1]2024_60-69 ΕΞΟΔΑ+ΟΜ 2'!H78</f>
        <v>0</v>
      </c>
      <c r="M129" s="15">
        <f t="shared" si="28"/>
        <v>0</v>
      </c>
      <c r="N129" s="10">
        <f>L129+'[1]2025 Απρίλιος'!N129</f>
        <v>0</v>
      </c>
      <c r="O129" s="15">
        <f t="shared" si="29"/>
        <v>0</v>
      </c>
      <c r="P129" s="10"/>
      <c r="Q129" s="30" t="e">
        <f t="shared" si="23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2'!H87</f>
        <v>13.46</v>
      </c>
      <c r="E130" s="15">
        <f t="shared" si="24"/>
        <v>2.4084442273385261E-3</v>
      </c>
      <c r="F130" s="10">
        <f>D130+'[1]2025 Απρίλιος'!F130</f>
        <v>13.46</v>
      </c>
      <c r="G130" s="15">
        <f t="shared" si="25"/>
        <v>1.6257921660250269E-4</v>
      </c>
      <c r="H130" s="14"/>
      <c r="I130" s="29" t="e">
        <f t="shared" si="26"/>
        <v>#DIV/0!</v>
      </c>
      <c r="J130" s="10"/>
      <c r="K130" s="10" t="e">
        <f t="shared" si="27"/>
        <v>#DIV/0!</v>
      </c>
      <c r="L130" s="14">
        <f>'[1]2024_60-69 ΕΞΟΔΑ+ΟΜ 2'!H79</f>
        <v>32</v>
      </c>
      <c r="M130" s="15">
        <f t="shared" si="28"/>
        <v>4.3777745856504752E-3</v>
      </c>
      <c r="N130" s="10">
        <f>L130+'[1]2025 Απρίλιος'!N130</f>
        <v>32</v>
      </c>
      <c r="O130" s="15">
        <f t="shared" si="29"/>
        <v>4.3175317965978406E-4</v>
      </c>
      <c r="P130" s="10"/>
      <c r="Q130" s="30" t="e">
        <f t="shared" si="23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2'!H88</f>
        <v>12.74</v>
      </c>
      <c r="E131" s="15">
        <f t="shared" si="24"/>
        <v>2.2796121438553359E-3</v>
      </c>
      <c r="F131" s="10">
        <f>D131+'[1]2025 Απρίλιος'!F131</f>
        <v>154.24</v>
      </c>
      <c r="G131" s="15">
        <f t="shared" si="25"/>
        <v>1.8630177094182776E-3</v>
      </c>
      <c r="H131" s="14"/>
      <c r="I131" s="29" t="e">
        <f t="shared" si="26"/>
        <v>#DIV/0!</v>
      </c>
      <c r="J131" s="10"/>
      <c r="K131" s="10" t="e">
        <f t="shared" si="27"/>
        <v>#DIV/0!</v>
      </c>
      <c r="L131" s="14">
        <f>'[1]2024_60-69 ΕΞΟΔΑ+ΟΜ 2'!H80</f>
        <v>140.11000000000001</v>
      </c>
      <c r="M131" s="15">
        <f t="shared" si="28"/>
        <v>1.9167812412359004E-2</v>
      </c>
      <c r="N131" s="10">
        <f>L131+'[1]2025 Απρίλιος'!N131</f>
        <v>325.61</v>
      </c>
      <c r="O131" s="15">
        <f t="shared" si="29"/>
        <v>4.3932235259069464E-3</v>
      </c>
      <c r="P131" s="10"/>
      <c r="Q131" s="30" t="e">
        <f t="shared" si="23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2'!H89</f>
        <v>345.63</v>
      </c>
      <c r="E132" s="15">
        <f t="shared" si="24"/>
        <v>6.1844768075409715E-2</v>
      </c>
      <c r="F132" s="10">
        <f>D132+'[1]2025 Απρίλιος'!F132</f>
        <v>957.79</v>
      </c>
      <c r="G132" s="15">
        <f t="shared" si="25"/>
        <v>1.1568851996263821E-2</v>
      </c>
      <c r="H132" s="14"/>
      <c r="I132" s="29" t="e">
        <f t="shared" si="26"/>
        <v>#DIV/0!</v>
      </c>
      <c r="J132" s="10"/>
      <c r="K132" s="10" t="e">
        <f t="shared" si="27"/>
        <v>#DIV/0!</v>
      </c>
      <c r="L132" s="14">
        <f>'[1]2024_60-69 ΕΞΟΔΑ+ΟΜ 2'!H81</f>
        <v>29.59</v>
      </c>
      <c r="M132" s="15">
        <f t="shared" si="28"/>
        <v>4.0480734371686738E-3</v>
      </c>
      <c r="N132" s="10">
        <f>L132+'[1]2025 Απρίλιος'!N132</f>
        <v>377.42</v>
      </c>
      <c r="O132" s="15">
        <f t="shared" si="29"/>
        <v>5.0922589083498664E-3</v>
      </c>
      <c r="P132" s="10"/>
      <c r="Q132" s="30" t="e">
        <f t="shared" si="23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2'!H90</f>
        <v>13.49</v>
      </c>
      <c r="E133" s="15">
        <f t="shared" si="24"/>
        <v>2.4138122308169922E-3</v>
      </c>
      <c r="F133" s="10">
        <f>D133+'[1]2025 Απρίλιος'!F133</f>
        <v>86.27</v>
      </c>
      <c r="G133" s="15">
        <f t="shared" si="25"/>
        <v>1.0420289016566052E-3</v>
      </c>
      <c r="H133" s="14"/>
      <c r="I133" s="29" t="e">
        <f t="shared" si="26"/>
        <v>#DIV/0!</v>
      </c>
      <c r="J133" s="10"/>
      <c r="K133" s="10" t="e">
        <f t="shared" si="27"/>
        <v>#DIV/0!</v>
      </c>
      <c r="L133" s="14">
        <f>'[1]2024_60-69 ΕΞΟΔΑ+ΟΜ 2'!H82</f>
        <v>-11.02</v>
      </c>
      <c r="M133" s="15">
        <f t="shared" si="28"/>
        <v>-1.5075961229333822E-3</v>
      </c>
      <c r="N133" s="10">
        <f>L133+'[1]2025 Απρίλιος'!N133</f>
        <v>-7.9999999999999964</v>
      </c>
      <c r="O133" s="15">
        <f t="shared" si="29"/>
        <v>-1.0793829491494598E-4</v>
      </c>
      <c r="P133" s="10"/>
      <c r="Q133" s="30" t="e">
        <f t="shared" si="23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2'!H91</f>
        <v>0</v>
      </c>
      <c r="E134" s="15">
        <f t="shared" si="24"/>
        <v>0</v>
      </c>
      <c r="F134" s="10">
        <f>D134+'[1]2025 Απρίλιος'!F134</f>
        <v>32.85</v>
      </c>
      <c r="G134" s="15">
        <f t="shared" si="25"/>
        <v>3.9678508658188807E-4</v>
      </c>
      <c r="H134" s="14"/>
      <c r="I134" s="29" t="e">
        <f t="shared" si="26"/>
        <v>#DIV/0!</v>
      </c>
      <c r="J134" s="10"/>
      <c r="K134" s="10" t="e">
        <f t="shared" si="27"/>
        <v>#DIV/0!</v>
      </c>
      <c r="L134" s="14">
        <f>'[1]2024_60-69 ΕΞΟΔΑ+ΟΜ 2'!H83</f>
        <v>69.48</v>
      </c>
      <c r="M134" s="15">
        <f t="shared" si="28"/>
        <v>9.5052430690935937E-3</v>
      </c>
      <c r="N134" s="10">
        <f>L134+'[1]2025 Απρίλιος'!N134</f>
        <v>114.87</v>
      </c>
      <c r="O134" s="15">
        <f t="shared" si="29"/>
        <v>1.5498589921099813E-3</v>
      </c>
      <c r="P134" s="10"/>
      <c r="Q134" s="30" t="e">
        <f t="shared" si="23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2'!H92</f>
        <v>0</v>
      </c>
      <c r="E135" s="15">
        <f t="shared" si="24"/>
        <v>0</v>
      </c>
      <c r="F135" s="10">
        <f>D135+'[1]2025 Απρίλιος'!F135</f>
        <v>49.63</v>
      </c>
      <c r="G135" s="15">
        <f t="shared" si="25"/>
        <v>5.9946556612052067E-4</v>
      </c>
      <c r="H135" s="14"/>
      <c r="I135" s="29" t="e">
        <f t="shared" si="26"/>
        <v>#DIV/0!</v>
      </c>
      <c r="J135" s="10"/>
      <c r="K135" s="10" t="e">
        <f t="shared" si="27"/>
        <v>#DIV/0!</v>
      </c>
      <c r="L135" s="14">
        <f>'[1]2024_60-69 ΕΞΟΔΑ+ΟΜ 2'!H84</f>
        <v>369.61999999999989</v>
      </c>
      <c r="M135" s="15">
        <f t="shared" si="28"/>
        <v>5.0566032573379001E-2</v>
      </c>
      <c r="N135" s="10">
        <f>L135+'[1]2025 Απρίλιος'!N135</f>
        <v>401.6699999999999</v>
      </c>
      <c r="O135" s="15">
        <f t="shared" si="29"/>
        <v>5.4194468648107947E-3</v>
      </c>
      <c r="P135" s="10"/>
      <c r="Q135" s="30" t="e">
        <f t="shared" si="23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2'!H93</f>
        <v>0</v>
      </c>
      <c r="E136" s="15">
        <f t="shared" si="24"/>
        <v>0</v>
      </c>
      <c r="F136" s="10">
        <f>D136+'[1]2025 Απρίλιος'!F136</f>
        <v>1137.17</v>
      </c>
      <c r="G136" s="15">
        <f t="shared" si="25"/>
        <v>1.3735528064180385E-2</v>
      </c>
      <c r="H136" s="14"/>
      <c r="I136" s="29" t="e">
        <f t="shared" si="26"/>
        <v>#DIV/0!</v>
      </c>
      <c r="J136" s="10"/>
      <c r="K136" s="10" t="e">
        <f t="shared" si="27"/>
        <v>#DIV/0!</v>
      </c>
      <c r="L136" s="14">
        <f>'[1]2024_60-69 ΕΞΟΔΑ+ΟΜ 2'!H85</f>
        <v>21.68</v>
      </c>
      <c r="M136" s="15">
        <f t="shared" si="28"/>
        <v>2.9659422817781968E-3</v>
      </c>
      <c r="N136" s="10">
        <f>L136+'[1]2025 Απρίλιος'!N136</f>
        <v>1120.8</v>
      </c>
      <c r="O136" s="15">
        <f t="shared" si="29"/>
        <v>1.5122155117583936E-2</v>
      </c>
      <c r="P136" s="10"/>
      <c r="Q136" s="30" t="e">
        <f t="shared" si="23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2'!H94</f>
        <v>0</v>
      </c>
      <c r="E137" s="15">
        <f t="shared" si="24"/>
        <v>0</v>
      </c>
      <c r="F137" s="10">
        <f>D137+'[1]2025 Απρίλιος'!F137</f>
        <v>12.13</v>
      </c>
      <c r="G137" s="15">
        <f t="shared" si="25"/>
        <v>1.4651455404073979E-4</v>
      </c>
      <c r="H137" s="14"/>
      <c r="I137" s="29" t="e">
        <f t="shared" si="26"/>
        <v>#DIV/0!</v>
      </c>
      <c r="J137" s="10"/>
      <c r="K137" s="10" t="e">
        <f t="shared" si="27"/>
        <v>#DIV/0!</v>
      </c>
      <c r="L137" s="14">
        <f>'[1]2024_60-69 ΕΞΟΔΑ+ΟΜ 2'!H86</f>
        <v>81.84</v>
      </c>
      <c r="M137" s="15">
        <f t="shared" si="28"/>
        <v>1.119615850280109E-2</v>
      </c>
      <c r="N137" s="10">
        <f>L137+'[1]2025 Απρίλιος'!N137</f>
        <v>110.47</v>
      </c>
      <c r="O137" s="15">
        <f t="shared" si="29"/>
        <v>1.4904929299067609E-3</v>
      </c>
      <c r="P137" s="10"/>
      <c r="Q137" s="30" t="e">
        <f t="shared" si="23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2'!H95</f>
        <v>598.04999999999995</v>
      </c>
      <c r="E138" s="15">
        <f t="shared" si="24"/>
        <v>0.10701114934322477</v>
      </c>
      <c r="F138" s="10">
        <f>D138+'[1]2025 Απρίλιος'!F138</f>
        <v>897.3</v>
      </c>
      <c r="G138" s="15">
        <f t="shared" si="25"/>
        <v>1.0838211817044996E-2</v>
      </c>
      <c r="H138" s="14"/>
      <c r="I138" s="29" t="e">
        <f t="shared" si="26"/>
        <v>#DIV/0!</v>
      </c>
      <c r="J138" s="10"/>
      <c r="K138" s="10" t="e">
        <f t="shared" si="27"/>
        <v>#DIV/0!</v>
      </c>
      <c r="L138" s="14">
        <f>'[1]2024_60-69 ΕΞΟΔΑ+ΟΜ 2'!H87</f>
        <v>0</v>
      </c>
      <c r="M138" s="15">
        <f t="shared" si="28"/>
        <v>0</v>
      </c>
      <c r="N138" s="10">
        <f>L138+'[1]2025 Απρίλιος'!N138</f>
        <v>387.74</v>
      </c>
      <c r="O138" s="15">
        <f t="shared" si="29"/>
        <v>5.2314993087901459E-3</v>
      </c>
      <c r="P138" s="10"/>
      <c r="Q138" s="30" t="e">
        <f t="shared" si="23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2'!H96</f>
        <v>500</v>
      </c>
      <c r="E139" s="15">
        <f t="shared" si="24"/>
        <v>8.9466724641104237E-2</v>
      </c>
      <c r="F139" s="10">
        <f>D139+'[1]2025 Απρίλιος'!F139</f>
        <v>500</v>
      </c>
      <c r="G139" s="15">
        <f t="shared" si="25"/>
        <v>6.0393468277304121E-3</v>
      </c>
      <c r="H139" s="14"/>
      <c r="I139" s="29" t="e">
        <f t="shared" si="26"/>
        <v>#DIV/0!</v>
      </c>
      <c r="J139" s="10"/>
      <c r="K139" s="10" t="e">
        <f t="shared" si="27"/>
        <v>#DIV/0!</v>
      </c>
      <c r="L139" s="14">
        <f>'[1]2024_60-69 ΕΞΟΔΑ+ΟΜ 2'!H88</f>
        <v>0</v>
      </c>
      <c r="M139" s="15">
        <f t="shared" si="28"/>
        <v>0</v>
      </c>
      <c r="N139" s="10">
        <f>L139+'[1]2025 Απρίλιος'!N139</f>
        <v>0</v>
      </c>
      <c r="O139" s="15">
        <f t="shared" si="29"/>
        <v>0</v>
      </c>
      <c r="P139" s="10"/>
      <c r="Q139" s="30" t="e">
        <f t="shared" si="23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2'!H97</f>
        <v>166.37</v>
      </c>
      <c r="E140" s="15">
        <f t="shared" si="24"/>
        <v>2.9769157957081023E-2</v>
      </c>
      <c r="F140" s="10">
        <f>D140+'[1]2025 Απρίλιος'!F140</f>
        <v>166.37</v>
      </c>
      <c r="G140" s="15">
        <f t="shared" si="25"/>
        <v>2.0095322634590173E-3</v>
      </c>
      <c r="H140" s="14"/>
      <c r="I140" s="29" t="e">
        <f t="shared" si="26"/>
        <v>#DIV/0!</v>
      </c>
      <c r="J140" s="10"/>
      <c r="K140" s="10" t="e">
        <f t="shared" si="27"/>
        <v>#DIV/0!</v>
      </c>
      <c r="L140" s="14">
        <f>'[1]2024_60-69 ΕΞΟΔΑ+ΟΜ 2'!H89</f>
        <v>0</v>
      </c>
      <c r="M140" s="15">
        <f t="shared" si="28"/>
        <v>0</v>
      </c>
      <c r="N140" s="10">
        <f>L140+'[1]2025 Απρίλιος'!N140</f>
        <v>0</v>
      </c>
      <c r="O140" s="15">
        <f t="shared" si="29"/>
        <v>0</v>
      </c>
      <c r="P140" s="10"/>
      <c r="Q140" s="30" t="e">
        <f t="shared" si="23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2'!H98</f>
        <v>82.02000000000001</v>
      </c>
      <c r="E141" s="15">
        <f t="shared" si="24"/>
        <v>1.467612151012674E-2</v>
      </c>
      <c r="F141" s="10">
        <f>D141+'[1]2025 Απρίλιος'!F141</f>
        <v>82.02000000000001</v>
      </c>
      <c r="G141" s="15">
        <f t="shared" si="25"/>
        <v>9.9069445362089678E-4</v>
      </c>
      <c r="H141" s="14"/>
      <c r="I141" s="29" t="e">
        <f t="shared" si="26"/>
        <v>#DIV/0!</v>
      </c>
      <c r="J141" s="10"/>
      <c r="K141" s="10" t="e">
        <f t="shared" si="27"/>
        <v>#DIV/0!</v>
      </c>
      <c r="L141" s="14">
        <f>'[1]2024_60-69 ΕΞΟΔΑ+ΟΜ 2'!H90</f>
        <v>768.06</v>
      </c>
      <c r="M141" s="15">
        <f t="shared" si="28"/>
        <v>0.10507479838295948</v>
      </c>
      <c r="N141" s="10">
        <f>L141+'[1]2025 Απρίλιος'!N141</f>
        <v>768.06</v>
      </c>
      <c r="O141" s="15">
        <f t="shared" si="29"/>
        <v>1.0362885849046679E-2</v>
      </c>
      <c r="P141" s="10"/>
      <c r="Q141" s="30" t="e">
        <f t="shared" si="23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2'!H99</f>
        <v>66.349999999999994</v>
      </c>
      <c r="E142" s="15">
        <f t="shared" si="24"/>
        <v>1.187223435987453E-2</v>
      </c>
      <c r="F142" s="10">
        <f>D142+'[1]2025 Απρίλιος'!F142</f>
        <v>554.89</v>
      </c>
      <c r="G142" s="15">
        <f t="shared" si="25"/>
        <v>6.7023463224786563E-3</v>
      </c>
      <c r="H142" s="14"/>
      <c r="I142" s="29" t="e">
        <f t="shared" si="26"/>
        <v>#DIV/0!</v>
      </c>
      <c r="J142" s="10"/>
      <c r="K142" s="10" t="e">
        <f t="shared" si="27"/>
        <v>#DIV/0!</v>
      </c>
      <c r="L142" s="14">
        <f>'[1]2024_60-69 ΕΞΟΔΑ+ΟΜ 2'!H91</f>
        <v>900</v>
      </c>
      <c r="M142" s="15">
        <f t="shared" si="28"/>
        <v>0.12312491022141961</v>
      </c>
      <c r="N142" s="10">
        <f>L142+'[1]2025 Απρίλιος'!N142</f>
        <v>1033.24</v>
      </c>
      <c r="O142" s="15">
        <f t="shared" si="29"/>
        <v>1.3940770479739854E-2</v>
      </c>
      <c r="P142" s="10"/>
      <c r="Q142" s="30" t="e">
        <f t="shared" si="23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2'!H100</f>
        <v>0</v>
      </c>
      <c r="E143" s="15">
        <f t="shared" si="24"/>
        <v>0</v>
      </c>
      <c r="F143" s="10">
        <f>D143+'[1]2025 Απρίλιος'!F143</f>
        <v>4742.7299999999996</v>
      </c>
      <c r="G143" s="15">
        <f t="shared" si="25"/>
        <v>5.7285982760563708E-2</v>
      </c>
      <c r="H143" s="14"/>
      <c r="I143" s="29" t="e">
        <f t="shared" si="26"/>
        <v>#DIV/0!</v>
      </c>
      <c r="J143" s="10"/>
      <c r="K143" s="10" t="e">
        <f t="shared" si="27"/>
        <v>#DIV/0!</v>
      </c>
      <c r="L143" s="14">
        <f>'[1]2024_60-69 ΕΞΟΔΑ+ΟΜ 2'!H92</f>
        <v>158.65</v>
      </c>
      <c r="M143" s="15">
        <f t="shared" si="28"/>
        <v>2.1704185562920246E-2</v>
      </c>
      <c r="N143" s="10">
        <f>L143+'[1]2025 Απρίλιος'!N143</f>
        <v>3158.65</v>
      </c>
      <c r="O143" s="15">
        <f t="shared" si="29"/>
        <v>4.261741190413678E-2</v>
      </c>
      <c r="P143" s="10"/>
      <c r="Q143" s="30" t="e">
        <f t="shared" si="23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2'!H101</f>
        <v>0</v>
      </c>
      <c r="E144" s="15">
        <f t="shared" si="24"/>
        <v>0</v>
      </c>
      <c r="F144" s="10">
        <f>D144+'[1]2025 Απρίλιος'!F144</f>
        <v>4434.25</v>
      </c>
      <c r="G144" s="15">
        <f t="shared" si="25"/>
        <v>5.3559947341727157E-2</v>
      </c>
      <c r="H144" s="14"/>
      <c r="I144" s="29" t="e">
        <f t="shared" si="26"/>
        <v>#DIV/0!</v>
      </c>
      <c r="J144" s="10"/>
      <c r="K144" s="10" t="e">
        <f t="shared" si="27"/>
        <v>#DIV/0!</v>
      </c>
      <c r="L144" s="14">
        <f>'[1]2024_60-69 ΕΞΟΔΑ+ΟΜ 2'!H93</f>
        <v>147.29</v>
      </c>
      <c r="M144" s="15">
        <f t="shared" si="28"/>
        <v>2.0150075585014325E-2</v>
      </c>
      <c r="N144" s="10">
        <f>L144+'[1]2025 Απρίλιος'!N144</f>
        <v>2547.71</v>
      </c>
      <c r="O144" s="15">
        <f t="shared" si="29"/>
        <v>3.4374434167219643E-2</v>
      </c>
      <c r="P144" s="10"/>
      <c r="Q144" s="30" t="e">
        <f t="shared" si="23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2'!H102</f>
        <v>1175.57</v>
      </c>
      <c r="E145" s="15">
        <f t="shared" si="24"/>
        <v>0.2103487949726858</v>
      </c>
      <c r="F145" s="10">
        <f>D145+'[1]2025 Απρίλιος'!F145</f>
        <v>3143.63</v>
      </c>
      <c r="G145" s="15">
        <f t="shared" si="25"/>
        <v>3.7970943736116307E-2</v>
      </c>
      <c r="H145" s="14"/>
      <c r="I145" s="29" t="e">
        <f t="shared" si="26"/>
        <v>#DIV/0!</v>
      </c>
      <c r="J145" s="10"/>
      <c r="K145" s="10" t="e">
        <f t="shared" si="27"/>
        <v>#DIV/0!</v>
      </c>
      <c r="L145" s="14">
        <f>'[1]2024_60-69 ΕΞΟΔΑ+ΟΜ 2'!H94</f>
        <v>92.38</v>
      </c>
      <c r="M145" s="15">
        <f t="shared" si="28"/>
        <v>1.2638088006949714E-2</v>
      </c>
      <c r="N145" s="10">
        <f>L145+'[1]2025 Απρίλιος'!N145</f>
        <v>1321.2200000000003</v>
      </c>
      <c r="O145" s="15">
        <f t="shared" si="29"/>
        <v>1.7826279250940626E-2</v>
      </c>
      <c r="P145" s="10"/>
      <c r="Q145" s="30" t="e">
        <f t="shared" si="23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2'!H103</f>
        <v>0</v>
      </c>
      <c r="E146" s="15">
        <f t="shared" si="24"/>
        <v>0</v>
      </c>
      <c r="F146" s="10">
        <f>D146+'[1]2025 Απρίλιος'!F146</f>
        <v>279.39999999999998</v>
      </c>
      <c r="G146" s="15">
        <f t="shared" si="25"/>
        <v>3.3747870073357537E-3</v>
      </c>
      <c r="H146" s="14"/>
      <c r="I146" s="29" t="e">
        <f t="shared" si="26"/>
        <v>#DIV/0!</v>
      </c>
      <c r="J146" s="10"/>
      <c r="K146" s="10" t="e">
        <f t="shared" si="27"/>
        <v>#DIV/0!</v>
      </c>
      <c r="L146" s="14">
        <f>'[1]2024_60-69 ΕΞΟΔΑ+ΟΜ 2'!H95</f>
        <v>0</v>
      </c>
      <c r="M146" s="15">
        <f t="shared" si="28"/>
        <v>0</v>
      </c>
      <c r="N146" s="10">
        <f>L146+'[1]2025 Απρίλιος'!N146</f>
        <v>508.54999999999995</v>
      </c>
      <c r="O146" s="15">
        <f t="shared" si="29"/>
        <v>6.8615024848744741E-3</v>
      </c>
      <c r="P146" s="10"/>
      <c r="Q146" s="30" t="e">
        <f t="shared" si="23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2'!H104</f>
        <v>65.72</v>
      </c>
      <c r="E147" s="15">
        <f t="shared" si="24"/>
        <v>1.1759506286826741E-2</v>
      </c>
      <c r="F147" s="10">
        <f>D147+'[1]2025 Απρίλιος'!F147</f>
        <v>65.72</v>
      </c>
      <c r="G147" s="15">
        <f t="shared" si="25"/>
        <v>7.9381174703688532E-4</v>
      </c>
      <c r="H147" s="14"/>
      <c r="I147" s="29" t="e">
        <f t="shared" si="26"/>
        <v>#DIV/0!</v>
      </c>
      <c r="J147" s="10"/>
      <c r="K147" s="10" t="e">
        <f t="shared" si="27"/>
        <v>#DIV/0!</v>
      </c>
      <c r="L147" s="14">
        <f>'[1]2024_60-69 ΕΞΟΔΑ+ΟΜ 2'!H96</f>
        <v>0</v>
      </c>
      <c r="M147" s="15">
        <f t="shared" si="28"/>
        <v>0</v>
      </c>
      <c r="N147" s="10">
        <f>L147+'[1]2025 Απρίλιος'!N147</f>
        <v>0</v>
      </c>
      <c r="O147" s="15">
        <f t="shared" si="29"/>
        <v>0</v>
      </c>
      <c r="P147" s="10"/>
      <c r="Q147" s="30" t="e">
        <f t="shared" si="23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2'!H105</f>
        <v>0</v>
      </c>
      <c r="E148" s="15">
        <f t="shared" si="24"/>
        <v>0</v>
      </c>
      <c r="F148" s="10">
        <f>D148+'[1]2025 Απρίλιος'!F148</f>
        <v>0</v>
      </c>
      <c r="G148" s="15">
        <f t="shared" si="25"/>
        <v>0</v>
      </c>
      <c r="H148" s="14"/>
      <c r="I148" s="29" t="e">
        <f t="shared" si="26"/>
        <v>#DIV/0!</v>
      </c>
      <c r="J148" s="10"/>
      <c r="K148" s="10" t="e">
        <f t="shared" si="27"/>
        <v>#DIV/0!</v>
      </c>
      <c r="L148" s="14">
        <f>'[1]2024_60-69 ΕΞΟΔΑ+ΟΜ 2'!H97</f>
        <v>318.33999999999997</v>
      </c>
      <c r="M148" s="15">
        <f t="shared" si="28"/>
        <v>4.355064879987413E-2</v>
      </c>
      <c r="N148" s="10">
        <f>L148+'[1]2025 Απρίλιος'!N148</f>
        <v>318.33999999999997</v>
      </c>
      <c r="O148" s="15">
        <f t="shared" si="29"/>
        <v>4.2951346004029894E-3</v>
      </c>
      <c r="P148" s="10"/>
      <c r="Q148" s="30" t="e">
        <f t="shared" si="23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2'!H106</f>
        <v>777.67000000000007</v>
      </c>
      <c r="E149" s="15">
        <f t="shared" si="24"/>
        <v>0.13915117550329506</v>
      </c>
      <c r="F149" s="10">
        <f>D149+'[1]2025 Απρίλιος'!F149</f>
        <v>3739.4700000000003</v>
      </c>
      <c r="G149" s="15">
        <f t="shared" si="25"/>
        <v>4.5167912563786092E-2</v>
      </c>
      <c r="H149" s="14"/>
      <c r="I149" s="29" t="e">
        <f t="shared" si="26"/>
        <v>#DIV/0!</v>
      </c>
      <c r="J149" s="10"/>
      <c r="K149" s="10" t="e">
        <f t="shared" si="27"/>
        <v>#DIV/0!</v>
      </c>
      <c r="L149" s="14">
        <f>'[1]2024_60-69 ΕΞΟΔΑ+ΟΜ 2'!H98</f>
        <v>0</v>
      </c>
      <c r="M149" s="15">
        <f t="shared" si="28"/>
        <v>0</v>
      </c>
      <c r="N149" s="10">
        <f>L149+'[1]2025 Απρίλιος'!N149</f>
        <v>2518.09</v>
      </c>
      <c r="O149" s="15">
        <f t="shared" si="29"/>
        <v>3.3974792630297054E-2</v>
      </c>
      <c r="P149" s="10"/>
      <c r="Q149" s="30" t="e">
        <f t="shared" si="23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2'!H107</f>
        <v>296.2</v>
      </c>
      <c r="E150" s="15">
        <f t="shared" si="24"/>
        <v>5.3000087677390145E-2</v>
      </c>
      <c r="F150" s="10">
        <f>D150+'[1]2025 Απρίλιος'!F150</f>
        <v>296.2</v>
      </c>
      <c r="G150" s="15">
        <f t="shared" si="25"/>
        <v>3.5777090607474957E-3</v>
      </c>
      <c r="H150" s="14"/>
      <c r="I150" s="29" t="e">
        <f t="shared" si="26"/>
        <v>#DIV/0!</v>
      </c>
      <c r="J150" s="10"/>
      <c r="K150" s="10" t="e">
        <f t="shared" si="27"/>
        <v>#DIV/0!</v>
      </c>
      <c r="L150" s="14">
        <f>'[1]2024_60-69 ΕΞΟΔΑ+ΟΜ 2'!H99</f>
        <v>0</v>
      </c>
      <c r="M150" s="15">
        <f t="shared" si="28"/>
        <v>0</v>
      </c>
      <c r="N150" s="10">
        <f>L150+'[1]2025 Απρίλιος'!N150</f>
        <v>0</v>
      </c>
      <c r="O150" s="15">
        <f t="shared" si="29"/>
        <v>0</v>
      </c>
      <c r="P150" s="10"/>
      <c r="Q150" s="30" t="e">
        <f t="shared" si="23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2'!H108</f>
        <v>0</v>
      </c>
      <c r="E151" s="15">
        <f t="shared" si="24"/>
        <v>0</v>
      </c>
      <c r="F151" s="10">
        <f>D151+'[1]2025 Απρίλιος'!F151</f>
        <v>2327.6999999999998</v>
      </c>
      <c r="G151" s="15">
        <f t="shared" si="25"/>
        <v>2.8115575221816156E-2</v>
      </c>
      <c r="H151" s="14"/>
      <c r="I151" s="29" t="e">
        <f t="shared" si="26"/>
        <v>#DIV/0!</v>
      </c>
      <c r="J151" s="10"/>
      <c r="K151" s="10" t="e">
        <f t="shared" si="27"/>
        <v>#DIV/0!</v>
      </c>
      <c r="L151" s="14">
        <f>'[1]2024_60-69 ΕΞΟΔΑ+ΟΜ 2'!H100</f>
        <v>538.42999999999995</v>
      </c>
      <c r="M151" s="15">
        <f t="shared" si="28"/>
        <v>7.3660161567243282E-2</v>
      </c>
      <c r="N151" s="10">
        <f>L151+'[1]2025 Απρίλιος'!N151</f>
        <v>1094.6500000000001</v>
      </c>
      <c r="O151" s="15">
        <f t="shared" si="29"/>
        <v>1.4769331816080708E-2</v>
      </c>
      <c r="P151" s="10"/>
      <c r="Q151" s="30" t="e">
        <f t="shared" si="23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2'!H109</f>
        <v>0</v>
      </c>
      <c r="E152" s="15">
        <f t="shared" si="24"/>
        <v>0</v>
      </c>
      <c r="F152" s="10">
        <f>D152+'[1]2025 Απρίλιος'!F152</f>
        <v>0</v>
      </c>
      <c r="G152" s="15">
        <f t="shared" si="25"/>
        <v>0</v>
      </c>
      <c r="H152" s="14"/>
      <c r="I152" s="29" t="e">
        <f t="shared" si="26"/>
        <v>#DIV/0!</v>
      </c>
      <c r="J152" s="10"/>
      <c r="K152" s="10" t="e">
        <f t="shared" si="27"/>
        <v>#DIV/0!</v>
      </c>
      <c r="L152" s="14">
        <f>'[1]2024_60-69 ΕΞΟΔΑ+ΟΜ 2'!H101</f>
        <v>0</v>
      </c>
      <c r="M152" s="15">
        <f t="shared" si="28"/>
        <v>0</v>
      </c>
      <c r="N152" s="10">
        <f>L152+'[1]2025 Απρίλιος'!N152</f>
        <v>3060.9</v>
      </c>
      <c r="O152" s="15">
        <f t="shared" si="29"/>
        <v>4.1298540863144786E-2</v>
      </c>
      <c r="P152" s="10"/>
      <c r="Q152" s="30" t="e">
        <f t="shared" si="23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2'!H110</f>
        <v>0</v>
      </c>
      <c r="E153" s="15">
        <f t="shared" si="24"/>
        <v>0</v>
      </c>
      <c r="F153" s="10">
        <f>D153+'[1]2025 Απρίλιος'!F153</f>
        <v>3110.6800000000003</v>
      </c>
      <c r="G153" s="15">
        <f t="shared" si="25"/>
        <v>3.7572950780168875E-2</v>
      </c>
      <c r="H153" s="14"/>
      <c r="I153" s="29" t="e">
        <f t="shared" si="26"/>
        <v>#DIV/0!</v>
      </c>
      <c r="J153" s="10"/>
      <c r="K153" s="10" t="e">
        <f t="shared" si="27"/>
        <v>#DIV/0!</v>
      </c>
      <c r="L153" s="14">
        <f>'[1]2024_60-69 ΕΞΟΔΑ+ΟΜ 2'!H102</f>
        <v>203.09</v>
      </c>
      <c r="M153" s="15">
        <f t="shared" si="28"/>
        <v>2.7783820018742342E-2</v>
      </c>
      <c r="N153" s="10">
        <f>L153+'[1]2025 Απρίλιος'!N153</f>
        <v>203.09</v>
      </c>
      <c r="O153" s="15">
        <f>N153/$N$116</f>
        <v>2.7401485392845484E-3</v>
      </c>
      <c r="P153" s="10"/>
      <c r="Q153" s="30" t="e">
        <f t="shared" si="23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 t="e">
        <f ca="1">Q44+Q47+Q110</f>
        <v>#DIV/0!</v>
      </c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2'!H73</f>
        <v>875.5</v>
      </c>
      <c r="E157" s="8"/>
      <c r="F157" s="7">
        <f>'[1]2025_60-69 ΕΞΟΔΑ+ΟΜ 2'!U73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7309.6500000000015</v>
      </c>
      <c r="M157" s="8"/>
      <c r="N157" s="7">
        <f>SUM(N117:N156)</f>
        <v>74116.419999999969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4713.17</v>
      </c>
      <c r="E158" s="8"/>
      <c r="F158" s="7">
        <f>F116-F157</f>
        <v>82790.409999999974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D7-D78-D111-D157</f>
        <v>14854.293333333346</v>
      </c>
      <c r="E159" s="4"/>
      <c r="F159" s="31">
        <f>F7-F78-F111-F157</f>
        <v>157058.44917404131</v>
      </c>
      <c r="G159" s="4"/>
      <c r="H159" s="31">
        <f ca="1">H7-H78-H111-H157</f>
        <v>0</v>
      </c>
      <c r="I159" s="4"/>
      <c r="J159" s="31">
        <f ca="1">J7-J78-J111-J157</f>
        <v>175527.74350020537</v>
      </c>
      <c r="K159" s="4"/>
      <c r="L159" s="31">
        <f ca="1">L7-L78-L111-L157</f>
        <v>6845.3150442478182</v>
      </c>
      <c r="M159" s="4"/>
      <c r="N159" s="31">
        <f ca="1">N7-N78-N111-N157</f>
        <v>-331025.03194690257</v>
      </c>
      <c r="O159" s="4"/>
      <c r="P159" s="31"/>
      <c r="Q159" s="4"/>
    </row>
  </sheetData>
  <mergeCells count="33">
    <mergeCell ref="D114:F114"/>
    <mergeCell ref="H114:J114"/>
    <mergeCell ref="L114:N114"/>
    <mergeCell ref="P114:Q114"/>
    <mergeCell ref="D82:F82"/>
    <mergeCell ref="H82:J82"/>
    <mergeCell ref="L82:N82"/>
    <mergeCell ref="P82:Q82"/>
    <mergeCell ref="D113:G113"/>
    <mergeCell ref="H113:K113"/>
    <mergeCell ref="L113:O113"/>
    <mergeCell ref="P113:Q113"/>
    <mergeCell ref="D41:F41"/>
    <mergeCell ref="H41:J41"/>
    <mergeCell ref="L41:N41"/>
    <mergeCell ref="P41:Q41"/>
    <mergeCell ref="D81:G81"/>
    <mergeCell ref="H81:K81"/>
    <mergeCell ref="L81:O81"/>
    <mergeCell ref="P81:Q81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59"/>
  <sheetViews>
    <sheetView topLeftCell="A99" zoomScaleNormal="100" workbookViewId="0">
      <selection activeCell="B85" sqref="B85:B110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</row>
    <row r="2" spans="1:17" ht="41.25" customHeight="1" x14ac:dyDescent="0.25">
      <c r="A2" s="57">
        <v>1</v>
      </c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>
        <f>[1]ΑΝΤΙΣΤΟΙΧΙΣΗ!$D$34</f>
        <v>2025</v>
      </c>
      <c r="H2" s="182" t="str">
        <f>[1]ΑΝΤΙΣΤΟΙΧΙΣΗ!$F$35</f>
        <v>ΠΡΟΥΠΟΛΟΓΙΣΜΟΣ ΤΡΕΧΟΝΤΟΣ ΕΤΟΥΣ</v>
      </c>
      <c r="I2" s="182"/>
      <c r="J2" s="182"/>
      <c r="K2" s="182">
        <f>[1]ΑΝΤΙΣΤΟΙΧΙΣΗ!$D$34</f>
        <v>2025</v>
      </c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0" t="str">
        <f>[1]ΑΝΤΙΣΤΟΙΧΙΣΗ!$F$111</f>
        <v xml:space="preserve">ΙΟΥΝΙΟΣ ΤΡΕΧΟΝ ΕΤΟΣ </v>
      </c>
      <c r="E3" s="180"/>
      <c r="F3" s="180"/>
      <c r="G3" s="61">
        <f>[1]ΑΝΤΙΣΤΟΙΧΙΣΗ!$D$34</f>
        <v>2025</v>
      </c>
      <c r="H3" s="180" t="str">
        <f>[1]ΑΝΤΙΣΤΟΙΧΙΣΗ!$F$111</f>
        <v xml:space="preserve">ΙΟΥΝΙΟΣ ΤΡΕΧΟΝ ΕΤΟΣ </v>
      </c>
      <c r="I3" s="180"/>
      <c r="J3" s="180"/>
      <c r="K3" s="61">
        <f>[1]ΑΝΤΙΣΤΟΙΧΙΣΗ!$D$34</f>
        <v>2025</v>
      </c>
      <c r="L3" s="180" t="str">
        <f>[1]ΑΝΤΙΣΤΟΙΧΙΣΗ!$F$125</f>
        <v>ΙΟΥΝΙΟΣ ΠΡΟΗΓΟΥΜΕΝΟΥ ΕΤΟΥΣ</v>
      </c>
      <c r="M3" s="180"/>
      <c r="N3" s="180"/>
      <c r="O3" s="61">
        <f>[1]ΑΝΤΙΣΤΟΙΧΙΣΗ!$D$33</f>
        <v>2024</v>
      </c>
      <c r="P3" s="180"/>
      <c r="Q3" s="180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 t="e">
        <f>D7-D6</f>
        <v>#REF!</v>
      </c>
      <c r="E5" s="4"/>
      <c r="F5" s="3" t="e">
        <f>F7-F6</f>
        <v>#REF!</v>
      </c>
      <c r="G5" s="4"/>
      <c r="H5" s="3">
        <f ca="1">H159-H6</f>
        <v>0</v>
      </c>
      <c r="I5" s="4"/>
      <c r="J5" s="3">
        <f ca="1">J159-J6</f>
        <v>0</v>
      </c>
      <c r="K5" s="4"/>
      <c r="L5" s="3">
        <f ca="1">L7-L6</f>
        <v>20276.260999999984</v>
      </c>
      <c r="M5" s="4"/>
      <c r="N5" s="3">
        <f ca="1">N7-N6</f>
        <v>-376095.81094690255</v>
      </c>
      <c r="O5" s="4"/>
      <c r="P5" s="3">
        <f ca="1">P159-P6</f>
        <v>73591.442212389404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 t="e">
        <f>D43+D84+D116</f>
        <v>#REF!</v>
      </c>
      <c r="E6" s="4"/>
      <c r="F6" s="3" t="e">
        <f>F78+F111+F157</f>
        <v>#REF!</v>
      </c>
      <c r="G6" s="4"/>
      <c r="H6" s="3">
        <f ca="1">H38-H43-H84</f>
        <v>0</v>
      </c>
      <c r="I6" s="4"/>
      <c r="J6" s="66">
        <f ca="1">J38-J43-J84</f>
        <v>246254.6560732142</v>
      </c>
      <c r="K6" s="4"/>
      <c r="L6" s="3">
        <f ca="1">L43+L84+L116</f>
        <v>65453.739000000001</v>
      </c>
      <c r="M6" s="4"/>
      <c r="N6" s="66">
        <f ca="1">N78+N111+N157</f>
        <v>665526.8189999999</v>
      </c>
      <c r="O6" s="4"/>
      <c r="P6" s="3">
        <f ca="1">P38-P43-P84</f>
        <v>-73591.442212389404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SUM(D8:D31)</f>
        <v>0</v>
      </c>
      <c r="E7" s="8"/>
      <c r="F7" s="7">
        <f>SUM(F8:F31)</f>
        <v>215839.56584070798</v>
      </c>
      <c r="G7" s="8"/>
      <c r="H7" s="7">
        <f>SUM(H8:H31)</f>
        <v>0</v>
      </c>
      <c r="I7" s="8"/>
      <c r="J7" s="7">
        <f>SUM(J8:J31)</f>
        <v>246254.6560732142</v>
      </c>
      <c r="K7" s="8"/>
      <c r="L7" s="7">
        <f>SUM(L8:L31)</f>
        <v>85729.999999999985</v>
      </c>
      <c r="M7" s="8"/>
      <c r="N7" s="7">
        <f>L7+'[1]2025 Μάιος'!N7</f>
        <v>289431.00805309735</v>
      </c>
      <c r="O7" s="8"/>
      <c r="P7" s="7">
        <f>SUM(P8:P31)</f>
        <v>-73591.442212389404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'[1]2025_ΕΣΟΔΑ'!H2</f>
        <v>0</v>
      </c>
      <c r="E8" s="11" t="e">
        <f>D8/$D$7</f>
        <v>#DIV/0!</v>
      </c>
      <c r="F8" s="12">
        <f>D8+'[1]2025 Μάιος'!F8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Μάιος'!J8</f>
        <v>196288.43819710801</v>
      </c>
      <c r="K8" s="11">
        <f>J8/$J$7</f>
        <v>0.79709533751414352</v>
      </c>
      <c r="L8" s="68">
        <f>'[1]2024_60-69 ΕΞΟΔΑ+ΟΜ 2'!H114</f>
        <v>75778.42</v>
      </c>
      <c r="M8" s="11">
        <f>L8/$L$7</f>
        <v>0.88391951475562824</v>
      </c>
      <c r="N8" s="12">
        <f>L8+'[1]2025 Μάιος'!N8</f>
        <v>253065.94283185841</v>
      </c>
      <c r="O8" s="11">
        <f>N8/$N$7</f>
        <v>0.87435670605629234</v>
      </c>
      <c r="P8" s="12">
        <f t="shared" ref="P8:P37" si="0">F8-N8</f>
        <v>-61754.611061946896</v>
      </c>
      <c r="Q8" s="11">
        <f t="shared" ref="Q8:Q37" si="1">N8/F8</f>
        <v>1.3227964098656666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'[1]2025_ΕΣΟΔΑ'!H3</f>
        <v>0</v>
      </c>
      <c r="E9" s="11" t="e">
        <f t="shared" ref="E9:E37" si="2">D9/$D$7</f>
        <v>#DIV/0!</v>
      </c>
      <c r="F9" s="12">
        <f>D9+'[1]2025 Μάιος'!F9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Μάιος'!J9</f>
        <v>1010</v>
      </c>
      <c r="K9" s="11">
        <f t="shared" ref="K9:K37" si="5">J9/$J$7</f>
        <v>4.1014452928748524E-3</v>
      </c>
      <c r="L9" s="68">
        <f>'[1]2024_60-69 ΕΞΟΔΑ+ΟΜ 2'!H115</f>
        <v>0</v>
      </c>
      <c r="M9" s="11">
        <f t="shared" ref="M9:M37" si="6">L9/$L$7</f>
        <v>0</v>
      </c>
      <c r="N9" s="12">
        <f>L9+'[1]2025 Μάιος'!N9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'[1]2025_ΕΣΟΔΑ'!H4</f>
        <v>0</v>
      </c>
      <c r="E10" s="11" t="e">
        <f t="shared" si="2"/>
        <v>#DIV/0!</v>
      </c>
      <c r="F10" s="12">
        <f>D10+'[1]2025 Μάιος'!F10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Μάιος'!J10</f>
        <v>0</v>
      </c>
      <c r="K10" s="11">
        <f t="shared" si="5"/>
        <v>0</v>
      </c>
      <c r="L10" s="68">
        <f>'[1]2024_60-69 ΕΞΟΔΑ+ΟΜ 2'!H116</f>
        <v>0</v>
      </c>
      <c r="M10" s="11">
        <f t="shared" si="6"/>
        <v>0</v>
      </c>
      <c r="N10" s="12">
        <f>L10+'[1]2025 Μάιος'!N10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'[1]2025_ΕΣΟΔΑ'!H5</f>
        <v>0</v>
      </c>
      <c r="E11" s="11" t="e">
        <f t="shared" si="2"/>
        <v>#DIV/0!</v>
      </c>
      <c r="F11" s="12">
        <f>D11+'[1]2025 Μάιος'!F11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Μάιος'!J11</f>
        <v>28814.097876106196</v>
      </c>
      <c r="K11" s="11">
        <f t="shared" si="5"/>
        <v>0.11700935257662479</v>
      </c>
      <c r="L11" s="68">
        <f>'[1]2024_60-69 ΕΞΟΔΑ+ΟΜ 2'!H117</f>
        <v>5990.71</v>
      </c>
      <c r="M11" s="11">
        <f t="shared" si="6"/>
        <v>6.9878805552315418E-2</v>
      </c>
      <c r="N11" s="12">
        <f>L11+'[1]2025 Μάιος'!N11</f>
        <v>19986.285221238941</v>
      </c>
      <c r="O11" s="11">
        <f t="shared" si="7"/>
        <v>6.9053711126806333E-2</v>
      </c>
      <c r="P11" s="12">
        <f t="shared" si="0"/>
        <v>-6826.5311504424826</v>
      </c>
      <c r="Q11" s="11">
        <f t="shared" si="1"/>
        <v>1.5187430641725759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'[1]2025_ΕΣΟΔΑ'!H6</f>
        <v>0</v>
      </c>
      <c r="E12" s="11" t="e">
        <f t="shared" si="2"/>
        <v>#DIV/0!</v>
      </c>
      <c r="F12" s="12">
        <f>D12+'[1]2025 Μάιος'!F12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Μάιος'!J12</f>
        <v>1964.48</v>
      </c>
      <c r="K12" s="11">
        <f t="shared" si="5"/>
        <v>7.9774329197492971E-3</v>
      </c>
      <c r="L12" s="68">
        <f>'[1]2024_60-69 ΕΞΟΔΑ+ΟΜ 2'!H118</f>
        <v>292.45</v>
      </c>
      <c r="M12" s="11">
        <f t="shared" si="6"/>
        <v>3.4112912632684013E-3</v>
      </c>
      <c r="N12" s="12">
        <f>L12+'[1]2025 Μάιος'!N12</f>
        <v>2056.9299999999998</v>
      </c>
      <c r="O12" s="11">
        <f t="shared" si="7"/>
        <v>7.106805914944149E-3</v>
      </c>
      <c r="P12" s="12">
        <f t="shared" si="0"/>
        <v>168.70000000000027</v>
      </c>
      <c r="Q12" s="11">
        <f t="shared" si="1"/>
        <v>0.9242012374024432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'[1]2025_ΕΣΟΔΑ'!H7</f>
        <v>0</v>
      </c>
      <c r="E13" s="11" t="e">
        <f t="shared" si="2"/>
        <v>#DIV/0!</v>
      </c>
      <c r="F13" s="12">
        <f>D13+'[1]2025 Μάιος'!F13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Μάιος'!J13</f>
        <v>4126.74</v>
      </c>
      <c r="K13" s="11">
        <f t="shared" si="5"/>
        <v>1.6758018166255807E-2</v>
      </c>
      <c r="L13" s="68">
        <f>'[1]2024_60-69 ΕΞΟΔΑ+ΟΜ 2'!H119</f>
        <v>2142.91</v>
      </c>
      <c r="M13" s="11">
        <f t="shared" si="6"/>
        <v>2.4996034060422258E-2</v>
      </c>
      <c r="N13" s="12">
        <f>L13+'[1]2025 Μάιος'!N13</f>
        <v>6269.65</v>
      </c>
      <c r="O13" s="11">
        <f t="shared" si="7"/>
        <v>2.1661984464531891E-2</v>
      </c>
      <c r="P13" s="12">
        <f t="shared" si="0"/>
        <v>-2942.9399999999996</v>
      </c>
      <c r="Q13" s="11">
        <f t="shared" si="1"/>
        <v>1.8846397792413525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'[1]2025_ΕΣΟΔΑ'!H8</f>
        <v>0</v>
      </c>
      <c r="E14" s="11" t="e">
        <f t="shared" si="2"/>
        <v>#DIV/0!</v>
      </c>
      <c r="F14" s="12">
        <f>D14+'[1]2025 Μάιος'!F14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Μάιος'!J14</f>
        <v>500</v>
      </c>
      <c r="K14" s="11">
        <f t="shared" si="5"/>
        <v>2.0304184618192339E-3</v>
      </c>
      <c r="L14" s="68">
        <f>'[1]2024_60-69 ΕΞΟΔΑ+ΟΜ 2'!H120</f>
        <v>100</v>
      </c>
      <c r="M14" s="11">
        <f t="shared" si="6"/>
        <v>1.1664528169835532E-3</v>
      </c>
      <c r="N14" s="12">
        <f>L14+'[1]2025 Μάιος'!N14</f>
        <v>600</v>
      </c>
      <c r="O14" s="11">
        <f t="shared" si="7"/>
        <v>2.0730328931789074E-3</v>
      </c>
      <c r="P14" s="12">
        <f t="shared" si="0"/>
        <v>-100</v>
      </c>
      <c r="Q14" s="11">
        <f t="shared" si="1"/>
        <v>1.2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'[1]2025_ΕΣΟΔΑ'!H9</f>
        <v>0</v>
      </c>
      <c r="E15" s="11" t="e">
        <f t="shared" si="2"/>
        <v>#DIV/0!</v>
      </c>
      <c r="F15" s="12">
        <f>D15+'[1]2025 Μάιος'!F15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Μάιος'!J15</f>
        <v>1036.1500000000001</v>
      </c>
      <c r="K15" s="11">
        <f t="shared" si="5"/>
        <v>4.2076361784279988E-3</v>
      </c>
      <c r="L15" s="68">
        <f>'[1]2024_60-69 ΕΞΟΔΑ+ΟΜ 2'!H121</f>
        <v>322.26</v>
      </c>
      <c r="M15" s="11">
        <f t="shared" si="6"/>
        <v>3.7590108480111983E-3</v>
      </c>
      <c r="N15" s="12">
        <f>L15+'[1]2025 Μάιος'!N15</f>
        <v>529.49</v>
      </c>
      <c r="O15" s="11">
        <f t="shared" si="7"/>
        <v>1.8294169776821661E-3</v>
      </c>
      <c r="P15" s="12">
        <f t="shared" si="0"/>
        <v>645.60000000000014</v>
      </c>
      <c r="Q15" s="11">
        <f t="shared" si="1"/>
        <v>0.45059527355351497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'[1]2025_ΕΣΟΔΑ'!H10</f>
        <v>0</v>
      </c>
      <c r="E16" s="11" t="e">
        <f t="shared" si="2"/>
        <v>#DIV/0!</v>
      </c>
      <c r="F16" s="12">
        <f>D16+'[1]2025 Μάιος'!F16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Μάιος'!J16</f>
        <v>0</v>
      </c>
      <c r="K16" s="11">
        <f t="shared" si="5"/>
        <v>0</v>
      </c>
      <c r="L16" s="68">
        <f>'[1]2024_60-69 ΕΞΟΔΑ+ΟΜ 2'!H122</f>
        <v>0</v>
      </c>
      <c r="M16" s="11">
        <f t="shared" si="6"/>
        <v>0</v>
      </c>
      <c r="N16" s="12">
        <f>L16+'[1]2025 Μάιος'!N16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'[1]2025_ΕΣΟΔΑ'!H11</f>
        <v>0</v>
      </c>
      <c r="E17" s="11" t="e">
        <f t="shared" si="2"/>
        <v>#DIV/0!</v>
      </c>
      <c r="F17" s="12">
        <f>D17+'[1]2025 Μάιος'!F17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Μάιος'!J17</f>
        <v>0</v>
      </c>
      <c r="K17" s="11">
        <f t="shared" si="5"/>
        <v>0</v>
      </c>
      <c r="L17" s="68">
        <f>'[1]2024_60-69 ΕΞΟΔΑ+ΟΜ 2'!H123</f>
        <v>168.15</v>
      </c>
      <c r="M17" s="11">
        <f t="shared" si="6"/>
        <v>1.9613904117578448E-3</v>
      </c>
      <c r="N17" s="12">
        <f>L17+'[1]2025 Μάιος'!N17</f>
        <v>168.15</v>
      </c>
      <c r="O17" s="11">
        <f t="shared" si="7"/>
        <v>5.8096746831338877E-4</v>
      </c>
      <c r="P17" s="12">
        <f t="shared" si="0"/>
        <v>296.45000000000005</v>
      </c>
      <c r="Q17" s="11">
        <f t="shared" si="1"/>
        <v>0.36192423590185108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'[1]2025_ΕΣΟΔΑ'!H12</f>
        <v>0</v>
      </c>
      <c r="E18" s="11" t="e">
        <f t="shared" si="2"/>
        <v>#DIV/0!</v>
      </c>
      <c r="F18" s="12">
        <f>D18+'[1]2025 Μάιος'!F18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Μάιος'!J18</f>
        <v>0</v>
      </c>
      <c r="K18" s="11">
        <f t="shared" si="5"/>
        <v>0</v>
      </c>
      <c r="L18" s="68">
        <f>'[1]2024_60-69 ΕΞΟΔΑ+ΟΜ 2'!H124</f>
        <v>0</v>
      </c>
      <c r="M18" s="11">
        <f t="shared" si="6"/>
        <v>0</v>
      </c>
      <c r="N18" s="12">
        <f>L18+'[1]2025 Μάιος'!N18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'[1]2025_ΕΣΟΔΑ'!H13</f>
        <v>0</v>
      </c>
      <c r="E19" s="11" t="e">
        <f t="shared" si="2"/>
        <v>#DIV/0!</v>
      </c>
      <c r="F19" s="12">
        <f>D19+'[1]2025 Μάιος'!F19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Μάιος'!J19</f>
        <v>0</v>
      </c>
      <c r="K19" s="11">
        <f t="shared" si="5"/>
        <v>0</v>
      </c>
      <c r="L19" s="68">
        <f>'[1]2024_60-69 ΕΞΟΔΑ+ΟΜ 2'!H125</f>
        <v>0</v>
      </c>
      <c r="M19" s="11">
        <f t="shared" si="6"/>
        <v>0</v>
      </c>
      <c r="N19" s="12">
        <f>L19+'[1]2025 Μάιος'!N19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'[1]2025_ΕΣΟΔΑ'!H14</f>
        <v>0</v>
      </c>
      <c r="E20" s="11" t="e">
        <f t="shared" si="2"/>
        <v>#DIV/0!</v>
      </c>
      <c r="F20" s="12">
        <f>D20+'[1]2025 Μάιος'!F20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Μάιος'!J20</f>
        <v>0</v>
      </c>
      <c r="K20" s="11">
        <f t="shared" si="5"/>
        <v>0</v>
      </c>
      <c r="L20" s="68">
        <f>'[1]2024_60-69 ΕΞΟΔΑ+ΟΜ 2'!H126</f>
        <v>0</v>
      </c>
      <c r="M20" s="11">
        <f t="shared" si="6"/>
        <v>0</v>
      </c>
      <c r="N20" s="12">
        <f>L20+'[1]2025 Μάιος'!N20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'[1]2025_ΕΣΟΔΑ'!H15</f>
        <v>0</v>
      </c>
      <c r="E21" s="11" t="e">
        <f t="shared" si="2"/>
        <v>#DIV/0!</v>
      </c>
      <c r="F21" s="12">
        <f>D21+'[1]2025 Μάιος'!F21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Μάιος'!J21</f>
        <v>300.88</v>
      </c>
      <c r="K21" s="11">
        <f t="shared" si="5"/>
        <v>1.221824613584342E-3</v>
      </c>
      <c r="L21" s="68">
        <f>'[1]2024_60-69 ΕΞΟΔΑ+ΟΜ 2'!H127</f>
        <v>548.66999999999996</v>
      </c>
      <c r="M21" s="11">
        <f t="shared" si="6"/>
        <v>6.3999766709436608E-3</v>
      </c>
      <c r="N21" s="12">
        <f>L21+'[1]2025 Μάιος'!N21</f>
        <v>699.1099999999999</v>
      </c>
      <c r="O21" s="11">
        <f t="shared" si="7"/>
        <v>2.4154633765838427E-3</v>
      </c>
      <c r="P21" s="12">
        <f t="shared" si="0"/>
        <v>2530.9499999999998</v>
      </c>
      <c r="Q21" s="11">
        <f t="shared" si="1"/>
        <v>0.21643870392500447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'[1]2025_ΕΣΟΔΑ'!H16</f>
        <v>0</v>
      </c>
      <c r="E22" s="11" t="e">
        <f t="shared" si="2"/>
        <v>#DIV/0!</v>
      </c>
      <c r="F22" s="12">
        <f>D22+'[1]2025 Μάιος'!F22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Μάιος'!J22</f>
        <v>0</v>
      </c>
      <c r="K22" s="11">
        <f t="shared" si="5"/>
        <v>0</v>
      </c>
      <c r="L22" s="68">
        <f>'[1]2024_60-69 ΕΞΟΔΑ+ΟΜ 2'!H128</f>
        <v>0</v>
      </c>
      <c r="M22" s="11">
        <f t="shared" si="6"/>
        <v>0</v>
      </c>
      <c r="N22" s="12">
        <f>L22+'[1]2025 Μάιος'!N22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'[1]2025_ΕΣΟΔΑ'!H17</f>
        <v>0</v>
      </c>
      <c r="E23" s="11" t="e">
        <f t="shared" si="2"/>
        <v>#DIV/0!</v>
      </c>
      <c r="F23" s="12">
        <f>D23+'[1]2025 Μάιος'!F23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Μάιος'!J23</f>
        <v>524.05999999999995</v>
      </c>
      <c r="K23" s="11">
        <f t="shared" si="5"/>
        <v>2.1281221982019749E-3</v>
      </c>
      <c r="L23" s="68">
        <f>'[1]2024_60-69 ΕΞΟΔΑ+ΟΜ 2'!H129</f>
        <v>0</v>
      </c>
      <c r="M23" s="11">
        <f t="shared" si="6"/>
        <v>0</v>
      </c>
      <c r="N23" s="12">
        <f>L23+'[1]2025 Μάιος'!N23</f>
        <v>524.05999999999995</v>
      </c>
      <c r="O23" s="11">
        <f t="shared" si="7"/>
        <v>1.8106560299988967E-3</v>
      </c>
      <c r="P23" s="12">
        <f t="shared" si="0"/>
        <v>-28.479999999999961</v>
      </c>
      <c r="Q23" s="11">
        <f t="shared" si="1"/>
        <v>1.0574680172726905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'[1]2025_ΕΣΟΔΑ'!H18</f>
        <v>0</v>
      </c>
      <c r="E24" s="11" t="e">
        <f>D24/$D$7</f>
        <v>#DIV/0!</v>
      </c>
      <c r="F24" s="12">
        <f>D24+'[1]2025 Μάιος'!F24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Μάιος'!J24</f>
        <v>0</v>
      </c>
      <c r="K24" s="11">
        <f>J24/$J$7</f>
        <v>0</v>
      </c>
      <c r="L24" s="68">
        <f>'[1]2024_60-69 ΕΞΟΔΑ+ΟΜ 2'!H130</f>
        <v>481.2</v>
      </c>
      <c r="M24" s="11">
        <f>L24/$L$7</f>
        <v>5.6129709553248575E-3</v>
      </c>
      <c r="N24" s="12">
        <f>L24+'[1]2025 Μάιος'!N24</f>
        <v>481.2</v>
      </c>
      <c r="O24" s="11">
        <f>N24/$N$7</f>
        <v>1.6625723803294836E-3</v>
      </c>
      <c r="P24" s="12">
        <f>F24-N24</f>
        <v>-481.2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'[1]2025_ΕΣΟΔΑ'!H19</f>
        <v>0</v>
      </c>
      <c r="E25" s="11" t="e">
        <f t="shared" si="2"/>
        <v>#DIV/0!</v>
      </c>
      <c r="F25" s="12">
        <f>D25+'[1]2025 Μάιος'!F25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Μάιος'!J25</f>
        <v>1263</v>
      </c>
      <c r="K25" s="11">
        <f t="shared" si="5"/>
        <v>5.1288370345553844E-3</v>
      </c>
      <c r="L25" s="68">
        <f>'[1]2024_60-69 ΕΞΟΔΑ+ΟΜ 2'!H131</f>
        <v>0</v>
      </c>
      <c r="M25" s="11">
        <f t="shared" si="6"/>
        <v>0</v>
      </c>
      <c r="N25" s="12">
        <f>L25+'[1]2025 Μάιος'!N25</f>
        <v>631.5</v>
      </c>
      <c r="O25" s="11">
        <f t="shared" si="7"/>
        <v>2.1818671200707998E-3</v>
      </c>
      <c r="P25" s="12">
        <f t="shared" si="0"/>
        <v>-631.5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'[1]2025_ΕΣΟΔΑ'!H20</f>
        <v>0</v>
      </c>
      <c r="E26" s="11" t="e">
        <f t="shared" si="2"/>
        <v>#DIV/0!</v>
      </c>
      <c r="F26" s="12">
        <f>D26+'[1]2025 Μάιος'!F26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Μάιος'!J26</f>
        <v>0</v>
      </c>
      <c r="K26" s="11">
        <f t="shared" si="5"/>
        <v>0</v>
      </c>
      <c r="L26" s="68">
        <f>'[1]2024_60-69 ΕΞΟΔΑ+ΟΜ 2'!H132</f>
        <v>0</v>
      </c>
      <c r="M26" s="11">
        <f t="shared" si="6"/>
        <v>0</v>
      </c>
      <c r="N26" s="12">
        <f>L26+'[1]2025 Μάιος'!N26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'[1]2025_ΕΣΟΔΑ'!H21</f>
        <v>0</v>
      </c>
      <c r="E27" s="11" t="e">
        <f t="shared" si="2"/>
        <v>#DIV/0!</v>
      </c>
      <c r="F27" s="12">
        <f>D27+'[1]2025 Μάιος'!F27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Μάιος'!J27</f>
        <v>0</v>
      </c>
      <c r="K27" s="11">
        <f t="shared" si="5"/>
        <v>0</v>
      </c>
      <c r="L27" s="68">
        <f>'[1]2024_60-69 ΕΞΟΔΑ+ΟΜ 2'!H133</f>
        <v>194.35</v>
      </c>
      <c r="M27" s="11">
        <f t="shared" si="6"/>
        <v>2.2670010498075355E-3</v>
      </c>
      <c r="N27" s="12">
        <f>L27+'[1]2025 Μάιος'!N27</f>
        <v>194.35</v>
      </c>
      <c r="O27" s="11">
        <f t="shared" si="7"/>
        <v>6.7148990464886769E-4</v>
      </c>
      <c r="P27" s="12">
        <f t="shared" si="0"/>
        <v>-194.35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'[1]2025_ΕΣΟΔΑ'!H22</f>
        <v>0</v>
      </c>
      <c r="E28" s="11" t="e">
        <f t="shared" si="2"/>
        <v>#DIV/0!</v>
      </c>
      <c r="F28" s="12">
        <f>D28+'[1]2025 Μάιος'!F28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Μάιος'!J28</f>
        <v>0</v>
      </c>
      <c r="K28" s="11">
        <f t="shared" si="5"/>
        <v>0</v>
      </c>
      <c r="L28" s="68">
        <f>'[1]2024_60-69 ΕΞΟΔΑ+ΟΜ 2'!H134</f>
        <v>0</v>
      </c>
      <c r="M28" s="11">
        <f t="shared" si="6"/>
        <v>0</v>
      </c>
      <c r="N28" s="12">
        <f>L28+'[1]2025 Μάιος'!N28</f>
        <v>0</v>
      </c>
      <c r="O28" s="11">
        <f t="shared" si="7"/>
        <v>0</v>
      </c>
      <c r="P28" s="12">
        <f t="shared" si="0"/>
        <v>250.7</v>
      </c>
      <c r="Q28" s="11">
        <f t="shared" si="1"/>
        <v>0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'[1]2025_ΕΣΟΔΑ'!H23</f>
        <v>0</v>
      </c>
      <c r="E29" s="11" t="e">
        <f t="shared" si="2"/>
        <v>#DIV/0!</v>
      </c>
      <c r="F29" s="12">
        <f>D29+'[1]2025 Μάιος'!F29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Μάιος'!J29</f>
        <v>0</v>
      </c>
      <c r="K29" s="11">
        <f t="shared" si="5"/>
        <v>0</v>
      </c>
      <c r="L29" s="68">
        <f>'[1]2024_60-69 ΕΞΟΔΑ+ΟΜ 2'!H135</f>
        <v>114.01</v>
      </c>
      <c r="M29" s="11">
        <f t="shared" si="6"/>
        <v>1.329872856642949E-3</v>
      </c>
      <c r="N29" s="12">
        <f>L29+'[1]2025 Μάιος'!N29</f>
        <v>114.01</v>
      </c>
      <c r="O29" s="11">
        <f t="shared" si="7"/>
        <v>3.9391080025221202E-4</v>
      </c>
      <c r="P29" s="12">
        <f t="shared" si="0"/>
        <v>-114.01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'[1]2025_ΕΣΟΔΑ'!H24</f>
        <v>0</v>
      </c>
      <c r="E30" s="11" t="e">
        <f t="shared" si="2"/>
        <v>#DIV/0!</v>
      </c>
      <c r="F30" s="12">
        <f>D30+'[1]2025 Μάιος'!F30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Μάιος'!J30</f>
        <v>11379.71</v>
      </c>
      <c r="K30" s="11">
        <f t="shared" si="5"/>
        <v>4.6211146548297902E-2</v>
      </c>
      <c r="L30" s="68">
        <f>'[1]2024_60-69 ΕΞΟΔΑ+ΟΜ 2'!H136</f>
        <v>-403.13</v>
      </c>
      <c r="M30" s="11">
        <f t="shared" si="6"/>
        <v>-4.7023212411057983E-3</v>
      </c>
      <c r="N30" s="12">
        <f>L30+'[1]2025 Μάιος'!N30</f>
        <v>5063.25</v>
      </c>
      <c r="O30" s="11">
        <f t="shared" si="7"/>
        <v>1.7493806327313503E-2</v>
      </c>
      <c r="P30" s="12">
        <f t="shared" si="0"/>
        <v>-4798.82</v>
      </c>
      <c r="Q30" s="11">
        <f t="shared" si="1"/>
        <v>19.147789585145407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'[1]2025_ΕΣΟΔΑ'!H25</f>
        <v>0</v>
      </c>
      <c r="E31" s="11" t="e">
        <f t="shared" si="2"/>
        <v>#DIV/0!</v>
      </c>
      <c r="F31" s="12">
        <f>D31+'[1]2025 Μάιος'!F31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Μάιος'!J31</f>
        <v>-952.90000000000009</v>
      </c>
      <c r="K31" s="11">
        <f t="shared" si="5"/>
        <v>-3.869571504535096E-3</v>
      </c>
      <c r="L31" s="68">
        <f>'[1]2024_60-69 ΕΞΟΔΑ+ΟΜ 2'!H137</f>
        <v>0</v>
      </c>
      <c r="M31" s="11">
        <f t="shared" si="6"/>
        <v>0</v>
      </c>
      <c r="N31" s="12">
        <f>L31+'[1]2025 Μάιος'!N31</f>
        <v>-952.92000000000007</v>
      </c>
      <c r="O31" s="11">
        <f t="shared" si="7"/>
        <v>-3.2923908409467407E-3</v>
      </c>
      <c r="P31" s="12">
        <f t="shared" si="0"/>
        <v>-328.94000000000005</v>
      </c>
      <c r="Q31" s="11">
        <f t="shared" si="1"/>
        <v>0.74338851356622404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'[1]2025_ΕΣΟΔΑ'!H26</f>
        <v>0</v>
      </c>
      <c r="E32" s="11" t="e">
        <f t="shared" si="2"/>
        <v>#DIV/0!</v>
      </c>
      <c r="F32" s="12">
        <f>D32+'[1]2025 Μάιος'!F32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Μάιος'!J32</f>
        <v>0</v>
      </c>
      <c r="K32" s="11">
        <f t="shared" si="5"/>
        <v>0</v>
      </c>
      <c r="L32" s="68">
        <f>'[1]2024_60-69 ΕΞΟΔΑ+ΟΜ 2'!H138</f>
        <v>0</v>
      </c>
      <c r="M32" s="11">
        <f t="shared" si="6"/>
        <v>0</v>
      </c>
      <c r="N32" s="12">
        <f>L32+'[1]2025 Μάιος'!N32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'[1]2025_ΕΣΟΔΑ'!H27</f>
        <v>0</v>
      </c>
      <c r="E33" s="11" t="e">
        <f t="shared" si="2"/>
        <v>#DIV/0!</v>
      </c>
      <c r="F33" s="12">
        <f>D33+'[1]2025 Μάιος'!F33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Μάιος'!J33</f>
        <v>0</v>
      </c>
      <c r="K33" s="11">
        <f t="shared" si="5"/>
        <v>0</v>
      </c>
      <c r="L33" s="68">
        <f>'[1]2024_60-69 ΕΞΟΔΑ+ΟΜ 2'!H139</f>
        <v>0</v>
      </c>
      <c r="M33" s="11">
        <f t="shared" si="6"/>
        <v>0</v>
      </c>
      <c r="N33" s="12">
        <f>L33+'[1]2025 Μάιος'!N33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'[1]2025_ΕΣΟΔΑ'!H28</f>
        <v>0</v>
      </c>
      <c r="E34" s="11" t="e">
        <f t="shared" si="2"/>
        <v>#DIV/0!</v>
      </c>
      <c r="F34" s="12">
        <f>D34+'[1]2025 Μάιος'!F34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Μάιος'!J34</f>
        <v>0</v>
      </c>
      <c r="K34" s="11">
        <f t="shared" si="5"/>
        <v>0</v>
      </c>
      <c r="L34" s="68">
        <f>'[1]2024_60-69 ΕΞΟΔΑ+ΟΜ 2'!H140</f>
        <v>0</v>
      </c>
      <c r="M34" s="11">
        <f t="shared" si="6"/>
        <v>0</v>
      </c>
      <c r="N34" s="12">
        <f>L34+'[1]2025 Μάιος'!N34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'[1]2025_ΕΣΟΔΑ'!H29</f>
        <v>0</v>
      </c>
      <c r="E35" s="11" t="e">
        <f t="shared" si="2"/>
        <v>#DIV/0!</v>
      </c>
      <c r="F35" s="12">
        <f>D35+'[1]2025 Μάιος'!F35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Μάιος'!J35</f>
        <v>0</v>
      </c>
      <c r="K35" s="11">
        <f t="shared" si="5"/>
        <v>0</v>
      </c>
      <c r="L35" s="68">
        <f>'[1]2024_60-69 ΕΞΟΔΑ+ΟΜ 2'!H141</f>
        <v>0</v>
      </c>
      <c r="M35" s="11">
        <f t="shared" si="6"/>
        <v>0</v>
      </c>
      <c r="N35" s="12">
        <f>L35+'[1]2025 Μάιος'!N35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'[1]2025_ΕΣΟΔΑ'!H30</f>
        <v>0</v>
      </c>
      <c r="E36" s="11" t="e">
        <f t="shared" si="2"/>
        <v>#DIV/0!</v>
      </c>
      <c r="F36" s="12">
        <f>D36+'[1]2025 Μάιος'!F36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Μάιος'!J36</f>
        <v>0</v>
      </c>
      <c r="K36" s="11">
        <f t="shared" si="5"/>
        <v>0</v>
      </c>
      <c r="L36" s="68">
        <f>'[1]2024_60-69 ΕΞΟΔΑ+ΟΜ 2'!H142</f>
        <v>0</v>
      </c>
      <c r="M36" s="11">
        <f t="shared" si="6"/>
        <v>0</v>
      </c>
      <c r="N36" s="12">
        <f>L36+'[1]2025 Μάιος'!N36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'[1]2025_ΕΣΟΔΑ'!H31</f>
        <v>0</v>
      </c>
      <c r="E37" s="11" t="e">
        <f t="shared" si="2"/>
        <v>#DIV/0!</v>
      </c>
      <c r="F37" s="12">
        <f>D37+'[1]2025 Μάιος'!F37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Μάιος'!J37</f>
        <v>0</v>
      </c>
      <c r="K37" s="11">
        <f t="shared" si="5"/>
        <v>0</v>
      </c>
      <c r="L37" s="68">
        <f>'[1]2024_60-69 ΕΞΟΔΑ+ΟΜ 2'!H143</f>
        <v>0</v>
      </c>
      <c r="M37" s="11">
        <f t="shared" si="6"/>
        <v>0</v>
      </c>
      <c r="N37" s="12">
        <f>L37+'[1]2025 Μάιος'!N37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'[1]2025_ΕΣΟΔΑ'!H32</f>
        <v>0</v>
      </c>
      <c r="E38" s="8"/>
      <c r="F38" s="7" t="str">
        <f>'[1]2025_ΕΣΟΔΑ'!H34</f>
        <v>Ιούνιος</v>
      </c>
      <c r="G38" s="8"/>
      <c r="H38" s="7">
        <f>SUM(H8:H31)</f>
        <v>0</v>
      </c>
      <c r="I38" s="8"/>
      <c r="J38" s="7">
        <f>SUM(J8:J31)</f>
        <v>246254.6560732142</v>
      </c>
      <c r="K38" s="8"/>
      <c r="L38" s="7">
        <f>SUM(L8:L31)</f>
        <v>85729.999999999985</v>
      </c>
      <c r="M38" s="8"/>
      <c r="N38" s="7">
        <f>SUM(N8:N31)</f>
        <v>289431.00805309741</v>
      </c>
      <c r="O38" s="8"/>
      <c r="P38" s="7">
        <f>SUM(P8:P31)</f>
        <v>-73591.442212389404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0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0" t="str">
        <f>[1]ΑΝΤΙΣΤΟΙΧΙΣΗ!$F$111</f>
        <v xml:space="preserve">ΙΟΥΝΙΟΣ ΤΡΕΧΟΝ ΕΤΟΣ </v>
      </c>
      <c r="E41" s="180"/>
      <c r="F41" s="180"/>
      <c r="G41" s="61">
        <f>[1]ΑΝΤΙΣΤΟΙΧΙΣΗ!$D$34</f>
        <v>2025</v>
      </c>
      <c r="H41" s="180" t="str">
        <f>[1]ΑΝΤΙΣΤΟΙΧΙΣΗ!$F$111</f>
        <v xml:space="preserve">ΙΟΥΝΙΟΣ ΤΡΕΧΟΝ ΕΤΟΣ </v>
      </c>
      <c r="I41" s="180"/>
      <c r="J41" s="180"/>
      <c r="K41" s="61">
        <f>[1]ΑΝΤΙΣΤΟΙΧΙΣΗ!$D$34</f>
        <v>2025</v>
      </c>
      <c r="L41" s="180" t="str">
        <f>[1]ΑΝΤΙΣΤΟΙΧΙΣΗ!$F$125</f>
        <v>ΙΟΥΝΙΟΣ ΠΡΟΗΓΟΥΜΕΝΟΥ ΕΤΟΥΣ</v>
      </c>
      <c r="M41" s="180"/>
      <c r="N41" s="180"/>
      <c r="O41" s="61">
        <f>[1]ΑΝΤΙΣΤΟΙΧΙΣΗ!$D$33</f>
        <v>2024</v>
      </c>
      <c r="P41" s="180"/>
      <c r="Q41" s="180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SUM(D44:D77)</f>
        <v>7839.9766666666674</v>
      </c>
      <c r="E43" s="8"/>
      <c r="F43" s="7">
        <f>SUM(F44:F77)</f>
        <v>516877.6733333334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57617.849000000002</v>
      </c>
      <c r="M43" s="8"/>
      <c r="N43" s="7">
        <f>SUM(N44:N77)</f>
        <v>555580.74899999995</v>
      </c>
      <c r="O43" s="8"/>
      <c r="P43" s="7">
        <f>SUM(P44:P77)</f>
        <v>0</v>
      </c>
      <c r="Q43" s="8"/>
    </row>
    <row r="44" spans="1:17" ht="22.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2'!I4</f>
        <v>0</v>
      </c>
      <c r="E44" s="15">
        <f>D44/$D$43</f>
        <v>0</v>
      </c>
      <c r="F44" s="10">
        <f>D44+'[1]2025 Μάιος'!F44</f>
        <v>223142.3833333333</v>
      </c>
      <c r="G44" s="15">
        <f>F44/$F$43</f>
        <v>0.43171217261966977</v>
      </c>
      <c r="H44" s="14"/>
      <c r="I44" s="16"/>
      <c r="J44" s="10">
        <f>H44</f>
        <v>0</v>
      </c>
      <c r="K44" s="17" t="e">
        <f>J44/$J$43</f>
        <v>#DIV/0!</v>
      </c>
      <c r="L44" s="14">
        <f>'[1]2024_60-69 ΕΞΟΔΑ+ΟΜ 2'!I4</f>
        <v>4919.01</v>
      </c>
      <c r="M44" s="15">
        <f>L44/$L$43</f>
        <v>8.537302390445016E-2</v>
      </c>
      <c r="N44" s="10">
        <f>L44+'[1]2025 Μάιος'!N44</f>
        <v>233121.53</v>
      </c>
      <c r="O44" s="15">
        <f>N44/$N$43</f>
        <v>0.41959972590770961</v>
      </c>
      <c r="P44" s="10"/>
      <c r="Q44" s="15"/>
    </row>
    <row r="45" spans="1:17" ht="22.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2'!I5</f>
        <v>0</v>
      </c>
      <c r="E45" s="15">
        <f t="shared" ref="E45:E77" si="8">D45/$D$43</f>
        <v>0</v>
      </c>
      <c r="F45" s="10">
        <f>D45+'[1]2025 Μάιος'!F45</f>
        <v>17090.259999999998</v>
      </c>
      <c r="G45" s="15">
        <f t="shared" ref="G45:G77" si="9">F45/$F$43</f>
        <v>3.3064419071896195E-2</v>
      </c>
      <c r="H45" s="14"/>
      <c r="I45" s="16" t="e">
        <f>H45/$I$39</f>
        <v>#DIV/0!</v>
      </c>
      <c r="J45" s="10">
        <f>H45</f>
        <v>0</v>
      </c>
      <c r="K45" s="17" t="e">
        <f t="shared" ref="K45:K77" si="10">J45/$J$43</f>
        <v>#DIV/0!</v>
      </c>
      <c r="L45" s="14">
        <f>'[1]2024_60-69 ΕΞΟΔΑ+ΟΜ 2'!I5</f>
        <v>4144.0200000000004</v>
      </c>
      <c r="M45" s="15">
        <f t="shared" ref="M45:M77" si="11">L45/$L$43</f>
        <v>7.1922504430875236E-2</v>
      </c>
      <c r="N45" s="10">
        <f>L45+'[1]2025 Μάιος'!N45</f>
        <v>24021.77</v>
      </c>
      <c r="O45" s="15">
        <f t="shared" ref="O45:O77" si="12">N45/$N$43</f>
        <v>4.3237225269661034E-2</v>
      </c>
      <c r="P45" s="10"/>
      <c r="Q45" s="15">
        <f>N45/F45</f>
        <v>1.4055824779728339</v>
      </c>
    </row>
    <row r="46" spans="1:17" ht="22.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2'!I6</f>
        <v>0</v>
      </c>
      <c r="E46" s="15">
        <f t="shared" si="8"/>
        <v>0</v>
      </c>
      <c r="F46" s="10">
        <f>D46+'[1]2025 Μάιος'!F46</f>
        <v>24880</v>
      </c>
      <c r="G46" s="15">
        <f t="shared" si="9"/>
        <v>4.8135180302042058E-2</v>
      </c>
      <c r="H46" s="14"/>
      <c r="I46" s="16" t="e">
        <f t="shared" ref="I46:I80" si="13">H46/$I$39</f>
        <v>#DIV/0!</v>
      </c>
      <c r="J46" s="10">
        <f t="shared" ref="J46:J77" si="14">H46</f>
        <v>0</v>
      </c>
      <c r="K46" s="17" t="e">
        <f t="shared" si="10"/>
        <v>#DIV/0!</v>
      </c>
      <c r="L46" s="14">
        <f>'[1]2024_60-69 ΕΞΟΔΑ+ΟΜ 2'!I6</f>
        <v>2653.87</v>
      </c>
      <c r="M46" s="15">
        <f t="shared" si="11"/>
        <v>4.6059858985711175E-2</v>
      </c>
      <c r="N46" s="10">
        <f>L46+'[1]2025 Μάιος'!N46</f>
        <v>31821.599999999999</v>
      </c>
      <c r="O46" s="15">
        <f t="shared" si="12"/>
        <v>5.7276282623680327E-2</v>
      </c>
      <c r="P46" s="10"/>
      <c r="Q46" s="15">
        <f t="shared" ref="Q46:Q77" si="15">N46/F46</f>
        <v>1.2790032154340836</v>
      </c>
    </row>
    <row r="47" spans="1:17" ht="36.75" customHeight="1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2'!I37</f>
        <v>0</v>
      </c>
      <c r="E47" s="15" t="e">
        <f>D47/$D$84</f>
        <v>#REF!</v>
      </c>
      <c r="F47" s="79">
        <f>'[1]2025 Μάιος'!F81+'[1]2025 Ιούνιος'!D81</f>
        <v>46297.34</v>
      </c>
      <c r="G47" s="15" t="e">
        <f>F47/$F$84</f>
        <v>#REF!</v>
      </c>
      <c r="H47" s="14"/>
      <c r="I47" s="26" t="e">
        <f ca="1">H47/$H$84</f>
        <v>#DIV/0!</v>
      </c>
      <c r="J47" s="27"/>
      <c r="K47" s="27" t="e">
        <f ca="1">J47/$J$84</f>
        <v>#DIV/0!</v>
      </c>
      <c r="L47" s="79">
        <f>'[1]2024_60-69 ΕΞΟΔΑ+ΟΜ 2'!I35</f>
        <v>1603.98</v>
      </c>
      <c r="M47" s="15">
        <f ca="1">L47/$L$84</f>
        <v>0.23169192101575928</v>
      </c>
      <c r="N47" s="10">
        <f>L47+'[1]2025 Μάιος'!N81</f>
        <v>32826.51</v>
      </c>
      <c r="O47" s="15">
        <f ca="1">N47/$N$84</f>
        <v>0.4732229403891941</v>
      </c>
      <c r="P47" s="27"/>
      <c r="Q47" s="28"/>
    </row>
    <row r="48" spans="1:17" ht="36.75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2'!I38</f>
        <v>0</v>
      </c>
      <c r="E48" s="15" t="e">
        <f>D48/$D$84</f>
        <v>#REF!</v>
      </c>
      <c r="F48" s="79">
        <f>'[1]2025 Μάιος'!F82+'[1]2025 Ιούνιος'!D82</f>
        <v>9451.0400000000009</v>
      </c>
      <c r="G48" s="15" t="e">
        <f>F48/$F$84</f>
        <v>#REF!</v>
      </c>
      <c r="H48" s="14"/>
      <c r="I48" s="26" t="e">
        <f ca="1">H48/$H$84</f>
        <v>#DIV/0!</v>
      </c>
      <c r="J48" s="27"/>
      <c r="K48" s="27" t="e">
        <f ca="1">J48/$J$84</f>
        <v>#DIV/0!</v>
      </c>
      <c r="L48" s="79">
        <f>'[1]2024_60-69 ΕΞΟΔΑ+ΟΜ 2'!I36</f>
        <v>2585.3000000000002</v>
      </c>
      <c r="M48" s="15">
        <f ca="1">L48/$L$84</f>
        <v>0.37344176573401322</v>
      </c>
      <c r="N48" s="10">
        <f>L48+'[1]2025 Μάιος'!N82</f>
        <v>11282.779999999999</v>
      </c>
      <c r="O48" s="15">
        <f ca="1">N48/$N$84</f>
        <v>0.16265117209731983</v>
      </c>
      <c r="P48" s="27"/>
      <c r="Q48" s="28" t="e">
        <f>SUM(D48:P48)</f>
        <v>#REF!</v>
      </c>
    </row>
    <row r="49" spans="1:17" ht="22.5" customHeight="1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2'!I7</f>
        <v>0</v>
      </c>
      <c r="E49" s="15">
        <f t="shared" si="8"/>
        <v>0</v>
      </c>
      <c r="F49" s="10">
        <f>D49+'[1]2025 Μάιος'!F47</f>
        <v>14200.8</v>
      </c>
      <c r="G49" s="15">
        <f t="shared" si="9"/>
        <v>2.7474198892011206E-2</v>
      </c>
      <c r="H49" s="14"/>
      <c r="I49" s="16" t="e">
        <f t="shared" si="13"/>
        <v>#DIV/0!</v>
      </c>
      <c r="J49" s="10">
        <f t="shared" si="14"/>
        <v>0</v>
      </c>
      <c r="K49" s="17" t="e">
        <f t="shared" si="10"/>
        <v>#DIV/0!</v>
      </c>
      <c r="L49" s="14">
        <f>'[1]2024_60-69 ΕΞΟΔΑ+ΟΜ 2'!I7</f>
        <v>1170.8599999999999</v>
      </c>
      <c r="M49" s="15">
        <f t="shared" si="11"/>
        <v>2.0321133473760879E-2</v>
      </c>
      <c r="N49" s="10">
        <f>L49+'[1]2025 Μάιος'!N47</f>
        <v>15856.71</v>
      </c>
      <c r="O49" s="15">
        <f t="shared" si="12"/>
        <v>2.8540783726831401E-2</v>
      </c>
      <c r="P49" s="10"/>
      <c r="Q49" s="15">
        <f t="shared" si="15"/>
        <v>1.1166068108838938</v>
      </c>
    </row>
    <row r="50" spans="1:17" ht="22.5" customHeight="1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2'!I8</f>
        <v>0</v>
      </c>
      <c r="E50" s="15">
        <f t="shared" si="8"/>
        <v>0</v>
      </c>
      <c r="F50" s="10">
        <f>D50+'[1]2025 Μάιος'!F48</f>
        <v>3672.9500000000003</v>
      </c>
      <c r="G50" s="15">
        <f t="shared" si="9"/>
        <v>7.1060333798386409E-3</v>
      </c>
      <c r="H50" s="14"/>
      <c r="I50" s="16" t="e">
        <f t="shared" si="13"/>
        <v>#DIV/0!</v>
      </c>
      <c r="J50" s="10">
        <f t="shared" si="14"/>
        <v>0</v>
      </c>
      <c r="K50" s="17" t="e">
        <f t="shared" si="10"/>
        <v>#DIV/0!</v>
      </c>
      <c r="L50" s="14">
        <f>'[1]2024_60-69 ΕΞΟΔΑ+ΟΜ 2'!I8</f>
        <v>947.22</v>
      </c>
      <c r="M50" s="15">
        <f t="shared" si="11"/>
        <v>1.6439697358365462E-2</v>
      </c>
      <c r="N50" s="10">
        <f>L50+'[1]2025 Μάιος'!N48</f>
        <v>5756.5</v>
      </c>
      <c r="O50" s="15">
        <f t="shared" si="12"/>
        <v>1.0361230136863509E-2</v>
      </c>
      <c r="P50" s="10"/>
      <c r="Q50" s="15">
        <f t="shared" si="15"/>
        <v>1.567268816618794</v>
      </c>
    </row>
    <row r="51" spans="1:17" ht="22.5" customHeight="1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2'!I9</f>
        <v>0</v>
      </c>
      <c r="E51" s="15">
        <f t="shared" si="8"/>
        <v>0</v>
      </c>
      <c r="F51" s="10">
        <f>D51+'[1]2025 Μάιος'!F49</f>
        <v>4508.5199999999995</v>
      </c>
      <c r="G51" s="15">
        <f t="shared" si="9"/>
        <v>8.7226054298779193E-3</v>
      </c>
      <c r="H51" s="14"/>
      <c r="I51" s="16" t="e">
        <f t="shared" si="13"/>
        <v>#DIV/0!</v>
      </c>
      <c r="J51" s="10">
        <f t="shared" si="14"/>
        <v>0</v>
      </c>
      <c r="K51" s="17" t="e">
        <f t="shared" si="10"/>
        <v>#DIV/0!</v>
      </c>
      <c r="L51" s="14">
        <f>'[1]2024_60-69 ΕΞΟΔΑ+ΟΜ 2'!I9</f>
        <v>776.3</v>
      </c>
      <c r="M51" s="15">
        <f t="shared" si="11"/>
        <v>1.3473255483730396E-2</v>
      </c>
      <c r="N51" s="10">
        <f>L51+'[1]2025 Μάιος'!N49</f>
        <v>6398.5700000000006</v>
      </c>
      <c r="O51" s="15">
        <f t="shared" si="12"/>
        <v>1.1516903729146311E-2</v>
      </c>
      <c r="P51" s="10"/>
      <c r="Q51" s="15">
        <f t="shared" si="15"/>
        <v>1.4192173928473204</v>
      </c>
    </row>
    <row r="52" spans="1:17" ht="36.75" customHeight="1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2'!I41</f>
        <v>0</v>
      </c>
      <c r="E52" s="15" t="e">
        <f>D52/$D$84</f>
        <v>#REF!</v>
      </c>
      <c r="F52" s="79">
        <f>'[1]2025 Μάιος'!F85+'[1]2025 Ιούνιος'!D85</f>
        <v>6270.86</v>
      </c>
      <c r="G52" s="15" t="e">
        <f>F52/$F$84</f>
        <v>#REF!</v>
      </c>
      <c r="H52" s="14"/>
      <c r="I52" s="26" t="e">
        <f ca="1">H52/$H$84</f>
        <v>#DIV/0!</v>
      </c>
      <c r="J52" s="27"/>
      <c r="K52" s="27" t="e">
        <f ca="1">J52/$J$84</f>
        <v>#DIV/0!</v>
      </c>
      <c r="L52" s="79">
        <f>'[1]2024_60-69 ΕΞΟΔΑ+ΟΜ 2'!I39</f>
        <v>365.51</v>
      </c>
      <c r="M52" s="15">
        <f ca="1">L52/$L$84</f>
        <v>5.2797238151641647E-2</v>
      </c>
      <c r="N52" s="10">
        <f>L52+'[1]2025 Μάιος'!N85</f>
        <v>365.51</v>
      </c>
      <c r="O52" s="15">
        <f ca="1">N52/$N$84</f>
        <v>5.2691473123903307E-3</v>
      </c>
      <c r="P52" s="27"/>
      <c r="Q52" s="28" t="e">
        <f>SUM(D52:P52)</f>
        <v>#REF!</v>
      </c>
    </row>
    <row r="53" spans="1:17" ht="36.75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2'!I42</f>
        <v>0</v>
      </c>
      <c r="E53" s="15" t="e">
        <f>D53/$D$84</f>
        <v>#REF!</v>
      </c>
      <c r="F53" s="79">
        <f>'[1]2025 Μάιος'!F86+'[1]2025 Ιούνιος'!D86</f>
        <v>1913.23</v>
      </c>
      <c r="G53" s="15" t="e">
        <f>F53/$F$84</f>
        <v>#REF!</v>
      </c>
      <c r="H53" s="14"/>
      <c r="I53" s="26" t="e">
        <f ca="1">H53/$H$84</f>
        <v>#DIV/0!</v>
      </c>
      <c r="J53" s="27"/>
      <c r="K53" s="27" t="e">
        <f ca="1">J53/$J$84</f>
        <v>#DIV/0!</v>
      </c>
      <c r="L53" s="79">
        <f>'[1]2024_60-69 ΕΞΟΔΑ+ΟΜ 2'!I40</f>
        <v>494.2</v>
      </c>
      <c r="M53" s="15">
        <f ca="1">L53/$L$84</f>
        <v>7.138626876020164E-2</v>
      </c>
      <c r="N53" s="10">
        <f>L53+'[1]2025 Μάιος'!N86</f>
        <v>2132.0500000000002</v>
      </c>
      <c r="O53" s="15">
        <f ca="1">N53/$N$84</f>
        <v>3.0735371200190983E-2</v>
      </c>
      <c r="P53" s="27"/>
      <c r="Q53" s="28" t="e">
        <f>SUM(D53:P53)</f>
        <v>#REF!</v>
      </c>
    </row>
    <row r="54" spans="1:17" ht="22.5" customHeight="1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2'!I10</f>
        <v>0</v>
      </c>
      <c r="E54" s="15">
        <f t="shared" si="8"/>
        <v>0</v>
      </c>
      <c r="F54" s="10">
        <f>D54+'[1]2025 Μάιος'!F50</f>
        <v>3032.88</v>
      </c>
      <c r="G54" s="15">
        <f t="shared" si="9"/>
        <v>5.8676939563688637E-3</v>
      </c>
      <c r="H54" s="14"/>
      <c r="I54" s="16" t="e">
        <f t="shared" si="13"/>
        <v>#DIV/0!</v>
      </c>
      <c r="J54" s="10">
        <f t="shared" si="14"/>
        <v>0</v>
      </c>
      <c r="K54" s="17" t="e">
        <f t="shared" si="10"/>
        <v>#DIV/0!</v>
      </c>
      <c r="L54" s="14">
        <f>'[1]2024_60-69 ΕΞΟΔΑ+ΟΜ 2'!I10</f>
        <v>9331.11</v>
      </c>
      <c r="M54" s="15">
        <f t="shared" si="11"/>
        <v>0.16194825322271228</v>
      </c>
      <c r="N54" s="10">
        <f>L54+'[1]2025 Μάιος'!N50</f>
        <v>13214.04</v>
      </c>
      <c r="O54" s="15">
        <f t="shared" si="12"/>
        <v>2.3784193429639517E-2</v>
      </c>
      <c r="P54" s="10"/>
      <c r="Q54" s="15">
        <f t="shared" si="15"/>
        <v>4.3569280683706575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2'!I11</f>
        <v>0</v>
      </c>
      <c r="E55" s="15">
        <f t="shared" si="8"/>
        <v>0</v>
      </c>
      <c r="F55" s="10">
        <f>D55+'[1]2025 Μάιος'!F51</f>
        <v>47267</v>
      </c>
      <c r="G55" s="15">
        <f t="shared" si="9"/>
        <v>9.1447169105169701E-2</v>
      </c>
      <c r="H55" s="14"/>
      <c r="I55" s="16" t="e">
        <f t="shared" si="13"/>
        <v>#DIV/0!</v>
      </c>
      <c r="J55" s="10">
        <f t="shared" si="14"/>
        <v>0</v>
      </c>
      <c r="K55" s="17" t="e">
        <f t="shared" si="10"/>
        <v>#DIV/0!</v>
      </c>
      <c r="L55" s="14">
        <f>'[1]2024_60-69 ΕΞΟΔΑ+ΟΜ 2'!I11</f>
        <v>0</v>
      </c>
      <c r="M55" s="15">
        <f t="shared" si="11"/>
        <v>0</v>
      </c>
      <c r="N55" s="10">
        <f>L55+'[1]2025 Μάιος'!N51</f>
        <v>46558.85</v>
      </c>
      <c r="O55" s="15">
        <f t="shared" si="12"/>
        <v>8.3802129724260849E-2</v>
      </c>
      <c r="P55" s="10"/>
      <c r="Q55" s="15">
        <f t="shared" si="15"/>
        <v>0.98501808872998076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2'!I12</f>
        <v>0</v>
      </c>
      <c r="E56" s="15">
        <f t="shared" si="8"/>
        <v>0</v>
      </c>
      <c r="F56" s="10">
        <f>D56+'[1]2025 Μάιος'!F52</f>
        <v>0</v>
      </c>
      <c r="G56" s="15">
        <f t="shared" si="9"/>
        <v>0</v>
      </c>
      <c r="H56" s="14"/>
      <c r="I56" s="16" t="e">
        <f t="shared" si="13"/>
        <v>#DIV/0!</v>
      </c>
      <c r="J56" s="10">
        <f t="shared" si="14"/>
        <v>0</v>
      </c>
      <c r="K56" s="17" t="e">
        <f t="shared" si="10"/>
        <v>#DIV/0!</v>
      </c>
      <c r="L56" s="14">
        <f>'[1]2024_60-69 ΕΞΟΔΑ+ΟΜ 2'!I12</f>
        <v>328.35</v>
      </c>
      <c r="M56" s="15">
        <f t="shared" si="11"/>
        <v>5.6987549118676754E-3</v>
      </c>
      <c r="N56" s="10">
        <f>L56+'[1]2025 Μάιος'!N52</f>
        <v>328.35</v>
      </c>
      <c r="O56" s="15">
        <f t="shared" si="12"/>
        <v>5.9100319906872807E-4</v>
      </c>
      <c r="P56" s="10"/>
      <c r="Q56" s="15" t="e">
        <f t="shared" si="15"/>
        <v>#DIV/0!</v>
      </c>
    </row>
    <row r="57" spans="1:17" ht="15" customHeight="1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2'!I13</f>
        <v>0</v>
      </c>
      <c r="E57" s="15">
        <f t="shared" si="8"/>
        <v>0</v>
      </c>
      <c r="F57" s="10">
        <f>D57+'[1]2025 Μάιος'!F53</f>
        <v>1664.65</v>
      </c>
      <c r="G57" s="15">
        <f t="shared" si="9"/>
        <v>3.2205879376926978E-3</v>
      </c>
      <c r="H57" s="14"/>
      <c r="I57" s="16" t="e">
        <f t="shared" si="13"/>
        <v>#DIV/0!</v>
      </c>
      <c r="J57" s="10">
        <f t="shared" si="14"/>
        <v>0</v>
      </c>
      <c r="K57" s="17" t="e">
        <f t="shared" si="10"/>
        <v>#DIV/0!</v>
      </c>
      <c r="L57" s="14">
        <f>'[1]2024_60-69 ΕΞΟΔΑ+ΟΜ 2'!I13</f>
        <v>1266.43</v>
      </c>
      <c r="M57" s="15">
        <f t="shared" si="11"/>
        <v>2.197982087113318E-2</v>
      </c>
      <c r="N57" s="10">
        <f>L57+'[1]2025 Μάιος'!N53</f>
        <v>2912.2000000000003</v>
      </c>
      <c r="O57" s="15">
        <f t="shared" si="12"/>
        <v>5.2417222973289174E-3</v>
      </c>
      <c r="P57" s="10"/>
      <c r="Q57" s="15">
        <f t="shared" si="15"/>
        <v>1.7494368185504461</v>
      </c>
    </row>
    <row r="58" spans="1:17" ht="15" customHeight="1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2'!I14</f>
        <v>0</v>
      </c>
      <c r="E58" s="15">
        <f t="shared" si="8"/>
        <v>0</v>
      </c>
      <c r="F58" s="10">
        <f>D58+'[1]2025 Μάιος'!F54</f>
        <v>2427.5</v>
      </c>
      <c r="G58" s="15">
        <f t="shared" si="9"/>
        <v>4.6964690588105745E-3</v>
      </c>
      <c r="H58" s="14"/>
      <c r="I58" s="16" t="e">
        <f t="shared" si="13"/>
        <v>#DIV/0!</v>
      </c>
      <c r="J58" s="10">
        <f t="shared" si="14"/>
        <v>0</v>
      </c>
      <c r="K58" s="17" t="e">
        <f t="shared" si="10"/>
        <v>#DIV/0!</v>
      </c>
      <c r="L58" s="14">
        <f>'[1]2024_60-69 ΕΞΟΔΑ+ΟΜ 2'!I14</f>
        <v>828.71900000000016</v>
      </c>
      <c r="M58" s="15">
        <f t="shared" si="11"/>
        <v>1.4383025648874885E-2</v>
      </c>
      <c r="N58" s="10">
        <f>L58+'[1]2025 Μάιος'!N54</f>
        <v>3350.3490000000002</v>
      </c>
      <c r="O58" s="15">
        <f t="shared" si="12"/>
        <v>6.0303547342674402E-3</v>
      </c>
      <c r="P58" s="10"/>
      <c r="Q58" s="15">
        <f t="shared" si="15"/>
        <v>1.3801643666323378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2'!I15</f>
        <v>0</v>
      </c>
      <c r="E59" s="15">
        <f t="shared" si="8"/>
        <v>0</v>
      </c>
      <c r="F59" s="10">
        <f>D59+'[1]2025 Μάιος'!F55</f>
        <v>3383.5</v>
      </c>
      <c r="G59" s="15">
        <f t="shared" si="9"/>
        <v>6.5460362762041523E-3</v>
      </c>
      <c r="H59" s="14"/>
      <c r="I59" s="16" t="e">
        <f t="shared" si="13"/>
        <v>#DIV/0!</v>
      </c>
      <c r="J59" s="10">
        <f t="shared" si="14"/>
        <v>0</v>
      </c>
      <c r="K59" s="17" t="e">
        <f t="shared" si="10"/>
        <v>#DIV/0!</v>
      </c>
      <c r="L59" s="14">
        <f>'[1]2024_60-69 ΕΞΟΔΑ+ΟΜ 2'!I15</f>
        <v>0</v>
      </c>
      <c r="M59" s="15">
        <f t="shared" si="11"/>
        <v>0</v>
      </c>
      <c r="N59" s="10">
        <f>L59+'[1]2025 Μάιος'!N55</f>
        <v>2361.4899999999998</v>
      </c>
      <c r="O59" s="15">
        <f t="shared" si="12"/>
        <v>4.2504892479634853E-3</v>
      </c>
      <c r="P59" s="10"/>
      <c r="Q59" s="15">
        <f t="shared" si="15"/>
        <v>0.69794295847495191</v>
      </c>
    </row>
    <row r="60" spans="1:17" ht="15" customHeight="1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2'!I16</f>
        <v>0</v>
      </c>
      <c r="E60" s="15">
        <f t="shared" si="8"/>
        <v>0</v>
      </c>
      <c r="F60" s="10">
        <f>D60+'[1]2025 Μάιος'!F56</f>
        <v>1079.08</v>
      </c>
      <c r="G60" s="15">
        <f t="shared" si="9"/>
        <v>2.0876893231642902E-3</v>
      </c>
      <c r="H60" s="14"/>
      <c r="I60" s="16"/>
      <c r="J60" s="10"/>
      <c r="K60" s="17" t="e">
        <f t="shared" si="10"/>
        <v>#DIV/0!</v>
      </c>
      <c r="L60" s="14">
        <f>'[1]2024_60-69 ΕΞΟΔΑ+ΟΜ 2'!I16</f>
        <v>360.39</v>
      </c>
      <c r="M60" s="15">
        <f t="shared" si="11"/>
        <v>6.2548325953646752E-3</v>
      </c>
      <c r="N60" s="10">
        <f>L60+'[1]2025 Μάιος'!N56</f>
        <v>360.39</v>
      </c>
      <c r="O60" s="15">
        <f t="shared" si="12"/>
        <v>6.4867258386593237E-4</v>
      </c>
      <c r="P60" s="10"/>
      <c r="Q60" s="15"/>
    </row>
    <row r="61" spans="1:17" ht="42.75" customHeight="1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2'!I17</f>
        <v>0</v>
      </c>
      <c r="E61" s="15">
        <f t="shared" si="8"/>
        <v>0</v>
      </c>
      <c r="F61" s="10">
        <f>D61+'[1]2025 Μάιος'!F57</f>
        <v>1678.29</v>
      </c>
      <c r="G61" s="15">
        <f t="shared" si="9"/>
        <v>3.2469771603341707E-3</v>
      </c>
      <c r="H61" s="14"/>
      <c r="I61" s="16" t="e">
        <f t="shared" si="13"/>
        <v>#DIV/0!</v>
      </c>
      <c r="J61" s="10">
        <f t="shared" si="14"/>
        <v>0</v>
      </c>
      <c r="K61" s="17" t="e">
        <f t="shared" si="10"/>
        <v>#DIV/0!</v>
      </c>
      <c r="L61" s="14">
        <f>'[1]2024_60-69 ΕΞΟΔΑ+ΟΜ 2'!I17</f>
        <v>30.27</v>
      </c>
      <c r="M61" s="15">
        <f t="shared" si="11"/>
        <v>5.253580361877098E-4</v>
      </c>
      <c r="N61" s="10">
        <f>L61+'[1]2025 Μάιος'!N57</f>
        <v>1502.89</v>
      </c>
      <c r="O61" s="15">
        <f t="shared" si="12"/>
        <v>2.7050793295215494E-3</v>
      </c>
      <c r="P61" s="10"/>
      <c r="Q61" s="15">
        <f t="shared" si="15"/>
        <v>0.89548886068557887</v>
      </c>
    </row>
    <row r="62" spans="1:17" ht="42.75" customHeight="1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2'!I18</f>
        <v>0</v>
      </c>
      <c r="E62" s="15">
        <f t="shared" si="8"/>
        <v>0</v>
      </c>
      <c r="F62" s="10">
        <f>D62+'[1]2025 Μάιος'!F58</f>
        <v>287.06</v>
      </c>
      <c r="G62" s="15">
        <f t="shared" si="9"/>
        <v>5.5537318559100454E-4</v>
      </c>
      <c r="H62" s="14"/>
      <c r="I62" s="16" t="e">
        <f t="shared" si="13"/>
        <v>#DIV/0!</v>
      </c>
      <c r="J62" s="10">
        <f t="shared" si="14"/>
        <v>0</v>
      </c>
      <c r="K62" s="17" t="e">
        <f t="shared" si="10"/>
        <v>#DIV/0!</v>
      </c>
      <c r="L62" s="14">
        <f>'[1]2024_60-69 ΕΞΟΔΑ+ΟΜ 2'!I18</f>
        <v>291.37999999999988</v>
      </c>
      <c r="M62" s="15">
        <f t="shared" si="11"/>
        <v>5.0571134649611766E-3</v>
      </c>
      <c r="N62" s="10">
        <f>L62+'[1]2025 Μάιος'!N58</f>
        <v>501.52999999999992</v>
      </c>
      <c r="O62" s="15">
        <f t="shared" si="12"/>
        <v>9.0271306358744973E-4</v>
      </c>
      <c r="P62" s="10"/>
      <c r="Q62" s="15">
        <f t="shared" si="15"/>
        <v>1.7471260363687031</v>
      </c>
    </row>
    <row r="63" spans="1:17" ht="15" customHeight="1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2'!I19</f>
        <v>0</v>
      </c>
      <c r="E63" s="15">
        <f t="shared" si="8"/>
        <v>0</v>
      </c>
      <c r="F63" s="10">
        <f>D63+'[1]2025 Μάιος'!F59</f>
        <v>3780.7</v>
      </c>
      <c r="G63" s="15">
        <f t="shared" si="9"/>
        <v>7.3144966305438265E-3</v>
      </c>
      <c r="H63" s="14"/>
      <c r="I63" s="16" t="e">
        <f t="shared" si="13"/>
        <v>#DIV/0!</v>
      </c>
      <c r="J63" s="10">
        <f t="shared" si="14"/>
        <v>0</v>
      </c>
      <c r="K63" s="17" t="e">
        <f t="shared" si="10"/>
        <v>#DIV/0!</v>
      </c>
      <c r="L63" s="14">
        <f>'[1]2024_60-69 ΕΞΟΔΑ+ΟΜ 2'!I19</f>
        <v>310.02</v>
      </c>
      <c r="M63" s="15">
        <f t="shared" si="11"/>
        <v>5.3806243270206073E-3</v>
      </c>
      <c r="N63" s="10">
        <f>L63+'[1]2025 Μάιος'!N59</f>
        <v>1078.3300000000002</v>
      </c>
      <c r="O63" s="15">
        <f t="shared" si="12"/>
        <v>1.9409059834072837E-3</v>
      </c>
      <c r="P63" s="10"/>
      <c r="Q63" s="15">
        <f t="shared" si="15"/>
        <v>0.28521966831539136</v>
      </c>
    </row>
    <row r="64" spans="1:17" ht="42.75" customHeight="1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2'!I20</f>
        <v>0</v>
      </c>
      <c r="E64" s="15">
        <f t="shared" si="8"/>
        <v>0</v>
      </c>
      <c r="F64" s="10">
        <f>D64+'[1]2025 Μάιος'!F60</f>
        <v>363.25000000000006</v>
      </c>
      <c r="G64" s="15">
        <f t="shared" si="9"/>
        <v>7.0277750179729829E-4</v>
      </c>
      <c r="H64" s="14"/>
      <c r="I64" s="16" t="e">
        <f t="shared" si="13"/>
        <v>#DIV/0!</v>
      </c>
      <c r="J64" s="10">
        <f t="shared" si="14"/>
        <v>0</v>
      </c>
      <c r="K64" s="17" t="e">
        <f t="shared" si="10"/>
        <v>#DIV/0!</v>
      </c>
      <c r="L64" s="14">
        <f>'[1]2024_60-69 ΕΞΟΔΑ+ΟΜ 2'!I20</f>
        <v>0</v>
      </c>
      <c r="M64" s="15">
        <f t="shared" si="11"/>
        <v>0</v>
      </c>
      <c r="N64" s="10">
        <f>L64+'[1]2025 Μάιος'!N60</f>
        <v>597.83999999999969</v>
      </c>
      <c r="O64" s="15">
        <f t="shared" si="12"/>
        <v>1.0760632024706812E-3</v>
      </c>
      <c r="P64" s="10"/>
      <c r="Q64" s="15">
        <f t="shared" si="15"/>
        <v>1.6458086717136946</v>
      </c>
    </row>
    <row r="65" spans="1:17" ht="28.5" customHeight="1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2'!I184</f>
        <v>0</v>
      </c>
      <c r="E65" s="15">
        <f t="shared" si="8"/>
        <v>0</v>
      </c>
      <c r="F65" s="10">
        <f>D65+'[1]2025 Μάιος'!F61</f>
        <v>0</v>
      </c>
      <c r="G65" s="15">
        <f t="shared" si="9"/>
        <v>0</v>
      </c>
      <c r="H65" s="14"/>
      <c r="I65" s="16" t="e">
        <f t="shared" si="13"/>
        <v>#DIV/0!</v>
      </c>
      <c r="J65" s="10">
        <f t="shared" si="14"/>
        <v>0</v>
      </c>
      <c r="K65" s="17" t="e">
        <f t="shared" si="10"/>
        <v>#DIV/0!</v>
      </c>
      <c r="L65" s="14">
        <f>'[1]2024_60-69 ΕΞΟΔΑ+ΟΜ 2'!I21</f>
        <v>0</v>
      </c>
      <c r="M65" s="15">
        <f t="shared" si="11"/>
        <v>0</v>
      </c>
      <c r="N65" s="10">
        <f>L65+'[1]2025 Μάιος'!N61</f>
        <v>0</v>
      </c>
      <c r="O65" s="15">
        <f t="shared" si="12"/>
        <v>0</v>
      </c>
      <c r="P65" s="10"/>
      <c r="Q65" s="15" t="e">
        <f t="shared" si="15"/>
        <v>#DIV/0!</v>
      </c>
    </row>
    <row r="66" spans="1:17" ht="15" customHeight="1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2'!I22</f>
        <v>0</v>
      </c>
      <c r="E66" s="15">
        <f t="shared" si="8"/>
        <v>0</v>
      </c>
      <c r="F66" s="10">
        <f>D66+'[1]2025 Μάιος'!F62</f>
        <v>0</v>
      </c>
      <c r="G66" s="15">
        <f t="shared" si="9"/>
        <v>0</v>
      </c>
      <c r="H66" s="14"/>
      <c r="I66" s="16" t="e">
        <f t="shared" si="13"/>
        <v>#DIV/0!</v>
      </c>
      <c r="J66" s="10">
        <f t="shared" si="14"/>
        <v>0</v>
      </c>
      <c r="K66" s="17" t="e">
        <f t="shared" si="10"/>
        <v>#DIV/0!</v>
      </c>
      <c r="L66" s="14">
        <f>'[1]2024_60-69 ΕΞΟΔΑ+ΟΜ 2'!I22</f>
        <v>39.25</v>
      </c>
      <c r="M66" s="15">
        <f t="shared" si="11"/>
        <v>6.812125180167694E-4</v>
      </c>
      <c r="N66" s="10">
        <f>L66+'[1]2025 Μάιος'!N62</f>
        <v>57.230000000000004</v>
      </c>
      <c r="O66" s="15">
        <f t="shared" si="12"/>
        <v>1.030093287123597E-4</v>
      </c>
      <c r="P66" s="10"/>
      <c r="Q66" s="15" t="e">
        <f t="shared" si="15"/>
        <v>#DIV/0!</v>
      </c>
    </row>
    <row r="67" spans="1:17" ht="22.5" customHeight="1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2'!I23</f>
        <v>0</v>
      </c>
      <c r="E67" s="15">
        <f t="shared" si="8"/>
        <v>0</v>
      </c>
      <c r="F67" s="10">
        <f>D67+'[1]2025 Μάιος'!F63</f>
        <v>0</v>
      </c>
      <c r="G67" s="15">
        <f t="shared" si="9"/>
        <v>0</v>
      </c>
      <c r="H67" s="14"/>
      <c r="I67" s="16" t="e">
        <f t="shared" si="13"/>
        <v>#DIV/0!</v>
      </c>
      <c r="J67" s="10">
        <f t="shared" si="14"/>
        <v>0</v>
      </c>
      <c r="K67" s="17" t="e">
        <f t="shared" si="10"/>
        <v>#DIV/0!</v>
      </c>
      <c r="L67" s="14">
        <f>'[1]2024_60-69 ΕΞΟΔΑ+ΟΜ 2'!I23</f>
        <v>0</v>
      </c>
      <c r="M67" s="15">
        <f t="shared" si="11"/>
        <v>0</v>
      </c>
      <c r="N67" s="10">
        <f>L67+'[1]2025 Μάιος'!N63</f>
        <v>61.85</v>
      </c>
      <c r="O67" s="15">
        <f t="shared" si="12"/>
        <v>1.1132495161382923E-4</v>
      </c>
      <c r="P67" s="10"/>
      <c r="Q67" s="15" t="e">
        <f t="shared" si="15"/>
        <v>#DIV/0!</v>
      </c>
    </row>
    <row r="68" spans="1:17" ht="36" customHeight="1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2'!I24</f>
        <v>0</v>
      </c>
      <c r="E68" s="15">
        <f t="shared" si="8"/>
        <v>0</v>
      </c>
      <c r="F68" s="10">
        <f>D68+'[1]2025 Μάιος'!F64</f>
        <v>188.71</v>
      </c>
      <c r="G68" s="15">
        <f t="shared" si="9"/>
        <v>3.6509605606102721E-4</v>
      </c>
      <c r="H68" s="14"/>
      <c r="I68" s="16" t="e">
        <f t="shared" si="13"/>
        <v>#DIV/0!</v>
      </c>
      <c r="J68" s="10">
        <f t="shared" si="14"/>
        <v>0</v>
      </c>
      <c r="K68" s="17" t="e">
        <f t="shared" si="10"/>
        <v>#DIV/0!</v>
      </c>
      <c r="L68" s="14">
        <f>'[1]2024_60-69 ΕΞΟΔΑ+ΟΜ 2'!I24</f>
        <v>10545.34</v>
      </c>
      <c r="M68" s="15">
        <f t="shared" si="11"/>
        <v>0.18302210483421552</v>
      </c>
      <c r="N68" s="10">
        <f>L68+'[1]2025 Μάιος'!N64</f>
        <v>11007.82</v>
      </c>
      <c r="O68" s="15">
        <f t="shared" si="12"/>
        <v>1.9813177508063731E-2</v>
      </c>
      <c r="P68" s="10"/>
      <c r="Q68" s="15">
        <f t="shared" si="15"/>
        <v>58.331937894123257</v>
      </c>
    </row>
    <row r="69" spans="1:17" ht="36" customHeight="1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2'!I25</f>
        <v>0</v>
      </c>
      <c r="E69" s="15">
        <f t="shared" si="8"/>
        <v>0</v>
      </c>
      <c r="F69" s="10">
        <f>D69+'[1]2025 Μάιος'!F65</f>
        <v>36346.14</v>
      </c>
      <c r="G69" s="15">
        <f t="shared" si="9"/>
        <v>7.0318649605436614E-2</v>
      </c>
      <c r="H69" s="14"/>
      <c r="I69" s="16" t="e">
        <f t="shared" si="13"/>
        <v>#DIV/0!</v>
      </c>
      <c r="J69" s="10">
        <f t="shared" si="14"/>
        <v>0</v>
      </c>
      <c r="K69" s="17" t="e">
        <f t="shared" si="10"/>
        <v>#DIV/0!</v>
      </c>
      <c r="L69" s="14">
        <f>'[1]2024_60-69 ΕΞΟΔΑ+ΟΜ 2'!I25</f>
        <v>353.98</v>
      </c>
      <c r="M69" s="15">
        <f t="shared" si="11"/>
        <v>6.1435823471993898E-3</v>
      </c>
      <c r="N69" s="10">
        <f>L69+'[1]2025 Μάιος'!N65</f>
        <v>32785.81</v>
      </c>
      <c r="O69" s="15">
        <f t="shared" si="12"/>
        <v>5.9011781921911047E-2</v>
      </c>
      <c r="P69" s="10"/>
      <c r="Q69" s="15">
        <f t="shared" si="15"/>
        <v>0.90204379337118046</v>
      </c>
    </row>
    <row r="70" spans="1:17" ht="36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2'!I26</f>
        <v>0</v>
      </c>
      <c r="E70" s="15">
        <f t="shared" si="8"/>
        <v>0</v>
      </c>
      <c r="F70" s="10">
        <f>D70+'[1]2025 Μάιος'!F66</f>
        <v>2900.09</v>
      </c>
      <c r="G70" s="15">
        <f t="shared" si="9"/>
        <v>5.6107859743629081E-3</v>
      </c>
      <c r="H70" s="14"/>
      <c r="I70" s="16" t="e">
        <f t="shared" si="13"/>
        <v>#DIV/0!</v>
      </c>
      <c r="J70" s="10">
        <f t="shared" si="14"/>
        <v>0</v>
      </c>
      <c r="K70" s="17" t="e">
        <f t="shared" si="10"/>
        <v>#DIV/0!</v>
      </c>
      <c r="L70" s="14">
        <f>'[1]2024_60-69 ΕΞΟΔΑ+ΟΜ 2'!I26</f>
        <v>140</v>
      </c>
      <c r="M70" s="15">
        <f t="shared" si="11"/>
        <v>2.4298026120343368E-3</v>
      </c>
      <c r="N70" s="10">
        <f>L70+'[1]2025 Μάιος'!N66</f>
        <v>140</v>
      </c>
      <c r="O70" s="15">
        <f t="shared" si="12"/>
        <v>2.5198857277180424E-4</v>
      </c>
      <c r="P70" s="10"/>
      <c r="Q70" s="15">
        <f t="shared" si="15"/>
        <v>4.8274363899051403E-2</v>
      </c>
    </row>
    <row r="71" spans="1:17" ht="15.75" customHeight="1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2'!I27</f>
        <v>0</v>
      </c>
      <c r="E71" s="15">
        <f t="shared" si="8"/>
        <v>0</v>
      </c>
      <c r="F71" s="10">
        <f>D71+'[1]2025 Μάιος'!F67</f>
        <v>0</v>
      </c>
      <c r="G71" s="15">
        <f t="shared" si="9"/>
        <v>0</v>
      </c>
      <c r="H71" s="14"/>
      <c r="I71" s="16" t="e">
        <f t="shared" si="13"/>
        <v>#DIV/0!</v>
      </c>
      <c r="J71" s="10">
        <f t="shared" si="14"/>
        <v>0</v>
      </c>
      <c r="K71" s="17" t="e">
        <f t="shared" si="10"/>
        <v>#DIV/0!</v>
      </c>
      <c r="L71" s="14">
        <f>'[1]2024_60-69 ΕΞΟΔΑ+ΟΜ 2'!I27</f>
        <v>0</v>
      </c>
      <c r="M71" s="15">
        <f t="shared" si="11"/>
        <v>0</v>
      </c>
      <c r="N71" s="10">
        <f>L71+'[1]2025 Μάιος'!N67</f>
        <v>0</v>
      </c>
      <c r="O71" s="15">
        <f t="shared" si="12"/>
        <v>0</v>
      </c>
      <c r="P71" s="10"/>
      <c r="Q71" s="15" t="e">
        <f t="shared" si="15"/>
        <v>#DIV/0!</v>
      </c>
    </row>
    <row r="72" spans="1:17" ht="27.7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2'!I28</f>
        <v>0</v>
      </c>
      <c r="E72" s="15">
        <f t="shared" si="8"/>
        <v>0</v>
      </c>
      <c r="F72" s="10">
        <f>D72+'[1]2025 Μάιος'!F68</f>
        <v>399.06</v>
      </c>
      <c r="G72" s="15">
        <f t="shared" si="9"/>
        <v>7.7205888469987559E-4</v>
      </c>
      <c r="H72" s="14"/>
      <c r="I72" s="16" t="e">
        <f t="shared" si="13"/>
        <v>#DIV/0!</v>
      </c>
      <c r="J72" s="10">
        <f t="shared" si="14"/>
        <v>0</v>
      </c>
      <c r="K72" s="17" t="e">
        <f t="shared" si="10"/>
        <v>#DIV/0!</v>
      </c>
      <c r="L72" s="14">
        <f>'[1]2024_60-69 ΕΞΟΔΑ+ΟΜ 2'!I28</f>
        <v>2239.9899999999998</v>
      </c>
      <c r="M72" s="15">
        <f t="shared" si="11"/>
        <v>3.8876668235219951E-2</v>
      </c>
      <c r="N72" s="10">
        <f>L72+'[1]2025 Μάιος'!N68</f>
        <v>2239.9899999999998</v>
      </c>
      <c r="O72" s="15">
        <f t="shared" si="12"/>
        <v>4.0317991651650986E-3</v>
      </c>
      <c r="P72" s="10"/>
      <c r="Q72" s="15">
        <f t="shared" si="15"/>
        <v>5.6131659399589031</v>
      </c>
    </row>
    <row r="73" spans="1:17" ht="78.75" customHeight="1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2'!I29</f>
        <v>0</v>
      </c>
      <c r="E73" s="15">
        <f t="shared" si="8"/>
        <v>0</v>
      </c>
      <c r="F73" s="10">
        <f>D73+'[1]2025 Μάιος'!F69</f>
        <v>5994.46</v>
      </c>
      <c r="G73" s="15">
        <f t="shared" si="9"/>
        <v>1.1597444248930026E-2</v>
      </c>
      <c r="H73" s="14"/>
      <c r="I73" s="16" t="e">
        <f t="shared" si="13"/>
        <v>#DIV/0!</v>
      </c>
      <c r="J73" s="10">
        <f t="shared" si="14"/>
        <v>0</v>
      </c>
      <c r="K73" s="17" t="e">
        <f t="shared" si="10"/>
        <v>#DIV/0!</v>
      </c>
      <c r="L73" s="14">
        <f>'[1]2024_60-69 ΕΞΟΔΑ+ΟΜ 2'!I29</f>
        <v>717.63</v>
      </c>
      <c r="M73" s="15">
        <f t="shared" si="11"/>
        <v>1.245499463195858E-2</v>
      </c>
      <c r="N73" s="10">
        <f>L73+'[1]2025 Μάιος'!N69</f>
        <v>7625.3199999999988</v>
      </c>
      <c r="O73" s="15">
        <f t="shared" si="12"/>
        <v>1.3724953598059244E-2</v>
      </c>
      <c r="P73" s="10"/>
      <c r="Q73" s="15">
        <f t="shared" si="15"/>
        <v>1.2720612031776004</v>
      </c>
    </row>
    <row r="74" spans="1:17" ht="30" customHeight="1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f>'[1]2025_60-69 ΕΞΟΔΑ+ΟΜ 2'!I30</f>
        <v>0</v>
      </c>
      <c r="E74" s="15">
        <f t="shared" si="8"/>
        <v>0</v>
      </c>
      <c r="F74" s="10">
        <f>D74+'[1]2025 Μάιος'!F70</f>
        <v>1811.8300000000002</v>
      </c>
      <c r="G74" s="15">
        <f t="shared" si="9"/>
        <v>3.5053361626466587E-3</v>
      </c>
      <c r="H74" s="14"/>
      <c r="I74" s="16" t="e">
        <f t="shared" si="13"/>
        <v>#DIV/0!</v>
      </c>
      <c r="J74" s="10">
        <f t="shared" si="14"/>
        <v>0</v>
      </c>
      <c r="K74" s="17" t="e">
        <f t="shared" si="10"/>
        <v>#DIV/0!</v>
      </c>
      <c r="L74" s="14">
        <f>'[1]2024_60-69 ΕΞΟΔΑ+ΟΜ 2'!I30</f>
        <v>403.13</v>
      </c>
      <c r="M74" s="15">
        <f t="shared" si="11"/>
        <v>6.9966166213528726E-3</v>
      </c>
      <c r="N74" s="10">
        <f>L74+'[1]2025 Μάιος'!N70</f>
        <v>4037.6800000000003</v>
      </c>
      <c r="O74" s="15">
        <f t="shared" si="12"/>
        <v>7.2674944322089902E-3</v>
      </c>
      <c r="P74" s="10"/>
      <c r="Q74" s="15">
        <f t="shared" si="15"/>
        <v>2.2285092972298726</v>
      </c>
    </row>
    <row r="75" spans="1:17" ht="33.75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2'!I31</f>
        <v>7839.9766666666674</v>
      </c>
      <c r="E75" s="15">
        <f t="shared" si="8"/>
        <v>1</v>
      </c>
      <c r="F75" s="10">
        <f>D75+'[1]2025 Μάιος'!F71</f>
        <v>7839.9766666666674</v>
      </c>
      <c r="G75" s="15">
        <f t="shared" si="9"/>
        <v>1.5167953794766991E-2</v>
      </c>
      <c r="H75" s="14"/>
      <c r="I75" s="16" t="e">
        <f t="shared" si="13"/>
        <v>#DIV/0!</v>
      </c>
      <c r="J75" s="10">
        <f t="shared" si="14"/>
        <v>0</v>
      </c>
      <c r="K75" s="17" t="e">
        <f t="shared" si="10"/>
        <v>#DIV/0!</v>
      </c>
      <c r="L75" s="14">
        <f>'[1]2024_60-69 ΕΞΟΔΑ+ΟΜ 2'!I31</f>
        <v>7839.98</v>
      </c>
      <c r="M75" s="15">
        <f t="shared" si="11"/>
        <v>0.13606859915926398</v>
      </c>
      <c r="N75" s="10">
        <f>L75+'[1]2025 Μάιος'!N71</f>
        <v>8792.8799999999992</v>
      </c>
      <c r="O75" s="15">
        <f t="shared" si="12"/>
        <v>1.5826466298241013E-2</v>
      </c>
      <c r="P75" s="10"/>
      <c r="Q75" s="15">
        <f t="shared" si="15"/>
        <v>1.1215441542555609</v>
      </c>
    </row>
    <row r="76" spans="1:17" ht="28.5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2'!I32</f>
        <v>0</v>
      </c>
      <c r="E76" s="15">
        <f t="shared" si="8"/>
        <v>0</v>
      </c>
      <c r="F76" s="10">
        <f>D76+'[1]2025 Μάιος'!F72</f>
        <v>39199.883333333339</v>
      </c>
      <c r="G76" s="15">
        <f t="shared" si="9"/>
        <v>7.5839768973834959E-2</v>
      </c>
      <c r="H76" s="14"/>
      <c r="I76" s="16" t="e">
        <f t="shared" si="13"/>
        <v>#DIV/0!</v>
      </c>
      <c r="J76" s="10">
        <f t="shared" si="14"/>
        <v>0</v>
      </c>
      <c r="K76" s="17" t="e">
        <f t="shared" si="10"/>
        <v>#DIV/0!</v>
      </c>
      <c r="L76" s="14">
        <f>'[1]2024_60-69 ΕΞΟΔΑ+ΟΜ 2'!I32</f>
        <v>2931.61</v>
      </c>
      <c r="M76" s="15">
        <f t="shared" si="11"/>
        <v>5.0880240253328442E-2</v>
      </c>
      <c r="N76" s="10">
        <f>L76+'[1]2025 Μάιος'!N72</f>
        <v>42131.509999999995</v>
      </c>
      <c r="O76" s="15">
        <f t="shared" si="12"/>
        <v>7.5833279097292844E-2</v>
      </c>
      <c r="P76" s="10"/>
      <c r="Q76" s="15">
        <f t="shared" si="15"/>
        <v>1.0747866171370406</v>
      </c>
    </row>
    <row r="77" spans="1:17" ht="28.5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2'!I33</f>
        <v>0</v>
      </c>
      <c r="E77" s="15">
        <f t="shared" si="8"/>
        <v>0</v>
      </c>
      <c r="F77" s="10">
        <f>D77+'[1]2025 Μάιος'!F73</f>
        <v>5806.2300000000005</v>
      </c>
      <c r="G77" s="15">
        <f t="shared" si="9"/>
        <v>1.123327684586518E-2</v>
      </c>
      <c r="H77" s="14"/>
      <c r="I77" s="16" t="e">
        <f t="shared" si="13"/>
        <v>#DIV/0!</v>
      </c>
      <c r="J77" s="10">
        <f t="shared" si="14"/>
        <v>0</v>
      </c>
      <c r="K77" s="17" t="e">
        <f t="shared" si="10"/>
        <v>#DIV/0!</v>
      </c>
      <c r="L77" s="14">
        <f>'[1]2024_60-69 ΕΞΟΔΑ+ΟΜ 2'!I33</f>
        <v>0</v>
      </c>
      <c r="M77" s="15">
        <f t="shared" si="11"/>
        <v>0</v>
      </c>
      <c r="N77" s="10">
        <f>L77+'[1]2025 Μάιος'!N73</f>
        <v>10350.869999999999</v>
      </c>
      <c r="O77" s="15">
        <f t="shared" si="12"/>
        <v>1.8630721130332036E-2</v>
      </c>
      <c r="P77" s="10"/>
      <c r="Q77" s="15">
        <f t="shared" si="15"/>
        <v>1.7827178737321805</v>
      </c>
    </row>
    <row r="78" spans="1:17" ht="28.5" customHeight="1" x14ac:dyDescent="0.25">
      <c r="A78" s="60">
        <v>77</v>
      </c>
      <c r="B78" s="60"/>
      <c r="C78" s="75" t="s">
        <v>163</v>
      </c>
      <c r="D78" s="7" t="e">
        <f>'[1]2025_60-69 ΕΞΟΔΑ+ΟΜ 2'!I3+#REF!</f>
        <v>#REF!</v>
      </c>
      <c r="E78" s="21"/>
      <c r="F78" s="7" t="e">
        <f>D78+'[1]2025 Μάιος'!F74</f>
        <v>#REF!</v>
      </c>
      <c r="G78" s="21"/>
      <c r="H78" s="7">
        <f>SUM(H44:H77)</f>
        <v>0</v>
      </c>
      <c r="I78" s="21"/>
      <c r="J78" s="7">
        <f>SUM(J44:J77)</f>
        <v>0</v>
      </c>
      <c r="K78" s="21"/>
      <c r="L78" s="7">
        <f>SUM(L44:L77)</f>
        <v>57617.849000000002</v>
      </c>
      <c r="M78" s="21"/>
      <c r="N78" s="7">
        <f>SUM(N44:N77)</f>
        <v>555580.74899999995</v>
      </c>
      <c r="O78" s="21"/>
      <c r="P78" s="7">
        <f>SUM(P44:P77)</f>
        <v>0</v>
      </c>
      <c r="Q78" s="21"/>
    </row>
    <row r="79" spans="1:17" ht="33" customHeight="1" x14ac:dyDescent="0.25">
      <c r="A79" s="60">
        <v>78</v>
      </c>
      <c r="B79" s="60"/>
      <c r="C79" s="22" t="s">
        <v>18</v>
      </c>
      <c r="D79" s="7" t="e">
        <f>D43-D78</f>
        <v>#REF!</v>
      </c>
      <c r="E79" s="21"/>
      <c r="F79" s="7" t="e">
        <f>F43-F78</f>
        <v>#REF!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0</v>
      </c>
      <c r="M79" s="21"/>
      <c r="N79" s="7">
        <f>N43-N78</f>
        <v>0</v>
      </c>
      <c r="O79" s="21"/>
      <c r="P79" s="7">
        <f>P43-P78</f>
        <v>0</v>
      </c>
      <c r="Q79" s="21"/>
    </row>
    <row r="80" spans="1:17" ht="27" customHeight="1" x14ac:dyDescent="0.25">
      <c r="A80" s="76">
        <v>79</v>
      </c>
      <c r="B80" s="76"/>
      <c r="C80" s="13" t="s">
        <v>32</v>
      </c>
      <c r="D80" s="23" t="e">
        <f>D38-D78</f>
        <v>#REF!</v>
      </c>
      <c r="E80" s="24"/>
      <c r="F80" s="23" t="e">
        <f>F38-F78</f>
        <v>#VALUE!</v>
      </c>
      <c r="G80" s="24"/>
      <c r="H80" s="25">
        <f>H38-H78</f>
        <v>0</v>
      </c>
      <c r="I80" s="24" t="e">
        <f t="shared" si="13"/>
        <v>#DIV/0!</v>
      </c>
      <c r="J80" s="25">
        <f>J38-J78</f>
        <v>246254.6560732142</v>
      </c>
      <c r="K80" s="24"/>
      <c r="L80" s="77">
        <f>L38-L78</f>
        <v>28112.150999999983</v>
      </c>
      <c r="M80" s="24"/>
      <c r="N80" s="23">
        <f>N38-N78</f>
        <v>-266149.74094690254</v>
      </c>
      <c r="O80" s="24"/>
      <c r="P80" s="23">
        <f>P38-P78</f>
        <v>-73591.442212389404</v>
      </c>
      <c r="Q80" s="24"/>
    </row>
    <row r="81" spans="1:17" ht="30.75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</row>
    <row r="82" spans="1:17" ht="24.75" customHeight="1" x14ac:dyDescent="0.25">
      <c r="A82" s="19">
        <v>81</v>
      </c>
      <c r="B82" s="19"/>
      <c r="C82" s="5" t="s">
        <v>3</v>
      </c>
      <c r="D82" s="180" t="str">
        <f>[1]ΑΝΤΙΣΤΟΙΧΙΣΗ!$F$110</f>
        <v xml:space="preserve">ΜΑΙΟΣ ΤΡΕΧΟΝ ΕΤΟΣ </v>
      </c>
      <c r="E82" s="180"/>
      <c r="F82" s="180"/>
      <c r="G82" s="61">
        <f>[1]ΑΝΤΙΣΤΟΙΧΙΣΗ!$D$34</f>
        <v>2025</v>
      </c>
      <c r="H82" s="180" t="str">
        <f>[1]ΑΝΤΙΣΤΟΙΧΙΣΗ!$F$110</f>
        <v xml:space="preserve">ΜΑΙΟΣ ΤΡΕΧΟΝ ΕΤΟΣ </v>
      </c>
      <c r="I82" s="180"/>
      <c r="J82" s="180"/>
      <c r="K82" s="61">
        <f>[1]ΑΝΤΙΣΤΟΙΧΙΣΗ!$D$34</f>
        <v>2025</v>
      </c>
      <c r="L82" s="180" t="str">
        <f>[1]ΑΝΤΙΣΤΟΙΧΙΣΗ!$F$124</f>
        <v>ΜΑΙΟΣ ΠΡΟΗΓΟΥΜΕΝΟΥ ΕΤΟΥΣ</v>
      </c>
      <c r="M82" s="180"/>
      <c r="N82" s="180"/>
      <c r="O82" s="61">
        <f>[1]ΑΝΤΙΣΤΟΙΧΙΣΗ!$D$33</f>
        <v>2024</v>
      </c>
      <c r="P82" s="180"/>
      <c r="Q82" s="180"/>
    </row>
    <row r="83" spans="1:17" ht="15" customHeight="1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</row>
    <row r="84" spans="1:17" ht="15" customHeight="1" x14ac:dyDescent="0.25">
      <c r="A84" s="19">
        <v>83</v>
      </c>
      <c r="B84" s="19" t="s">
        <v>2</v>
      </c>
      <c r="C84" s="75" t="s">
        <v>165</v>
      </c>
      <c r="D84" s="7" t="e">
        <f>SUM(D47:D110)</f>
        <v>#REF!</v>
      </c>
      <c r="E84" s="8"/>
      <c r="F84" s="7" t="e">
        <f>SUM(F47:F110)</f>
        <v>#REF!</v>
      </c>
      <c r="G84" s="8"/>
      <c r="H84" s="7">
        <f ca="1">SUM(H47:H110)</f>
        <v>0</v>
      </c>
      <c r="I84" s="8"/>
      <c r="J84" s="7">
        <f ca="1">SUM(J47:J110)</f>
        <v>0</v>
      </c>
      <c r="K84" s="8"/>
      <c r="L84" s="7">
        <f ca="1">SUM(L47:L110)</f>
        <v>6922.9000000000005</v>
      </c>
      <c r="M84" s="8"/>
      <c r="N84" s="7">
        <f ca="1">SUM(N47:N110)</f>
        <v>69367.960000000006</v>
      </c>
      <c r="O84" s="8"/>
      <c r="P84" s="7">
        <f ca="1">SUM(P47:P110)</f>
        <v>0</v>
      </c>
      <c r="Q84" s="8"/>
    </row>
    <row r="85" spans="1:17" ht="36.75" customHeight="1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2'!I39</f>
        <v>0</v>
      </c>
      <c r="E85" s="15" t="e">
        <f t="shared" ref="E85:E105" si="16">D85/$D$84</f>
        <v>#REF!</v>
      </c>
      <c r="F85" s="79">
        <f>'[1]2025 Μάιος'!F83+'[1]2025 Ιούνιος'!D83</f>
        <v>10153.07</v>
      </c>
      <c r="G85" s="15" t="e">
        <f t="shared" ref="G85:G105" si="17">F85/$F$84</f>
        <v>#REF!</v>
      </c>
      <c r="H85" s="14"/>
      <c r="I85" s="26" t="e">
        <f t="shared" ref="I85:I105" ca="1" si="18">H85/$H$84</f>
        <v>#DIV/0!</v>
      </c>
      <c r="J85" s="27"/>
      <c r="K85" s="27" t="e">
        <f t="shared" ref="K85:K105" ca="1" si="19">J85/$J$84</f>
        <v>#DIV/0!</v>
      </c>
      <c r="L85" s="79">
        <f>'[1]2024_60-69 ΕΞΟΔΑ+ΟΜ 2'!I37</f>
        <v>564.71</v>
      </c>
      <c r="M85" s="15">
        <f t="shared" ref="M85:M105" ca="1" si="20">L85/$L$84</f>
        <v>8.1571306822285458E-2</v>
      </c>
      <c r="N85" s="10">
        <f>L85+'[1]2025 Μάιος'!N83</f>
        <v>3786</v>
      </c>
      <c r="O85" s="15">
        <f t="shared" ref="O85:O105" ca="1" si="21">N85/$N$84</f>
        <v>5.4578511462640672E-2</v>
      </c>
      <c r="P85" s="27"/>
      <c r="Q85" s="28" t="e">
        <f t="shared" ref="Q85:Q105" si="22">SUM(D85:P85)</f>
        <v>#REF!</v>
      </c>
    </row>
    <row r="86" spans="1:17" ht="36.75" customHeight="1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2'!I40</f>
        <v>0</v>
      </c>
      <c r="E86" s="15" t="e">
        <f t="shared" si="16"/>
        <v>#REF!</v>
      </c>
      <c r="F86" s="79">
        <f>'[1]2025 Μάιος'!F84+'[1]2025 Ιούνιος'!D84</f>
        <v>5921.02</v>
      </c>
      <c r="G86" s="15" t="e">
        <f t="shared" si="17"/>
        <v>#REF!</v>
      </c>
      <c r="H86" s="14"/>
      <c r="I86" s="26" t="e">
        <f t="shared" ca="1" si="18"/>
        <v>#DIV/0!</v>
      </c>
      <c r="J86" s="27"/>
      <c r="K86" s="27" t="e">
        <f t="shared" ca="1" si="19"/>
        <v>#DIV/0!</v>
      </c>
      <c r="L86" s="79">
        <f>'[1]2024_60-69 ΕΞΟΔΑ+ΟΜ 2'!I38</f>
        <v>0</v>
      </c>
      <c r="M86" s="15">
        <f t="shared" ca="1" si="20"/>
        <v>0</v>
      </c>
      <c r="N86" s="10">
        <f>L86+'[1]2025 Μάιος'!N84</f>
        <v>8174.06</v>
      </c>
      <c r="O86" s="15">
        <f t="shared" ca="1" si="21"/>
        <v>0.11783624601328913</v>
      </c>
      <c r="P86" s="27"/>
      <c r="Q86" s="28" t="e">
        <f t="shared" si="22"/>
        <v>#REF!</v>
      </c>
    </row>
    <row r="87" spans="1:17" ht="36.75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2'!I43</f>
        <v>0</v>
      </c>
      <c r="E87" s="15" t="e">
        <f t="shared" si="16"/>
        <v>#REF!</v>
      </c>
      <c r="F87" s="79">
        <f>'[1]2025 Μάιος'!F87+'[1]2025 Ιούνιος'!D87</f>
        <v>2080.4</v>
      </c>
      <c r="G87" s="15" t="e">
        <f t="shared" si="17"/>
        <v>#REF!</v>
      </c>
      <c r="H87" s="14"/>
      <c r="I87" s="26" t="e">
        <f t="shared" ca="1" si="18"/>
        <v>#DIV/0!</v>
      </c>
      <c r="J87" s="27"/>
      <c r="K87" s="27" t="e">
        <f t="shared" ca="1" si="19"/>
        <v>#DIV/0!</v>
      </c>
      <c r="L87" s="79">
        <f>'[1]2024_60-69 ΕΞΟΔΑ+ΟΜ 2'!I41</f>
        <v>99.47</v>
      </c>
      <c r="M87" s="15">
        <f t="shared" ca="1" si="20"/>
        <v>1.4368256077655317E-2</v>
      </c>
      <c r="N87" s="10">
        <f>L87+'[1]2025 Μάιος'!N87</f>
        <v>1118.32</v>
      </c>
      <c r="O87" s="15">
        <f t="shared" ca="1" si="21"/>
        <v>1.6121563903565853E-2</v>
      </c>
      <c r="P87" s="27"/>
      <c r="Q87" s="28" t="e">
        <f t="shared" si="22"/>
        <v>#REF!</v>
      </c>
    </row>
    <row r="88" spans="1:17" ht="36.75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2'!I44</f>
        <v>0</v>
      </c>
      <c r="E88" s="15" t="e">
        <f t="shared" si="16"/>
        <v>#REF!</v>
      </c>
      <c r="F88" s="79">
        <f>'[1]2025 Μάιος'!F88+'[1]2025 Ιούνιος'!D88</f>
        <v>901.2</v>
      </c>
      <c r="G88" s="15" t="e">
        <f t="shared" si="17"/>
        <v>#REF!</v>
      </c>
      <c r="H88" s="14"/>
      <c r="I88" s="26" t="e">
        <f t="shared" ca="1" si="18"/>
        <v>#DIV/0!</v>
      </c>
      <c r="J88" s="27"/>
      <c r="K88" s="27" t="e">
        <f t="shared" ca="1" si="19"/>
        <v>#DIV/0!</v>
      </c>
      <c r="L88" s="79">
        <f>'[1]2024_60-69 ΕΞΟΔΑ+ΟΜ 2'!I42</f>
        <v>0</v>
      </c>
      <c r="M88" s="15">
        <f t="shared" ca="1" si="20"/>
        <v>0</v>
      </c>
      <c r="N88" s="10">
        <f>L88+'[1]2025 Μάιος'!N88</f>
        <v>1599.68</v>
      </c>
      <c r="O88" s="15">
        <f t="shared" ca="1" si="21"/>
        <v>2.3060790601309306E-2</v>
      </c>
      <c r="P88" s="27"/>
      <c r="Q88" s="28" t="e">
        <f t="shared" si="22"/>
        <v>#REF!</v>
      </c>
    </row>
    <row r="89" spans="1:17" ht="28.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2'!I45</f>
        <v>0</v>
      </c>
      <c r="E89" s="15" t="e">
        <f t="shared" si="16"/>
        <v>#REF!</v>
      </c>
      <c r="F89" s="79">
        <f>'[1]2025 Μάιος'!F89+'[1]2025 Ιούνιος'!D89</f>
        <v>880.69999999999993</v>
      </c>
      <c r="G89" s="15" t="e">
        <f t="shared" si="17"/>
        <v>#REF!</v>
      </c>
      <c r="H89" s="80"/>
      <c r="I89" s="26" t="e">
        <f t="shared" ca="1" si="18"/>
        <v>#DIV/0!</v>
      </c>
      <c r="J89" s="80"/>
      <c r="K89" s="27" t="e">
        <f t="shared" ca="1" si="19"/>
        <v>#DIV/0!</v>
      </c>
      <c r="L89" s="79">
        <f>'[1]2024_60-69 ΕΞΟΔΑ+ΟΜ 2'!I43</f>
        <v>0</v>
      </c>
      <c r="M89" s="15">
        <f t="shared" ca="1" si="20"/>
        <v>0</v>
      </c>
      <c r="N89" s="10">
        <f>L89+'[1]2025 Μάιος'!N89</f>
        <v>0</v>
      </c>
      <c r="O89" s="15">
        <f t="shared" ca="1" si="21"/>
        <v>0</v>
      </c>
      <c r="P89" s="80"/>
      <c r="Q89" s="28" t="e">
        <f t="shared" si="22"/>
        <v>#REF!</v>
      </c>
    </row>
    <row r="90" spans="1:17" ht="42.75" customHeight="1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2'!I46</f>
        <v>0</v>
      </c>
      <c r="E90" s="15" t="e">
        <f t="shared" si="16"/>
        <v>#REF!</v>
      </c>
      <c r="F90" s="79">
        <f>'[1]2025 Μάιος'!F90+'[1]2025 Ιούνιος'!D90</f>
        <v>0</v>
      </c>
      <c r="G90" s="15" t="e">
        <f t="shared" si="17"/>
        <v>#REF!</v>
      </c>
      <c r="H90" s="80"/>
      <c r="I90" s="26" t="e">
        <f t="shared" ca="1" si="18"/>
        <v>#DIV/0!</v>
      </c>
      <c r="J90" s="80"/>
      <c r="K90" s="27" t="e">
        <f t="shared" ca="1" si="19"/>
        <v>#DIV/0!</v>
      </c>
      <c r="L90" s="79">
        <f>'[1]2024_60-69 ΕΞΟΔΑ+ΟΜ 2'!I44</f>
        <v>0</v>
      </c>
      <c r="M90" s="15">
        <f t="shared" ca="1" si="20"/>
        <v>0</v>
      </c>
      <c r="N90" s="10">
        <f>L90+'[1]2025 Μάιος'!N90</f>
        <v>0</v>
      </c>
      <c r="O90" s="15">
        <f t="shared" ca="1" si="21"/>
        <v>0</v>
      </c>
      <c r="P90" s="80"/>
      <c r="Q90" s="28" t="e">
        <f t="shared" si="22"/>
        <v>#REF!</v>
      </c>
    </row>
    <row r="91" spans="1:17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2'!I47</f>
        <v>0</v>
      </c>
      <c r="E91" s="15" t="e">
        <f t="shared" si="16"/>
        <v>#REF!</v>
      </c>
      <c r="F91" s="79">
        <f>'[1]2025 Μάιος'!F91+'[1]2025 Ιούνιος'!D91</f>
        <v>0</v>
      </c>
      <c r="G91" s="15" t="e">
        <f t="shared" si="17"/>
        <v>#REF!</v>
      </c>
      <c r="H91" s="80"/>
      <c r="I91" s="26" t="e">
        <f t="shared" ca="1" si="18"/>
        <v>#DIV/0!</v>
      </c>
      <c r="J91" s="80"/>
      <c r="K91" s="27" t="e">
        <f t="shared" ca="1" si="19"/>
        <v>#DIV/0!</v>
      </c>
      <c r="L91" s="79">
        <f>'[1]2024_60-69 ΕΞΟΔΑ+ΟΜ 2'!I45</f>
        <v>0</v>
      </c>
      <c r="M91" s="15">
        <f t="shared" ca="1" si="20"/>
        <v>0</v>
      </c>
      <c r="N91" s="10">
        <f>L91+'[1]2025 Μάιος'!N91</f>
        <v>0</v>
      </c>
      <c r="O91" s="15">
        <f t="shared" ca="1" si="21"/>
        <v>0</v>
      </c>
      <c r="P91" s="80"/>
      <c r="Q91" s="28" t="e">
        <f t="shared" si="22"/>
        <v>#REF!</v>
      </c>
    </row>
    <row r="92" spans="1:17" ht="15" customHeight="1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2'!I48</f>
        <v>0</v>
      </c>
      <c r="E92" s="15" t="e">
        <f t="shared" si="16"/>
        <v>#REF!</v>
      </c>
      <c r="F92" s="79">
        <f>'[1]2025 Μάιος'!F92+'[1]2025 Ιούνιος'!D92</f>
        <v>0</v>
      </c>
      <c r="G92" s="15" t="e">
        <f t="shared" si="17"/>
        <v>#REF!</v>
      </c>
      <c r="H92" s="14"/>
      <c r="I92" s="26" t="e">
        <f t="shared" ca="1" si="18"/>
        <v>#DIV/0!</v>
      </c>
      <c r="J92" s="27"/>
      <c r="K92" s="27" t="e">
        <f t="shared" ca="1" si="19"/>
        <v>#DIV/0!</v>
      </c>
      <c r="L92" s="79">
        <f>'[1]2024_60-69 ΕΞΟΔΑ+ΟΜ 2'!I46</f>
        <v>0</v>
      </c>
      <c r="M92" s="15">
        <f t="shared" ca="1" si="20"/>
        <v>0</v>
      </c>
      <c r="N92" s="10">
        <f>L92+'[1]2025 Μάιος'!N92</f>
        <v>0</v>
      </c>
      <c r="O92" s="15">
        <f t="shared" ca="1" si="21"/>
        <v>0</v>
      </c>
      <c r="P92" s="27"/>
      <c r="Q92" s="28" t="e">
        <f t="shared" si="22"/>
        <v>#REF!</v>
      </c>
    </row>
    <row r="93" spans="1:17" ht="15" customHeight="1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2'!I49</f>
        <v>0</v>
      </c>
      <c r="E93" s="15" t="e">
        <f t="shared" si="16"/>
        <v>#REF!</v>
      </c>
      <c r="F93" s="79">
        <f>'[1]2025 Μάιος'!F93+'[1]2025 Ιούνιος'!D93</f>
        <v>0</v>
      </c>
      <c r="G93" s="15" t="e">
        <f t="shared" si="17"/>
        <v>#REF!</v>
      </c>
      <c r="H93" s="14"/>
      <c r="I93" s="26" t="e">
        <f t="shared" ca="1" si="18"/>
        <v>#DIV/0!</v>
      </c>
      <c r="J93" s="27"/>
      <c r="K93" s="27" t="e">
        <f t="shared" ca="1" si="19"/>
        <v>#DIV/0!</v>
      </c>
      <c r="L93" s="79">
        <f>'[1]2024_60-69 ΕΞΟΔΑ+ΟΜ 2'!I47</f>
        <v>0</v>
      </c>
      <c r="M93" s="15">
        <f t="shared" ca="1" si="20"/>
        <v>0</v>
      </c>
      <c r="N93" s="10">
        <f>L93+'[1]2025 Μάιος'!N93</f>
        <v>0</v>
      </c>
      <c r="O93" s="15">
        <f t="shared" ca="1" si="21"/>
        <v>0</v>
      </c>
      <c r="P93" s="27"/>
      <c r="Q93" s="28" t="e">
        <f t="shared" si="22"/>
        <v>#REF!</v>
      </c>
    </row>
    <row r="94" spans="1:17" ht="1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2'!I50</f>
        <v>0</v>
      </c>
      <c r="E94" s="15" t="e">
        <f t="shared" si="16"/>
        <v>#REF!</v>
      </c>
      <c r="F94" s="79">
        <f>'[1]2025 Μάιος'!F94+'[1]2025 Ιούνιος'!D94</f>
        <v>0</v>
      </c>
      <c r="G94" s="15" t="e">
        <f t="shared" si="17"/>
        <v>#REF!</v>
      </c>
      <c r="H94" s="81"/>
      <c r="I94" s="26" t="e">
        <f t="shared" ca="1" si="18"/>
        <v>#DIV/0!</v>
      </c>
      <c r="J94" s="81"/>
      <c r="K94" s="27" t="e">
        <f t="shared" ca="1" si="19"/>
        <v>#DIV/0!</v>
      </c>
      <c r="L94" s="79">
        <f>'[1]2024_60-69 ΕΞΟΔΑ+ΟΜ 2'!I48</f>
        <v>0</v>
      </c>
      <c r="M94" s="15">
        <f t="shared" ca="1" si="20"/>
        <v>0</v>
      </c>
      <c r="N94" s="10">
        <f>L94+'[1]2025 Μάιος'!N94</f>
        <v>0</v>
      </c>
      <c r="O94" s="15">
        <f t="shared" ca="1" si="21"/>
        <v>0</v>
      </c>
      <c r="P94" s="81"/>
      <c r="Q94" s="28" t="e">
        <f t="shared" si="22"/>
        <v>#REF!</v>
      </c>
    </row>
    <row r="95" spans="1:17" ht="28.5" customHeight="1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2'!I51</f>
        <v>0</v>
      </c>
      <c r="E95" s="15" t="e">
        <f t="shared" si="16"/>
        <v>#REF!</v>
      </c>
      <c r="F95" s="79">
        <f>'[1]2025 Μάιος'!F95+'[1]2025 Ιούνιος'!D95</f>
        <v>0</v>
      </c>
      <c r="G95" s="15" t="e">
        <f t="shared" si="17"/>
        <v>#REF!</v>
      </c>
      <c r="H95" s="14"/>
      <c r="I95" s="26" t="e">
        <f t="shared" ca="1" si="18"/>
        <v>#DIV/0!</v>
      </c>
      <c r="J95" s="27"/>
      <c r="K95" s="27" t="e">
        <f t="shared" ca="1" si="19"/>
        <v>#DIV/0!</v>
      </c>
      <c r="L95" s="79">
        <f>'[1]2024_60-69 ΕΞΟΔΑ+ΟΜ 2'!I49</f>
        <v>0</v>
      </c>
      <c r="M95" s="15">
        <f t="shared" ca="1" si="20"/>
        <v>0</v>
      </c>
      <c r="N95" s="10">
        <f>L95+'[1]2025 Μάιος'!N95</f>
        <v>0</v>
      </c>
      <c r="O95" s="15">
        <f t="shared" ca="1" si="21"/>
        <v>0</v>
      </c>
      <c r="P95" s="27"/>
      <c r="Q95" s="28" t="e">
        <f t="shared" si="22"/>
        <v>#REF!</v>
      </c>
    </row>
    <row r="96" spans="1:17" ht="15" customHeight="1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2'!I52</f>
        <v>0</v>
      </c>
      <c r="E96" s="15" t="e">
        <f t="shared" si="16"/>
        <v>#REF!</v>
      </c>
      <c r="F96" s="79">
        <f>'[1]2025 Μάιος'!F96+'[1]2025 Ιούνιος'!D96</f>
        <v>0</v>
      </c>
      <c r="G96" s="15" t="e">
        <f t="shared" si="17"/>
        <v>#REF!</v>
      </c>
      <c r="H96" s="14"/>
      <c r="I96" s="26" t="e">
        <f t="shared" ca="1" si="18"/>
        <v>#DIV/0!</v>
      </c>
      <c r="J96" s="27"/>
      <c r="K96" s="27" t="e">
        <f t="shared" ca="1" si="19"/>
        <v>#DIV/0!</v>
      </c>
      <c r="L96" s="79">
        <f>'[1]2024_60-69 ΕΞΟΔΑ+ΟΜ 2'!I50</f>
        <v>72.5</v>
      </c>
      <c r="M96" s="15">
        <f t="shared" ca="1" si="20"/>
        <v>1.0472489852518453E-2</v>
      </c>
      <c r="N96" s="10">
        <f>L96+'[1]2025 Μάιος'!N96</f>
        <v>319.26</v>
      </c>
      <c r="O96" s="15">
        <f t="shared" ca="1" si="21"/>
        <v>4.6024129872061963E-3</v>
      </c>
      <c r="P96" s="27"/>
      <c r="Q96" s="28" t="e">
        <f t="shared" si="22"/>
        <v>#REF!</v>
      </c>
    </row>
    <row r="97" spans="1:17" ht="15" customHeight="1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2'!I53</f>
        <v>0</v>
      </c>
      <c r="E97" s="15" t="e">
        <f t="shared" si="16"/>
        <v>#REF!</v>
      </c>
      <c r="F97" s="79">
        <f>'[1]2025 Μάιος'!F97+'[1]2025 Ιούνιος'!D97</f>
        <v>554.78</v>
      </c>
      <c r="G97" s="15" t="e">
        <f t="shared" si="17"/>
        <v>#REF!</v>
      </c>
      <c r="H97" s="14"/>
      <c r="I97" s="26" t="e">
        <f t="shared" ca="1" si="18"/>
        <v>#DIV/0!</v>
      </c>
      <c r="J97" s="27"/>
      <c r="K97" s="27" t="e">
        <f t="shared" ca="1" si="19"/>
        <v>#DIV/0!</v>
      </c>
      <c r="L97" s="79">
        <f>'[1]2024_60-69 ΕΞΟΔΑ+ΟΜ 2'!I51</f>
        <v>0</v>
      </c>
      <c r="M97" s="15">
        <f t="shared" ca="1" si="20"/>
        <v>0</v>
      </c>
      <c r="N97" s="10">
        <f>L97+'[1]2025 Μάιος'!N97</f>
        <v>21.79</v>
      </c>
      <c r="O97" s="15">
        <f t="shared" ca="1" si="21"/>
        <v>3.1412196639486007E-4</v>
      </c>
      <c r="P97" s="27"/>
      <c r="Q97" s="28" t="e">
        <f t="shared" si="22"/>
        <v>#REF!</v>
      </c>
    </row>
    <row r="98" spans="1:17" ht="15" customHeight="1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2'!I54</f>
        <v>0</v>
      </c>
      <c r="E98" s="15" t="e">
        <f t="shared" si="16"/>
        <v>#REF!</v>
      </c>
      <c r="F98" s="79">
        <f>'[1]2025 Μάιος'!F98+'[1]2025 Ιούνιος'!D98</f>
        <v>0</v>
      </c>
      <c r="G98" s="15" t="e">
        <f t="shared" si="17"/>
        <v>#REF!</v>
      </c>
      <c r="H98" s="14"/>
      <c r="I98" s="26" t="e">
        <f t="shared" ca="1" si="18"/>
        <v>#DIV/0!</v>
      </c>
      <c r="J98" s="27"/>
      <c r="K98" s="27" t="e">
        <f t="shared" ca="1" si="19"/>
        <v>#DIV/0!</v>
      </c>
      <c r="L98" s="79">
        <f>'[1]2024_60-69 ΕΞΟΔΑ+ΟΜ 2'!I52</f>
        <v>0</v>
      </c>
      <c r="M98" s="15">
        <f t="shared" ca="1" si="20"/>
        <v>0</v>
      </c>
      <c r="N98" s="10">
        <f>L98+'[1]2025 Μάιος'!N98</f>
        <v>0</v>
      </c>
      <c r="O98" s="15">
        <f t="shared" ca="1" si="21"/>
        <v>0</v>
      </c>
      <c r="P98" s="27"/>
      <c r="Q98" s="28" t="e">
        <f t="shared" si="22"/>
        <v>#REF!</v>
      </c>
    </row>
    <row r="99" spans="1:17" ht="1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2'!I55</f>
        <v>0</v>
      </c>
      <c r="E99" s="15" t="e">
        <f t="shared" si="16"/>
        <v>#REF!</v>
      </c>
      <c r="F99" s="79">
        <f>'[1]2025 Μάιος'!F99+'[1]2025 Ιούνιος'!D99</f>
        <v>0</v>
      </c>
      <c r="G99" s="15" t="e">
        <f t="shared" si="17"/>
        <v>#REF!</v>
      </c>
      <c r="H99" s="14"/>
      <c r="I99" s="26" t="e">
        <f t="shared" ca="1" si="18"/>
        <v>#DIV/0!</v>
      </c>
      <c r="J99" s="27"/>
      <c r="K99" s="27" t="e">
        <f t="shared" ca="1" si="19"/>
        <v>#DIV/0!</v>
      </c>
      <c r="L99" s="79">
        <f>'[1]2024_60-69 ΕΞΟΔΑ+ΟΜ 2'!I53</f>
        <v>0</v>
      </c>
      <c r="M99" s="15">
        <f t="shared" ca="1" si="20"/>
        <v>0</v>
      </c>
      <c r="N99" s="10">
        <f>L99+'[1]2025 Μάιος'!N99</f>
        <v>0</v>
      </c>
      <c r="O99" s="15">
        <f t="shared" ca="1" si="21"/>
        <v>0</v>
      </c>
      <c r="P99" s="27"/>
      <c r="Q99" s="28" t="e">
        <f t="shared" si="22"/>
        <v>#REF!</v>
      </c>
    </row>
    <row r="100" spans="1:17" ht="15" customHeight="1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2'!I56</f>
        <v>0</v>
      </c>
      <c r="E100" s="15" t="e">
        <f t="shared" si="16"/>
        <v>#REF!</v>
      </c>
      <c r="F100" s="79">
        <f>'[1]2025 Μάιος'!F100+'[1]2025 Ιούνιος'!D100</f>
        <v>4747.45</v>
      </c>
      <c r="G100" s="15" t="e">
        <f t="shared" si="17"/>
        <v>#REF!</v>
      </c>
      <c r="H100" s="14"/>
      <c r="I100" s="26" t="e">
        <f t="shared" ca="1" si="18"/>
        <v>#DIV/0!</v>
      </c>
      <c r="J100" s="27"/>
      <c r="K100" s="27" t="e">
        <f t="shared" ca="1" si="19"/>
        <v>#DIV/0!</v>
      </c>
      <c r="L100" s="79">
        <f>'[1]2024_60-69 ΕΞΟΔΑ+ΟΜ 2'!I54</f>
        <v>137.22999999999999</v>
      </c>
      <c r="M100" s="15">
        <f t="shared" ca="1" si="20"/>
        <v>1.9822617689118718E-2</v>
      </c>
      <c r="N100" s="10">
        <f>L100+'[1]2025 Μάιος'!N100</f>
        <v>257.11</v>
      </c>
      <c r="O100" s="15">
        <f t="shared" ca="1" si="21"/>
        <v>3.7064662129317337E-3</v>
      </c>
      <c r="P100" s="27"/>
      <c r="Q100" s="28" t="e">
        <f t="shared" si="22"/>
        <v>#REF!</v>
      </c>
    </row>
    <row r="101" spans="1:17" ht="25.5" customHeight="1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2'!I57</f>
        <v>0</v>
      </c>
      <c r="E101" s="15" t="e">
        <f t="shared" si="16"/>
        <v>#REF!</v>
      </c>
      <c r="F101" s="79">
        <f>'[1]2025 Μάιος'!F101+'[1]2025 Ιούνιος'!D101</f>
        <v>878.12</v>
      </c>
      <c r="G101" s="15" t="e">
        <f t="shared" si="17"/>
        <v>#REF!</v>
      </c>
      <c r="H101" s="14"/>
      <c r="I101" s="26" t="e">
        <f t="shared" ca="1" si="18"/>
        <v>#DIV/0!</v>
      </c>
      <c r="J101" s="27"/>
      <c r="K101" s="27" t="e">
        <f t="shared" ca="1" si="19"/>
        <v>#DIV/0!</v>
      </c>
      <c r="L101" s="79">
        <f>'[1]2024_60-69 ΕΞΟΔΑ+ΟΜ 2'!I55</f>
        <v>0</v>
      </c>
      <c r="M101" s="15">
        <f t="shared" ca="1" si="20"/>
        <v>0</v>
      </c>
      <c r="N101" s="10">
        <f>L101+'[1]2025 Μάιος'!N101</f>
        <v>1430.43</v>
      </c>
      <c r="O101" s="15">
        <f t="shared" ca="1" si="21"/>
        <v>2.0620903368067909E-2</v>
      </c>
      <c r="P101" s="27"/>
      <c r="Q101" s="28" t="e">
        <f t="shared" si="22"/>
        <v>#REF!</v>
      </c>
    </row>
    <row r="102" spans="1:17" ht="24" customHeight="1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2'!I58</f>
        <v>0</v>
      </c>
      <c r="E102" s="15" t="e">
        <f t="shared" si="16"/>
        <v>#REF!</v>
      </c>
      <c r="F102" s="79">
        <f>'[1]2025 Μάιος'!F102+'[1]2025 Ιούνιος'!D102</f>
        <v>0</v>
      </c>
      <c r="G102" s="15" t="e">
        <f t="shared" si="17"/>
        <v>#REF!</v>
      </c>
      <c r="H102" s="14"/>
      <c r="I102" s="26" t="e">
        <f t="shared" ca="1" si="18"/>
        <v>#DIV/0!</v>
      </c>
      <c r="J102" s="27"/>
      <c r="K102" s="27" t="e">
        <f t="shared" ca="1" si="19"/>
        <v>#DIV/0!</v>
      </c>
      <c r="L102" s="79">
        <f>'[1]2024_60-69 ΕΞΟΔΑ+ΟΜ 2'!I56</f>
        <v>0</v>
      </c>
      <c r="M102" s="15">
        <f t="shared" ca="1" si="20"/>
        <v>0</v>
      </c>
      <c r="N102" s="10">
        <f>L102+'[1]2025 Μάιος'!N102</f>
        <v>0</v>
      </c>
      <c r="O102" s="15">
        <f t="shared" ca="1" si="21"/>
        <v>0</v>
      </c>
      <c r="P102" s="27"/>
      <c r="Q102" s="28" t="e">
        <f t="shared" si="22"/>
        <v>#REF!</v>
      </c>
    </row>
    <row r="103" spans="1:17" ht="15.75" hidden="1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2'!I59</f>
        <v>0</v>
      </c>
      <c r="E103" s="15" t="e">
        <f t="shared" si="16"/>
        <v>#REF!</v>
      </c>
      <c r="F103" s="79">
        <f>'[1]2025 Μάιος'!F103+'[1]2025 Ιούνιος'!D103</f>
        <v>0</v>
      </c>
      <c r="G103" s="15" t="e">
        <f t="shared" si="17"/>
        <v>#REF!</v>
      </c>
      <c r="H103" s="14"/>
      <c r="I103" s="26" t="e">
        <f t="shared" ca="1" si="18"/>
        <v>#DIV/0!</v>
      </c>
      <c r="J103" s="27"/>
      <c r="K103" s="27" t="e">
        <f t="shared" ca="1" si="19"/>
        <v>#DIV/0!</v>
      </c>
      <c r="L103" s="79">
        <f>'[1]2024_60-69 ΕΞΟΔΑ+ΟΜ 2'!I57</f>
        <v>1000</v>
      </c>
      <c r="M103" s="15">
        <f t="shared" ca="1" si="20"/>
        <v>0.14444813589680625</v>
      </c>
      <c r="N103" s="10">
        <f>L103+'[1]2025 Μάιος'!N103</f>
        <v>2396.23</v>
      </c>
      <c r="O103" s="15">
        <f t="shared" ca="1" si="21"/>
        <v>3.4543757665642751E-2</v>
      </c>
      <c r="P103" s="27"/>
      <c r="Q103" s="28" t="e">
        <f t="shared" si="22"/>
        <v>#REF!</v>
      </c>
    </row>
    <row r="104" spans="1:17" ht="15.75" hidden="1" customHeight="1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2'!I60</f>
        <v>0</v>
      </c>
      <c r="E104" s="15" t="e">
        <f t="shared" si="16"/>
        <v>#REF!</v>
      </c>
      <c r="F104" s="79">
        <f>'[1]2025 Μάιος'!F104+'[1]2025 Ιούνιος'!D104</f>
        <v>2545.4699999999998</v>
      </c>
      <c r="G104" s="15" t="e">
        <f t="shared" si="17"/>
        <v>#REF!</v>
      </c>
      <c r="H104" s="14"/>
      <c r="I104" s="26" t="e">
        <f t="shared" ca="1" si="18"/>
        <v>#DIV/0!</v>
      </c>
      <c r="J104" s="27"/>
      <c r="K104" s="27" t="e">
        <f t="shared" ca="1" si="19"/>
        <v>#DIV/0!</v>
      </c>
      <c r="L104" s="79">
        <f>'[1]2024_60-69 ΕΞΟΔΑ+ΟΜ 2'!I58</f>
        <v>0</v>
      </c>
      <c r="M104" s="15">
        <f t="shared" ca="1" si="20"/>
        <v>0</v>
      </c>
      <c r="N104" s="10">
        <f>L104+'[1]2025 Μάιος'!N104</f>
        <v>3658.23</v>
      </c>
      <c r="O104" s="15">
        <f t="shared" ca="1" si="21"/>
        <v>5.2736594819856313E-2</v>
      </c>
      <c r="P104" s="27"/>
      <c r="Q104" s="28" t="e">
        <f t="shared" si="22"/>
        <v>#REF!</v>
      </c>
    </row>
    <row r="105" spans="1:17" ht="31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2'!I61</f>
        <v>0</v>
      </c>
      <c r="E105" s="15" t="e">
        <f t="shared" si="16"/>
        <v>#REF!</v>
      </c>
      <c r="F105" s="79">
        <f>'[1]2025 Μάιος'!F105+'[1]2025 Ιούνιος'!D105</f>
        <v>0</v>
      </c>
      <c r="G105" s="15" t="e">
        <f t="shared" si="17"/>
        <v>#REF!</v>
      </c>
      <c r="H105" s="14"/>
      <c r="I105" s="26" t="e">
        <f t="shared" ca="1" si="18"/>
        <v>#DIV/0!</v>
      </c>
      <c r="J105" s="27"/>
      <c r="K105" s="27" t="e">
        <f t="shared" ca="1" si="19"/>
        <v>#DIV/0!</v>
      </c>
      <c r="L105" s="79">
        <f>'[1]2024_60-69 ΕΞΟΔΑ+ΟΜ 2'!I59</f>
        <v>0</v>
      </c>
      <c r="M105" s="15">
        <f t="shared" ca="1" si="20"/>
        <v>0</v>
      </c>
      <c r="N105" s="10">
        <f>L105+'[1]2025 Μάιος'!N105</f>
        <v>0</v>
      </c>
      <c r="O105" s="15">
        <f t="shared" ca="1" si="21"/>
        <v>0</v>
      </c>
      <c r="P105" s="27"/>
      <c r="Q105" s="28" t="e">
        <f t="shared" si="22"/>
        <v>#REF!</v>
      </c>
    </row>
    <row r="106" spans="1:17" ht="45" customHeight="1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26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2'!I36</f>
        <v>0</v>
      </c>
      <c r="E111" s="8"/>
      <c r="F111" s="7">
        <f>D111+'[1]2025 Μάιος'!F111</f>
        <v>0</v>
      </c>
      <c r="G111" s="8"/>
      <c r="H111" s="7">
        <f ca="1">SUM(H47:H110)</f>
        <v>0</v>
      </c>
      <c r="I111" s="8"/>
      <c r="J111" s="7">
        <f ca="1">SUM(J47:J110)</f>
        <v>0</v>
      </c>
      <c r="K111" s="8"/>
      <c r="L111" s="7">
        <f ca="1">SUM(L47:L110)</f>
        <v>6922.9000000000005</v>
      </c>
      <c r="M111" s="8"/>
      <c r="N111" s="7">
        <f ca="1">SUM(N47:N110)</f>
        <v>69367.960000000006</v>
      </c>
      <c r="O111" s="8"/>
      <c r="P111" s="7">
        <f ca="1">SUM(P47:P110)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 t="e">
        <f>D84-D111</f>
        <v>#REF!</v>
      </c>
      <c r="E112" s="8"/>
      <c r="F112" s="7" t="e">
        <f>F84-F111</f>
        <v>#REF!</v>
      </c>
      <c r="G112" s="8"/>
      <c r="H112" s="7">
        <f ca="1">H84-H111</f>
        <v>0</v>
      </c>
      <c r="I112" s="8"/>
      <c r="J112" s="7">
        <f ca="1">J84-J111</f>
        <v>0</v>
      </c>
      <c r="K112" s="8"/>
      <c r="L112" s="7">
        <f ca="1">L84-L111</f>
        <v>0</v>
      </c>
      <c r="M112" s="8"/>
      <c r="N112" s="7">
        <f ca="1">N84-N111</f>
        <v>0</v>
      </c>
      <c r="O112" s="8"/>
      <c r="P112" s="7">
        <f ca="1">P84-P111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0" t="str">
        <f>[1]ΑΝΤΙΣΤΟΙΧΙΣΗ!$F$110</f>
        <v xml:space="preserve">ΜΑΙΟΣ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[1]ΑΝΤΙΣΤΟΙΧΙΣΗ!$F$110</f>
        <v xml:space="preserve">ΜΑΙΟΣ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[1]ΑΝΤΙΣΤΟΙΧΙΣΗ!$F$124</f>
        <v>ΜΑΙΟΣ ΠΡΟΗΓΟΥΜΕΝΟΥ ΕΤΟΥΣ</v>
      </c>
      <c r="M114" s="180"/>
      <c r="N114" s="180"/>
      <c r="O114" s="61">
        <f>[1]ΑΝΤΙΣΤΟΙΧΙΣΗ!$D$33</f>
        <v>2024</v>
      </c>
      <c r="P114" s="180"/>
      <c r="Q114" s="180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777.67000000000007</v>
      </c>
      <c r="E116" s="8"/>
      <c r="F116" s="7">
        <f>SUM(F117:F156)</f>
        <v>93398.109999999971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5961.98</v>
      </c>
      <c r="M116" s="8"/>
      <c r="N116" s="7">
        <f>SUM(N117:N156)</f>
        <v>87184.960000000006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2'!I74</f>
        <v>0</v>
      </c>
      <c r="E117" s="15" t="e">
        <f>D117/$D4116</f>
        <v>#DIV/0!</v>
      </c>
      <c r="F117" s="10">
        <f>D117+'[1]2025 Μάιος'!F117</f>
        <v>47345.49</v>
      </c>
      <c r="G117" s="15">
        <f>F117/$F$116</f>
        <v>0.50692128566627326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2'!I66</f>
        <v>1007.3</v>
      </c>
      <c r="M117" s="15">
        <f>L117/$L$116</f>
        <v>0.16895393812122819</v>
      </c>
      <c r="N117" s="10">
        <f>L117+'[1]2025 Μάιος'!N117</f>
        <v>44446.69</v>
      </c>
      <c r="O117" s="15">
        <f>N117/$N$116</f>
        <v>0.50979767611294424</v>
      </c>
      <c r="P117" s="10"/>
      <c r="Q117" s="30" t="e">
        <f t="shared" ref="Q117:Q153" si="23"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2'!I75</f>
        <v>0</v>
      </c>
      <c r="E118" s="15" t="e">
        <f t="shared" ref="E118:E153" si="24">D118/$D4117</f>
        <v>#DIV/0!</v>
      </c>
      <c r="F118" s="10">
        <f>D118+'[1]2025 Μάιος'!F118</f>
        <v>6449.25</v>
      </c>
      <c r="G118" s="15">
        <f t="shared" ref="G118:G153" si="25">F118/$F$116</f>
        <v>6.9051183155633467E-2</v>
      </c>
      <c r="H118" s="14"/>
      <c r="I118" s="29" t="e">
        <f t="shared" ref="I118:I153" si="26">H118/$H$116</f>
        <v>#DIV/0!</v>
      </c>
      <c r="J118" s="10"/>
      <c r="K118" s="10" t="e">
        <f t="shared" ref="K118:K153" si="27">J118/$J$116</f>
        <v>#DIV/0!</v>
      </c>
      <c r="L118" s="14">
        <f>'[1]2024_60-69 ΕΞΟΔΑ+ΟΜ 2'!I67</f>
        <v>240.51</v>
      </c>
      <c r="M118" s="15">
        <f t="shared" ref="M118:M153" si="28">L118/$L$116</f>
        <v>4.0340625094347854E-2</v>
      </c>
      <c r="N118" s="10">
        <f>L118+'[1]2025 Μάιος'!N118</f>
        <v>6832.98</v>
      </c>
      <c r="O118" s="15">
        <f t="shared" ref="O118:O153" si="29">N118/$N$116</f>
        <v>7.8373379995815784E-2</v>
      </c>
      <c r="P118" s="10"/>
      <c r="Q118" s="30" t="e">
        <f t="shared" si="23"/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2'!I76</f>
        <v>0</v>
      </c>
      <c r="E119" s="15" t="e">
        <f t="shared" si="24"/>
        <v>#DIV/0!</v>
      </c>
      <c r="F119" s="10">
        <f>D119+'[1]2025 Μάιος'!F119</f>
        <v>1329.02</v>
      </c>
      <c r="G119" s="15">
        <f t="shared" si="25"/>
        <v>1.4229624132651083E-2</v>
      </c>
      <c r="H119" s="14"/>
      <c r="I119" s="29" t="e">
        <f t="shared" si="26"/>
        <v>#DIV/0!</v>
      </c>
      <c r="J119" s="10"/>
      <c r="K119" s="10" t="e">
        <f t="shared" si="27"/>
        <v>#DIV/0!</v>
      </c>
      <c r="L119" s="14">
        <f>'[1]2024_60-69 ΕΞΟΔΑ+ΟΜ 2'!I68</f>
        <v>850</v>
      </c>
      <c r="M119" s="15">
        <f t="shared" si="28"/>
        <v>0.1425700857768728</v>
      </c>
      <c r="N119" s="10">
        <f>L119+'[1]2025 Μάιος'!N119</f>
        <v>2196.13</v>
      </c>
      <c r="O119" s="15">
        <f t="shared" si="29"/>
        <v>2.5189321644467119E-2</v>
      </c>
      <c r="P119" s="10"/>
      <c r="Q119" s="30" t="e">
        <f t="shared" si="23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2'!I77</f>
        <v>0</v>
      </c>
      <c r="E120" s="15" t="e">
        <f t="shared" si="24"/>
        <v>#DIV/0!</v>
      </c>
      <c r="F120" s="10">
        <f>D120+'[1]2025 Μάιος'!F120</f>
        <v>4377.5</v>
      </c>
      <c r="G120" s="15">
        <f t="shared" si="25"/>
        <v>4.6869256776181034E-2</v>
      </c>
      <c r="H120" s="14"/>
      <c r="I120" s="29" t="e">
        <f t="shared" si="26"/>
        <v>#DIV/0!</v>
      </c>
      <c r="J120" s="10"/>
      <c r="K120" s="10" t="e">
        <f t="shared" si="27"/>
        <v>#DIV/0!</v>
      </c>
      <c r="L120" s="14">
        <f>'[1]2024_60-69 ΕΞΟΔΑ+ΟΜ 2'!I69</f>
        <v>0</v>
      </c>
      <c r="M120" s="15">
        <f t="shared" si="28"/>
        <v>0</v>
      </c>
      <c r="N120" s="10">
        <f>L120+'[1]2025 Μάιος'!N120</f>
        <v>4250</v>
      </c>
      <c r="O120" s="15">
        <f t="shared" si="29"/>
        <v>4.8746939839164914E-2</v>
      </c>
      <c r="P120" s="10"/>
      <c r="Q120" s="30" t="e">
        <f t="shared" si="23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2'!I78</f>
        <v>0</v>
      </c>
      <c r="E121" s="15" t="e">
        <f t="shared" si="24"/>
        <v>#DIV/0!</v>
      </c>
      <c r="F121" s="10">
        <f>D121+'[1]2025 Μάιος'!F121</f>
        <v>0</v>
      </c>
      <c r="G121" s="15">
        <f t="shared" si="25"/>
        <v>0</v>
      </c>
      <c r="H121" s="14"/>
      <c r="I121" s="29" t="e">
        <f t="shared" si="26"/>
        <v>#DIV/0!</v>
      </c>
      <c r="J121" s="10"/>
      <c r="K121" s="10" t="e">
        <f t="shared" si="27"/>
        <v>#DIV/0!</v>
      </c>
      <c r="L121" s="14">
        <f>'[1]2024_60-69 ΕΞΟΔΑ+ΟΜ 2'!I70</f>
        <v>241.31</v>
      </c>
      <c r="M121" s="15">
        <f t="shared" si="28"/>
        <v>4.0474808704490793E-2</v>
      </c>
      <c r="N121" s="10">
        <f>L121+'[1]2025 Μάιος'!N121</f>
        <v>241.31</v>
      </c>
      <c r="O121" s="15">
        <f t="shared" si="29"/>
        <v>2.7677938947267967E-3</v>
      </c>
      <c r="P121" s="10"/>
      <c r="Q121" s="30" t="e">
        <f t="shared" si="23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2'!I79</f>
        <v>0</v>
      </c>
      <c r="E122" s="15" t="e">
        <f t="shared" si="24"/>
        <v>#DIV/0!</v>
      </c>
      <c r="F122" s="10">
        <f>D122+'[1]2025 Μάιος'!F122</f>
        <v>1242.75</v>
      </c>
      <c r="G122" s="15">
        <f t="shared" si="25"/>
        <v>1.3305943771239058E-2</v>
      </c>
      <c r="H122" s="14"/>
      <c r="I122" s="29" t="e">
        <f t="shared" si="26"/>
        <v>#DIV/0!</v>
      </c>
      <c r="J122" s="10"/>
      <c r="K122" s="10" t="e">
        <f t="shared" si="27"/>
        <v>#DIV/0!</v>
      </c>
      <c r="L122" s="14">
        <f>'[1]2024_60-69 ΕΞΟΔΑ+ΟΜ 2'!I71</f>
        <v>965.25</v>
      </c>
      <c r="M122" s="15">
        <f t="shared" si="28"/>
        <v>0.16190091211308996</v>
      </c>
      <c r="N122" s="10">
        <f>L122+'[1]2025 Μάιος'!N122</f>
        <v>2171.8000000000002</v>
      </c>
      <c r="O122" s="15">
        <f t="shared" si="29"/>
        <v>2.4910259751223147E-2</v>
      </c>
      <c r="P122" s="10"/>
      <c r="Q122" s="30" t="e">
        <f t="shared" si="23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2'!I80</f>
        <v>0</v>
      </c>
      <c r="E123" s="15" t="e">
        <f t="shared" si="24"/>
        <v>#DIV/0!</v>
      </c>
      <c r="F123" s="10">
        <f>D123+'[1]2025 Μάιος'!F123</f>
        <v>4826.25</v>
      </c>
      <c r="G123" s="15">
        <f t="shared" si="25"/>
        <v>5.167395785632066E-2</v>
      </c>
      <c r="H123" s="14"/>
      <c r="I123" s="29" t="e">
        <f t="shared" si="26"/>
        <v>#DIV/0!</v>
      </c>
      <c r="J123" s="10"/>
      <c r="K123" s="10" t="e">
        <f t="shared" si="27"/>
        <v>#DIV/0!</v>
      </c>
      <c r="L123" s="14">
        <f>'[1]2024_60-69 ΕΞΟΔΑ+ΟΜ 2'!I72</f>
        <v>30.6</v>
      </c>
      <c r="M123" s="15">
        <f t="shared" si="28"/>
        <v>5.1325230879674206E-3</v>
      </c>
      <c r="N123" s="10">
        <f>L123+'[1]2025 Μάιος'!N123</f>
        <v>4856.8500000000004</v>
      </c>
      <c r="O123" s="15">
        <f t="shared" si="29"/>
        <v>5.5707429354787799E-2</v>
      </c>
      <c r="P123" s="10"/>
      <c r="Q123" s="30" t="e">
        <f t="shared" si="23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2'!I81</f>
        <v>0</v>
      </c>
      <c r="E124" s="15" t="e">
        <f t="shared" si="24"/>
        <v>#DIV/0!</v>
      </c>
      <c r="F124" s="10">
        <f>D124+'[1]2025 Μάιος'!F124</f>
        <v>157.6</v>
      </c>
      <c r="G124" s="15">
        <f t="shared" si="25"/>
        <v>1.6874003124902638E-3</v>
      </c>
      <c r="H124" s="14"/>
      <c r="I124" s="29" t="e">
        <f t="shared" si="26"/>
        <v>#DIV/0!</v>
      </c>
      <c r="J124" s="10"/>
      <c r="K124" s="10" t="e">
        <f t="shared" si="27"/>
        <v>#DIV/0!</v>
      </c>
      <c r="L124" s="14">
        <f>'[1]2024_60-69 ΕΞΟΔΑ+ΟΜ 2'!I73</f>
        <v>8.69</v>
      </c>
      <c r="M124" s="15">
        <f t="shared" si="28"/>
        <v>1.4575694651776758E-3</v>
      </c>
      <c r="N124" s="10">
        <f>L124+'[1]2025 Μάιος'!N124</f>
        <v>161.69</v>
      </c>
      <c r="O124" s="15">
        <f t="shared" si="29"/>
        <v>1.8545629888457825E-3</v>
      </c>
      <c r="P124" s="10"/>
      <c r="Q124" s="30" t="e">
        <f t="shared" si="23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2'!I82</f>
        <v>0</v>
      </c>
      <c r="E125" s="15" t="e">
        <f t="shared" si="24"/>
        <v>#DIV/0!</v>
      </c>
      <c r="F125" s="10">
        <f>D125+'[1]2025 Μάιος'!F125</f>
        <v>44.75</v>
      </c>
      <c r="G125" s="15">
        <f t="shared" si="25"/>
        <v>4.7913175116712762E-4</v>
      </c>
      <c r="H125" s="14"/>
      <c r="I125" s="29" t="e">
        <f t="shared" si="26"/>
        <v>#DIV/0!</v>
      </c>
      <c r="J125" s="10"/>
      <c r="K125" s="10" t="e">
        <f t="shared" si="27"/>
        <v>#DIV/0!</v>
      </c>
      <c r="L125" s="14">
        <f>'[1]2024_60-69 ΕΞΟΔΑ+ΟΜ 2'!I74</f>
        <v>0</v>
      </c>
      <c r="M125" s="15">
        <f t="shared" si="28"/>
        <v>0</v>
      </c>
      <c r="N125" s="10">
        <f>L125+'[1]2025 Μάιος'!N125</f>
        <v>43.449999999999996</v>
      </c>
      <c r="O125" s="15">
        <f t="shared" si="29"/>
        <v>4.983657731792272E-4</v>
      </c>
      <c r="P125" s="10"/>
      <c r="Q125" s="30" t="e">
        <f t="shared" si="23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2'!I83</f>
        <v>0</v>
      </c>
      <c r="E126" s="15" t="e">
        <f t="shared" si="24"/>
        <v>#DIV/0!</v>
      </c>
      <c r="F126" s="10">
        <f>D126+'[1]2025 Μάιος'!F126</f>
        <v>0</v>
      </c>
      <c r="G126" s="15">
        <f t="shared" si="25"/>
        <v>0</v>
      </c>
      <c r="H126" s="14"/>
      <c r="I126" s="29" t="e">
        <f t="shared" si="26"/>
        <v>#DIV/0!</v>
      </c>
      <c r="J126" s="10"/>
      <c r="K126" s="10" t="e">
        <f t="shared" si="27"/>
        <v>#DIV/0!</v>
      </c>
      <c r="L126" s="14">
        <f>'[1]2024_60-69 ΕΞΟΔΑ+ΟΜ 2'!I75</f>
        <v>34.75</v>
      </c>
      <c r="M126" s="15">
        <f t="shared" si="28"/>
        <v>5.8286005655839171E-3</v>
      </c>
      <c r="N126" s="10">
        <f>L126+'[1]2025 Μάιος'!N126</f>
        <v>34.75</v>
      </c>
      <c r="O126" s="15">
        <f t="shared" si="29"/>
        <v>3.9857791986140726E-4</v>
      </c>
      <c r="P126" s="10"/>
      <c r="Q126" s="30" t="e">
        <f t="shared" si="23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2'!I84</f>
        <v>0</v>
      </c>
      <c r="E127" s="15" t="e">
        <f t="shared" si="24"/>
        <v>#DIV/0!</v>
      </c>
      <c r="F127" s="10">
        <f>D127+'[1]2025 Μάιος'!F127</f>
        <v>173.75</v>
      </c>
      <c r="G127" s="15">
        <f t="shared" si="25"/>
        <v>1.8603160171014174E-3</v>
      </c>
      <c r="H127" s="14"/>
      <c r="I127" s="29" t="e">
        <f t="shared" si="26"/>
        <v>#DIV/0!</v>
      </c>
      <c r="J127" s="10"/>
      <c r="K127" s="10" t="e">
        <f t="shared" si="27"/>
        <v>#DIV/0!</v>
      </c>
      <c r="L127" s="14">
        <f>'[1]2024_60-69 ΕΞΟΔΑ+ΟΜ 2'!I76</f>
        <v>0</v>
      </c>
      <c r="M127" s="15">
        <f t="shared" si="28"/>
        <v>0</v>
      </c>
      <c r="N127" s="10">
        <f>L127+'[1]2025 Μάιος'!N127</f>
        <v>173.75</v>
      </c>
      <c r="O127" s="15">
        <f t="shared" si="29"/>
        <v>1.9928895993070361E-3</v>
      </c>
      <c r="P127" s="10"/>
      <c r="Q127" s="30" t="e">
        <f t="shared" si="23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2'!I85</f>
        <v>0</v>
      </c>
      <c r="E128" s="15" t="e">
        <f t="shared" si="24"/>
        <v>#DIV/0!</v>
      </c>
      <c r="F128" s="10">
        <f>D128+'[1]2025 Μάιος'!F128</f>
        <v>0</v>
      </c>
      <c r="G128" s="15">
        <f t="shared" si="25"/>
        <v>0</v>
      </c>
      <c r="H128" s="14"/>
      <c r="I128" s="29" t="e">
        <f t="shared" si="26"/>
        <v>#DIV/0!</v>
      </c>
      <c r="J128" s="10"/>
      <c r="K128" s="10" t="e">
        <f t="shared" si="27"/>
        <v>#DIV/0!</v>
      </c>
      <c r="L128" s="14">
        <f>'[1]2024_60-69 ΕΞΟΔΑ+ΟΜ 2'!I77</f>
        <v>0</v>
      </c>
      <c r="M128" s="15">
        <f t="shared" si="28"/>
        <v>0</v>
      </c>
      <c r="N128" s="10">
        <f>L128+'[1]2025 Μάιος'!N128</f>
        <v>0</v>
      </c>
      <c r="O128" s="15">
        <f t="shared" si="29"/>
        <v>0</v>
      </c>
      <c r="P128" s="10"/>
      <c r="Q128" s="30" t="e">
        <f t="shared" si="23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2'!I86</f>
        <v>0</v>
      </c>
      <c r="E129" s="15" t="e">
        <f t="shared" si="24"/>
        <v>#DIV/0!</v>
      </c>
      <c r="F129" s="10">
        <f>D129+'[1]2025 Μάιος'!F129</f>
        <v>0</v>
      </c>
      <c r="G129" s="15">
        <f t="shared" si="25"/>
        <v>0</v>
      </c>
      <c r="H129" s="14"/>
      <c r="I129" s="29" t="e">
        <f t="shared" si="26"/>
        <v>#DIV/0!</v>
      </c>
      <c r="J129" s="10"/>
      <c r="K129" s="10" t="e">
        <f t="shared" si="27"/>
        <v>#DIV/0!</v>
      </c>
      <c r="L129" s="14">
        <f>'[1]2024_60-69 ΕΞΟΔΑ+ΟΜ 2'!I78</f>
        <v>0</v>
      </c>
      <c r="M129" s="15">
        <f t="shared" si="28"/>
        <v>0</v>
      </c>
      <c r="N129" s="10">
        <f>L129+'[1]2025 Μάιος'!N129</f>
        <v>0</v>
      </c>
      <c r="O129" s="15">
        <f t="shared" si="29"/>
        <v>0</v>
      </c>
      <c r="P129" s="10"/>
      <c r="Q129" s="30" t="e">
        <f t="shared" si="23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2'!I87</f>
        <v>0</v>
      </c>
      <c r="E130" s="15" t="e">
        <f t="shared" si="24"/>
        <v>#DIV/0!</v>
      </c>
      <c r="F130" s="10">
        <f>D130+'[1]2025 Μάιος'!F130</f>
        <v>0</v>
      </c>
      <c r="G130" s="15">
        <f t="shared" si="25"/>
        <v>0</v>
      </c>
      <c r="H130" s="14"/>
      <c r="I130" s="29" t="e">
        <f t="shared" si="26"/>
        <v>#DIV/0!</v>
      </c>
      <c r="J130" s="10"/>
      <c r="K130" s="10" t="e">
        <f t="shared" si="27"/>
        <v>#DIV/0!</v>
      </c>
      <c r="L130" s="14">
        <f>'[1]2024_60-69 ΕΞΟΔΑ+ΟΜ 2'!I79</f>
        <v>31</v>
      </c>
      <c r="M130" s="15">
        <f t="shared" si="28"/>
        <v>5.1996148930388902E-3</v>
      </c>
      <c r="N130" s="10">
        <f>L130+'[1]2025 Μάιος'!N130</f>
        <v>31</v>
      </c>
      <c r="O130" s="15">
        <f t="shared" si="29"/>
        <v>3.5556591412096763E-4</v>
      </c>
      <c r="P130" s="10"/>
      <c r="Q130" s="30" t="e">
        <f t="shared" si="23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2'!I88</f>
        <v>0</v>
      </c>
      <c r="E131" s="15" t="e">
        <f t="shared" si="24"/>
        <v>#DIV/0!</v>
      </c>
      <c r="F131" s="10">
        <f>D131+'[1]2025 Μάιος'!F131</f>
        <v>172.5</v>
      </c>
      <c r="G131" s="15">
        <f t="shared" si="25"/>
        <v>1.8469324486330618E-3</v>
      </c>
      <c r="H131" s="14"/>
      <c r="I131" s="29" t="e">
        <f t="shared" si="26"/>
        <v>#DIV/0!</v>
      </c>
      <c r="J131" s="10"/>
      <c r="K131" s="10" t="e">
        <f t="shared" si="27"/>
        <v>#DIV/0!</v>
      </c>
      <c r="L131" s="14">
        <f>'[1]2024_60-69 ΕΞΟΔΑ+ΟΜ 2'!I80</f>
        <v>190.71</v>
      </c>
      <c r="M131" s="15">
        <f t="shared" si="28"/>
        <v>3.1987695362949896E-2</v>
      </c>
      <c r="N131" s="10">
        <f>L131+'[1]2025 Μάιος'!N131</f>
        <v>408.21000000000004</v>
      </c>
      <c r="O131" s="15">
        <f t="shared" si="29"/>
        <v>4.6821148968812969E-3</v>
      </c>
      <c r="P131" s="10"/>
      <c r="Q131" s="30" t="e">
        <f t="shared" si="23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2'!I89</f>
        <v>0</v>
      </c>
      <c r="E132" s="15" t="e">
        <f t="shared" si="24"/>
        <v>#DIV/0!</v>
      </c>
      <c r="F132" s="10">
        <f>D132+'[1]2025 Μάιος'!F132</f>
        <v>751.64</v>
      </c>
      <c r="G132" s="15">
        <f t="shared" si="25"/>
        <v>8.0477003228437947E-3</v>
      </c>
      <c r="H132" s="14"/>
      <c r="I132" s="29" t="e">
        <f t="shared" si="26"/>
        <v>#DIV/0!</v>
      </c>
      <c r="J132" s="10"/>
      <c r="K132" s="10" t="e">
        <f t="shared" si="27"/>
        <v>#DIV/0!</v>
      </c>
      <c r="L132" s="14">
        <f>'[1]2024_60-69 ΕΞΟΔΑ+ΟΜ 2'!I81</f>
        <v>43.72</v>
      </c>
      <c r="M132" s="15">
        <f t="shared" si="28"/>
        <v>7.3331342943116218E-3</v>
      </c>
      <c r="N132" s="10">
        <f>L132+'[1]2025 Μάιος'!N132</f>
        <v>531.66000000000008</v>
      </c>
      <c r="O132" s="15">
        <f t="shared" si="29"/>
        <v>6.0980701258565705E-3</v>
      </c>
      <c r="P132" s="10"/>
      <c r="Q132" s="30" t="e">
        <f t="shared" si="23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2'!I90</f>
        <v>0</v>
      </c>
      <c r="E133" s="15" t="e">
        <f t="shared" si="24"/>
        <v>#DIV/0!</v>
      </c>
      <c r="F133" s="10">
        <f>D133+'[1]2025 Μάιος'!F133</f>
        <v>88.68</v>
      </c>
      <c r="G133" s="15">
        <f t="shared" si="25"/>
        <v>9.4948388141901405E-4</v>
      </c>
      <c r="H133" s="14"/>
      <c r="I133" s="29" t="e">
        <f t="shared" si="26"/>
        <v>#DIV/0!</v>
      </c>
      <c r="J133" s="10"/>
      <c r="K133" s="10" t="e">
        <f t="shared" si="27"/>
        <v>#DIV/0!</v>
      </c>
      <c r="L133" s="14">
        <f>'[1]2024_60-69 ΕΞΟΔΑ+ΟΜ 2'!I82</f>
        <v>-1.05</v>
      </c>
      <c r="M133" s="15">
        <f t="shared" si="28"/>
        <v>-1.7611598831260758E-4</v>
      </c>
      <c r="N133" s="10">
        <f>L133+'[1]2025 Μάιος'!N133</f>
        <v>31.560000000000006</v>
      </c>
      <c r="O133" s="15">
        <f t="shared" si="29"/>
        <v>3.6198904031154003E-4</v>
      </c>
      <c r="P133" s="10"/>
      <c r="Q133" s="30" t="e">
        <f t="shared" si="23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2'!I91</f>
        <v>0</v>
      </c>
      <c r="E134" s="15" t="e">
        <f t="shared" si="24"/>
        <v>#DIV/0!</v>
      </c>
      <c r="F134" s="10">
        <f>D134+'[1]2025 Μάιος'!F134</f>
        <v>46.31</v>
      </c>
      <c r="G134" s="15">
        <f t="shared" si="25"/>
        <v>4.9583444461563533E-4</v>
      </c>
      <c r="H134" s="14"/>
      <c r="I134" s="29" t="e">
        <f t="shared" si="26"/>
        <v>#DIV/0!</v>
      </c>
      <c r="J134" s="10"/>
      <c r="K134" s="10" t="e">
        <f t="shared" si="27"/>
        <v>#DIV/0!</v>
      </c>
      <c r="L134" s="14">
        <f>'[1]2024_60-69 ΕΞΟΔΑ+ΟΜ 2'!I83</f>
        <v>83.01</v>
      </c>
      <c r="M134" s="15">
        <f t="shared" si="28"/>
        <v>1.392322684745672E-2</v>
      </c>
      <c r="N134" s="10">
        <f>L134+'[1]2025 Μάιος'!N134</f>
        <v>117.38000000000001</v>
      </c>
      <c r="O134" s="15">
        <f t="shared" si="29"/>
        <v>1.3463331290167479E-3</v>
      </c>
      <c r="P134" s="10"/>
      <c r="Q134" s="30" t="e">
        <f t="shared" si="23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2'!I92</f>
        <v>0</v>
      </c>
      <c r="E135" s="15" t="e">
        <f t="shared" si="24"/>
        <v>#DIV/0!</v>
      </c>
      <c r="F135" s="10">
        <f>D135+'[1]2025 Μάιος'!F135</f>
        <v>62.370000000000005</v>
      </c>
      <c r="G135" s="15">
        <f t="shared" si="25"/>
        <v>6.6778653229706707E-4</v>
      </c>
      <c r="H135" s="14"/>
      <c r="I135" s="29" t="e">
        <f t="shared" si="26"/>
        <v>#DIV/0!</v>
      </c>
      <c r="J135" s="10"/>
      <c r="K135" s="10" t="e">
        <f t="shared" si="27"/>
        <v>#DIV/0!</v>
      </c>
      <c r="L135" s="14">
        <f>'[1]2024_60-69 ΕΞΟΔΑ+ΟΜ 2'!I84</f>
        <v>366.94</v>
      </c>
      <c r="M135" s="15">
        <f t="shared" si="28"/>
        <v>6.1546667382312591E-2</v>
      </c>
      <c r="N135" s="10">
        <f>L135+'[1]2025 Μάιος'!N135</f>
        <v>468.47</v>
      </c>
      <c r="O135" s="15">
        <f t="shared" si="29"/>
        <v>5.373289154459668E-3</v>
      </c>
      <c r="P135" s="10"/>
      <c r="Q135" s="30" t="e">
        <f t="shared" si="23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2'!I93</f>
        <v>0</v>
      </c>
      <c r="E136" s="15" t="e">
        <f t="shared" si="24"/>
        <v>#DIV/0!</v>
      </c>
      <c r="F136" s="10">
        <f>D136+'[1]2025 Μάιος'!F136</f>
        <v>1482.8000000000002</v>
      </c>
      <c r="G136" s="15">
        <f t="shared" si="25"/>
        <v>1.5876124259902053E-2</v>
      </c>
      <c r="H136" s="14"/>
      <c r="I136" s="29" t="e">
        <f t="shared" si="26"/>
        <v>#DIV/0!</v>
      </c>
      <c r="J136" s="10"/>
      <c r="K136" s="10" t="e">
        <f t="shared" si="27"/>
        <v>#DIV/0!</v>
      </c>
      <c r="L136" s="14">
        <f>'[1]2024_60-69 ΕΞΟΔΑ+ΟΜ 2'!I85</f>
        <v>0</v>
      </c>
      <c r="M136" s="15">
        <f t="shared" si="28"/>
        <v>0</v>
      </c>
      <c r="N136" s="10">
        <f>L136+'[1]2025 Μάιος'!N136</f>
        <v>1468.7399999999998</v>
      </c>
      <c r="O136" s="15">
        <f t="shared" si="29"/>
        <v>1.6846254216323547E-2</v>
      </c>
      <c r="P136" s="10"/>
      <c r="Q136" s="30" t="e">
        <f t="shared" si="23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2'!I94</f>
        <v>0</v>
      </c>
      <c r="E137" s="15" t="e">
        <f t="shared" si="24"/>
        <v>#DIV/0!</v>
      </c>
      <c r="F137" s="10">
        <f>D137+'[1]2025 Μάιος'!F137</f>
        <v>25.62</v>
      </c>
      <c r="G137" s="15">
        <f t="shared" si="25"/>
        <v>2.7430961932741474E-4</v>
      </c>
      <c r="H137" s="14"/>
      <c r="I137" s="29" t="e">
        <f t="shared" si="26"/>
        <v>#DIV/0!</v>
      </c>
      <c r="J137" s="10"/>
      <c r="K137" s="10" t="e">
        <f t="shared" si="27"/>
        <v>#DIV/0!</v>
      </c>
      <c r="L137" s="14">
        <f>'[1]2024_60-69 ΕΞΟΔΑ+ΟΜ 2'!I86</f>
        <v>0</v>
      </c>
      <c r="M137" s="15">
        <f t="shared" si="28"/>
        <v>0</v>
      </c>
      <c r="N137" s="10">
        <f>L137+'[1]2025 Μάιος'!N137</f>
        <v>50.31</v>
      </c>
      <c r="O137" s="15">
        <f t="shared" si="29"/>
        <v>5.7704906901373814E-4</v>
      </c>
      <c r="P137" s="10"/>
      <c r="Q137" s="30" t="e">
        <f t="shared" si="23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2'!I95</f>
        <v>0</v>
      </c>
      <c r="E138" s="15" t="e">
        <f t="shared" si="24"/>
        <v>#DIV/0!</v>
      </c>
      <c r="F138" s="10">
        <f>D138+'[1]2025 Μάιος'!F138</f>
        <v>299.25</v>
      </c>
      <c r="G138" s="15">
        <f t="shared" si="25"/>
        <v>3.2040262913243115E-3</v>
      </c>
      <c r="H138" s="14"/>
      <c r="I138" s="29" t="e">
        <f t="shared" si="26"/>
        <v>#DIV/0!</v>
      </c>
      <c r="J138" s="10"/>
      <c r="K138" s="10" t="e">
        <f t="shared" si="27"/>
        <v>#DIV/0!</v>
      </c>
      <c r="L138" s="14">
        <f>'[1]2024_60-69 ΕΞΟΔΑ+ΟΜ 2'!I87</f>
        <v>0</v>
      </c>
      <c r="M138" s="15">
        <f t="shared" si="28"/>
        <v>0</v>
      </c>
      <c r="N138" s="10">
        <f>L138+'[1]2025 Μάιος'!N138</f>
        <v>469.58000000000004</v>
      </c>
      <c r="O138" s="15">
        <f t="shared" si="29"/>
        <v>5.3860207081588389E-3</v>
      </c>
      <c r="P138" s="10"/>
      <c r="Q138" s="30" t="e">
        <f t="shared" si="23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2'!I96</f>
        <v>0</v>
      </c>
      <c r="E139" s="15" t="e">
        <f t="shared" si="24"/>
        <v>#DIV/0!</v>
      </c>
      <c r="F139" s="10">
        <f>D139+'[1]2025 Μάιος'!F139</f>
        <v>0</v>
      </c>
      <c r="G139" s="15">
        <f t="shared" si="25"/>
        <v>0</v>
      </c>
      <c r="H139" s="14"/>
      <c r="I139" s="29" t="e">
        <f t="shared" si="26"/>
        <v>#DIV/0!</v>
      </c>
      <c r="J139" s="10"/>
      <c r="K139" s="10" t="e">
        <f t="shared" si="27"/>
        <v>#DIV/0!</v>
      </c>
      <c r="L139" s="14">
        <f>'[1]2024_60-69 ΕΞΟΔΑ+ΟΜ 2'!I88</f>
        <v>0</v>
      </c>
      <c r="M139" s="15">
        <f t="shared" si="28"/>
        <v>0</v>
      </c>
      <c r="N139" s="10">
        <f>L139+'[1]2025 Μάιος'!N139</f>
        <v>0</v>
      </c>
      <c r="O139" s="15">
        <f t="shared" si="29"/>
        <v>0</v>
      </c>
      <c r="P139" s="10"/>
      <c r="Q139" s="30" t="e">
        <f t="shared" si="23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2'!I97</f>
        <v>0</v>
      </c>
      <c r="E140" s="15" t="e">
        <f t="shared" si="24"/>
        <v>#DIV/0!</v>
      </c>
      <c r="F140" s="10">
        <f>D140+'[1]2025 Μάιος'!F140</f>
        <v>0</v>
      </c>
      <c r="G140" s="15">
        <f t="shared" si="25"/>
        <v>0</v>
      </c>
      <c r="H140" s="14"/>
      <c r="I140" s="29" t="e">
        <f t="shared" si="26"/>
        <v>#DIV/0!</v>
      </c>
      <c r="J140" s="10"/>
      <c r="K140" s="10" t="e">
        <f t="shared" si="27"/>
        <v>#DIV/0!</v>
      </c>
      <c r="L140" s="14">
        <f>'[1]2024_60-69 ΕΞΟΔΑ+ΟΜ 2'!I89</f>
        <v>0</v>
      </c>
      <c r="M140" s="15">
        <f t="shared" si="28"/>
        <v>0</v>
      </c>
      <c r="N140" s="10">
        <f>L140+'[1]2025 Μάιος'!N140</f>
        <v>0</v>
      </c>
      <c r="O140" s="15">
        <f t="shared" si="29"/>
        <v>0</v>
      </c>
      <c r="P140" s="10"/>
      <c r="Q140" s="30" t="e">
        <f t="shared" si="23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2'!I98</f>
        <v>0</v>
      </c>
      <c r="E141" s="15" t="e">
        <f t="shared" si="24"/>
        <v>#DIV/0!</v>
      </c>
      <c r="F141" s="10">
        <f>D141+'[1]2025 Μάιος'!F141</f>
        <v>0</v>
      </c>
      <c r="G141" s="15">
        <f t="shared" si="25"/>
        <v>0</v>
      </c>
      <c r="H141" s="14"/>
      <c r="I141" s="29" t="e">
        <f t="shared" si="26"/>
        <v>#DIV/0!</v>
      </c>
      <c r="J141" s="10"/>
      <c r="K141" s="10" t="e">
        <f t="shared" si="27"/>
        <v>#DIV/0!</v>
      </c>
      <c r="L141" s="14">
        <f>'[1]2024_60-69 ΕΞΟΔΑ+ΟΜ 2'!I90</f>
        <v>0</v>
      </c>
      <c r="M141" s="15">
        <f t="shared" si="28"/>
        <v>0</v>
      </c>
      <c r="N141" s="10">
        <f>L141+'[1]2025 Μάιος'!N141</f>
        <v>0</v>
      </c>
      <c r="O141" s="15">
        <f t="shared" si="29"/>
        <v>0</v>
      </c>
      <c r="P141" s="10"/>
      <c r="Q141" s="30" t="e">
        <f t="shared" si="23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2'!I99</f>
        <v>0</v>
      </c>
      <c r="E142" s="15" t="e">
        <f t="shared" si="24"/>
        <v>#DIV/0!</v>
      </c>
      <c r="F142" s="10">
        <f>D142+'[1]2025 Μάιος'!F142</f>
        <v>1086.5899999999999</v>
      </c>
      <c r="G142" s="15">
        <f t="shared" si="25"/>
        <v>1.1633961329624338E-2</v>
      </c>
      <c r="H142" s="14"/>
      <c r="I142" s="29" t="e">
        <f t="shared" si="26"/>
        <v>#DIV/0!</v>
      </c>
      <c r="J142" s="10"/>
      <c r="K142" s="10" t="e">
        <f t="shared" si="27"/>
        <v>#DIV/0!</v>
      </c>
      <c r="L142" s="14">
        <f>'[1]2024_60-69 ΕΞΟΔΑ+ΟΜ 2'!I91</f>
        <v>900</v>
      </c>
      <c r="M142" s="15">
        <f t="shared" si="28"/>
        <v>0.15095656141080649</v>
      </c>
      <c r="N142" s="10">
        <f>L142+'[1]2025 Μάιος'!N142</f>
        <v>1801.3</v>
      </c>
      <c r="O142" s="15">
        <f t="shared" si="29"/>
        <v>2.0660673584067708E-2</v>
      </c>
      <c r="P142" s="10"/>
      <c r="Q142" s="30" t="e">
        <f t="shared" si="23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2'!I100</f>
        <v>0</v>
      </c>
      <c r="E143" s="15" t="e">
        <f t="shared" si="24"/>
        <v>#DIV/0!</v>
      </c>
      <c r="F143" s="10">
        <f>D143+'[1]2025 Μάιος'!F143</f>
        <v>5242.7299999999996</v>
      </c>
      <c r="G143" s="15">
        <f t="shared" si="25"/>
        <v>5.6133148732881222E-2</v>
      </c>
      <c r="H143" s="14"/>
      <c r="I143" s="29" t="e">
        <f t="shared" si="26"/>
        <v>#DIV/0!</v>
      </c>
      <c r="J143" s="10"/>
      <c r="K143" s="10" t="e">
        <f t="shared" si="27"/>
        <v>#DIV/0!</v>
      </c>
      <c r="L143" s="14">
        <f>'[1]2024_60-69 ΕΞΟΔΑ+ΟΜ 2'!I92</f>
        <v>0</v>
      </c>
      <c r="M143" s="15">
        <f t="shared" si="28"/>
        <v>0</v>
      </c>
      <c r="N143" s="10">
        <f>L143+'[1]2025 Μάιος'!N143</f>
        <v>3900</v>
      </c>
      <c r="O143" s="15">
        <f t="shared" si="29"/>
        <v>4.4732485970057217E-2</v>
      </c>
      <c r="P143" s="10"/>
      <c r="Q143" s="30" t="e">
        <f t="shared" si="23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2'!I101</f>
        <v>0</v>
      </c>
      <c r="E144" s="15" t="e">
        <f t="shared" si="24"/>
        <v>#DIV/0!</v>
      </c>
      <c r="F144" s="10">
        <f>D144+'[1]2025 Μάιος'!F144</f>
        <v>4600.62</v>
      </c>
      <c r="G144" s="15">
        <f t="shared" si="25"/>
        <v>4.9258170213508617E-2</v>
      </c>
      <c r="H144" s="14"/>
      <c r="I144" s="29" t="e">
        <f t="shared" si="26"/>
        <v>#DIV/0!</v>
      </c>
      <c r="J144" s="10"/>
      <c r="K144" s="10" t="e">
        <f t="shared" si="27"/>
        <v>#DIV/0!</v>
      </c>
      <c r="L144" s="14">
        <f>'[1]2024_60-69 ΕΞΟΔΑ+ΟΜ 2'!I93</f>
        <v>29.3</v>
      </c>
      <c r="M144" s="15">
        <f t="shared" si="28"/>
        <v>4.9144747214851445E-3</v>
      </c>
      <c r="N144" s="10">
        <f>L144+'[1]2025 Μάιος'!N144</f>
        <v>2588.3700000000003</v>
      </c>
      <c r="O144" s="15">
        <f t="shared" si="29"/>
        <v>2.9688262746235133E-2</v>
      </c>
      <c r="P144" s="10"/>
      <c r="Q144" s="30" t="e">
        <f t="shared" si="23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2'!I102</f>
        <v>0</v>
      </c>
      <c r="E145" s="15" t="e">
        <f t="shared" si="24"/>
        <v>#DIV/0!</v>
      </c>
      <c r="F145" s="10">
        <f>D145+'[1]2025 Μάιος'!F145</f>
        <v>2050.08</v>
      </c>
      <c r="G145" s="15">
        <f t="shared" si="25"/>
        <v>2.1949908836485028E-2</v>
      </c>
      <c r="H145" s="14"/>
      <c r="I145" s="29" t="e">
        <f t="shared" si="26"/>
        <v>#DIV/0!</v>
      </c>
      <c r="J145" s="10"/>
      <c r="K145" s="10" t="e">
        <f t="shared" si="27"/>
        <v>#DIV/0!</v>
      </c>
      <c r="L145" s="14">
        <f>'[1]2024_60-69 ΕΞΟΔΑ+ΟΜ 2'!I94</f>
        <v>112.36</v>
      </c>
      <c r="M145" s="15">
        <f t="shared" si="28"/>
        <v>1.8846088044575795E-2</v>
      </c>
      <c r="N145" s="10">
        <f>L145+'[1]2025 Μάιος'!N145</f>
        <v>1488.49</v>
      </c>
      <c r="O145" s="15">
        <f t="shared" si="29"/>
        <v>1.7072784113223195E-2</v>
      </c>
      <c r="P145" s="10"/>
      <c r="Q145" s="30" t="e">
        <f t="shared" si="23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2'!I103</f>
        <v>0</v>
      </c>
      <c r="E146" s="15" t="e">
        <f t="shared" si="24"/>
        <v>#DIV/0!</v>
      </c>
      <c r="F146" s="10">
        <f>D146+'[1]2025 Μάιος'!F146</f>
        <v>345.75</v>
      </c>
      <c r="G146" s="15">
        <f t="shared" si="25"/>
        <v>3.7018950383471368E-3</v>
      </c>
      <c r="H146" s="14"/>
      <c r="I146" s="29" t="e">
        <f t="shared" si="26"/>
        <v>#DIV/0!</v>
      </c>
      <c r="J146" s="10"/>
      <c r="K146" s="10" t="e">
        <f t="shared" si="27"/>
        <v>#DIV/0!</v>
      </c>
      <c r="L146" s="14">
        <f>'[1]2024_60-69 ΕΞΟΔΑ+ΟΜ 2'!I95</f>
        <v>0</v>
      </c>
      <c r="M146" s="15">
        <f t="shared" si="28"/>
        <v>0</v>
      </c>
      <c r="N146" s="10">
        <f>L146+'[1]2025 Μάιος'!N146</f>
        <v>600.92999999999995</v>
      </c>
      <c r="O146" s="15">
        <f t="shared" si="29"/>
        <v>6.8925878958939696E-3</v>
      </c>
      <c r="P146" s="10"/>
      <c r="Q146" s="30" t="e">
        <f t="shared" si="23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2'!I104</f>
        <v>0</v>
      </c>
      <c r="E147" s="15" t="e">
        <f t="shared" si="24"/>
        <v>#DIV/0!</v>
      </c>
      <c r="F147" s="10">
        <f>D147+'[1]2025 Μάιος'!F147</f>
        <v>0</v>
      </c>
      <c r="G147" s="15">
        <f t="shared" si="25"/>
        <v>0</v>
      </c>
      <c r="H147" s="14"/>
      <c r="I147" s="29" t="e">
        <f t="shared" si="26"/>
        <v>#DIV/0!</v>
      </c>
      <c r="J147" s="10"/>
      <c r="K147" s="10" t="e">
        <f t="shared" si="27"/>
        <v>#DIV/0!</v>
      </c>
      <c r="L147" s="14">
        <f>'[1]2024_60-69 ΕΞΟΔΑ+ΟΜ 2'!I96</f>
        <v>0</v>
      </c>
      <c r="M147" s="15">
        <f t="shared" si="28"/>
        <v>0</v>
      </c>
      <c r="N147" s="10">
        <f>L147+'[1]2025 Μάιος'!N147</f>
        <v>0</v>
      </c>
      <c r="O147" s="15">
        <f t="shared" si="29"/>
        <v>0</v>
      </c>
      <c r="P147" s="10"/>
      <c r="Q147" s="30" t="e">
        <f t="shared" si="23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2'!I105</f>
        <v>0</v>
      </c>
      <c r="E148" s="15" t="e">
        <f t="shared" si="24"/>
        <v>#DIV/0!</v>
      </c>
      <c r="F148" s="10">
        <f>D148+'[1]2025 Μάιος'!F148</f>
        <v>0</v>
      </c>
      <c r="G148" s="15">
        <f t="shared" si="25"/>
        <v>0</v>
      </c>
      <c r="H148" s="14"/>
      <c r="I148" s="29" t="e">
        <f t="shared" si="26"/>
        <v>#DIV/0!</v>
      </c>
      <c r="J148" s="10"/>
      <c r="K148" s="10" t="e">
        <f t="shared" si="27"/>
        <v>#DIV/0!</v>
      </c>
      <c r="L148" s="14">
        <f>'[1]2024_60-69 ΕΞΟΔΑ+ΟΜ 2'!I97</f>
        <v>130.18</v>
      </c>
      <c r="M148" s="15">
        <f t="shared" si="28"/>
        <v>2.1835027960509765E-2</v>
      </c>
      <c r="N148" s="10">
        <f>L148+'[1]2025 Μάιος'!N148</f>
        <v>130.18</v>
      </c>
      <c r="O148" s="15">
        <f t="shared" si="29"/>
        <v>1.4931474419441152E-3</v>
      </c>
      <c r="P148" s="10"/>
      <c r="Q148" s="30" t="e">
        <f t="shared" si="23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2'!I106</f>
        <v>777.67000000000007</v>
      </c>
      <c r="E149" s="15" t="e">
        <f t="shared" si="24"/>
        <v>#DIV/0!</v>
      </c>
      <c r="F149" s="10">
        <f>D149+'[1]2025 Μάιος'!F149</f>
        <v>4915.04</v>
      </c>
      <c r="G149" s="15">
        <f t="shared" si="25"/>
        <v>5.262461949176489E-2</v>
      </c>
      <c r="H149" s="14"/>
      <c r="I149" s="29" t="e">
        <f t="shared" si="26"/>
        <v>#DIV/0!</v>
      </c>
      <c r="J149" s="10"/>
      <c r="K149" s="10" t="e">
        <f t="shared" si="27"/>
        <v>#DIV/0!</v>
      </c>
      <c r="L149" s="14">
        <f>'[1]2024_60-69 ΕΞΟΔΑ+ΟΜ 2'!I98</f>
        <v>0</v>
      </c>
      <c r="M149" s="15">
        <f t="shared" si="28"/>
        <v>0</v>
      </c>
      <c r="N149" s="10">
        <f>L149+'[1]2025 Μάιος'!N149</f>
        <v>2836.4300000000003</v>
      </c>
      <c r="O149" s="15">
        <f t="shared" si="29"/>
        <v>3.2533478251294719E-2</v>
      </c>
      <c r="P149" s="10"/>
      <c r="Q149" s="30" t="e">
        <f t="shared" si="23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2'!I107</f>
        <v>0</v>
      </c>
      <c r="E150" s="15" t="e">
        <f t="shared" si="24"/>
        <v>#DIV/0!</v>
      </c>
      <c r="F150" s="10">
        <f>D150+'[1]2025 Μάιος'!F150</f>
        <v>0</v>
      </c>
      <c r="G150" s="15">
        <f t="shared" si="25"/>
        <v>0</v>
      </c>
      <c r="H150" s="14"/>
      <c r="I150" s="29" t="e">
        <f t="shared" si="26"/>
        <v>#DIV/0!</v>
      </c>
      <c r="J150" s="10"/>
      <c r="K150" s="10" t="e">
        <f t="shared" si="27"/>
        <v>#DIV/0!</v>
      </c>
      <c r="L150" s="14">
        <f>'[1]2024_60-69 ΕΞΟΔΑ+ΟΜ 2'!I99</f>
        <v>0</v>
      </c>
      <c r="M150" s="15">
        <f t="shared" si="28"/>
        <v>0</v>
      </c>
      <c r="N150" s="10">
        <f>L150+'[1]2025 Μάιος'!N150</f>
        <v>0</v>
      </c>
      <c r="O150" s="15">
        <f t="shared" si="29"/>
        <v>0</v>
      </c>
      <c r="P150" s="10"/>
      <c r="Q150" s="30" t="e">
        <f t="shared" si="23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2'!I108</f>
        <v>0</v>
      </c>
      <c r="E151" s="15" t="e">
        <f t="shared" si="24"/>
        <v>#DIV/0!</v>
      </c>
      <c r="F151" s="10">
        <f>D151+'[1]2025 Μάιος'!F151</f>
        <v>2393.4199999999996</v>
      </c>
      <c r="G151" s="15">
        <f t="shared" si="25"/>
        <v>2.5626000354825172E-2</v>
      </c>
      <c r="H151" s="14"/>
      <c r="I151" s="29" t="e">
        <f t="shared" si="26"/>
        <v>#DIV/0!</v>
      </c>
      <c r="J151" s="10"/>
      <c r="K151" s="10" t="e">
        <f t="shared" si="27"/>
        <v>#DIV/0!</v>
      </c>
      <c r="L151" s="14">
        <f>'[1]2024_60-69 ΕΞΟΔΑ+ΟΜ 2'!I100</f>
        <v>674.67</v>
      </c>
      <c r="M151" s="15">
        <f t="shared" si="28"/>
        <v>0.11316207031892089</v>
      </c>
      <c r="N151" s="10">
        <f>L151+'[1]2025 Μάιος'!N151</f>
        <v>1230.8899999999999</v>
      </c>
      <c r="O151" s="15">
        <f t="shared" si="29"/>
        <v>1.4118146065559929E-2</v>
      </c>
      <c r="P151" s="10"/>
      <c r="Q151" s="30" t="e">
        <f t="shared" si="23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2'!I109</f>
        <v>0</v>
      </c>
      <c r="E152" s="15" t="e">
        <f t="shared" si="24"/>
        <v>#DIV/0!</v>
      </c>
      <c r="F152" s="10">
        <f>D152+'[1]2025 Μάιος'!F152</f>
        <v>0</v>
      </c>
      <c r="G152" s="15">
        <f t="shared" si="25"/>
        <v>0</v>
      </c>
      <c r="H152" s="14"/>
      <c r="I152" s="29" t="e">
        <f t="shared" si="26"/>
        <v>#DIV/0!</v>
      </c>
      <c r="J152" s="10"/>
      <c r="K152" s="10" t="e">
        <f t="shared" si="27"/>
        <v>#DIV/0!</v>
      </c>
      <c r="L152" s="14">
        <f>'[1]2024_60-69 ΕΞΟΔΑ+ΟΜ 2'!I101</f>
        <v>0</v>
      </c>
      <c r="M152" s="15">
        <f t="shared" si="28"/>
        <v>0</v>
      </c>
      <c r="N152" s="10">
        <f>L152+'[1]2025 Μάιος'!N152</f>
        <v>3599.33</v>
      </c>
      <c r="O152" s="15">
        <f t="shared" si="29"/>
        <v>4.1283840699129756E-2</v>
      </c>
      <c r="P152" s="10"/>
      <c r="Q152" s="30" t="e">
        <f t="shared" si="23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2'!I110</f>
        <v>0</v>
      </c>
      <c r="E153" s="15" t="e">
        <f t="shared" si="24"/>
        <v>#DIV/0!</v>
      </c>
      <c r="F153" s="10">
        <f>D153+'[1]2025 Μάιος'!F153</f>
        <v>3888.3500000000004</v>
      </c>
      <c r="G153" s="15">
        <f t="shared" si="25"/>
        <v>4.1631998763144155E-2</v>
      </c>
      <c r="H153" s="14"/>
      <c r="I153" s="29" t="e">
        <f t="shared" si="26"/>
        <v>#DIV/0!</v>
      </c>
      <c r="J153" s="10"/>
      <c r="K153" s="10" t="e">
        <f t="shared" si="27"/>
        <v>#DIV/0!</v>
      </c>
      <c r="L153" s="14">
        <f>'[1]2024_60-69 ΕΞΟΔΑ+ΟΜ 2'!I102</f>
        <v>22.73</v>
      </c>
      <c r="M153" s="15">
        <f t="shared" si="28"/>
        <v>3.8124918231862573E-3</v>
      </c>
      <c r="N153" s="10">
        <f>L153+'[1]2025 Μάιος'!N153</f>
        <v>22.73</v>
      </c>
      <c r="O153" s="15">
        <f t="shared" si="29"/>
        <v>2.6071010412805144E-4</v>
      </c>
      <c r="P153" s="10"/>
      <c r="Q153" s="30" t="e">
        <f t="shared" si="23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2'!I73</f>
        <v>0</v>
      </c>
      <c r="E157" s="8"/>
      <c r="F157" s="7">
        <f>'[1]2025_60-69 ΕΞΟΔΑ+ΟΜ 2'!V73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5961.98</v>
      </c>
      <c r="M157" s="8"/>
      <c r="N157" s="7">
        <f>SUM(N117:N156)</f>
        <v>87184.960000000006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>
        <f>F116-F157</f>
        <v>93398.109999999971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 t="e">
        <f>D7-D78-D111-D157</f>
        <v>#REF!</v>
      </c>
      <c r="E159" s="4"/>
      <c r="F159" s="31" t="e">
        <f>F7-F78-F111-F157</f>
        <v>#REF!</v>
      </c>
      <c r="G159" s="4"/>
      <c r="H159" s="31">
        <f ca="1">H7-H78-H111-H157</f>
        <v>0</v>
      </c>
      <c r="I159" s="4"/>
      <c r="J159" s="31">
        <f ca="1">J7-J78-J111-J157</f>
        <v>246254.6560732142</v>
      </c>
      <c r="K159" s="4"/>
      <c r="L159" s="31">
        <f ca="1">L7-L78-L111-L157</f>
        <v>20276.260999999988</v>
      </c>
      <c r="M159" s="4"/>
      <c r="N159" s="31">
        <f ca="1">N7-N78-N111-N157</f>
        <v>-376095.81094690267</v>
      </c>
      <c r="O159" s="4"/>
      <c r="P159" s="31"/>
      <c r="Q159" s="4"/>
    </row>
  </sheetData>
  <mergeCells count="33">
    <mergeCell ref="D114:F114"/>
    <mergeCell ref="H114:J114"/>
    <mergeCell ref="L114:N114"/>
    <mergeCell ref="P114:Q114"/>
    <mergeCell ref="D82:F82"/>
    <mergeCell ref="H82:J82"/>
    <mergeCell ref="L82:N82"/>
    <mergeCell ref="P82:Q82"/>
    <mergeCell ref="D113:G113"/>
    <mergeCell ref="H113:K113"/>
    <mergeCell ref="L113:O113"/>
    <mergeCell ref="P113:Q113"/>
    <mergeCell ref="D41:F41"/>
    <mergeCell ref="H41:J41"/>
    <mergeCell ref="L41:N41"/>
    <mergeCell ref="P41:Q41"/>
    <mergeCell ref="D81:G81"/>
    <mergeCell ref="H81:K81"/>
    <mergeCell ref="L81:O81"/>
    <mergeCell ref="P81:Q81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59"/>
  <sheetViews>
    <sheetView topLeftCell="A90" workbookViewId="0">
      <selection activeCell="B85" sqref="B85:B110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</row>
    <row r="2" spans="1:17" ht="41.25" customHeight="1" x14ac:dyDescent="0.25">
      <c r="A2" s="57">
        <v>1</v>
      </c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>
        <f>[1]ΑΝΤΙΣΤΟΙΧΙΣΗ!$D$34</f>
        <v>2025</v>
      </c>
      <c r="H2" s="182" t="str">
        <f>[1]ΑΝΤΙΣΤΟΙΧΙΣΗ!$F$35</f>
        <v>ΠΡΟΥΠΟΛΟΓΙΣΜΟΣ ΤΡΕΧΟΝΤΟΣ ΕΤΟΥΣ</v>
      </c>
      <c r="I2" s="182"/>
      <c r="J2" s="182"/>
      <c r="K2" s="182">
        <f>[1]ΑΝΤΙΣΤΟΙΧΙΣΗ!$D$34</f>
        <v>2025</v>
      </c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0" t="str">
        <f>[1]ΑΝΤΙΣΤΟΙΧΙΣΗ!$F$112</f>
        <v xml:space="preserve">ΙΟΥΛΙΟΣ ΤΡΕΧΟΝ ΕΤΟΣ </v>
      </c>
      <c r="E3" s="180"/>
      <c r="F3" s="180"/>
      <c r="G3" s="61">
        <f>[1]ΑΝΤΙΣΤΟΙΧΙΣΗ!$D$34</f>
        <v>2025</v>
      </c>
      <c r="H3" s="180" t="str">
        <f>[1]ΑΝΤΙΣΤΟΙΧΙΣΗ!$F$112</f>
        <v xml:space="preserve">ΙΟΥΛΙΟΣ ΤΡΕΧΟΝ ΕΤΟΣ </v>
      </c>
      <c r="I3" s="180"/>
      <c r="J3" s="180"/>
      <c r="K3" s="61">
        <f>[1]ΑΝΤΙΣΤΟΙΧΙΣΗ!$D$34</f>
        <v>2025</v>
      </c>
      <c r="L3" s="180" t="str">
        <f>[1]ΑΝΤΙΣΤΟΙΧΙΣΗ!$F$126</f>
        <v>ΙΟΥΛΙΟΣ ΠΡΟΗΓΟΥΜΕΝΟΥ ΕΤΟΥΣ</v>
      </c>
      <c r="M3" s="180"/>
      <c r="N3" s="180"/>
      <c r="O3" s="61">
        <f>[1]ΑΝΤΙΣΤΟΙΧΙΣΗ!$D$33</f>
        <v>2024</v>
      </c>
      <c r="P3" s="180"/>
      <c r="Q3" s="180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 ca="1">D7-D6</f>
        <v>-8617.6466666666674</v>
      </c>
      <c r="E5" s="4"/>
      <c r="F5" s="3">
        <f>F7-F6</f>
        <v>-24264.630825958739</v>
      </c>
      <c r="G5" s="4"/>
      <c r="H5" s="3">
        <f ca="1">H159-H6</f>
        <v>0</v>
      </c>
      <c r="I5" s="4"/>
      <c r="J5" s="3">
        <f ca="1">J159-J6</f>
        <v>0</v>
      </c>
      <c r="K5" s="4"/>
      <c r="L5" s="3">
        <f ca="1">L7-L6</f>
        <v>16425.669999999984</v>
      </c>
      <c r="M5" s="4"/>
      <c r="N5" s="3">
        <f ca="1">N7-N6</f>
        <v>-425101.14994690247</v>
      </c>
      <c r="O5" s="4"/>
      <c r="P5" s="3">
        <f ca="1">P159-P6</f>
        <v>155092.87221238931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 ca="1">D43+D84+D116</f>
        <v>8617.6466666666674</v>
      </c>
      <c r="E6" s="4"/>
      <c r="F6" s="3">
        <f>F78+F111+F157</f>
        <v>240104.19666666671</v>
      </c>
      <c r="G6" s="4"/>
      <c r="H6" s="3">
        <f ca="1">H38-H43-H84</f>
        <v>0</v>
      </c>
      <c r="I6" s="4"/>
      <c r="J6" s="66">
        <f ca="1">J38-J43-J84</f>
        <v>332300.95283554913</v>
      </c>
      <c r="K6" s="4"/>
      <c r="L6" s="3">
        <f ca="1">L43+L84+L116</f>
        <v>65075.760000000009</v>
      </c>
      <c r="M6" s="4"/>
      <c r="N6" s="66">
        <f ca="1">N78+N111+N157</f>
        <v>796033.58799999987</v>
      </c>
      <c r="O6" s="4"/>
      <c r="P6" s="3">
        <f ca="1">P38-P43-P84</f>
        <v>-155092.87221238931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SUM(D8:D37)</f>
        <v>0</v>
      </c>
      <c r="E7" s="8"/>
      <c r="F7" s="7">
        <f>SUM(F8:F37)</f>
        <v>215839.56584070798</v>
      </c>
      <c r="G7" s="8"/>
      <c r="H7" s="7">
        <f>SUM(H8:H37)</f>
        <v>0</v>
      </c>
      <c r="I7" s="8"/>
      <c r="J7" s="7">
        <f>SUM(J8:J37)</f>
        <v>332300.95283554913</v>
      </c>
      <c r="K7" s="8"/>
      <c r="L7" s="7">
        <f>SUM(L8:L37)</f>
        <v>81501.429999999993</v>
      </c>
      <c r="M7" s="8"/>
      <c r="N7" s="7">
        <f>SUM(N8:N37)</f>
        <v>370932.4380530974</v>
      </c>
      <c r="O7" s="8"/>
      <c r="P7" s="7">
        <f>SUM(P8:P37)</f>
        <v>-155092.87221238931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'[1]2025_ΕΣΟΔΑ'!I2</f>
        <v>0</v>
      </c>
      <c r="E8" s="11" t="e">
        <f>D8/$D$7</f>
        <v>#DIV/0!</v>
      </c>
      <c r="F8" s="12">
        <f>D8+'[1]2025 Ιούνιος'!F8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Ιούνιος'!J8</f>
        <v>263506.03495944297</v>
      </c>
      <c r="K8" s="11">
        <f>J8/$J$7</f>
        <v>0.79297405773569429</v>
      </c>
      <c r="L8" s="68">
        <f>'[1]2024_60-69 ΕΞΟΔΑ+ΟΜ 2'!I114</f>
        <v>72744.490000000005</v>
      </c>
      <c r="M8" s="11">
        <f>L8/$L$7</f>
        <v>0.8925547686709302</v>
      </c>
      <c r="N8" s="12">
        <f>L8+'[1]2025 Ιούνιος'!N8</f>
        <v>325810.4328318584</v>
      </c>
      <c r="O8" s="11">
        <f>N8/$N$7</f>
        <v>0.87835519196414957</v>
      </c>
      <c r="P8" s="12">
        <f t="shared" ref="P8:P37" si="0">F8-N8</f>
        <v>-134499.10106194689</v>
      </c>
      <c r="Q8" s="11">
        <f t="shared" ref="Q8:Q37" si="1">N8/F8</f>
        <v>1.7030378170369322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'[1]2025_ΕΣΟΔΑ'!I3</f>
        <v>0</v>
      </c>
      <c r="E9" s="11" t="e">
        <f t="shared" ref="E9:E37" si="2">D9/$D$7</f>
        <v>#DIV/0!</v>
      </c>
      <c r="F9" s="12">
        <f>D9+'[1]2025 Ιούνιος'!F9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Ιούνιος'!J9</f>
        <v>1215</v>
      </c>
      <c r="K9" s="11">
        <f t="shared" ref="K9:K37" si="5">J9/$J$7</f>
        <v>3.6563241532481723E-3</v>
      </c>
      <c r="L9" s="68">
        <f>'[1]2024_60-69 ΕΞΟΔΑ+ΟΜ 2'!I115</f>
        <v>0</v>
      </c>
      <c r="M9" s="11">
        <f t="shared" ref="M9:M37" si="6">L9/$L$7</f>
        <v>0</v>
      </c>
      <c r="N9" s="12">
        <f>L9+'[1]2025 Ιούνιος'!N9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'[1]2025_ΕΣΟΔΑ'!I4</f>
        <v>0</v>
      </c>
      <c r="E10" s="11" t="e">
        <f t="shared" si="2"/>
        <v>#DIV/0!</v>
      </c>
      <c r="F10" s="12">
        <f>D10+'[1]2025 Ιούνιος'!F10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Ιούνιος'!J10</f>
        <v>0</v>
      </c>
      <c r="K10" s="11">
        <f t="shared" si="5"/>
        <v>0</v>
      </c>
      <c r="L10" s="68">
        <f>'[1]2024_60-69 ΕΞΟΔΑ+ΟΜ 2'!I116</f>
        <v>0</v>
      </c>
      <c r="M10" s="11">
        <f t="shared" si="6"/>
        <v>0</v>
      </c>
      <c r="N10" s="12">
        <f>L10+'[1]2025 Ιούνιος'!N10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'[1]2025_ΕΣΟΔΑ'!I5</f>
        <v>0</v>
      </c>
      <c r="E11" s="11" t="e">
        <f t="shared" si="2"/>
        <v>#DIV/0!</v>
      </c>
      <c r="F11" s="12">
        <f>D11+'[1]2025 Ιούνιος'!F11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Ιούνιος'!J11</f>
        <v>40795.517876106198</v>
      </c>
      <c r="K11" s="11">
        <f t="shared" si="5"/>
        <v>0.12276677971578162</v>
      </c>
      <c r="L11" s="68">
        <f>'[1]2024_60-69 ΕΞΟΔΑ+ΟΜ 2'!I117</f>
        <v>4302.1099999999997</v>
      </c>
      <c r="M11" s="11">
        <f t="shared" si="6"/>
        <v>5.2785699588338515E-2</v>
      </c>
      <c r="N11" s="12">
        <f>L11+'[1]2025 Ιούνιος'!N11</f>
        <v>24288.395221238941</v>
      </c>
      <c r="O11" s="11">
        <f t="shared" si="7"/>
        <v>6.5479296846403495E-2</v>
      </c>
      <c r="P11" s="12">
        <f t="shared" si="0"/>
        <v>-11128.641150442483</v>
      </c>
      <c r="Q11" s="11">
        <f t="shared" si="1"/>
        <v>1.8456572281345796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'[1]2025_ΕΣΟΔΑ'!I6</f>
        <v>0</v>
      </c>
      <c r="E12" s="11" t="e">
        <f t="shared" si="2"/>
        <v>#DIV/0!</v>
      </c>
      <c r="F12" s="12">
        <f>D12+'[1]2025 Ιούνιος'!F12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Ιούνιος'!J12</f>
        <v>2256.9299999999998</v>
      </c>
      <c r="K12" s="11">
        <f t="shared" si="5"/>
        <v>6.7918252437781041E-3</v>
      </c>
      <c r="L12" s="68">
        <f>'[1]2024_60-69 ΕΞΟΔΑ+ΟΜ 2'!I118</f>
        <v>349.66</v>
      </c>
      <c r="M12" s="11">
        <f t="shared" si="6"/>
        <v>4.29023147201221E-3</v>
      </c>
      <c r="N12" s="12">
        <f>L12+'[1]2025 Ιούνιος'!N12</f>
        <v>2406.5899999999997</v>
      </c>
      <c r="O12" s="11">
        <f t="shared" si="7"/>
        <v>6.4879470035875009E-3</v>
      </c>
      <c r="P12" s="12">
        <f t="shared" si="0"/>
        <v>-180.95999999999958</v>
      </c>
      <c r="Q12" s="11">
        <f t="shared" si="1"/>
        <v>1.0813073152320913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'[1]2025_ΕΣΟΔΑ'!I7</f>
        <v>0</v>
      </c>
      <c r="E13" s="11" t="e">
        <f t="shared" si="2"/>
        <v>#DIV/0!</v>
      </c>
      <c r="F13" s="12">
        <f>D13+'[1]2025 Ιούνιος'!F13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Ιούνιος'!J13</f>
        <v>6269.65</v>
      </c>
      <c r="K13" s="11">
        <f t="shared" si="5"/>
        <v>1.8867384960833251E-2</v>
      </c>
      <c r="L13" s="68">
        <f>'[1]2024_60-69 ΕΞΟΔΑ+ΟΜ 2'!I119</f>
        <v>3007.42</v>
      </c>
      <c r="M13" s="11">
        <f t="shared" si="6"/>
        <v>3.6900211444142766E-2</v>
      </c>
      <c r="N13" s="12">
        <f>L13+'[1]2025 Ιούνιος'!N13</f>
        <v>9277.07</v>
      </c>
      <c r="O13" s="11">
        <f t="shared" si="7"/>
        <v>2.5010134052153257E-2</v>
      </c>
      <c r="P13" s="12">
        <f t="shared" si="0"/>
        <v>-5950.36</v>
      </c>
      <c r="Q13" s="11">
        <f t="shared" si="1"/>
        <v>2.7886620715361423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'[1]2025_ΕΣΟΔΑ'!I8</f>
        <v>0</v>
      </c>
      <c r="E14" s="11" t="e">
        <f t="shared" si="2"/>
        <v>#DIV/0!</v>
      </c>
      <c r="F14" s="12">
        <f>D14+'[1]2025 Ιούνιος'!F14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Ιούνιος'!J14</f>
        <v>600</v>
      </c>
      <c r="K14" s="11">
        <f t="shared" si="5"/>
        <v>1.8055921744435418E-3</v>
      </c>
      <c r="L14" s="68">
        <f>'[1]2024_60-69 ΕΞΟΔΑ+ΟΜ 2'!I120</f>
        <v>100</v>
      </c>
      <c r="M14" s="11">
        <f t="shared" si="6"/>
        <v>1.2269723365590029E-3</v>
      </c>
      <c r="N14" s="12">
        <f>L14+'[1]2025 Ιούνιος'!N14</f>
        <v>700</v>
      </c>
      <c r="O14" s="11">
        <f t="shared" si="7"/>
        <v>1.8871361147978058E-3</v>
      </c>
      <c r="P14" s="12">
        <f t="shared" si="0"/>
        <v>-200</v>
      </c>
      <c r="Q14" s="11">
        <f t="shared" si="1"/>
        <v>1.4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'[1]2025_ΕΣΟΔΑ'!I9</f>
        <v>0</v>
      </c>
      <c r="E15" s="11" t="e">
        <f t="shared" si="2"/>
        <v>#DIV/0!</v>
      </c>
      <c r="F15" s="12">
        <f>D15+'[1]2025 Ιούνιος'!F15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Ιούνιος'!J15</f>
        <v>2647.45</v>
      </c>
      <c r="K15" s="11">
        <f t="shared" si="5"/>
        <v>7.9670250037175913E-3</v>
      </c>
      <c r="L15" s="68">
        <f>'[1]2024_60-69 ΕΞΟΔΑ+ΟΜ 2'!I121</f>
        <v>139.51</v>
      </c>
      <c r="M15" s="11">
        <f t="shared" si="6"/>
        <v>1.7117491067334648E-3</v>
      </c>
      <c r="N15" s="12">
        <f>L15+'[1]2025 Ιούνιος'!N15</f>
        <v>669</v>
      </c>
      <c r="O15" s="11">
        <f t="shared" si="7"/>
        <v>1.8035629439996173E-3</v>
      </c>
      <c r="P15" s="12">
        <f t="shared" si="0"/>
        <v>506.09000000000015</v>
      </c>
      <c r="Q15" s="11">
        <f t="shared" si="1"/>
        <v>0.56931809478422923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'[1]2025_ΕΣΟΔΑ'!I10</f>
        <v>0</v>
      </c>
      <c r="E16" s="11" t="e">
        <f t="shared" si="2"/>
        <v>#DIV/0!</v>
      </c>
      <c r="F16" s="12">
        <f>D16+'[1]2025 Ιούνιος'!F16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Ιούνιος'!J16</f>
        <v>0</v>
      </c>
      <c r="K16" s="11">
        <f t="shared" si="5"/>
        <v>0</v>
      </c>
      <c r="L16" s="68">
        <f>'[1]2024_60-69 ΕΞΟΔΑ+ΟΜ 2'!I122</f>
        <v>0</v>
      </c>
      <c r="M16" s="11">
        <f t="shared" si="6"/>
        <v>0</v>
      </c>
      <c r="N16" s="12">
        <f>L16+'[1]2025 Ιούνιος'!N16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'[1]2025_ΕΣΟΔΑ'!I11</f>
        <v>0</v>
      </c>
      <c r="E17" s="11" t="e">
        <f t="shared" si="2"/>
        <v>#DIV/0!</v>
      </c>
      <c r="F17" s="12">
        <f>D17+'[1]2025 Ιούνιος'!F17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Ιούνιος'!J17</f>
        <v>336.3</v>
      </c>
      <c r="K17" s="11">
        <f t="shared" si="5"/>
        <v>1.0120344137756051E-3</v>
      </c>
      <c r="L17" s="68">
        <f>'[1]2024_60-69 ΕΞΟΔΑ+ΟΜ 2'!I123</f>
        <v>88.5</v>
      </c>
      <c r="M17" s="11">
        <f t="shared" si="6"/>
        <v>1.0858705178547175E-3</v>
      </c>
      <c r="N17" s="12">
        <f>L17+'[1]2025 Ιούνιος'!N17</f>
        <v>256.64999999999998</v>
      </c>
      <c r="O17" s="11">
        <f t="shared" si="7"/>
        <v>6.919049769469383E-4</v>
      </c>
      <c r="P17" s="12">
        <f t="shared" si="0"/>
        <v>207.95000000000005</v>
      </c>
      <c r="Q17" s="11">
        <f t="shared" si="1"/>
        <v>0.55241067585019366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'[1]2025_ΕΣΟΔΑ'!I12</f>
        <v>0</v>
      </c>
      <c r="E18" s="11" t="e">
        <f t="shared" si="2"/>
        <v>#DIV/0!</v>
      </c>
      <c r="F18" s="12">
        <f>D18+'[1]2025 Ιούνιος'!F18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Ιούνιος'!J18</f>
        <v>0</v>
      </c>
      <c r="K18" s="11">
        <f t="shared" si="5"/>
        <v>0</v>
      </c>
      <c r="L18" s="68">
        <f>'[1]2024_60-69 ΕΞΟΔΑ+ΟΜ 2'!I124</f>
        <v>0</v>
      </c>
      <c r="M18" s="11">
        <f t="shared" si="6"/>
        <v>0</v>
      </c>
      <c r="N18" s="12">
        <f>L18+'[1]2025 Ιούνιος'!N18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'[1]2025_ΕΣΟΔΑ'!I13</f>
        <v>0</v>
      </c>
      <c r="E19" s="11" t="e">
        <f t="shared" si="2"/>
        <v>#DIV/0!</v>
      </c>
      <c r="F19" s="12">
        <f>D19+'[1]2025 Ιούνιος'!F19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Ιούνιος'!J19</f>
        <v>0</v>
      </c>
      <c r="K19" s="11">
        <f t="shared" si="5"/>
        <v>0</v>
      </c>
      <c r="L19" s="68">
        <f>'[1]2024_60-69 ΕΞΟΔΑ+ΟΜ 2'!I125</f>
        <v>0</v>
      </c>
      <c r="M19" s="11">
        <f t="shared" si="6"/>
        <v>0</v>
      </c>
      <c r="N19" s="12">
        <f>L19+'[1]2025 Ιούνιος'!N19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'[1]2025_ΕΣΟΔΑ'!I14</f>
        <v>0</v>
      </c>
      <c r="E20" s="11" t="e">
        <f t="shared" si="2"/>
        <v>#DIV/0!</v>
      </c>
      <c r="F20" s="12">
        <f>D20+'[1]2025 Ιούνιος'!F20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Ιούνιος'!J20</f>
        <v>0</v>
      </c>
      <c r="K20" s="11">
        <f t="shared" si="5"/>
        <v>0</v>
      </c>
      <c r="L20" s="68">
        <f>'[1]2024_60-69 ΕΞΟΔΑ+ΟΜ 2'!I126</f>
        <v>0</v>
      </c>
      <c r="M20" s="11">
        <f t="shared" si="6"/>
        <v>0</v>
      </c>
      <c r="N20" s="12">
        <f>L20+'[1]2025 Ιούνιος'!N20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'[1]2025_ΕΣΟΔΑ'!I15</f>
        <v>0</v>
      </c>
      <c r="E21" s="11" t="e">
        <f t="shared" si="2"/>
        <v>#DIV/0!</v>
      </c>
      <c r="F21" s="12">
        <f>D21+'[1]2025 Ιούνιος'!F21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Ιούνιος'!J21</f>
        <v>1398.2199999999998</v>
      </c>
      <c r="K21" s="11">
        <f t="shared" si="5"/>
        <v>4.2076918169174143E-3</v>
      </c>
      <c r="L21" s="68">
        <f>'[1]2024_60-69 ΕΞΟΔΑ+ΟΜ 2'!I127</f>
        <v>311.5</v>
      </c>
      <c r="M21" s="11">
        <f t="shared" si="6"/>
        <v>3.8220188283812936E-3</v>
      </c>
      <c r="N21" s="12">
        <f>L21+'[1]2025 Ιούνιος'!N21</f>
        <v>1010.6099999999999</v>
      </c>
      <c r="O21" s="11">
        <f t="shared" si="7"/>
        <v>2.7245123271083006E-3</v>
      </c>
      <c r="P21" s="12">
        <f t="shared" si="0"/>
        <v>2219.4499999999998</v>
      </c>
      <c r="Q21" s="11">
        <f t="shared" si="1"/>
        <v>0.31287654099304657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'[1]2025_ΕΣΟΔΑ'!I16</f>
        <v>0</v>
      </c>
      <c r="E22" s="11" t="e">
        <f t="shared" si="2"/>
        <v>#DIV/0!</v>
      </c>
      <c r="F22" s="12">
        <f>D22+'[1]2025 Ιούνιος'!F22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Ιούνιος'!J22</f>
        <v>0</v>
      </c>
      <c r="K22" s="11">
        <f t="shared" si="5"/>
        <v>0</v>
      </c>
      <c r="L22" s="68">
        <f>'[1]2024_60-69 ΕΞΟΔΑ+ΟΜ 2'!I128</f>
        <v>0</v>
      </c>
      <c r="M22" s="11">
        <f t="shared" si="6"/>
        <v>0</v>
      </c>
      <c r="N22" s="12">
        <f>L22+'[1]2025 Ιούνιος'!N22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'[1]2025_ΕΣΟΔΑ'!I17</f>
        <v>0</v>
      </c>
      <c r="E23" s="11" t="e">
        <f t="shared" si="2"/>
        <v>#DIV/0!</v>
      </c>
      <c r="F23" s="12">
        <f>D23+'[1]2025 Ιούνιος'!F23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Ιούνιος'!J23</f>
        <v>524.05999999999995</v>
      </c>
      <c r="K23" s="11">
        <f t="shared" si="5"/>
        <v>1.577064391564804E-3</v>
      </c>
      <c r="L23" s="68">
        <f>'[1]2024_60-69 ΕΞΟΔΑ+ΟΜ 2'!I129</f>
        <v>0</v>
      </c>
      <c r="M23" s="11">
        <f t="shared" si="6"/>
        <v>0</v>
      </c>
      <c r="N23" s="12">
        <f>L23+'[1]2025 Ιούνιος'!N23</f>
        <v>524.05999999999995</v>
      </c>
      <c r="O23" s="11">
        <f t="shared" si="7"/>
        <v>1.4128179318870543E-3</v>
      </c>
      <c r="P23" s="12">
        <f t="shared" si="0"/>
        <v>-28.479999999999961</v>
      </c>
      <c r="Q23" s="11">
        <f t="shared" si="1"/>
        <v>1.0574680172726905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'[1]2025_ΕΣΟΔΑ'!I18</f>
        <v>0</v>
      </c>
      <c r="E24" s="11" t="e">
        <f>D24/$D$7</f>
        <v>#DIV/0!</v>
      </c>
      <c r="F24" s="12">
        <f>D24+'[1]2025 Ιούνιος'!F24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Ιούνιος'!J24</f>
        <v>0</v>
      </c>
      <c r="K24" s="11">
        <f>J24/$J$7</f>
        <v>0</v>
      </c>
      <c r="L24" s="68">
        <f>'[1]2024_60-69 ΕΞΟΔΑ+ΟΜ 2'!I130</f>
        <v>592.04999999999995</v>
      </c>
      <c r="M24" s="11">
        <f>L24/$L$7</f>
        <v>7.2642897185975757E-3</v>
      </c>
      <c r="N24" s="12">
        <f>L24+'[1]2025 Ιούνιος'!N24</f>
        <v>592.04999999999995</v>
      </c>
      <c r="O24" s="11">
        <f>N24/$N$7</f>
        <v>1.5961127668086298E-3</v>
      </c>
      <c r="P24" s="12">
        <f>F24-N24</f>
        <v>-592.04999999999995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'[1]2025_ΕΣΟΔΑ'!I19</f>
        <v>0</v>
      </c>
      <c r="E25" s="11" t="e">
        <f t="shared" si="2"/>
        <v>#DIV/0!</v>
      </c>
      <c r="F25" s="12">
        <f>D25+'[1]2025 Ιούνιος'!F25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Ιούνιος'!J25</f>
        <v>2225.4</v>
      </c>
      <c r="K25" s="11">
        <f t="shared" si="5"/>
        <v>6.6969413750110974E-3</v>
      </c>
      <c r="L25" s="68">
        <f>'[1]2024_60-69 ΕΞΟΔΑ+ΟΜ 2'!I131</f>
        <v>0</v>
      </c>
      <c r="M25" s="11">
        <f t="shared" si="6"/>
        <v>0</v>
      </c>
      <c r="N25" s="12">
        <f>L25+'[1]2025 Ιούνιος'!N25</f>
        <v>1112.7</v>
      </c>
      <c r="O25" s="11">
        <f t="shared" si="7"/>
        <v>2.9997376499078837E-3</v>
      </c>
      <c r="P25" s="12">
        <f t="shared" si="0"/>
        <v>-1112.7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'[1]2025_ΕΣΟΔΑ'!I20</f>
        <v>0</v>
      </c>
      <c r="E26" s="11" t="e">
        <f t="shared" si="2"/>
        <v>#DIV/0!</v>
      </c>
      <c r="F26" s="12">
        <f>D26+'[1]2025 Ιούνιος'!F26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Ιούνιος'!J26</f>
        <v>0</v>
      </c>
      <c r="K26" s="11">
        <f t="shared" si="5"/>
        <v>0</v>
      </c>
      <c r="L26" s="68">
        <f>'[1]2024_60-69 ΕΞΟΔΑ+ΟΜ 2'!I132</f>
        <v>0</v>
      </c>
      <c r="M26" s="11">
        <f t="shared" si="6"/>
        <v>0</v>
      </c>
      <c r="N26" s="12">
        <f>L26+'[1]2025 Ιούνιος'!N26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'[1]2025_ΕΣΟΔΑ'!I21</f>
        <v>0</v>
      </c>
      <c r="E27" s="11" t="e">
        <f t="shared" si="2"/>
        <v>#DIV/0!</v>
      </c>
      <c r="F27" s="12">
        <f>D27+'[1]2025 Ιούνιος'!F27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Ιούνιος'!J27</f>
        <v>0</v>
      </c>
      <c r="K27" s="11">
        <f t="shared" si="5"/>
        <v>0</v>
      </c>
      <c r="L27" s="68">
        <f>'[1]2024_60-69 ΕΞΟΔΑ+ΟΜ 2'!I133</f>
        <v>225.4</v>
      </c>
      <c r="M27" s="11">
        <f t="shared" si="6"/>
        <v>2.7655956466039926E-3</v>
      </c>
      <c r="N27" s="12">
        <f>L27+'[1]2025 Ιούνιος'!N27</f>
        <v>225.4</v>
      </c>
      <c r="O27" s="11">
        <f t="shared" si="7"/>
        <v>6.0765782896489353E-4</v>
      </c>
      <c r="P27" s="12">
        <f t="shared" si="0"/>
        <v>-225.4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'[1]2025_ΕΣΟΔΑ'!I22</f>
        <v>0</v>
      </c>
      <c r="E28" s="11" t="e">
        <f t="shared" si="2"/>
        <v>#DIV/0!</v>
      </c>
      <c r="F28" s="12">
        <f>D28+'[1]2025 Ιούνιος'!F28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Ιούνιος'!J28</f>
        <v>388.7</v>
      </c>
      <c r="K28" s="11">
        <f t="shared" si="5"/>
        <v>1.1697227970103412E-3</v>
      </c>
      <c r="L28" s="68">
        <f>'[1]2024_60-69 ΕΞΟΔΑ+ΟΜ 2'!I134</f>
        <v>0</v>
      </c>
      <c r="M28" s="11">
        <f t="shared" si="6"/>
        <v>0</v>
      </c>
      <c r="N28" s="12">
        <f>L28+'[1]2025 Ιούνιος'!N28</f>
        <v>194.35</v>
      </c>
      <c r="O28" s="11">
        <f t="shared" si="7"/>
        <v>5.2394986272993362E-4</v>
      </c>
      <c r="P28" s="12">
        <f t="shared" si="0"/>
        <v>56.349999999999994</v>
      </c>
      <c r="Q28" s="11">
        <f t="shared" si="1"/>
        <v>0.77522935779816515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'[1]2025_ΕΣΟΔΑ'!I23</f>
        <v>0</v>
      </c>
      <c r="E29" s="11" t="e">
        <f t="shared" si="2"/>
        <v>#DIV/0!</v>
      </c>
      <c r="F29" s="12">
        <f>D29+'[1]2025 Ιούνιος'!F29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Ιούνιος'!J29</f>
        <v>0</v>
      </c>
      <c r="K29" s="11">
        <f t="shared" si="5"/>
        <v>0</v>
      </c>
      <c r="L29" s="68">
        <f>'[1]2024_60-69 ΕΞΟΔΑ+ΟΜ 2'!I135</f>
        <v>24.11</v>
      </c>
      <c r="M29" s="11">
        <f t="shared" si="6"/>
        <v>2.9582303034437558E-4</v>
      </c>
      <c r="N29" s="12">
        <f>L29+'[1]2025 Ιούνιος'!N29</f>
        <v>24.11</v>
      </c>
      <c r="O29" s="11">
        <f t="shared" si="7"/>
        <v>6.499835961110728E-5</v>
      </c>
      <c r="P29" s="12">
        <f t="shared" si="0"/>
        <v>-24.11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'[1]2025_ΕΣΟΔΑ'!I24</f>
        <v>0</v>
      </c>
      <c r="E30" s="11" t="e">
        <f t="shared" si="2"/>
        <v>#DIV/0!</v>
      </c>
      <c r="F30" s="12">
        <f>D30+'[1]2025 Ιούνιος'!F30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Ιούνιος'!J30</f>
        <v>11493.72</v>
      </c>
      <c r="K30" s="11">
        <f t="shared" si="5"/>
        <v>3.4588284812075376E-2</v>
      </c>
      <c r="L30" s="68">
        <f>'[1]2024_60-69 ΕΞΟΔΑ+ΟΜ 2'!I136</f>
        <v>-383.32</v>
      </c>
      <c r="M30" s="11">
        <f t="shared" si="6"/>
        <v>-4.7032303604979692E-3</v>
      </c>
      <c r="N30" s="12">
        <f>L30+'[1]2025 Ιούνιος'!N30</f>
        <v>5197.0700000000006</v>
      </c>
      <c r="O30" s="11">
        <f t="shared" si="7"/>
        <v>1.4010826411617477E-2</v>
      </c>
      <c r="P30" s="12">
        <f t="shared" si="0"/>
        <v>-4932.6400000000003</v>
      </c>
      <c r="Q30" s="11">
        <f t="shared" si="1"/>
        <v>19.653859244412512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'[1]2025_ΕΣΟΔΑ'!I25</f>
        <v>0</v>
      </c>
      <c r="E31" s="11" t="e">
        <f t="shared" si="2"/>
        <v>#DIV/0!</v>
      </c>
      <c r="F31" s="12">
        <f>D31+'[1]2025 Ιούνιος'!F31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Ιούνιος'!J31</f>
        <v>-1356.0300000000002</v>
      </c>
      <c r="K31" s="11">
        <f t="shared" si="5"/>
        <v>-4.0807285938511276E-3</v>
      </c>
      <c r="L31" s="68">
        <f>'[1]2024_60-69 ΕΞΟΔΑ+ΟΜ 2'!I137</f>
        <v>0</v>
      </c>
      <c r="M31" s="11">
        <f t="shared" si="6"/>
        <v>0</v>
      </c>
      <c r="N31" s="12">
        <f>L31+'[1]2025 Ιούνιος'!N31</f>
        <v>-1356.0500000000002</v>
      </c>
      <c r="O31" s="11">
        <f t="shared" si="7"/>
        <v>-3.6557870406736643E-3</v>
      </c>
      <c r="P31" s="12">
        <f t="shared" si="0"/>
        <v>74.190000000000055</v>
      </c>
      <c r="Q31" s="11">
        <f t="shared" si="1"/>
        <v>1.0578768352238155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'[1]2025_ΕΣΟΔΑ'!I26</f>
        <v>0</v>
      </c>
      <c r="E32" s="11" t="e">
        <f t="shared" si="2"/>
        <v>#DIV/0!</v>
      </c>
      <c r="F32" s="12">
        <f>D32+'[1]2025 Ιούνιος'!F32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Ιούνιος'!J32</f>
        <v>0</v>
      </c>
      <c r="K32" s="11">
        <f t="shared" si="5"/>
        <v>0</v>
      </c>
      <c r="L32" s="68">
        <f>'[1]2024_60-69 ΕΞΟΔΑ+ΟΜ 2'!I138</f>
        <v>0</v>
      </c>
      <c r="M32" s="11">
        <f t="shared" si="6"/>
        <v>0</v>
      </c>
      <c r="N32" s="12">
        <f>L32+'[1]2025 Ιούνιος'!N32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'[1]2025_ΕΣΟΔΑ'!I27</f>
        <v>0</v>
      </c>
      <c r="E33" s="11" t="e">
        <f t="shared" si="2"/>
        <v>#DIV/0!</v>
      </c>
      <c r="F33" s="12">
        <f>D33+'[1]2025 Ιούνιος'!F33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Ιούνιος'!J33</f>
        <v>0</v>
      </c>
      <c r="K33" s="11">
        <f t="shared" si="5"/>
        <v>0</v>
      </c>
      <c r="L33" s="68">
        <f>'[1]2024_60-69 ΕΞΟΔΑ+ΟΜ 2'!I139</f>
        <v>0</v>
      </c>
      <c r="M33" s="11">
        <f t="shared" si="6"/>
        <v>0</v>
      </c>
      <c r="N33" s="12">
        <f>L33+'[1]2025 Ιούνιος'!N33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'[1]2025_ΕΣΟΔΑ'!I28</f>
        <v>0</v>
      </c>
      <c r="E34" s="11" t="e">
        <f t="shared" si="2"/>
        <v>#DIV/0!</v>
      </c>
      <c r="F34" s="12">
        <f>D34+'[1]2025 Ιούνιος'!F34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Ιούνιος'!J34</f>
        <v>0</v>
      </c>
      <c r="K34" s="11">
        <f t="shared" si="5"/>
        <v>0</v>
      </c>
      <c r="L34" s="68">
        <f>'[1]2024_60-69 ΕΞΟΔΑ+ΟΜ 2'!I140</f>
        <v>0</v>
      </c>
      <c r="M34" s="11">
        <f t="shared" si="6"/>
        <v>0</v>
      </c>
      <c r="N34" s="12">
        <f>L34+'[1]2025 Ιούνιος'!N34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'[1]2025_ΕΣΟΔΑ'!I29</f>
        <v>0</v>
      </c>
      <c r="E35" s="11" t="e">
        <f t="shared" si="2"/>
        <v>#DIV/0!</v>
      </c>
      <c r="F35" s="12">
        <f>D35+'[1]2025 Ιούνιος'!F35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Ιούνιος'!J35</f>
        <v>0</v>
      </c>
      <c r="K35" s="11">
        <f t="shared" si="5"/>
        <v>0</v>
      </c>
      <c r="L35" s="68">
        <f>'[1]2024_60-69 ΕΞΟΔΑ+ΟΜ 2'!I141</f>
        <v>0</v>
      </c>
      <c r="M35" s="11">
        <f t="shared" si="6"/>
        <v>0</v>
      </c>
      <c r="N35" s="12">
        <f>L35+'[1]2025 Ιούνιος'!N35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'[1]2025_ΕΣΟΔΑ'!I30</f>
        <v>0</v>
      </c>
      <c r="E36" s="11" t="e">
        <f t="shared" si="2"/>
        <v>#DIV/0!</v>
      </c>
      <c r="F36" s="12">
        <f>D36+'[1]2025 Ιούνιος'!F36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Ιούνιος'!J36</f>
        <v>0</v>
      </c>
      <c r="K36" s="11">
        <f t="shared" si="5"/>
        <v>0</v>
      </c>
      <c r="L36" s="68">
        <f>'[1]2024_60-69 ΕΞΟΔΑ+ΟΜ 2'!I142</f>
        <v>0</v>
      </c>
      <c r="M36" s="11">
        <f t="shared" si="6"/>
        <v>0</v>
      </c>
      <c r="N36" s="12">
        <f>L36+'[1]2025 Ιούνιος'!N36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'[1]2025_ΕΣΟΔΑ'!I31</f>
        <v>0</v>
      </c>
      <c r="E37" s="11" t="e">
        <f t="shared" si="2"/>
        <v>#DIV/0!</v>
      </c>
      <c r="F37" s="12">
        <f>D37+'[1]2025 Ιούνιος'!F37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Ιούνιος'!J37</f>
        <v>0</v>
      </c>
      <c r="K37" s="11">
        <f t="shared" si="5"/>
        <v>0</v>
      </c>
      <c r="L37" s="68">
        <f>'[1]2024_60-69 ΕΞΟΔΑ+ΟΜ 2'!I143</f>
        <v>0</v>
      </c>
      <c r="M37" s="11">
        <f t="shared" si="6"/>
        <v>0</v>
      </c>
      <c r="N37" s="12">
        <f>L37+'[1]2025 Ιούνιος'!N37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'[1]2025_ΕΣΟΔΑ'!I32</f>
        <v>0</v>
      </c>
      <c r="E38" s="8"/>
      <c r="F38" s="7" t="str">
        <f>'[1]2025_ΕΣΟΔΑ'!I34</f>
        <v>Ιούλιος</v>
      </c>
      <c r="G38" s="8"/>
      <c r="H38" s="7">
        <f>SUM(H8:H31)</f>
        <v>0</v>
      </c>
      <c r="I38" s="8"/>
      <c r="J38" s="7">
        <f>SUM(J8:J31)</f>
        <v>332300.95283554913</v>
      </c>
      <c r="K38" s="8"/>
      <c r="L38" s="7">
        <f>SUM(L8:L31)</f>
        <v>81501.429999999993</v>
      </c>
      <c r="M38" s="8"/>
      <c r="N38" s="7">
        <f>SUM(N8:N31)</f>
        <v>370932.4380530974</v>
      </c>
      <c r="O38" s="8"/>
      <c r="P38" s="7">
        <f>SUM(P8:P31)</f>
        <v>-155092.87221238931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0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0" t="str">
        <f>[1]ΑΝΤΙΣΤΟΙΧΙΣΗ!$F$112</f>
        <v xml:space="preserve">ΙΟΥΛΙΟΣ ΤΡΕΧΟΝ ΕΤΟΣ </v>
      </c>
      <c r="E41" s="180"/>
      <c r="F41" s="180"/>
      <c r="G41" s="61">
        <f>[1]ΑΝΤΙΣΤΟΙΧΙΣΗ!$D$34</f>
        <v>2025</v>
      </c>
      <c r="H41" s="180" t="str">
        <f>[1]ΑΝΤΙΣΤΟΙΧΙΣΗ!$F$112</f>
        <v xml:space="preserve">ΙΟΥΛΙΟΣ ΤΡΕΧΟΝ ΕΤΟΣ </v>
      </c>
      <c r="I41" s="180"/>
      <c r="J41" s="180"/>
      <c r="K41" s="61">
        <f>[1]ΑΝΤΙΣΤΟΙΧΙΣΗ!$D$34</f>
        <v>2025</v>
      </c>
      <c r="L41" s="180" t="str">
        <f>[1]ΑΝΤΙΣΤΟΙΧΙΣΗ!$F$126</f>
        <v>ΙΟΥΛΙΟΣ ΠΡΟΗΓΟΥΜΕΝΟΥ ΕΤΟΥΣ</v>
      </c>
      <c r="M41" s="180"/>
      <c r="N41" s="180"/>
      <c r="O41" s="61">
        <f>[1]ΑΝΤΙΣΤΟΙΧΙΣΗ!$D$33</f>
        <v>2024</v>
      </c>
      <c r="P41" s="180"/>
      <c r="Q41" s="180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SUM(D44:D77)</f>
        <v>7839.9766666666674</v>
      </c>
      <c r="E43" s="8"/>
      <c r="F43" s="7">
        <f>SUM(F44:F77)</f>
        <v>532557.62666666671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53450.65</v>
      </c>
      <c r="M43" s="8"/>
      <c r="N43" s="7">
        <f>SUM(N44:N77)</f>
        <v>665443.65799999982</v>
      </c>
      <c r="O43" s="8"/>
      <c r="P43" s="7">
        <f>SUM(P44:P77)</f>
        <v>0</v>
      </c>
      <c r="Q43" s="8"/>
    </row>
    <row r="44" spans="1:17" ht="23.2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2'!J4</f>
        <v>0</v>
      </c>
      <c r="E44" s="15">
        <f>D44/$D$43</f>
        <v>0</v>
      </c>
      <c r="F44" s="10">
        <f>D44+'[1]2025 Ιούνιος'!F44</f>
        <v>230982.36</v>
      </c>
      <c r="G44" s="15">
        <f>F44/$F$43</f>
        <v>0.43372275305818542</v>
      </c>
      <c r="H44" s="14"/>
      <c r="I44" s="16" t="e">
        <f>H44/$H$43</f>
        <v>#DIV/0!</v>
      </c>
      <c r="J44" s="10">
        <f>H44</f>
        <v>0</v>
      </c>
      <c r="K44" s="17" t="e">
        <f>J44/$J$43</f>
        <v>#DIV/0!</v>
      </c>
      <c r="L44" s="14">
        <f>'[1]2024_60-69 ΕΞΟΔΑ+ΟΜ 2'!J4</f>
        <v>4563.4500000000007</v>
      </c>
      <c r="M44" s="15">
        <f>L44/$L$43</f>
        <v>8.5376885033203537E-2</v>
      </c>
      <c r="N44" s="10">
        <f>L44+'[1]2025 Ιούνιος'!N44</f>
        <v>285334.82900000003</v>
      </c>
      <c r="O44" s="15">
        <f>N44/$N$43</f>
        <v>0.42878886224203838</v>
      </c>
      <c r="P44" s="10"/>
      <c r="Q44" s="15">
        <f>N44/F44</f>
        <v>1.235310042723609</v>
      </c>
    </row>
    <row r="45" spans="1:17" ht="23.2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2'!J5</f>
        <v>0</v>
      </c>
      <c r="E45" s="15">
        <f t="shared" ref="E45:E77" si="8">D45/$D$43</f>
        <v>0</v>
      </c>
      <c r="F45" s="10">
        <f>D45+'[1]2025 Ιούνιος'!F45</f>
        <v>17090.259999999998</v>
      </c>
      <c r="G45" s="15">
        <f t="shared" ref="G45:G74" si="9">F45/$F$43</f>
        <v>3.2090912127143316E-2</v>
      </c>
      <c r="H45" s="14"/>
      <c r="I45" s="16" t="e">
        <f t="shared" ref="I45:I77" si="10">H45/$H$43</f>
        <v>#DIV/0!</v>
      </c>
      <c r="J45" s="10">
        <f>H45</f>
        <v>0</v>
      </c>
      <c r="K45" s="17" t="e">
        <f t="shared" ref="K45:K77" si="11">J45/$J$43</f>
        <v>#DIV/0!</v>
      </c>
      <c r="L45" s="14">
        <f>'[1]2024_60-69 ΕΞΟΔΑ+ΟΜ 2'!J5</f>
        <v>3850.73</v>
      </c>
      <c r="M45" s="15">
        <f t="shared" ref="M45:M77" si="12">L45/$L$43</f>
        <v>7.2042716038065016E-2</v>
      </c>
      <c r="N45" s="10">
        <f>L45+'[1]2025 Ιούνιος'!N45</f>
        <v>28647.49</v>
      </c>
      <c r="O45" s="15">
        <f t="shared" ref="O45:O77" si="13">N45/$N$43</f>
        <v>4.3050211172047881E-2</v>
      </c>
      <c r="P45" s="10"/>
      <c r="Q45" s="15">
        <f t="shared" ref="Q45:Q77" si="14">N45/F45</f>
        <v>1.6762465872374093</v>
      </c>
    </row>
    <row r="46" spans="1:17" ht="23.2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2'!J6</f>
        <v>0</v>
      </c>
      <c r="E46" s="15">
        <f t="shared" si="8"/>
        <v>0</v>
      </c>
      <c r="F46" s="10">
        <f>D46+'[1]2025 Ιούνιος'!F46</f>
        <v>24880</v>
      </c>
      <c r="G46" s="15">
        <f t="shared" si="9"/>
        <v>4.6717948920807863E-2</v>
      </c>
      <c r="H46" s="14"/>
      <c r="I46" s="16" t="e">
        <f t="shared" si="10"/>
        <v>#DIV/0!</v>
      </c>
      <c r="J46" s="10">
        <f t="shared" ref="J46:J77" si="15">H46</f>
        <v>0</v>
      </c>
      <c r="K46" s="17" t="e">
        <f t="shared" si="11"/>
        <v>#DIV/0!</v>
      </c>
      <c r="L46" s="14">
        <f>'[1]2024_60-69 ΕΞΟΔΑ+ΟΜ 2'!J6</f>
        <v>3863.68</v>
      </c>
      <c r="M46" s="15">
        <f t="shared" si="12"/>
        <v>7.2284995598743879E-2</v>
      </c>
      <c r="N46" s="10">
        <f>L46+'[1]2025 Ιούνιος'!N46</f>
        <v>37175.43</v>
      </c>
      <c r="O46" s="15">
        <f t="shared" si="13"/>
        <v>5.5865631226738675E-2</v>
      </c>
      <c r="P46" s="10"/>
      <c r="Q46" s="15">
        <f t="shared" si="14"/>
        <v>1.494189308681672</v>
      </c>
    </row>
    <row r="47" spans="1:17" ht="36" customHeight="1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2'!J37</f>
        <v>0</v>
      </c>
      <c r="E47" s="15" t="e">
        <f ca="1">D47/$D$84</f>
        <v>#DIV/0!</v>
      </c>
      <c r="F47" s="79">
        <f>'[1]2025 Ιούνιος'!F81+'[1]2025 Ιούλιος'!D81</f>
        <v>46297.34</v>
      </c>
      <c r="G47" s="15" t="e">
        <f>F47/$F$84</f>
        <v>#VALUE!</v>
      </c>
      <c r="H47" s="14"/>
      <c r="I47" s="26" t="e">
        <f ca="1">H47/$H$84</f>
        <v>#DIV/0!</v>
      </c>
      <c r="J47" s="27"/>
      <c r="K47" s="27" t="e">
        <f ca="1">J47/$J$84</f>
        <v>#DIV/0!</v>
      </c>
      <c r="L47" s="79">
        <f>'[1]2024_60-69 ΕΞΟΔΑ+ΟΜ 2'!J35</f>
        <v>1527.26</v>
      </c>
      <c r="M47" s="15">
        <f ca="1">L47/$L$84</f>
        <v>0.22538790520857005</v>
      </c>
      <c r="N47" s="10">
        <f>L47+'[1]2025 Ιούνιος'!N81</f>
        <v>39672.69000000001</v>
      </c>
      <c r="O47" s="15">
        <f ca="1">N47/$N$84</f>
        <v>0.47759868539853406</v>
      </c>
      <c r="P47" s="27"/>
      <c r="Q47" s="28" t="e">
        <f ca="1">SUM(D47:P47)</f>
        <v>#DIV/0!</v>
      </c>
    </row>
    <row r="48" spans="1:17" ht="36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2'!J38</f>
        <v>0</v>
      </c>
      <c r="E48" s="15" t="e">
        <f ca="1">D48/$D$84</f>
        <v>#DIV/0!</v>
      </c>
      <c r="F48" s="79">
        <f>'[1]2025 Ιούνιος'!F82+'[1]2025 Ιούλιος'!D82</f>
        <v>9451.0400000000009</v>
      </c>
      <c r="G48" s="15" t="e">
        <f>F48/$F$84</f>
        <v>#VALUE!</v>
      </c>
      <c r="H48" s="14"/>
      <c r="I48" s="26" t="e">
        <f ca="1">H48/$H$84</f>
        <v>#DIV/0!</v>
      </c>
      <c r="J48" s="27"/>
      <c r="K48" s="27" t="e">
        <f ca="1">J48/$J$84</f>
        <v>#DIV/0!</v>
      </c>
      <c r="L48" s="79">
        <f>'[1]2024_60-69 ΕΞΟΔΑ+ΟΜ 2'!J36</f>
        <v>786.42</v>
      </c>
      <c r="M48" s="15">
        <f ca="1">L48/$L$84</f>
        <v>0.1160572243194503</v>
      </c>
      <c r="N48" s="10">
        <f>L48+'[1]2025 Ιούνιος'!N82</f>
        <v>11087.88</v>
      </c>
      <c r="O48" s="15">
        <f ca="1">N48/$N$84</f>
        <v>0.13348116580591576</v>
      </c>
      <c r="P48" s="27"/>
      <c r="Q48" s="28" t="e">
        <f ca="1">SUM(D48:P48)</f>
        <v>#DIV/0!</v>
      </c>
    </row>
    <row r="49" spans="1:17" ht="23.25" customHeight="1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2'!J7</f>
        <v>0</v>
      </c>
      <c r="E49" s="15">
        <f t="shared" si="8"/>
        <v>0</v>
      </c>
      <c r="F49" s="10">
        <f>D49+'[1]2025 Ιούνιος'!F47</f>
        <v>14200.8</v>
      </c>
      <c r="G49" s="15">
        <f t="shared" si="9"/>
        <v>2.6665283321326699E-2</v>
      </c>
      <c r="H49" s="14"/>
      <c r="I49" s="16" t="e">
        <f t="shared" si="10"/>
        <v>#DIV/0!</v>
      </c>
      <c r="J49" s="10">
        <f t="shared" si="15"/>
        <v>0</v>
      </c>
      <c r="K49" s="17" t="e">
        <f t="shared" si="11"/>
        <v>#DIV/0!</v>
      </c>
      <c r="L49" s="14">
        <f>'[1]2024_60-69 ΕΞΟΔΑ+ΟΜ 2'!J7</f>
        <v>1058.54</v>
      </c>
      <c r="M49" s="15">
        <f t="shared" si="12"/>
        <v>1.9804062251815458E-2</v>
      </c>
      <c r="N49" s="10">
        <f>L49+'[1]2025 Ιούνιος'!N47</f>
        <v>18398.259999999998</v>
      </c>
      <c r="O49" s="15">
        <f t="shared" si="13"/>
        <v>2.7648110818722392E-2</v>
      </c>
      <c r="P49" s="10"/>
      <c r="Q49" s="15">
        <f t="shared" si="14"/>
        <v>1.2955791223029689</v>
      </c>
    </row>
    <row r="50" spans="1:17" ht="23.25" customHeight="1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2'!J8</f>
        <v>0</v>
      </c>
      <c r="E50" s="15">
        <f t="shared" si="8"/>
        <v>0</v>
      </c>
      <c r="F50" s="10">
        <f>D50+'[1]2025 Ιούνιος'!F48</f>
        <v>3672.9500000000003</v>
      </c>
      <c r="G50" s="15">
        <f t="shared" si="9"/>
        <v>6.8968123186768995E-3</v>
      </c>
      <c r="H50" s="14"/>
      <c r="I50" s="16" t="e">
        <f t="shared" si="10"/>
        <v>#DIV/0!</v>
      </c>
      <c r="J50" s="10">
        <f t="shared" si="15"/>
        <v>0</v>
      </c>
      <c r="K50" s="17" t="e">
        <f t="shared" si="11"/>
        <v>#DIV/0!</v>
      </c>
      <c r="L50" s="14">
        <f>'[1]2024_60-69 ΕΞΟΔΑ+ΟΜ 2'!J8</f>
        <v>810.41</v>
      </c>
      <c r="M50" s="15">
        <f t="shared" si="12"/>
        <v>1.5161836198437249E-2</v>
      </c>
      <c r="N50" s="10">
        <f>L50+'[1]2025 Ιούνιος'!N48</f>
        <v>6790.5499999999993</v>
      </c>
      <c r="O50" s="15">
        <f t="shared" si="13"/>
        <v>1.0204545371142452E-2</v>
      </c>
      <c r="P50" s="10"/>
      <c r="Q50" s="15">
        <f t="shared" si="14"/>
        <v>1.8488000108904283</v>
      </c>
    </row>
    <row r="51" spans="1:17" ht="23.25" customHeight="1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2'!J9</f>
        <v>0</v>
      </c>
      <c r="E51" s="15">
        <f t="shared" si="8"/>
        <v>0</v>
      </c>
      <c r="F51" s="10">
        <f>D51+'[1]2025 Ιούνιος'!F49</f>
        <v>4508.5199999999995</v>
      </c>
      <c r="G51" s="15">
        <f t="shared" si="9"/>
        <v>8.4657880654517952E-3</v>
      </c>
      <c r="H51" s="14"/>
      <c r="I51" s="16" t="e">
        <f t="shared" si="10"/>
        <v>#DIV/0!</v>
      </c>
      <c r="J51" s="10">
        <f t="shared" si="15"/>
        <v>0</v>
      </c>
      <c r="K51" s="17" t="e">
        <f t="shared" si="11"/>
        <v>#DIV/0!</v>
      </c>
      <c r="L51" s="14">
        <f>'[1]2024_60-69 ΕΞΟΔΑ+ΟΜ 2'!J9</f>
        <v>824.94</v>
      </c>
      <c r="M51" s="15">
        <f t="shared" si="12"/>
        <v>1.543367573640358E-2</v>
      </c>
      <c r="N51" s="10">
        <f>L51+'[1]2025 Ιούνιος'!N49</f>
        <v>7394.43</v>
      </c>
      <c r="O51" s="15">
        <f t="shared" si="13"/>
        <v>1.1112030163791873E-2</v>
      </c>
      <c r="P51" s="10"/>
      <c r="Q51" s="15">
        <f t="shared" si="14"/>
        <v>1.640101408000852</v>
      </c>
    </row>
    <row r="52" spans="1:17" ht="36" customHeight="1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2'!J41</f>
        <v>0</v>
      </c>
      <c r="E52" s="15" t="e">
        <f ca="1">D52/$D$84</f>
        <v>#DIV/0!</v>
      </c>
      <c r="F52" s="79">
        <f>'[1]2025 Ιούνιος'!F85+'[1]2025 Ιούλιος'!D85</f>
        <v>6270.86</v>
      </c>
      <c r="G52" s="15" t="e">
        <f>F52/$F$84</f>
        <v>#VALUE!</v>
      </c>
      <c r="H52" s="14"/>
      <c r="I52" s="26" t="e">
        <f ca="1">H52/$H$84</f>
        <v>#DIV/0!</v>
      </c>
      <c r="J52" s="27"/>
      <c r="K52" s="27" t="e">
        <f ca="1">J52/$J$84</f>
        <v>#DIV/0!</v>
      </c>
      <c r="L52" s="79">
        <f>'[1]2024_60-69 ΕΞΟΔΑ+ΟΜ 2'!J39</f>
        <v>340.43</v>
      </c>
      <c r="M52" s="15">
        <f ca="1">L52/$L$84</f>
        <v>5.0239516893098426E-2</v>
      </c>
      <c r="N52" s="10">
        <f>L52+'[1]2025 Ιούνιος'!N85</f>
        <v>340.43</v>
      </c>
      <c r="O52" s="15">
        <f ca="1">N52/$N$84</f>
        <v>4.0982580326724234E-3</v>
      </c>
      <c r="P52" s="27"/>
      <c r="Q52" s="28" t="e">
        <f ca="1">SUM(D52:P52)</f>
        <v>#DIV/0!</v>
      </c>
    </row>
    <row r="53" spans="1:17" ht="36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2'!J42</f>
        <v>0</v>
      </c>
      <c r="E53" s="15" t="e">
        <f ca="1">D53/$D$84</f>
        <v>#DIV/0!</v>
      </c>
      <c r="F53" s="79">
        <f>'[1]2025 Ιούνιος'!F86+'[1]2025 Ιούλιος'!D86</f>
        <v>1913.23</v>
      </c>
      <c r="G53" s="15" t="e">
        <f>F53/$F$84</f>
        <v>#VALUE!</v>
      </c>
      <c r="H53" s="14"/>
      <c r="I53" s="26" t="e">
        <f ca="1">H53/$H$84</f>
        <v>#DIV/0!</v>
      </c>
      <c r="J53" s="27"/>
      <c r="K53" s="27" t="e">
        <f ca="1">J53/$J$84</f>
        <v>#DIV/0!</v>
      </c>
      <c r="L53" s="79">
        <f>'[1]2024_60-69 ΕΞΟΔΑ+ΟΜ 2'!J40</f>
        <v>175.29</v>
      </c>
      <c r="M53" s="15">
        <f ca="1">L53/$L$84</f>
        <v>2.5868709914494092E-2</v>
      </c>
      <c r="N53" s="10">
        <f>L53+'[1]2025 Ιούνιος'!N86</f>
        <v>2178.65</v>
      </c>
      <c r="O53" s="15">
        <f ca="1">N53/$N$84</f>
        <v>2.622762348465698E-2</v>
      </c>
      <c r="P53" s="27"/>
      <c r="Q53" s="28" t="e">
        <f ca="1">SUM(D53:P53)</f>
        <v>#DIV/0!</v>
      </c>
    </row>
    <row r="54" spans="1:17" ht="23.25" customHeight="1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2'!J10</f>
        <v>0</v>
      </c>
      <c r="E54" s="15">
        <f t="shared" si="8"/>
        <v>0</v>
      </c>
      <c r="F54" s="10">
        <f>D54+'[1]2025 Ιούνιος'!F50</f>
        <v>3032.88</v>
      </c>
      <c r="G54" s="15">
        <f t="shared" si="9"/>
        <v>5.6949329952950068E-3</v>
      </c>
      <c r="H54" s="14"/>
      <c r="I54" s="16" t="e">
        <f t="shared" si="10"/>
        <v>#DIV/0!</v>
      </c>
      <c r="J54" s="10">
        <f t="shared" si="15"/>
        <v>0</v>
      </c>
      <c r="K54" s="17" t="e">
        <f t="shared" si="11"/>
        <v>#DIV/0!</v>
      </c>
      <c r="L54" s="14">
        <f>'[1]2024_60-69 ΕΞΟΔΑ+ΟΜ 2'!J10</f>
        <v>9331.11</v>
      </c>
      <c r="M54" s="15">
        <f t="shared" si="12"/>
        <v>0.17457430358657941</v>
      </c>
      <c r="N54" s="10">
        <f>L54+'[1]2025 Ιούνιος'!N50</f>
        <v>13990.34</v>
      </c>
      <c r="O54" s="15">
        <f t="shared" si="13"/>
        <v>2.1024078946139727E-2</v>
      </c>
      <c r="P54" s="10"/>
      <c r="Q54" s="15">
        <f t="shared" si="14"/>
        <v>4.6128893988552138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2'!J11</f>
        <v>0</v>
      </c>
      <c r="E55" s="15">
        <f t="shared" si="8"/>
        <v>0</v>
      </c>
      <c r="F55" s="10">
        <f>D55+'[1]2025 Ιούνιος'!F51</f>
        <v>47267</v>
      </c>
      <c r="G55" s="15">
        <f t="shared" si="9"/>
        <v>8.87547142942052E-2</v>
      </c>
      <c r="H55" s="14"/>
      <c r="I55" s="16" t="e">
        <f t="shared" si="10"/>
        <v>#DIV/0!</v>
      </c>
      <c r="J55" s="10">
        <f t="shared" si="15"/>
        <v>0</v>
      </c>
      <c r="K55" s="17" t="e">
        <f t="shared" si="11"/>
        <v>#DIV/0!</v>
      </c>
      <c r="L55" s="14">
        <f>'[1]2024_60-69 ΕΞΟΔΑ+ΟΜ 2'!J11</f>
        <v>0</v>
      </c>
      <c r="M55" s="15">
        <f t="shared" si="12"/>
        <v>0</v>
      </c>
      <c r="N55" s="10">
        <f>L55+'[1]2025 Ιούνιος'!N51</f>
        <v>55889.96</v>
      </c>
      <c r="O55" s="15">
        <f t="shared" si="13"/>
        <v>8.3989018947115746E-2</v>
      </c>
      <c r="P55" s="10"/>
      <c r="Q55" s="15">
        <f t="shared" si="14"/>
        <v>1.1824308714325005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2'!J12</f>
        <v>0</v>
      </c>
      <c r="E56" s="15">
        <f t="shared" si="8"/>
        <v>0</v>
      </c>
      <c r="F56" s="10">
        <f>D56+'[1]2025 Ιούνιος'!F52</f>
        <v>0</v>
      </c>
      <c r="G56" s="15">
        <f t="shared" si="9"/>
        <v>0</v>
      </c>
      <c r="H56" s="14"/>
      <c r="I56" s="16" t="e">
        <f t="shared" si="10"/>
        <v>#DIV/0!</v>
      </c>
      <c r="J56" s="10">
        <f t="shared" si="15"/>
        <v>0</v>
      </c>
      <c r="K56" s="17" t="e">
        <f t="shared" si="11"/>
        <v>#DIV/0!</v>
      </c>
      <c r="L56" s="14">
        <f>'[1]2024_60-69 ΕΞΟΔΑ+ΟΜ 2'!J12</f>
        <v>328.35</v>
      </c>
      <c r="M56" s="15">
        <f t="shared" si="12"/>
        <v>6.143049710340286E-3</v>
      </c>
      <c r="N56" s="10">
        <f>L56+'[1]2025 Ιούνιος'!N52</f>
        <v>328.35</v>
      </c>
      <c r="O56" s="15">
        <f t="shared" si="13"/>
        <v>4.9343020412405837E-4</v>
      </c>
      <c r="P56" s="10"/>
      <c r="Q56" s="15" t="e">
        <f t="shared" si="14"/>
        <v>#DIV/0!</v>
      </c>
    </row>
    <row r="57" spans="1:17" ht="15" customHeight="1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2'!J13</f>
        <v>0</v>
      </c>
      <c r="E57" s="15">
        <f t="shared" si="8"/>
        <v>0</v>
      </c>
      <c r="F57" s="10">
        <f>D57+'[1]2025 Ιούνιος'!F53</f>
        <v>1664.65</v>
      </c>
      <c r="G57" s="15">
        <f t="shared" si="9"/>
        <v>3.1257650189317854E-3</v>
      </c>
      <c r="H57" s="14"/>
      <c r="I57" s="16" t="e">
        <f t="shared" si="10"/>
        <v>#DIV/0!</v>
      </c>
      <c r="J57" s="10">
        <f t="shared" si="15"/>
        <v>0</v>
      </c>
      <c r="K57" s="17" t="e">
        <f t="shared" si="11"/>
        <v>#DIV/0!</v>
      </c>
      <c r="L57" s="14">
        <f>'[1]2024_60-69 ΕΞΟΔΑ+ΟΜ 2'!J13</f>
        <v>124.79</v>
      </c>
      <c r="M57" s="15">
        <f t="shared" si="12"/>
        <v>2.3346769403178448E-3</v>
      </c>
      <c r="N57" s="10">
        <f>L57+'[1]2025 Ιούνιος'!N53</f>
        <v>2098.9100000000003</v>
      </c>
      <c r="O57" s="15">
        <f t="shared" si="13"/>
        <v>3.154151331621829E-3</v>
      </c>
      <c r="P57" s="10"/>
      <c r="Q57" s="15">
        <f t="shared" si="14"/>
        <v>1.2608716547021899</v>
      </c>
    </row>
    <row r="58" spans="1:17" ht="15" customHeight="1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2'!J14</f>
        <v>0</v>
      </c>
      <c r="E58" s="15">
        <f t="shared" si="8"/>
        <v>0</v>
      </c>
      <c r="F58" s="10">
        <f>D58+'[1]2025 Ιούνιος'!F54</f>
        <v>2427.5</v>
      </c>
      <c r="G58" s="15">
        <f t="shared" si="9"/>
        <v>4.55819216259088E-3</v>
      </c>
      <c r="H58" s="14"/>
      <c r="I58" s="16" t="e">
        <f t="shared" si="10"/>
        <v>#DIV/0!</v>
      </c>
      <c r="J58" s="10">
        <f t="shared" si="15"/>
        <v>0</v>
      </c>
      <c r="K58" s="17" t="e">
        <f t="shared" si="11"/>
        <v>#DIV/0!</v>
      </c>
      <c r="L58" s="14">
        <f>'[1]2024_60-69 ΕΞΟΔΑ+ΟΜ 2'!J14</f>
        <v>1191.81</v>
      </c>
      <c r="M58" s="15">
        <f t="shared" si="12"/>
        <v>2.2297390209473598E-2</v>
      </c>
      <c r="N58" s="10">
        <f>L58+'[1]2025 Ιούνιος'!N54</f>
        <v>4979.8700000000008</v>
      </c>
      <c r="O58" s="15">
        <f t="shared" si="13"/>
        <v>7.483533639748058E-3</v>
      </c>
      <c r="P58" s="10"/>
      <c r="Q58" s="15">
        <f t="shared" si="14"/>
        <v>2.051439752832132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2'!J15</f>
        <v>0</v>
      </c>
      <c r="E59" s="15">
        <f t="shared" si="8"/>
        <v>0</v>
      </c>
      <c r="F59" s="10">
        <f>D59+'[1]2025 Ιούνιος'!F55</f>
        <v>3383.5</v>
      </c>
      <c r="G59" s="15">
        <f t="shared" si="9"/>
        <v>6.3533030616379988E-3</v>
      </c>
      <c r="H59" s="14"/>
      <c r="I59" s="16" t="e">
        <f t="shared" si="10"/>
        <v>#DIV/0!</v>
      </c>
      <c r="J59" s="10">
        <f t="shared" si="15"/>
        <v>0</v>
      </c>
      <c r="K59" s="17" t="e">
        <f t="shared" si="11"/>
        <v>#DIV/0!</v>
      </c>
      <c r="L59" s="14">
        <f>'[1]2024_60-69 ΕΞΟΔΑ+ΟΜ 2'!J15</f>
        <v>0</v>
      </c>
      <c r="M59" s="15">
        <f t="shared" si="12"/>
        <v>0</v>
      </c>
      <c r="N59" s="10">
        <f>L59+'[1]2025 Ιούνιος'!N55</f>
        <v>3190.2089999999998</v>
      </c>
      <c r="O59" s="15">
        <f t="shared" si="13"/>
        <v>4.7941083540990045E-3</v>
      </c>
      <c r="P59" s="10"/>
      <c r="Q59" s="15">
        <f t="shared" si="14"/>
        <v>0.94287246933648583</v>
      </c>
    </row>
    <row r="60" spans="1:17" ht="15" customHeight="1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2'!J16</f>
        <v>0</v>
      </c>
      <c r="E60" s="15">
        <f t="shared" si="8"/>
        <v>0</v>
      </c>
      <c r="F60" s="10">
        <f>D60+'[1]2025 Ιούνιος'!F56</f>
        <v>1079.08</v>
      </c>
      <c r="G60" s="15">
        <f t="shared" si="9"/>
        <v>2.0262220386441055E-3</v>
      </c>
      <c r="H60" s="14"/>
      <c r="I60" s="16" t="e">
        <f t="shared" si="10"/>
        <v>#DIV/0!</v>
      </c>
      <c r="J60" s="10"/>
      <c r="K60" s="17" t="e">
        <f t="shared" si="11"/>
        <v>#DIV/0!</v>
      </c>
      <c r="L60" s="14">
        <f>'[1]2024_60-69 ΕΞΟΔΑ+ΟΜ 2'!J16</f>
        <v>360.39</v>
      </c>
      <c r="M60" s="15">
        <f t="shared" si="12"/>
        <v>6.7424811484986611E-3</v>
      </c>
      <c r="N60" s="10">
        <f>L60+'[1]2025 Ιούνιος'!N56</f>
        <v>360.39</v>
      </c>
      <c r="O60" s="15">
        <f t="shared" si="13"/>
        <v>5.4157853285905096E-4</v>
      </c>
      <c r="P60" s="10"/>
      <c r="Q60" s="15">
        <f t="shared" si="14"/>
        <v>0.33397894502724546</v>
      </c>
    </row>
    <row r="61" spans="1:17" ht="42.75" customHeight="1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2'!J17</f>
        <v>0</v>
      </c>
      <c r="E61" s="15">
        <f t="shared" si="8"/>
        <v>0</v>
      </c>
      <c r="F61" s="10">
        <f>D61+'[1]2025 Ιούνιος'!F57</f>
        <v>1678.29</v>
      </c>
      <c r="G61" s="15">
        <f t="shared" si="9"/>
        <v>3.1513772706713277E-3</v>
      </c>
      <c r="H61" s="14"/>
      <c r="I61" s="16" t="e">
        <f t="shared" si="10"/>
        <v>#DIV/0!</v>
      </c>
      <c r="J61" s="10">
        <f t="shared" si="15"/>
        <v>0</v>
      </c>
      <c r="K61" s="17" t="e">
        <f t="shared" si="11"/>
        <v>#DIV/0!</v>
      </c>
      <c r="L61" s="14">
        <f>'[1]2024_60-69 ΕΞΟΔΑ+ΟΜ 2'!J17</f>
        <v>78.58</v>
      </c>
      <c r="M61" s="15">
        <f t="shared" si="12"/>
        <v>1.4701411488915476E-3</v>
      </c>
      <c r="N61" s="10">
        <f>L61+'[1]2025 Ιούνιος'!N57</f>
        <v>1911.5900000000001</v>
      </c>
      <c r="O61" s="15">
        <f t="shared" si="13"/>
        <v>2.8726549228003922E-3</v>
      </c>
      <c r="P61" s="10"/>
      <c r="Q61" s="15">
        <f t="shared" si="14"/>
        <v>1.1390105404906186</v>
      </c>
    </row>
    <row r="62" spans="1:17" ht="42.75" customHeight="1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2'!J18</f>
        <v>0</v>
      </c>
      <c r="E62" s="15">
        <f t="shared" si="8"/>
        <v>0</v>
      </c>
      <c r="F62" s="10">
        <f>D62+'[1]2025 Ιούνιος'!F58</f>
        <v>287.06</v>
      </c>
      <c r="G62" s="15">
        <f t="shared" si="9"/>
        <v>5.3902147979128243E-4</v>
      </c>
      <c r="H62" s="14"/>
      <c r="I62" s="16" t="e">
        <f t="shared" si="10"/>
        <v>#DIV/0!</v>
      </c>
      <c r="J62" s="10">
        <f t="shared" si="15"/>
        <v>0</v>
      </c>
      <c r="K62" s="17" t="e">
        <f t="shared" si="11"/>
        <v>#DIV/0!</v>
      </c>
      <c r="L62" s="14">
        <f>'[1]2024_60-69 ΕΞΟΔΑ+ΟΜ 2'!J18</f>
        <v>0</v>
      </c>
      <c r="M62" s="15">
        <f t="shared" si="12"/>
        <v>0</v>
      </c>
      <c r="N62" s="10">
        <f>L62+'[1]2025 Ιούνιος'!N58</f>
        <v>240.42000000000004</v>
      </c>
      <c r="O62" s="15">
        <f t="shared" si="13"/>
        <v>3.6129279633167696E-4</v>
      </c>
      <c r="P62" s="10"/>
      <c r="Q62" s="15">
        <f t="shared" si="14"/>
        <v>0.83752525604403272</v>
      </c>
    </row>
    <row r="63" spans="1:17" ht="15" customHeight="1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2'!J19</f>
        <v>0</v>
      </c>
      <c r="E63" s="15">
        <f t="shared" si="8"/>
        <v>0</v>
      </c>
      <c r="F63" s="10">
        <f>D63+'[1]2025 Ιούνιος'!F59</f>
        <v>3780.7</v>
      </c>
      <c r="G63" s="15">
        <f t="shared" si="9"/>
        <v>7.0991378410328893E-3</v>
      </c>
      <c r="H63" s="14"/>
      <c r="I63" s="16" t="e">
        <f t="shared" si="10"/>
        <v>#DIV/0!</v>
      </c>
      <c r="J63" s="10">
        <f t="shared" si="15"/>
        <v>0</v>
      </c>
      <c r="K63" s="17" t="e">
        <f t="shared" si="11"/>
        <v>#DIV/0!</v>
      </c>
      <c r="L63" s="14">
        <f>'[1]2024_60-69 ΕΞΟΔΑ+ΟΜ 2'!J19</f>
        <v>101.18000000000029</v>
      </c>
      <c r="M63" s="15">
        <f t="shared" si="12"/>
        <v>1.8929610771805448E-3</v>
      </c>
      <c r="N63" s="10">
        <f>L63+'[1]2025 Ιούνιος'!N59</f>
        <v>1160.8700000000003</v>
      </c>
      <c r="O63" s="15">
        <f t="shared" si="13"/>
        <v>1.7445053176838611E-3</v>
      </c>
      <c r="P63" s="10"/>
      <c r="Q63" s="15">
        <f t="shared" si="14"/>
        <v>0.30705160420028049</v>
      </c>
    </row>
    <row r="64" spans="1:17" ht="42.75" customHeight="1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2'!J20</f>
        <v>0</v>
      </c>
      <c r="E64" s="15">
        <f t="shared" si="8"/>
        <v>0</v>
      </c>
      <c r="F64" s="10">
        <f>D64+'[1]2025 Ιούνιος'!F60</f>
        <v>363.25000000000006</v>
      </c>
      <c r="G64" s="15">
        <f t="shared" si="9"/>
        <v>6.8208580970592679E-4</v>
      </c>
      <c r="H64" s="14"/>
      <c r="I64" s="16" t="e">
        <f t="shared" si="10"/>
        <v>#DIV/0!</v>
      </c>
      <c r="J64" s="10">
        <f t="shared" si="15"/>
        <v>0</v>
      </c>
      <c r="K64" s="17" t="e">
        <f t="shared" si="11"/>
        <v>#DIV/0!</v>
      </c>
      <c r="L64" s="14">
        <f>'[1]2024_60-69 ΕΞΟΔΑ+ΟΜ 2'!J20</f>
        <v>0</v>
      </c>
      <c r="M64" s="15">
        <f t="shared" si="12"/>
        <v>0</v>
      </c>
      <c r="N64" s="10">
        <f>L64+'[1]2025 Ιούνιος'!N60</f>
        <v>907.85999999999967</v>
      </c>
      <c r="O64" s="15">
        <f t="shared" si="13"/>
        <v>1.3642928129010735E-3</v>
      </c>
      <c r="P64" s="10"/>
      <c r="Q64" s="15">
        <f t="shared" si="14"/>
        <v>2.4992704748795584</v>
      </c>
    </row>
    <row r="65" spans="1:17" ht="28.5" customHeight="1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2'!J21</f>
        <v>0</v>
      </c>
      <c r="E65" s="15">
        <f t="shared" si="8"/>
        <v>0</v>
      </c>
      <c r="F65" s="10">
        <f>D65+'[1]2025 Ιούνιος'!F61</f>
        <v>0</v>
      </c>
      <c r="G65" s="15">
        <f t="shared" si="9"/>
        <v>0</v>
      </c>
      <c r="H65" s="14"/>
      <c r="I65" s="16" t="e">
        <f t="shared" si="10"/>
        <v>#DIV/0!</v>
      </c>
      <c r="J65" s="10">
        <f t="shared" si="15"/>
        <v>0</v>
      </c>
      <c r="K65" s="17" t="e">
        <f t="shared" si="11"/>
        <v>#DIV/0!</v>
      </c>
      <c r="L65" s="14">
        <f>'[1]2024_60-69 ΕΞΟΔΑ+ΟΜ 2'!J21</f>
        <v>0</v>
      </c>
      <c r="M65" s="15">
        <f t="shared" si="12"/>
        <v>0</v>
      </c>
      <c r="N65" s="10">
        <f>L65+'[1]2025 Ιούνιος'!N61</f>
        <v>0</v>
      </c>
      <c r="O65" s="15">
        <f t="shared" si="13"/>
        <v>0</v>
      </c>
      <c r="P65" s="10"/>
      <c r="Q65" s="15" t="e">
        <f t="shared" si="14"/>
        <v>#DIV/0!</v>
      </c>
    </row>
    <row r="66" spans="1:17" ht="15" customHeight="1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2'!J22</f>
        <v>0</v>
      </c>
      <c r="E66" s="15">
        <f t="shared" si="8"/>
        <v>0</v>
      </c>
      <c r="F66" s="10">
        <f>D66+'[1]2025 Ιούνιος'!F62</f>
        <v>0</v>
      </c>
      <c r="G66" s="15">
        <f t="shared" si="9"/>
        <v>0</v>
      </c>
      <c r="H66" s="14"/>
      <c r="I66" s="16" t="e">
        <f t="shared" si="10"/>
        <v>#DIV/0!</v>
      </c>
      <c r="J66" s="10">
        <f t="shared" si="15"/>
        <v>0</v>
      </c>
      <c r="K66" s="17" t="e">
        <f t="shared" si="11"/>
        <v>#DIV/0!</v>
      </c>
      <c r="L66" s="14">
        <f>'[1]2024_60-69 ΕΞΟΔΑ+ΟΜ 2'!J22</f>
        <v>0</v>
      </c>
      <c r="M66" s="15">
        <f t="shared" si="12"/>
        <v>0</v>
      </c>
      <c r="N66" s="10">
        <f>L66+'[1]2025 Ιούνιος'!N62</f>
        <v>17.98</v>
      </c>
      <c r="O66" s="15">
        <f t="shared" si="13"/>
        <v>2.7019567748288626E-5</v>
      </c>
      <c r="P66" s="10"/>
      <c r="Q66" s="15" t="e">
        <f t="shared" si="14"/>
        <v>#DIV/0!</v>
      </c>
    </row>
    <row r="67" spans="1:17" ht="22.5" customHeight="1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2'!J23</f>
        <v>0</v>
      </c>
      <c r="E67" s="15">
        <f t="shared" si="8"/>
        <v>0</v>
      </c>
      <c r="F67" s="10">
        <f>D67+'[1]2025 Ιούνιος'!F63</f>
        <v>0</v>
      </c>
      <c r="G67" s="15">
        <f t="shared" si="9"/>
        <v>0</v>
      </c>
      <c r="H67" s="14"/>
      <c r="I67" s="16" t="e">
        <f t="shared" si="10"/>
        <v>#DIV/0!</v>
      </c>
      <c r="J67" s="10">
        <f t="shared" si="15"/>
        <v>0</v>
      </c>
      <c r="K67" s="17" t="e">
        <f t="shared" si="11"/>
        <v>#DIV/0!</v>
      </c>
      <c r="L67" s="14">
        <f>'[1]2024_60-69 ΕΞΟΔΑ+ΟΜ 2'!J23</f>
        <v>0</v>
      </c>
      <c r="M67" s="15">
        <f t="shared" si="12"/>
        <v>0</v>
      </c>
      <c r="N67" s="10">
        <f>L67+'[1]2025 Ιούνιος'!N63</f>
        <v>101.1</v>
      </c>
      <c r="O67" s="15">
        <f t="shared" si="13"/>
        <v>1.5192871520311343E-4</v>
      </c>
      <c r="P67" s="10"/>
      <c r="Q67" s="15" t="e">
        <f t="shared" si="14"/>
        <v>#DIV/0!</v>
      </c>
    </row>
    <row r="68" spans="1:17" ht="36" customHeight="1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2'!J24</f>
        <v>0</v>
      </c>
      <c r="E68" s="15">
        <f t="shared" si="8"/>
        <v>0</v>
      </c>
      <c r="F68" s="10">
        <f>D68+'[1]2025 Ιούνιος'!F64</f>
        <v>188.71</v>
      </c>
      <c r="G68" s="15">
        <f t="shared" si="9"/>
        <v>3.5434662945521111E-4</v>
      </c>
      <c r="H68" s="14"/>
      <c r="I68" s="16" t="e">
        <f t="shared" si="10"/>
        <v>#DIV/0!</v>
      </c>
      <c r="J68" s="10">
        <f t="shared" si="15"/>
        <v>0</v>
      </c>
      <c r="K68" s="17" t="e">
        <f t="shared" si="11"/>
        <v>#DIV/0!</v>
      </c>
      <c r="L68" s="14">
        <f>'[1]2024_60-69 ΕΞΟΔΑ+ΟΜ 2'!J24</f>
        <v>10004.91</v>
      </c>
      <c r="M68" s="15">
        <f t="shared" si="12"/>
        <v>0.18718032428043438</v>
      </c>
      <c r="N68" s="10">
        <f>L68+'[1]2025 Ιούνιος'!N64</f>
        <v>10467.39</v>
      </c>
      <c r="O68" s="15">
        <f t="shared" si="13"/>
        <v>1.5729941782689591E-2</v>
      </c>
      <c r="P68" s="10"/>
      <c r="Q68" s="15">
        <f t="shared" si="14"/>
        <v>55.468125695511624</v>
      </c>
    </row>
    <row r="69" spans="1:17" ht="36" customHeight="1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2'!J25</f>
        <v>0</v>
      </c>
      <c r="E69" s="15">
        <f t="shared" si="8"/>
        <v>0</v>
      </c>
      <c r="F69" s="10">
        <f>D69+'[1]2025 Ιούνιος'!F65</f>
        <v>36346.14</v>
      </c>
      <c r="G69" s="15">
        <f t="shared" si="9"/>
        <v>6.8248276205326835E-2</v>
      </c>
      <c r="H69" s="14"/>
      <c r="I69" s="16" t="e">
        <f t="shared" si="10"/>
        <v>#DIV/0!</v>
      </c>
      <c r="J69" s="10">
        <f t="shared" si="15"/>
        <v>0</v>
      </c>
      <c r="K69" s="17" t="e">
        <f t="shared" si="11"/>
        <v>#DIV/0!</v>
      </c>
      <c r="L69" s="14">
        <f>'[1]2024_60-69 ΕΞΟΔΑ+ΟΜ 2'!J25</f>
        <v>398.4</v>
      </c>
      <c r="M69" s="15">
        <f t="shared" si="12"/>
        <v>7.4536043995723153E-3</v>
      </c>
      <c r="N69" s="10">
        <f>L69+'[1]2025 Ιούνιος'!N65</f>
        <v>43375.57</v>
      </c>
      <c r="O69" s="15">
        <f t="shared" si="13"/>
        <v>6.5182933939690518E-2</v>
      </c>
      <c r="P69" s="10"/>
      <c r="Q69" s="15">
        <f t="shared" si="14"/>
        <v>1.1934023805554042</v>
      </c>
    </row>
    <row r="70" spans="1:17" ht="36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2'!J26</f>
        <v>0</v>
      </c>
      <c r="E70" s="15">
        <f t="shared" si="8"/>
        <v>0</v>
      </c>
      <c r="F70" s="10">
        <f>D70+'[1]2025 Ιούνιος'!F66</f>
        <v>2900.09</v>
      </c>
      <c r="G70" s="15">
        <f t="shared" si="9"/>
        <v>5.4455890870476562E-3</v>
      </c>
      <c r="H70" s="14"/>
      <c r="I70" s="16" t="e">
        <f t="shared" si="10"/>
        <v>#DIV/0!</v>
      </c>
      <c r="J70" s="10">
        <f t="shared" si="15"/>
        <v>0</v>
      </c>
      <c r="K70" s="17" t="e">
        <f t="shared" si="11"/>
        <v>#DIV/0!</v>
      </c>
      <c r="L70" s="14">
        <f>'[1]2024_60-69 ΕΞΟΔΑ+ΟΜ 2'!J26</f>
        <v>88.5</v>
      </c>
      <c r="M70" s="15">
        <f t="shared" si="12"/>
        <v>1.6557329050254767E-3</v>
      </c>
      <c r="N70" s="10">
        <f>L70+'[1]2025 Ιούνιος'!N66</f>
        <v>442.48</v>
      </c>
      <c r="O70" s="15">
        <f t="shared" si="13"/>
        <v>6.6493984078213296E-4</v>
      </c>
      <c r="P70" s="10"/>
      <c r="Q70" s="15">
        <f t="shared" si="14"/>
        <v>0.1525745752718019</v>
      </c>
    </row>
    <row r="71" spans="1:17" ht="15.75" customHeight="1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2'!J27</f>
        <v>0</v>
      </c>
      <c r="E71" s="15">
        <f t="shared" si="8"/>
        <v>0</v>
      </c>
      <c r="F71" s="10">
        <f>D71+'[1]2025 Ιούνιος'!F67</f>
        <v>0</v>
      </c>
      <c r="G71" s="15">
        <f t="shared" si="9"/>
        <v>0</v>
      </c>
      <c r="H71" s="14"/>
      <c r="I71" s="16" t="e">
        <f t="shared" si="10"/>
        <v>#DIV/0!</v>
      </c>
      <c r="J71" s="10">
        <f t="shared" si="15"/>
        <v>0</v>
      </c>
      <c r="K71" s="17" t="e">
        <f t="shared" si="11"/>
        <v>#DIV/0!</v>
      </c>
      <c r="L71" s="14">
        <f>'[1]2024_60-69 ΕΞΟΔΑ+ΟΜ 2'!J27</f>
        <v>0</v>
      </c>
      <c r="M71" s="15">
        <f t="shared" si="12"/>
        <v>0</v>
      </c>
      <c r="N71" s="10">
        <f>L71+'[1]2025 Ιούνιος'!N67</f>
        <v>140</v>
      </c>
      <c r="O71" s="15">
        <f t="shared" si="13"/>
        <v>2.1038595577087916E-4</v>
      </c>
      <c r="P71" s="10"/>
      <c r="Q71" s="15" t="e">
        <f t="shared" si="14"/>
        <v>#DIV/0!</v>
      </c>
    </row>
    <row r="72" spans="1:17" ht="27.7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2'!J28</f>
        <v>0</v>
      </c>
      <c r="E72" s="15">
        <f t="shared" si="8"/>
        <v>0</v>
      </c>
      <c r="F72" s="10">
        <f>D72+'[1]2025 Ιούνιος'!F68</f>
        <v>399.06</v>
      </c>
      <c r="G72" s="15">
        <f t="shared" si="9"/>
        <v>7.493273591775558E-4</v>
      </c>
      <c r="H72" s="14"/>
      <c r="I72" s="16" t="e">
        <f t="shared" si="10"/>
        <v>#DIV/0!</v>
      </c>
      <c r="J72" s="10">
        <f t="shared" si="15"/>
        <v>0</v>
      </c>
      <c r="K72" s="17" t="e">
        <f t="shared" si="11"/>
        <v>#DIV/0!</v>
      </c>
      <c r="L72" s="14">
        <f>'[1]2024_60-69 ΕΞΟΔΑ+ΟΜ 2'!J28</f>
        <v>1975.94</v>
      </c>
      <c r="M72" s="15">
        <f t="shared" si="12"/>
        <v>3.6967557924927015E-2</v>
      </c>
      <c r="N72" s="10">
        <f>L72+'[1]2025 Ιούνιος'!N68</f>
        <v>1975.94</v>
      </c>
      <c r="O72" s="15">
        <f t="shared" si="13"/>
        <v>2.9693573246136499E-3</v>
      </c>
      <c r="P72" s="10"/>
      <c r="Q72" s="15">
        <f t="shared" si="14"/>
        <v>4.9514859920813912</v>
      </c>
    </row>
    <row r="73" spans="1:17" ht="78.75" customHeight="1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2'!J29</f>
        <v>0</v>
      </c>
      <c r="E73" s="15">
        <f t="shared" si="8"/>
        <v>0</v>
      </c>
      <c r="F73" s="10">
        <f>D73+'[1]2025 Ιούνιος'!F69</f>
        <v>5994.46</v>
      </c>
      <c r="G73" s="15">
        <f t="shared" si="9"/>
        <v>1.1255983765587858E-2</v>
      </c>
      <c r="H73" s="14"/>
      <c r="I73" s="16" t="e">
        <f t="shared" si="10"/>
        <v>#DIV/0!</v>
      </c>
      <c r="J73" s="10">
        <f t="shared" si="15"/>
        <v>0</v>
      </c>
      <c r="K73" s="17" t="e">
        <f t="shared" si="11"/>
        <v>#DIV/0!</v>
      </c>
      <c r="L73" s="14">
        <f>'[1]2024_60-69 ΕΞΟΔΑ+ΟΜ 2'!J29</f>
        <v>0</v>
      </c>
      <c r="M73" s="15">
        <f t="shared" si="12"/>
        <v>0</v>
      </c>
      <c r="N73" s="10">
        <f>L73+'[1]2025 Ιούνιος'!N69</f>
        <v>9147.6799999999985</v>
      </c>
      <c r="O73" s="15">
        <f t="shared" si="13"/>
        <v>1.3746738570615397E-2</v>
      </c>
      <c r="P73" s="10"/>
      <c r="Q73" s="15">
        <f t="shared" si="14"/>
        <v>1.5260223606463299</v>
      </c>
    </row>
    <row r="74" spans="1:17" ht="30" customHeight="1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v>0</v>
      </c>
      <c r="E74" s="15">
        <f t="shared" si="8"/>
        <v>0</v>
      </c>
      <c r="F74" s="10">
        <f>D74+'[1]2025 Ιούνιος'!F70</f>
        <v>1811.8300000000002</v>
      </c>
      <c r="G74" s="15">
        <f t="shared" si="9"/>
        <v>3.4021294772181398E-3</v>
      </c>
      <c r="H74" s="14"/>
      <c r="I74" s="16" t="e">
        <f t="shared" si="10"/>
        <v>#DIV/0!</v>
      </c>
      <c r="J74" s="10">
        <f t="shared" si="15"/>
        <v>0</v>
      </c>
      <c r="K74" s="17" t="e">
        <f t="shared" si="11"/>
        <v>#DIV/0!</v>
      </c>
      <c r="L74" s="14">
        <f>'[1]2024_60-69 ΕΞΟΔΑ+ΟΜ 2'!J30</f>
        <v>383.32</v>
      </c>
      <c r="M74" s="15">
        <f t="shared" si="12"/>
        <v>7.1714749960945278E-3</v>
      </c>
      <c r="N74" s="10">
        <f>L74+'[1]2025 Ιούνιος'!N70</f>
        <v>4735.5</v>
      </c>
      <c r="O74" s="15">
        <f t="shared" si="13"/>
        <v>7.116304953949988E-3</v>
      </c>
      <c r="P74" s="10"/>
      <c r="Q74" s="15">
        <f t="shared" si="14"/>
        <v>2.6136558065602178</v>
      </c>
    </row>
    <row r="75" spans="1:17" ht="33.75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2'!J31</f>
        <v>7839.9766666666674</v>
      </c>
      <c r="E75" s="15">
        <f t="shared" si="8"/>
        <v>1</v>
      </c>
      <c r="F75" s="10">
        <f>D75+'[1]2025 Ιούνιος'!F71</f>
        <v>7839.9766666666674</v>
      </c>
      <c r="G75" s="15" t="e">
        <f t="shared" ref="G75:G77" si="16">F75/$D$39</f>
        <v>#DIV/0!</v>
      </c>
      <c r="H75" s="14"/>
      <c r="I75" s="16" t="e">
        <f t="shared" si="10"/>
        <v>#DIV/0!</v>
      </c>
      <c r="J75" s="10">
        <f t="shared" si="15"/>
        <v>0</v>
      </c>
      <c r="K75" s="17" t="e">
        <f t="shared" si="11"/>
        <v>#DIV/0!</v>
      </c>
      <c r="L75" s="14">
        <f>'[1]2024_60-69 ΕΞΟΔΑ+ΟΜ 2'!J31</f>
        <v>7839.98</v>
      </c>
      <c r="M75" s="15">
        <f t="shared" si="12"/>
        <v>0.14667698147730662</v>
      </c>
      <c r="N75" s="10">
        <f>L75+'[1]2025 Ιούνιος'!N71</f>
        <v>9196.01</v>
      </c>
      <c r="O75" s="15">
        <f t="shared" si="13"/>
        <v>1.3819366808061161E-2</v>
      </c>
      <c r="P75" s="10"/>
      <c r="Q75" s="15">
        <f t="shared" si="14"/>
        <v>1.1729639501478106</v>
      </c>
    </row>
    <row r="76" spans="1:17" ht="28.5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2'!J32</f>
        <v>0</v>
      </c>
      <c r="E76" s="15">
        <f t="shared" si="8"/>
        <v>0</v>
      </c>
      <c r="F76" s="10">
        <f>D76+'[1]2025 Ιούνιος'!F72</f>
        <v>47039.860000000008</v>
      </c>
      <c r="G76" s="15" t="e">
        <f t="shared" si="16"/>
        <v>#DIV/0!</v>
      </c>
      <c r="H76" s="14"/>
      <c r="I76" s="16" t="e">
        <f t="shared" si="10"/>
        <v>#DIV/0!</v>
      </c>
      <c r="J76" s="10">
        <f t="shared" si="15"/>
        <v>0</v>
      </c>
      <c r="K76" s="17" t="e">
        <f t="shared" si="11"/>
        <v>#DIV/0!</v>
      </c>
      <c r="L76" s="14">
        <f>'[1]2024_60-69 ΕΞΟΔΑ+ΟΜ 2'!J32</f>
        <v>3442.24</v>
      </c>
      <c r="M76" s="15">
        <f t="shared" si="12"/>
        <v>6.4400339378473406E-2</v>
      </c>
      <c r="N76" s="10">
        <f>L76+'[1]2025 Ιούνιος'!N72</f>
        <v>50482.119999999988</v>
      </c>
      <c r="O76" s="15">
        <f t="shared" si="13"/>
        <v>7.5862350468144366E-2</v>
      </c>
      <c r="P76" s="10"/>
      <c r="Q76" s="15">
        <f t="shared" si="14"/>
        <v>1.0731775137085864</v>
      </c>
    </row>
    <row r="77" spans="1:17" ht="28.5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2'!J33</f>
        <v>0</v>
      </c>
      <c r="E77" s="15">
        <f t="shared" si="8"/>
        <v>0</v>
      </c>
      <c r="F77" s="10">
        <f>D77+'[1]2025 Ιούνιος'!F73</f>
        <v>5806.2300000000005</v>
      </c>
      <c r="G77" s="15" t="e">
        <f t="shared" si="16"/>
        <v>#DIV/0!</v>
      </c>
      <c r="H77" s="14"/>
      <c r="I77" s="16" t="e">
        <f t="shared" si="10"/>
        <v>#DIV/0!</v>
      </c>
      <c r="J77" s="10">
        <f t="shared" si="15"/>
        <v>0</v>
      </c>
      <c r="K77" s="17" t="e">
        <f t="shared" si="11"/>
        <v>#DIV/0!</v>
      </c>
      <c r="L77" s="14">
        <f>'[1]2024_60-69 ΕΞΟΔΑ+ΟΜ 2'!J33</f>
        <v>0</v>
      </c>
      <c r="M77" s="15">
        <f t="shared" si="12"/>
        <v>0</v>
      </c>
      <c r="N77" s="10">
        <f>L77+'[1]2025 Ιούνιος'!N73</f>
        <v>13282.48</v>
      </c>
      <c r="O77" s="15">
        <f t="shared" si="13"/>
        <v>1.9960337498625622E-2</v>
      </c>
      <c r="P77" s="10"/>
      <c r="Q77" s="15">
        <f t="shared" si="14"/>
        <v>2.2876255332634083</v>
      </c>
    </row>
    <row r="78" spans="1:17" ht="28.5" customHeight="1" x14ac:dyDescent="0.25">
      <c r="A78" s="60">
        <v>77</v>
      </c>
      <c r="B78" s="60"/>
      <c r="C78" s="75" t="s">
        <v>163</v>
      </c>
      <c r="D78" s="7">
        <f>'[1]2025_60-69 ΕΞΟΔΑ+ΟΜ 2'!J3</f>
        <v>7839.9766666666674</v>
      </c>
      <c r="E78" s="21"/>
      <c r="F78" s="7">
        <f>'[1]2025_60-69 ΕΞΟΔΑ+ΟΜ 2'!W3</f>
        <v>240104.19666666671</v>
      </c>
      <c r="G78" s="21"/>
      <c r="H78" s="7">
        <f>SUM(H44:H77)</f>
        <v>0</v>
      </c>
      <c r="I78" s="21"/>
      <c r="J78" s="7">
        <f>SUM(J44:J77)</f>
        <v>0</v>
      </c>
      <c r="K78" s="21"/>
      <c r="L78" s="7">
        <f>SUM(L44:L77)</f>
        <v>53450.65</v>
      </c>
      <c r="M78" s="21"/>
      <c r="N78" s="7">
        <f>SUM(N44:N77)</f>
        <v>665443.65799999982</v>
      </c>
      <c r="O78" s="21"/>
      <c r="P78" s="7">
        <f>SUM(P44:P77)</f>
        <v>0</v>
      </c>
      <c r="Q78" s="21"/>
    </row>
    <row r="79" spans="1:17" ht="33" customHeight="1" x14ac:dyDescent="0.25">
      <c r="A79" s="60">
        <v>78</v>
      </c>
      <c r="B79" s="60"/>
      <c r="C79" s="22" t="s">
        <v>18</v>
      </c>
      <c r="D79" s="7">
        <f>D43-D78</f>
        <v>0</v>
      </c>
      <c r="E79" s="21"/>
      <c r="F79" s="7">
        <f>F43-F78</f>
        <v>292453.43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0</v>
      </c>
      <c r="M79" s="21"/>
      <c r="N79" s="7">
        <f>N43-N78</f>
        <v>0</v>
      </c>
      <c r="O79" s="21"/>
      <c r="P79" s="7">
        <f>P43-P78</f>
        <v>0</v>
      </c>
      <c r="Q79" s="21"/>
    </row>
    <row r="80" spans="1:17" ht="27" customHeight="1" x14ac:dyDescent="0.25">
      <c r="A80" s="76">
        <v>79</v>
      </c>
      <c r="B80" s="76"/>
      <c r="C80" s="13" t="s">
        <v>32</v>
      </c>
      <c r="D80" s="23">
        <f>D38-D78</f>
        <v>-7839.9766666666674</v>
      </c>
      <c r="E80" s="24"/>
      <c r="F80" s="23" t="e">
        <f>F38-F78</f>
        <v>#VALUE!</v>
      </c>
      <c r="G80" s="24"/>
      <c r="H80" s="25">
        <f>H38-H78</f>
        <v>0</v>
      </c>
      <c r="I80" s="24" t="e">
        <f t="shared" ref="I80" si="17">H80/$I$39</f>
        <v>#DIV/0!</v>
      </c>
      <c r="J80" s="25">
        <f>J38-J78</f>
        <v>332300.95283554913</v>
      </c>
      <c r="K80" s="24"/>
      <c r="L80" s="77">
        <f>L38-L78</f>
        <v>28050.779999999992</v>
      </c>
      <c r="M80" s="24"/>
      <c r="N80" s="23">
        <f>N38-N78</f>
        <v>-294511.21994690242</v>
      </c>
      <c r="O80" s="24"/>
      <c r="P80" s="23">
        <f>P38-P78</f>
        <v>-155092.87221238931</v>
      </c>
      <c r="Q80" s="24"/>
    </row>
    <row r="81" spans="1:17" ht="30.75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</row>
    <row r="82" spans="1:17" ht="24.75" customHeight="1" x14ac:dyDescent="0.25">
      <c r="A82" s="19">
        <v>81</v>
      </c>
      <c r="B82" s="19"/>
      <c r="C82" s="5" t="s">
        <v>3</v>
      </c>
      <c r="D82" s="180" t="str">
        <f>[1]ΑΝΤΙΣΤΟΙΧΙΣΗ!$F$112</f>
        <v xml:space="preserve">ΙΟΥΛΙΟΣ ΤΡΕΧΟΝ ΕΤΟΣ </v>
      </c>
      <c r="E82" s="180"/>
      <c r="F82" s="180"/>
      <c r="G82" s="61">
        <f>[1]ΑΝΤΙΣΤΟΙΧΙΣΗ!$D$34</f>
        <v>2025</v>
      </c>
      <c r="H82" s="180" t="str">
        <f>[1]ΑΝΤΙΣΤΟΙΧΙΣΗ!$F$112</f>
        <v xml:space="preserve">ΙΟΥΛΙΟΣ ΤΡΕΧΟΝ ΕΤΟΣ </v>
      </c>
      <c r="I82" s="180"/>
      <c r="J82" s="180"/>
      <c r="K82" s="61">
        <f>[1]ΑΝΤΙΣΤΟΙΧΙΣΗ!$D$34</f>
        <v>2025</v>
      </c>
      <c r="L82" s="180" t="str">
        <f>[1]ΑΝΤΙΣΤΟΙΧΙΣΗ!$F$126</f>
        <v>ΙΟΥΛΙΟΣ ΠΡΟΗΓΟΥΜΕΝΟΥ ΕΤΟΥΣ</v>
      </c>
      <c r="M82" s="180"/>
      <c r="N82" s="180"/>
      <c r="O82" s="61">
        <f>[1]ΑΝΤΙΣΤΟΙΧΙΣΗ!$D$33</f>
        <v>2024</v>
      </c>
      <c r="P82" s="180"/>
      <c r="Q82" s="180"/>
    </row>
    <row r="83" spans="1:17" ht="15" customHeight="1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</row>
    <row r="84" spans="1:17" ht="15" customHeight="1" x14ac:dyDescent="0.25">
      <c r="A84" s="19">
        <v>83</v>
      </c>
      <c r="B84" s="19" t="s">
        <v>2</v>
      </c>
      <c r="C84" s="75" t="s">
        <v>165</v>
      </c>
      <c r="D84" s="7">
        <f ca="1">SUM(D47:D110)</f>
        <v>0</v>
      </c>
      <c r="E84" s="8"/>
      <c r="F84" s="7" t="e">
        <f>SUM(F47:F110)</f>
        <v>#VALUE!</v>
      </c>
      <c r="G84" s="8"/>
      <c r="H84" s="7">
        <f ca="1">SUM(H47:H110)</f>
        <v>0</v>
      </c>
      <c r="I84" s="8"/>
      <c r="J84" s="7">
        <f ca="1">SUM(J47:J110)</f>
        <v>0</v>
      </c>
      <c r="K84" s="8"/>
      <c r="L84" s="7">
        <f ca="1">SUM(L47:L110)</f>
        <v>6776.14</v>
      </c>
      <c r="M84" s="8"/>
      <c r="N84" s="7">
        <f ca="1">SUM(N47:N110)</f>
        <v>83066.999999999956</v>
      </c>
      <c r="O84" s="8"/>
      <c r="P84" s="7">
        <f ca="1">SUM(P47:P110)</f>
        <v>0</v>
      </c>
      <c r="Q84" s="8"/>
    </row>
    <row r="85" spans="1:17" ht="36" customHeight="1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2'!J39</f>
        <v>0</v>
      </c>
      <c r="E85" s="15" t="e">
        <f t="shared" ref="E85:E105" ca="1" si="18">D85/$D$84</f>
        <v>#DIV/0!</v>
      </c>
      <c r="F85" s="79">
        <f>'[1]2025 Ιούνιος'!F83+'[1]2025 Ιούλιος'!D83</f>
        <v>10153.07</v>
      </c>
      <c r="G85" s="15" t="e">
        <f t="shared" ref="G85:G105" si="19">F85/$F$84</f>
        <v>#VALUE!</v>
      </c>
      <c r="H85" s="14"/>
      <c r="I85" s="26" t="e">
        <f t="shared" ref="I85:I105" ca="1" si="20">H85/$H$84</f>
        <v>#DIV/0!</v>
      </c>
      <c r="J85" s="27"/>
      <c r="K85" s="27" t="e">
        <f t="shared" ref="K85:K105" ca="1" si="21">J85/$J$84</f>
        <v>#DIV/0!</v>
      </c>
      <c r="L85" s="79">
        <f>'[1]2024_60-69 ΕΞΟΔΑ+ΟΜ 2'!J37</f>
        <v>1738.73</v>
      </c>
      <c r="M85" s="15">
        <f t="shared" ref="M85:M105" ca="1" si="22">L85/$L$84</f>
        <v>0.25659593810045245</v>
      </c>
      <c r="N85" s="10">
        <f>L85+'[1]2025 Ιούνιος'!N83</f>
        <v>7545.32</v>
      </c>
      <c r="O85" s="15">
        <f t="shared" ref="O85:O105" ca="1" si="23">N85/$N$84</f>
        <v>9.0834145930393587E-2</v>
      </c>
      <c r="P85" s="27"/>
      <c r="Q85" s="28" t="e">
        <f t="shared" ref="Q85:Q105" ca="1" si="24">SUM(D85:P85)</f>
        <v>#DIV/0!</v>
      </c>
    </row>
    <row r="86" spans="1:17" ht="36" customHeight="1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2'!J40</f>
        <v>0</v>
      </c>
      <c r="E86" s="15" t="e">
        <f t="shared" ca="1" si="18"/>
        <v>#DIV/0!</v>
      </c>
      <c r="F86" s="79">
        <f>'[1]2025 Ιούνιος'!F84+'[1]2025 Ιούλιος'!D84</f>
        <v>5921.02</v>
      </c>
      <c r="G86" s="15" t="e">
        <f t="shared" si="19"/>
        <v>#VALUE!</v>
      </c>
      <c r="H86" s="14"/>
      <c r="I86" s="26" t="e">
        <f t="shared" ca="1" si="20"/>
        <v>#DIV/0!</v>
      </c>
      <c r="J86" s="27"/>
      <c r="K86" s="27" t="e">
        <f t="shared" ca="1" si="21"/>
        <v>#DIV/0!</v>
      </c>
      <c r="L86" s="79">
        <f>'[1]2024_60-69 ΕΞΟΔΑ+ΟΜ 2'!J38</f>
        <v>0</v>
      </c>
      <c r="M86" s="15">
        <f t="shared" ca="1" si="22"/>
        <v>0</v>
      </c>
      <c r="N86" s="10">
        <f>L86+'[1]2025 Ιούνιος'!N84</f>
        <v>8738.77</v>
      </c>
      <c r="O86" s="15">
        <f t="shared" ca="1" si="23"/>
        <v>0.10520146387855593</v>
      </c>
      <c r="P86" s="27"/>
      <c r="Q86" s="28" t="e">
        <f t="shared" ca="1" si="24"/>
        <v>#DIV/0!</v>
      </c>
    </row>
    <row r="87" spans="1:17" ht="36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2'!J43</f>
        <v>0</v>
      </c>
      <c r="E87" s="15" t="e">
        <f t="shared" ca="1" si="18"/>
        <v>#DIV/0!</v>
      </c>
      <c r="F87" s="79">
        <f>'[1]2025 Ιούνιος'!F87+'[1]2025 Ιούλιος'!D87</f>
        <v>2080.4</v>
      </c>
      <c r="G87" s="15" t="e">
        <f t="shared" si="19"/>
        <v>#VALUE!</v>
      </c>
      <c r="H87" s="14"/>
      <c r="I87" s="26" t="e">
        <f t="shared" ca="1" si="20"/>
        <v>#DIV/0!</v>
      </c>
      <c r="J87" s="27"/>
      <c r="K87" s="27" t="e">
        <f t="shared" ca="1" si="21"/>
        <v>#DIV/0!</v>
      </c>
      <c r="L87" s="79">
        <f>'[1]2024_60-69 ΕΞΟΔΑ+ΟΜ 2'!J41</f>
        <v>271.76</v>
      </c>
      <c r="M87" s="15">
        <f t="shared" ca="1" si="22"/>
        <v>4.0105428754423605E-2</v>
      </c>
      <c r="N87" s="10">
        <f>L87+'[1]2025 Ιούνιος'!N87</f>
        <v>1784.81</v>
      </c>
      <c r="O87" s="15">
        <f t="shared" ca="1" si="23"/>
        <v>2.1486390504050958E-2</v>
      </c>
      <c r="P87" s="27"/>
      <c r="Q87" s="28" t="e">
        <f t="shared" ca="1" si="24"/>
        <v>#DIV/0!</v>
      </c>
    </row>
    <row r="88" spans="1:17" ht="36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2'!J44</f>
        <v>0</v>
      </c>
      <c r="E88" s="15" t="e">
        <f t="shared" ca="1" si="18"/>
        <v>#DIV/0!</v>
      </c>
      <c r="F88" s="79">
        <f>'[1]2025 Ιούνιος'!F88+'[1]2025 Ιούλιος'!D88</f>
        <v>901.2</v>
      </c>
      <c r="G88" s="15" t="e">
        <f t="shared" si="19"/>
        <v>#VALUE!</v>
      </c>
      <c r="H88" s="14"/>
      <c r="I88" s="26" t="e">
        <f t="shared" ca="1" si="20"/>
        <v>#DIV/0!</v>
      </c>
      <c r="J88" s="27"/>
      <c r="K88" s="27" t="e">
        <f t="shared" ca="1" si="21"/>
        <v>#DIV/0!</v>
      </c>
      <c r="L88" s="79">
        <f>'[1]2024_60-69 ΕΞΟΔΑ+ΟΜ 2'!J42</f>
        <v>0</v>
      </c>
      <c r="M88" s="15">
        <f t="shared" ca="1" si="22"/>
        <v>0</v>
      </c>
      <c r="N88" s="10">
        <f>L88+'[1]2025 Ιούνιος'!N88</f>
        <v>1699.15</v>
      </c>
      <c r="O88" s="15">
        <f t="shared" ca="1" si="23"/>
        <v>2.0455174738464144E-2</v>
      </c>
      <c r="P88" s="27"/>
      <c r="Q88" s="28" t="e">
        <f t="shared" ca="1" si="24"/>
        <v>#DIV/0!</v>
      </c>
    </row>
    <row r="89" spans="1:17" ht="28.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2'!J45</f>
        <v>0</v>
      </c>
      <c r="E89" s="15" t="e">
        <f t="shared" ca="1" si="18"/>
        <v>#DIV/0!</v>
      </c>
      <c r="F89" s="79">
        <f>'[1]2025 Ιούνιος'!F89+'[1]2025 Ιούλιος'!D89</f>
        <v>880.69999999999993</v>
      </c>
      <c r="G89" s="15" t="e">
        <f t="shared" si="19"/>
        <v>#VALUE!</v>
      </c>
      <c r="H89" s="80"/>
      <c r="I89" s="26" t="e">
        <f t="shared" ca="1" si="20"/>
        <v>#DIV/0!</v>
      </c>
      <c r="J89" s="80"/>
      <c r="K89" s="27" t="e">
        <f t="shared" ca="1" si="21"/>
        <v>#DIV/0!</v>
      </c>
      <c r="L89" s="79">
        <f>'[1]2024_60-69 ΕΞΟΔΑ+ΟΜ 2'!J43</f>
        <v>0</v>
      </c>
      <c r="M89" s="15">
        <f t="shared" ca="1" si="22"/>
        <v>0</v>
      </c>
      <c r="N89" s="10">
        <f>L89+'[1]2025 Ιούνιος'!N89</f>
        <v>0</v>
      </c>
      <c r="O89" s="15">
        <f t="shared" ca="1" si="23"/>
        <v>0</v>
      </c>
      <c r="P89" s="80"/>
      <c r="Q89" s="28" t="e">
        <f t="shared" ca="1" si="24"/>
        <v>#DIV/0!</v>
      </c>
    </row>
    <row r="90" spans="1:17" ht="42.75" customHeight="1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2'!J46</f>
        <v>0</v>
      </c>
      <c r="E90" s="15" t="e">
        <f t="shared" ca="1" si="18"/>
        <v>#DIV/0!</v>
      </c>
      <c r="F90" s="79">
        <f>'[1]2025 Ιούνιος'!F90+'[1]2025 Ιούλιος'!D90</f>
        <v>0</v>
      </c>
      <c r="G90" s="15" t="e">
        <f t="shared" si="19"/>
        <v>#VALUE!</v>
      </c>
      <c r="H90" s="80"/>
      <c r="I90" s="26" t="e">
        <f t="shared" ca="1" si="20"/>
        <v>#DIV/0!</v>
      </c>
      <c r="J90" s="80"/>
      <c r="K90" s="27" t="e">
        <f t="shared" ca="1" si="21"/>
        <v>#DIV/0!</v>
      </c>
      <c r="L90" s="79">
        <f>'[1]2024_60-69 ΕΞΟΔΑ+ΟΜ 2'!J44</f>
        <v>0</v>
      </c>
      <c r="M90" s="15">
        <f t="shared" ca="1" si="22"/>
        <v>0</v>
      </c>
      <c r="N90" s="10">
        <f>L90+'[1]2025 Ιούνιος'!N90</f>
        <v>0</v>
      </c>
      <c r="O90" s="15">
        <f t="shared" ca="1" si="23"/>
        <v>0</v>
      </c>
      <c r="P90" s="80"/>
      <c r="Q90" s="28" t="e">
        <f t="shared" ca="1" si="24"/>
        <v>#DIV/0!</v>
      </c>
    </row>
    <row r="91" spans="1:17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2'!J47</f>
        <v>0</v>
      </c>
      <c r="E91" s="15" t="e">
        <f t="shared" ca="1" si="18"/>
        <v>#DIV/0!</v>
      </c>
      <c r="F91" s="79">
        <f>'[1]2025 Ιούνιος'!F91+'[1]2025 Ιούλιος'!D91</f>
        <v>0</v>
      </c>
      <c r="G91" s="15" t="e">
        <f t="shared" si="19"/>
        <v>#VALUE!</v>
      </c>
      <c r="H91" s="80"/>
      <c r="I91" s="26" t="e">
        <f t="shared" ca="1" si="20"/>
        <v>#DIV/0!</v>
      </c>
      <c r="J91" s="80"/>
      <c r="K91" s="27" t="e">
        <f t="shared" ca="1" si="21"/>
        <v>#DIV/0!</v>
      </c>
      <c r="L91" s="79">
        <f>'[1]2024_60-69 ΕΞΟΔΑ+ΟΜ 2'!J45</f>
        <v>0</v>
      </c>
      <c r="M91" s="15">
        <f t="shared" ca="1" si="22"/>
        <v>0</v>
      </c>
      <c r="N91" s="10">
        <f>L91+'[1]2025 Ιούνιος'!N91</f>
        <v>0</v>
      </c>
      <c r="O91" s="15">
        <f t="shared" ca="1" si="23"/>
        <v>0</v>
      </c>
      <c r="P91" s="80"/>
      <c r="Q91" s="28" t="e">
        <f t="shared" ca="1" si="24"/>
        <v>#DIV/0!</v>
      </c>
    </row>
    <row r="92" spans="1:17" ht="15" customHeight="1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2'!J48</f>
        <v>0</v>
      </c>
      <c r="E92" s="15" t="e">
        <f t="shared" ca="1" si="18"/>
        <v>#DIV/0!</v>
      </c>
      <c r="F92" s="79">
        <f>'[1]2025 Ιούνιος'!F92+'[1]2025 Ιούλιος'!D92</f>
        <v>0</v>
      </c>
      <c r="G92" s="15" t="e">
        <f t="shared" si="19"/>
        <v>#VALUE!</v>
      </c>
      <c r="H92" s="14"/>
      <c r="I92" s="26" t="e">
        <f t="shared" ca="1" si="20"/>
        <v>#DIV/0!</v>
      </c>
      <c r="J92" s="27"/>
      <c r="K92" s="27" t="e">
        <f t="shared" ca="1" si="21"/>
        <v>#DIV/0!</v>
      </c>
      <c r="L92" s="79">
        <f>'[1]2024_60-69 ΕΞΟΔΑ+ΟΜ 2'!J46</f>
        <v>0</v>
      </c>
      <c r="M92" s="15">
        <f t="shared" ca="1" si="22"/>
        <v>0</v>
      </c>
      <c r="N92" s="10">
        <f>L92+'[1]2025 Ιούνιος'!N92</f>
        <v>0</v>
      </c>
      <c r="O92" s="15">
        <f t="shared" ca="1" si="23"/>
        <v>0</v>
      </c>
      <c r="P92" s="27"/>
      <c r="Q92" s="28" t="e">
        <f t="shared" ca="1" si="24"/>
        <v>#DIV/0!</v>
      </c>
    </row>
    <row r="93" spans="1:17" ht="15" customHeight="1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2'!J49</f>
        <v>0</v>
      </c>
      <c r="E93" s="15" t="e">
        <f t="shared" ca="1" si="18"/>
        <v>#DIV/0!</v>
      </c>
      <c r="F93" s="79">
        <f>'[1]2025 Ιούνιος'!F93+'[1]2025 Ιούλιος'!D93</f>
        <v>0</v>
      </c>
      <c r="G93" s="15" t="e">
        <f t="shared" si="19"/>
        <v>#VALUE!</v>
      </c>
      <c r="H93" s="14"/>
      <c r="I93" s="26" t="e">
        <f t="shared" ca="1" si="20"/>
        <v>#DIV/0!</v>
      </c>
      <c r="J93" s="27"/>
      <c r="K93" s="27" t="e">
        <f t="shared" ca="1" si="21"/>
        <v>#DIV/0!</v>
      </c>
      <c r="L93" s="79">
        <f>'[1]2024_60-69 ΕΞΟΔΑ+ΟΜ 2'!J47</f>
        <v>0</v>
      </c>
      <c r="M93" s="15">
        <f t="shared" ca="1" si="22"/>
        <v>0</v>
      </c>
      <c r="N93" s="10">
        <f>L93+'[1]2025 Ιούνιος'!N93</f>
        <v>0</v>
      </c>
      <c r="O93" s="15">
        <f t="shared" ca="1" si="23"/>
        <v>0</v>
      </c>
      <c r="P93" s="27"/>
      <c r="Q93" s="28" t="e">
        <f t="shared" ca="1" si="24"/>
        <v>#DIV/0!</v>
      </c>
    </row>
    <row r="94" spans="1:17" ht="1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2'!J50</f>
        <v>0</v>
      </c>
      <c r="E94" s="15" t="e">
        <f t="shared" ca="1" si="18"/>
        <v>#DIV/0!</v>
      </c>
      <c r="F94" s="79">
        <f>'[1]2025 Ιούνιος'!F94+'[1]2025 Ιούλιος'!D94</f>
        <v>0</v>
      </c>
      <c r="G94" s="15" t="e">
        <f t="shared" si="19"/>
        <v>#VALUE!</v>
      </c>
      <c r="H94" s="81"/>
      <c r="I94" s="26" t="e">
        <f t="shared" ca="1" si="20"/>
        <v>#DIV/0!</v>
      </c>
      <c r="J94" s="81"/>
      <c r="K94" s="27" t="e">
        <f t="shared" ca="1" si="21"/>
        <v>#DIV/0!</v>
      </c>
      <c r="L94" s="79">
        <f>'[1]2024_60-69 ΕΞΟΔΑ+ΟΜ 2'!J48</f>
        <v>0</v>
      </c>
      <c r="M94" s="15">
        <f t="shared" ca="1" si="22"/>
        <v>0</v>
      </c>
      <c r="N94" s="10">
        <f>L94+'[1]2025 Ιούνιος'!N94</f>
        <v>0</v>
      </c>
      <c r="O94" s="15">
        <f t="shared" ca="1" si="23"/>
        <v>0</v>
      </c>
      <c r="P94" s="81"/>
      <c r="Q94" s="28" t="e">
        <f t="shared" ca="1" si="24"/>
        <v>#DIV/0!</v>
      </c>
    </row>
    <row r="95" spans="1:17" ht="28.5" customHeight="1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2'!J51</f>
        <v>0</v>
      </c>
      <c r="E95" s="15" t="e">
        <f t="shared" ca="1" si="18"/>
        <v>#DIV/0!</v>
      </c>
      <c r="F95" s="79">
        <f>'[1]2025 Ιούνιος'!F95+'[1]2025 Ιούλιος'!D95</f>
        <v>0</v>
      </c>
      <c r="G95" s="15" t="e">
        <f t="shared" si="19"/>
        <v>#VALUE!</v>
      </c>
      <c r="H95" s="14"/>
      <c r="I95" s="26" t="e">
        <f t="shared" ca="1" si="20"/>
        <v>#DIV/0!</v>
      </c>
      <c r="J95" s="27"/>
      <c r="K95" s="27" t="e">
        <f t="shared" ca="1" si="21"/>
        <v>#DIV/0!</v>
      </c>
      <c r="L95" s="79">
        <f>'[1]2024_60-69 ΕΞΟΔΑ+ΟΜ 2'!J49</f>
        <v>0</v>
      </c>
      <c r="M95" s="15">
        <f t="shared" ca="1" si="22"/>
        <v>0</v>
      </c>
      <c r="N95" s="10">
        <f>L95+'[1]2025 Ιούνιος'!N95</f>
        <v>0</v>
      </c>
      <c r="O95" s="15">
        <f t="shared" ca="1" si="23"/>
        <v>0</v>
      </c>
      <c r="P95" s="27"/>
      <c r="Q95" s="28" t="e">
        <f t="shared" ca="1" si="24"/>
        <v>#DIV/0!</v>
      </c>
    </row>
    <row r="96" spans="1:17" ht="15" customHeight="1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2'!J52</f>
        <v>0</v>
      </c>
      <c r="E96" s="15" t="e">
        <f t="shared" ca="1" si="18"/>
        <v>#DIV/0!</v>
      </c>
      <c r="F96" s="79">
        <f>'[1]2025 Ιούνιος'!F96+'[1]2025 Ιούλιος'!D96</f>
        <v>0</v>
      </c>
      <c r="G96" s="15" t="e">
        <f t="shared" si="19"/>
        <v>#VALUE!</v>
      </c>
      <c r="H96" s="14"/>
      <c r="I96" s="26" t="e">
        <f t="shared" ca="1" si="20"/>
        <v>#DIV/0!</v>
      </c>
      <c r="J96" s="27"/>
      <c r="K96" s="27" t="e">
        <f t="shared" ca="1" si="21"/>
        <v>#DIV/0!</v>
      </c>
      <c r="L96" s="79">
        <f>'[1]2024_60-69 ΕΞΟΔΑ+ΟΜ 2'!J50</f>
        <v>217.5</v>
      </c>
      <c r="M96" s="15">
        <f t="shared" ca="1" si="22"/>
        <v>3.2097920054780446E-2</v>
      </c>
      <c r="N96" s="10">
        <f>L96+'[1]2025 Ιούνιος'!N96</f>
        <v>464.26</v>
      </c>
      <c r="O96" s="15">
        <f t="shared" ca="1" si="23"/>
        <v>5.5889823877111272E-3</v>
      </c>
      <c r="P96" s="27"/>
      <c r="Q96" s="28" t="e">
        <f t="shared" ca="1" si="24"/>
        <v>#DIV/0!</v>
      </c>
    </row>
    <row r="97" spans="1:17" ht="15" customHeight="1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2'!J53</f>
        <v>0</v>
      </c>
      <c r="E97" s="15" t="e">
        <f t="shared" ca="1" si="18"/>
        <v>#DIV/0!</v>
      </c>
      <c r="F97" s="79">
        <f>'[1]2025 Ιούνιος'!F97+'[1]2025 Ιούλιος'!D97</f>
        <v>554.78</v>
      </c>
      <c r="G97" s="15" t="e">
        <f t="shared" si="19"/>
        <v>#VALUE!</v>
      </c>
      <c r="H97" s="14"/>
      <c r="I97" s="26" t="e">
        <f t="shared" ca="1" si="20"/>
        <v>#DIV/0!</v>
      </c>
      <c r="J97" s="27"/>
      <c r="K97" s="27" t="e">
        <f t="shared" ca="1" si="21"/>
        <v>#DIV/0!</v>
      </c>
      <c r="L97" s="79">
        <f>'[1]2024_60-69 ΕΞΟΔΑ+ΟΜ 2'!J51</f>
        <v>0</v>
      </c>
      <c r="M97" s="15">
        <f t="shared" ca="1" si="22"/>
        <v>0</v>
      </c>
      <c r="N97" s="10">
        <f>L97+'[1]2025 Ιούνιος'!N97</f>
        <v>94.289999999999992</v>
      </c>
      <c r="O97" s="15">
        <f t="shared" ca="1" si="23"/>
        <v>1.1351078045433209E-3</v>
      </c>
      <c r="P97" s="27"/>
      <c r="Q97" s="28" t="e">
        <f t="shared" ca="1" si="24"/>
        <v>#DIV/0!</v>
      </c>
    </row>
    <row r="98" spans="1:17" ht="15" customHeight="1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2'!J54</f>
        <v>0</v>
      </c>
      <c r="E98" s="15" t="e">
        <f t="shared" ca="1" si="18"/>
        <v>#DIV/0!</v>
      </c>
      <c r="F98" s="79">
        <f>'[1]2025 Ιούνιος'!F98+'[1]2025 Ιούλιος'!D98</f>
        <v>0</v>
      </c>
      <c r="G98" s="15" t="e">
        <f t="shared" si="19"/>
        <v>#VALUE!</v>
      </c>
      <c r="H98" s="14"/>
      <c r="I98" s="26" t="e">
        <f t="shared" ca="1" si="20"/>
        <v>#DIV/0!</v>
      </c>
      <c r="J98" s="27"/>
      <c r="K98" s="27" t="e">
        <f t="shared" ca="1" si="21"/>
        <v>#DIV/0!</v>
      </c>
      <c r="L98" s="79">
        <f>'[1]2024_60-69 ΕΞΟΔΑ+ΟΜ 2'!J52</f>
        <v>0</v>
      </c>
      <c r="M98" s="15">
        <f t="shared" ca="1" si="22"/>
        <v>0</v>
      </c>
      <c r="N98" s="10">
        <f>L98+'[1]2025 Ιούνιος'!N98</f>
        <v>0</v>
      </c>
      <c r="O98" s="15">
        <f t="shared" ca="1" si="23"/>
        <v>0</v>
      </c>
      <c r="P98" s="27"/>
      <c r="Q98" s="28" t="e">
        <f t="shared" ca="1" si="24"/>
        <v>#DIV/0!</v>
      </c>
    </row>
    <row r="99" spans="1:17" ht="1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2'!J55</f>
        <v>0</v>
      </c>
      <c r="E99" s="15" t="e">
        <f t="shared" ca="1" si="18"/>
        <v>#DIV/0!</v>
      </c>
      <c r="F99" s="79">
        <f>'[1]2025 Ιούνιος'!F99+'[1]2025 Ιούλιος'!D99</f>
        <v>0</v>
      </c>
      <c r="G99" s="15" t="e">
        <f t="shared" si="19"/>
        <v>#VALUE!</v>
      </c>
      <c r="H99" s="14"/>
      <c r="I99" s="26" t="e">
        <f t="shared" ca="1" si="20"/>
        <v>#DIV/0!</v>
      </c>
      <c r="J99" s="27"/>
      <c r="K99" s="27" t="e">
        <f t="shared" ca="1" si="21"/>
        <v>#DIV/0!</v>
      </c>
      <c r="L99" s="79">
        <f>'[1]2024_60-69 ΕΞΟΔΑ+ΟΜ 2'!J53</f>
        <v>0</v>
      </c>
      <c r="M99" s="15">
        <f t="shared" ca="1" si="22"/>
        <v>0</v>
      </c>
      <c r="N99" s="10">
        <f>L99+'[1]2025 Ιούνιος'!N99</f>
        <v>0</v>
      </c>
      <c r="O99" s="15">
        <f t="shared" ca="1" si="23"/>
        <v>0</v>
      </c>
      <c r="P99" s="27"/>
      <c r="Q99" s="28" t="e">
        <f t="shared" ca="1" si="24"/>
        <v>#DIV/0!</v>
      </c>
    </row>
    <row r="100" spans="1:17" ht="15" customHeight="1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2'!J56</f>
        <v>0</v>
      </c>
      <c r="E100" s="15" t="e">
        <f t="shared" ca="1" si="18"/>
        <v>#DIV/0!</v>
      </c>
      <c r="F100" s="79">
        <f>'[1]2025 Ιούνιος'!F100+'[1]2025 Ιούλιος'!D100</f>
        <v>4747.45</v>
      </c>
      <c r="G100" s="15" t="e">
        <f t="shared" si="19"/>
        <v>#VALUE!</v>
      </c>
      <c r="H100" s="14"/>
      <c r="I100" s="26" t="e">
        <f t="shared" ca="1" si="20"/>
        <v>#DIV/0!</v>
      </c>
      <c r="J100" s="27"/>
      <c r="K100" s="27" t="e">
        <f t="shared" ca="1" si="21"/>
        <v>#DIV/0!</v>
      </c>
      <c r="L100" s="79">
        <f>'[1]2024_60-69 ΕΞΟΔΑ+ΟΜ 2'!J54</f>
        <v>142.41</v>
      </c>
      <c r="M100" s="15">
        <f t="shared" ca="1" si="22"/>
        <v>2.1016389862074866E-2</v>
      </c>
      <c r="N100" s="10">
        <f>L100+'[1]2025 Ιούνιος'!N100</f>
        <v>262.28999999999996</v>
      </c>
      <c r="O100" s="15">
        <f t="shared" ca="1" si="23"/>
        <v>3.1575715988298616E-3</v>
      </c>
      <c r="P100" s="27"/>
      <c r="Q100" s="28" t="e">
        <f t="shared" ca="1" si="24"/>
        <v>#DIV/0!</v>
      </c>
    </row>
    <row r="101" spans="1:17" ht="25.5" customHeight="1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2'!J57</f>
        <v>0</v>
      </c>
      <c r="E101" s="15" t="e">
        <f t="shared" ca="1" si="18"/>
        <v>#DIV/0!</v>
      </c>
      <c r="F101" s="79">
        <f>'[1]2025 Ιούνιος'!F101+'[1]2025 Ιούλιος'!D101</f>
        <v>878.12</v>
      </c>
      <c r="G101" s="15" t="e">
        <f t="shared" si="19"/>
        <v>#VALUE!</v>
      </c>
      <c r="H101" s="14"/>
      <c r="I101" s="26" t="e">
        <f t="shared" ca="1" si="20"/>
        <v>#DIV/0!</v>
      </c>
      <c r="J101" s="27"/>
      <c r="K101" s="27" t="e">
        <f t="shared" ca="1" si="21"/>
        <v>#DIV/0!</v>
      </c>
      <c r="L101" s="79">
        <f>'[1]2024_60-69 ΕΞΟΔΑ+ΟΜ 2'!J55</f>
        <v>0</v>
      </c>
      <c r="M101" s="15">
        <f t="shared" ca="1" si="22"/>
        <v>0</v>
      </c>
      <c r="N101" s="10">
        <f>L101+'[1]2025 Ιούνιος'!N101</f>
        <v>1567.66</v>
      </c>
      <c r="O101" s="15">
        <f t="shared" ca="1" si="23"/>
        <v>1.8872235665185946E-2</v>
      </c>
      <c r="P101" s="27"/>
      <c r="Q101" s="28" t="e">
        <f t="shared" ca="1" si="24"/>
        <v>#DIV/0!</v>
      </c>
    </row>
    <row r="102" spans="1:17" ht="24" customHeight="1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2'!J58</f>
        <v>0</v>
      </c>
      <c r="E102" s="15" t="e">
        <f t="shared" ca="1" si="18"/>
        <v>#DIV/0!</v>
      </c>
      <c r="F102" s="79">
        <f>'[1]2025 Ιούνιος'!F102+'[1]2025 Ιούλιος'!D102</f>
        <v>0</v>
      </c>
      <c r="G102" s="15" t="e">
        <f t="shared" si="19"/>
        <v>#VALUE!</v>
      </c>
      <c r="H102" s="14"/>
      <c r="I102" s="26" t="e">
        <f t="shared" ca="1" si="20"/>
        <v>#DIV/0!</v>
      </c>
      <c r="J102" s="27"/>
      <c r="K102" s="27" t="e">
        <f t="shared" ca="1" si="21"/>
        <v>#DIV/0!</v>
      </c>
      <c r="L102" s="79">
        <f>'[1]2024_60-69 ΕΞΟΔΑ+ΟΜ 2'!J56</f>
        <v>0</v>
      </c>
      <c r="M102" s="15">
        <f t="shared" ca="1" si="22"/>
        <v>0</v>
      </c>
      <c r="N102" s="10">
        <f>L102+'[1]2025 Ιούνιος'!N102</f>
        <v>0</v>
      </c>
      <c r="O102" s="15">
        <f t="shared" ca="1" si="23"/>
        <v>0</v>
      </c>
      <c r="P102" s="27"/>
      <c r="Q102" s="28" t="e">
        <f t="shared" ca="1" si="24"/>
        <v>#DIV/0!</v>
      </c>
    </row>
    <row r="103" spans="1:17" ht="15.75" hidden="1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2'!J59</f>
        <v>0</v>
      </c>
      <c r="E103" s="15" t="e">
        <f t="shared" ca="1" si="18"/>
        <v>#DIV/0!</v>
      </c>
      <c r="F103" s="79">
        <f>'[1]2025 Ιούνιος'!F103+'[1]2025 Ιούλιος'!D103</f>
        <v>0</v>
      </c>
      <c r="G103" s="15" t="e">
        <f t="shared" si="19"/>
        <v>#VALUE!</v>
      </c>
      <c r="H103" s="14"/>
      <c r="I103" s="26" t="e">
        <f t="shared" ca="1" si="20"/>
        <v>#DIV/0!</v>
      </c>
      <c r="J103" s="27"/>
      <c r="K103" s="27" t="e">
        <f t="shared" ca="1" si="21"/>
        <v>#DIV/0!</v>
      </c>
      <c r="L103" s="79">
        <f>'[1]2024_60-69 ΕΞΟΔΑ+ΟΜ 2'!J57</f>
        <v>1576.34</v>
      </c>
      <c r="M103" s="15">
        <f t="shared" ca="1" si="22"/>
        <v>0.23263096689265567</v>
      </c>
      <c r="N103" s="10">
        <f>L103+'[1]2025 Ιούνιος'!N103</f>
        <v>2972.5699999999997</v>
      </c>
      <c r="O103" s="15">
        <f t="shared" ca="1" si="23"/>
        <v>3.5785209529656796E-2</v>
      </c>
      <c r="P103" s="27"/>
      <c r="Q103" s="28" t="e">
        <f t="shared" ca="1" si="24"/>
        <v>#DIV/0!</v>
      </c>
    </row>
    <row r="104" spans="1:17" ht="15.75" hidden="1" customHeight="1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2'!J60</f>
        <v>0</v>
      </c>
      <c r="E104" s="15" t="e">
        <f t="shared" ca="1" si="18"/>
        <v>#DIV/0!</v>
      </c>
      <c r="F104" s="79">
        <f>'[1]2025 Ιούνιος'!F104+'[1]2025 Ιούλιος'!D104</f>
        <v>2545.4699999999998</v>
      </c>
      <c r="G104" s="15" t="e">
        <f t="shared" si="19"/>
        <v>#VALUE!</v>
      </c>
      <c r="H104" s="14"/>
      <c r="I104" s="26" t="e">
        <f t="shared" ca="1" si="20"/>
        <v>#DIV/0!</v>
      </c>
      <c r="J104" s="27"/>
      <c r="K104" s="27" t="e">
        <f t="shared" ca="1" si="21"/>
        <v>#DIV/0!</v>
      </c>
      <c r="L104" s="79">
        <f>'[1]2024_60-69 ΕΞΟΔΑ+ΟΜ 2'!J58</f>
        <v>0</v>
      </c>
      <c r="M104" s="15">
        <f t="shared" ca="1" si="22"/>
        <v>0</v>
      </c>
      <c r="N104" s="10">
        <f>L104+'[1]2025 Ιούνιος'!N104</f>
        <v>4658.2299999999996</v>
      </c>
      <c r="O104" s="15">
        <f t="shared" ca="1" si="23"/>
        <v>5.6077985240829714E-2</v>
      </c>
      <c r="P104" s="27"/>
      <c r="Q104" s="28" t="e">
        <f t="shared" ca="1" si="24"/>
        <v>#DIV/0!</v>
      </c>
    </row>
    <row r="105" spans="1:17" ht="31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2'!J61</f>
        <v>0</v>
      </c>
      <c r="E105" s="15" t="e">
        <f t="shared" ca="1" si="18"/>
        <v>#DIV/0!</v>
      </c>
      <c r="F105" s="79">
        <f>'[1]2025 Ιούνιος'!F105+'[1]2025 Ιούλιος'!D105</f>
        <v>0</v>
      </c>
      <c r="G105" s="15" t="e">
        <f t="shared" si="19"/>
        <v>#VALUE!</v>
      </c>
      <c r="H105" s="14"/>
      <c r="I105" s="26" t="e">
        <f t="shared" ca="1" si="20"/>
        <v>#DIV/0!</v>
      </c>
      <c r="J105" s="27"/>
      <c r="K105" s="27" t="e">
        <f t="shared" ca="1" si="21"/>
        <v>#DIV/0!</v>
      </c>
      <c r="L105" s="79">
        <f>'[1]2024_60-69 ΕΞΟΔΑ+ΟΜ 2'!J59</f>
        <v>0</v>
      </c>
      <c r="M105" s="15">
        <f t="shared" ca="1" si="22"/>
        <v>0</v>
      </c>
      <c r="N105" s="10">
        <f>L105+'[1]2025 Ιούνιος'!N105</f>
        <v>0</v>
      </c>
      <c r="O105" s="15">
        <f t="shared" ca="1" si="23"/>
        <v>0</v>
      </c>
      <c r="P105" s="27"/>
      <c r="Q105" s="28" t="e">
        <f t="shared" ca="1" si="24"/>
        <v>#DIV/0!</v>
      </c>
    </row>
    <row r="106" spans="1:17" ht="45" customHeight="1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26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2'!J36</f>
        <v>0</v>
      </c>
      <c r="E111" s="8"/>
      <c r="F111" s="7">
        <f>D111+'[1]2025 Ιούνιος'!F111</f>
        <v>0</v>
      </c>
      <c r="G111" s="8"/>
      <c r="H111" s="7">
        <f ca="1">SUM(H47:H110)</f>
        <v>0</v>
      </c>
      <c r="I111" s="8"/>
      <c r="J111" s="7">
        <f ca="1">SUM(J47:J110)</f>
        <v>0</v>
      </c>
      <c r="K111" s="8"/>
      <c r="L111" s="7">
        <f ca="1">SUM(L47:L110)</f>
        <v>6776.14</v>
      </c>
      <c r="M111" s="8"/>
      <c r="N111" s="7">
        <f ca="1">SUM(N47:N110)</f>
        <v>83066.999999999956</v>
      </c>
      <c r="O111" s="8"/>
      <c r="P111" s="7">
        <f ca="1">SUM(P47:P110)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 ca="1">D84-D111</f>
        <v>0</v>
      </c>
      <c r="E112" s="8"/>
      <c r="F112" s="7" t="e">
        <f>F84-F111</f>
        <v>#VALUE!</v>
      </c>
      <c r="G112" s="8"/>
      <c r="H112" s="7">
        <f ca="1">H84-H111</f>
        <v>0</v>
      </c>
      <c r="I112" s="8"/>
      <c r="J112" s="7">
        <f ca="1">J84-J111</f>
        <v>0</v>
      </c>
      <c r="K112" s="8"/>
      <c r="L112" s="7">
        <f ca="1">L84-L111</f>
        <v>0</v>
      </c>
      <c r="M112" s="8"/>
      <c r="N112" s="7">
        <f ca="1">N84-N111</f>
        <v>0</v>
      </c>
      <c r="O112" s="8"/>
      <c r="P112" s="7">
        <f ca="1">P84-P111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0" t="str">
        <f>[1]ΑΝΤΙΣΤΟΙΧΙΣΗ!$F$112</f>
        <v xml:space="preserve">ΙΟΥΛΙΟΣ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[1]ΑΝΤΙΣΤΟΙΧΙΣΗ!$F$112</f>
        <v xml:space="preserve">ΙΟΥΛΙΟΣ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[1]ΑΝΤΙΣΤΟΙΧΙΣΗ!$F$126</f>
        <v>ΙΟΥΛΙΟΣ ΠΡΟΗΓΟΥΜΕΝΟΥ ΕΤΟΥΣ</v>
      </c>
      <c r="M114" s="180"/>
      <c r="N114" s="180"/>
      <c r="O114" s="61">
        <f>[1]ΑΝΤΙΣΤΟΙΧΙΣΗ!$D$33</f>
        <v>2024</v>
      </c>
      <c r="P114" s="180"/>
      <c r="Q114" s="180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777.67000000000007</v>
      </c>
      <c r="E116" s="8"/>
      <c r="F116" s="7">
        <f>SUM(F117:F156)</f>
        <v>94953.449999999968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7678.37</v>
      </c>
      <c r="M116" s="8"/>
      <c r="N116" s="7">
        <f>SUM(N117:N156)</f>
        <v>100802.57999999999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2'!J74</f>
        <v>0</v>
      </c>
      <c r="E117" s="15">
        <f>D117/$D$116</f>
        <v>0</v>
      </c>
      <c r="F117" s="10">
        <f>D117+'[1]2025 Ιούνιος'!F117</f>
        <v>48123.159999999996</v>
      </c>
      <c r="G117" s="15">
        <f>F117/$F$116</f>
        <v>0.50680791482563314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2'!J66</f>
        <v>1079</v>
      </c>
      <c r="M117" s="15">
        <f>L117/$L$116</f>
        <v>0.14052461655273191</v>
      </c>
      <c r="N117" s="10">
        <f>L117+'[1]2025 Ιούνιος'!N117</f>
        <v>50480.37000000001</v>
      </c>
      <c r="O117" s="15">
        <f>N117/$N$116</f>
        <v>0.50078450372996419</v>
      </c>
      <c r="P117" s="10"/>
      <c r="Q117" s="30" t="e">
        <f t="shared" ref="Q117:Q153" si="25"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2'!J75</f>
        <v>0</v>
      </c>
      <c r="E118" s="15">
        <f t="shared" ref="E118:E153" si="26">D118/$D$116</f>
        <v>0</v>
      </c>
      <c r="F118" s="10">
        <f>D118+'[1]2025 Ιούνιος'!F118</f>
        <v>6449.25</v>
      </c>
      <c r="G118" s="15">
        <f t="shared" ref="G118:G153" si="27">F118/$F$116</f>
        <v>6.7920122965516277E-2</v>
      </c>
      <c r="H118" s="14"/>
      <c r="I118" s="29" t="e">
        <f t="shared" ref="I118:I153" si="28">H118/$H$116</f>
        <v>#DIV/0!</v>
      </c>
      <c r="J118" s="10"/>
      <c r="K118" s="10" t="e">
        <f t="shared" ref="K118:K153" si="29">J118/$J$116</f>
        <v>#DIV/0!</v>
      </c>
      <c r="L118" s="14">
        <f>'[1]2024_60-69 ΕΞΟΔΑ+ΟΜ 2'!J67</f>
        <v>240.51</v>
      </c>
      <c r="M118" s="15">
        <f t="shared" ref="M118:M153" si="30">L118/$L$116</f>
        <v>3.1323054241981042E-2</v>
      </c>
      <c r="N118" s="10">
        <f>L118+'[1]2025 Ιούνιος'!N118</f>
        <v>7840.28</v>
      </c>
      <c r="O118" s="15">
        <f t="shared" ref="O118:O153" si="31">N118/$N$116</f>
        <v>7.7778564794670935E-2</v>
      </c>
      <c r="P118" s="10"/>
      <c r="Q118" s="30" t="e">
        <f t="shared" si="25"/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2'!J76</f>
        <v>0</v>
      </c>
      <c r="E119" s="15">
        <f t="shared" si="26"/>
        <v>0</v>
      </c>
      <c r="F119" s="10">
        <f>D119+'[1]2025 Ιούνιος'!F119</f>
        <v>1329.02</v>
      </c>
      <c r="G119" s="15">
        <f t="shared" si="27"/>
        <v>1.3996542516359336E-2</v>
      </c>
      <c r="H119" s="14"/>
      <c r="I119" s="29" t="e">
        <f t="shared" si="28"/>
        <v>#DIV/0!</v>
      </c>
      <c r="J119" s="10"/>
      <c r="K119" s="10" t="e">
        <f t="shared" si="29"/>
        <v>#DIV/0!</v>
      </c>
      <c r="L119" s="14">
        <f>'[1]2024_60-69 ΕΞΟΔΑ+ΟΜ 2'!J68</f>
        <v>875.5</v>
      </c>
      <c r="M119" s="15">
        <f t="shared" si="30"/>
        <v>0.11402159572930193</v>
      </c>
      <c r="N119" s="10">
        <f>L119+'[1]2025 Ιούνιος'!N119</f>
        <v>2462.1400000000003</v>
      </c>
      <c r="O119" s="15">
        <f t="shared" si="31"/>
        <v>2.4425366890410947E-2</v>
      </c>
      <c r="P119" s="10"/>
      <c r="Q119" s="30" t="e">
        <f t="shared" si="25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2'!J77</f>
        <v>0</v>
      </c>
      <c r="E120" s="15">
        <f t="shared" si="26"/>
        <v>0</v>
      </c>
      <c r="F120" s="10">
        <f>D120+'[1]2025 Ιούνιος'!F120</f>
        <v>4377.5</v>
      </c>
      <c r="G120" s="15">
        <f t="shared" si="27"/>
        <v>4.6101537121610657E-2</v>
      </c>
      <c r="H120" s="14"/>
      <c r="I120" s="29" t="e">
        <f t="shared" si="28"/>
        <v>#DIV/0!</v>
      </c>
      <c r="J120" s="10"/>
      <c r="K120" s="10" t="e">
        <f t="shared" si="29"/>
        <v>#DIV/0!</v>
      </c>
      <c r="L120" s="14">
        <f>'[1]2024_60-69 ΕΞΟΔΑ+ΟΜ 2'!J69</f>
        <v>0</v>
      </c>
      <c r="M120" s="15">
        <f t="shared" si="30"/>
        <v>0</v>
      </c>
      <c r="N120" s="10">
        <f>L120+'[1]2025 Ιούνιος'!N120</f>
        <v>5100</v>
      </c>
      <c r="O120" s="15">
        <f t="shared" si="31"/>
        <v>5.0593943131217484E-2</v>
      </c>
      <c r="P120" s="10"/>
      <c r="Q120" s="30" t="e">
        <f t="shared" si="25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2'!J78</f>
        <v>0</v>
      </c>
      <c r="E121" s="15">
        <f t="shared" si="26"/>
        <v>0</v>
      </c>
      <c r="F121" s="10">
        <f>D121+'[1]2025 Ιούνιος'!F121</f>
        <v>0</v>
      </c>
      <c r="G121" s="15">
        <f t="shared" si="27"/>
        <v>0</v>
      </c>
      <c r="H121" s="14"/>
      <c r="I121" s="29" t="e">
        <f t="shared" si="28"/>
        <v>#DIV/0!</v>
      </c>
      <c r="J121" s="10"/>
      <c r="K121" s="10" t="e">
        <f t="shared" si="29"/>
        <v>#DIV/0!</v>
      </c>
      <c r="L121" s="14">
        <f>'[1]2024_60-69 ΕΞΟΔΑ+ΟΜ 2'!J70</f>
        <v>241.31</v>
      </c>
      <c r="M121" s="15">
        <f t="shared" si="30"/>
        <v>3.1427243021630892E-2</v>
      </c>
      <c r="N121" s="10">
        <f>L121+'[1]2025 Ιούνιος'!N121</f>
        <v>241.31</v>
      </c>
      <c r="O121" s="15">
        <f t="shared" si="31"/>
        <v>2.3938871405870766E-3</v>
      </c>
      <c r="P121" s="10"/>
      <c r="Q121" s="30" t="e">
        <f t="shared" si="25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2'!J79</f>
        <v>0</v>
      </c>
      <c r="E122" s="15">
        <f t="shared" si="26"/>
        <v>0</v>
      </c>
      <c r="F122" s="10">
        <f>D122+'[1]2025 Ιούνιος'!F122</f>
        <v>1242.75</v>
      </c>
      <c r="G122" s="15">
        <f t="shared" si="27"/>
        <v>1.308799206347953E-2</v>
      </c>
      <c r="H122" s="14"/>
      <c r="I122" s="29" t="e">
        <f t="shared" si="28"/>
        <v>#DIV/0!</v>
      </c>
      <c r="J122" s="10"/>
      <c r="K122" s="10" t="e">
        <f t="shared" si="29"/>
        <v>#DIV/0!</v>
      </c>
      <c r="L122" s="14">
        <f>'[1]2024_60-69 ΕΞΟΔΑ+ΟΜ 2'!J71</f>
        <v>965.25</v>
      </c>
      <c r="M122" s="15">
        <f t="shared" si="30"/>
        <v>0.1257102744462692</v>
      </c>
      <c r="N122" s="10">
        <f>L122+'[1]2025 Ιούνιος'!N122</f>
        <v>2413.1099999999997</v>
      </c>
      <c r="O122" s="15">
        <f t="shared" si="31"/>
        <v>2.3938970609680824E-2</v>
      </c>
      <c r="P122" s="10"/>
      <c r="Q122" s="30" t="e">
        <f t="shared" si="25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2'!J80</f>
        <v>0</v>
      </c>
      <c r="E123" s="15">
        <f t="shared" si="26"/>
        <v>0</v>
      </c>
      <c r="F123" s="10">
        <f>D123+'[1]2025 Ιούνιος'!F123</f>
        <v>4826.25</v>
      </c>
      <c r="G123" s="15">
        <f t="shared" si="27"/>
        <v>5.0827537072112718E-2</v>
      </c>
      <c r="H123" s="14"/>
      <c r="I123" s="29" t="e">
        <f t="shared" si="28"/>
        <v>#DIV/0!</v>
      </c>
      <c r="J123" s="10"/>
      <c r="K123" s="10" t="e">
        <f t="shared" si="29"/>
        <v>#DIV/0!</v>
      </c>
      <c r="L123" s="14">
        <f>'[1]2024_60-69 ΕΞΟΔΑ+ΟΜ 2'!J72</f>
        <v>31.52</v>
      </c>
      <c r="M123" s="15">
        <f t="shared" si="30"/>
        <v>4.1050379182039935E-3</v>
      </c>
      <c r="N123" s="10">
        <f>L123+'[1]2025 Ιούνιος'!N123</f>
        <v>5823.02</v>
      </c>
      <c r="O123" s="15">
        <f t="shared" si="31"/>
        <v>5.7766577006263142E-2</v>
      </c>
      <c r="P123" s="10"/>
      <c r="Q123" s="30" t="e">
        <f t="shared" si="25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2'!J81</f>
        <v>0</v>
      </c>
      <c r="E124" s="15">
        <f t="shared" si="26"/>
        <v>0</v>
      </c>
      <c r="F124" s="10">
        <f>D124+'[1]2025 Ιούνιος'!F124</f>
        <v>157.6</v>
      </c>
      <c r="G124" s="15">
        <f t="shared" si="27"/>
        <v>1.6597606511401118E-3</v>
      </c>
      <c r="H124" s="14"/>
      <c r="I124" s="29" t="e">
        <f t="shared" si="28"/>
        <v>#DIV/0!</v>
      </c>
      <c r="J124" s="10"/>
      <c r="K124" s="10" t="e">
        <f t="shared" si="29"/>
        <v>#DIV/0!</v>
      </c>
      <c r="L124" s="14">
        <f>'[1]2024_60-69 ΕΞΟΔΑ+ΟΜ 2'!J73</f>
        <v>8.69</v>
      </c>
      <c r="M124" s="15">
        <f t="shared" si="30"/>
        <v>1.1317506189464691E-3</v>
      </c>
      <c r="N124" s="10">
        <f>L124+'[1]2025 Ιούνιος'!N124</f>
        <v>192.29</v>
      </c>
      <c r="O124" s="15">
        <f t="shared" si="31"/>
        <v>1.9075900636670213E-3</v>
      </c>
      <c r="P124" s="10"/>
      <c r="Q124" s="30" t="e">
        <f t="shared" si="25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2'!J82</f>
        <v>0</v>
      </c>
      <c r="E125" s="15">
        <f t="shared" si="26"/>
        <v>0</v>
      </c>
      <c r="F125" s="10">
        <f>D125+'[1]2025 Ιούνιος'!F125</f>
        <v>44.75</v>
      </c>
      <c r="G125" s="15">
        <f t="shared" si="27"/>
        <v>4.7128356052360412E-4</v>
      </c>
      <c r="H125" s="14"/>
      <c r="I125" s="29" t="e">
        <f t="shared" si="28"/>
        <v>#DIV/0!</v>
      </c>
      <c r="J125" s="10"/>
      <c r="K125" s="10" t="e">
        <f t="shared" si="29"/>
        <v>#DIV/0!</v>
      </c>
      <c r="L125" s="14">
        <f>'[1]2024_60-69 ΕΞΟΔΑ+ΟΜ 2'!J74</f>
        <v>0</v>
      </c>
      <c r="M125" s="15">
        <f t="shared" si="30"/>
        <v>0</v>
      </c>
      <c r="N125" s="10">
        <f>L125+'[1]2025 Ιούνιος'!N125</f>
        <v>52.139999999999993</v>
      </c>
      <c r="O125" s="15">
        <f t="shared" si="31"/>
        <v>5.1724866565915279E-4</v>
      </c>
      <c r="P125" s="10"/>
      <c r="Q125" s="30" t="e">
        <f t="shared" si="25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2'!J83</f>
        <v>0</v>
      </c>
      <c r="E126" s="15">
        <f t="shared" si="26"/>
        <v>0</v>
      </c>
      <c r="F126" s="10">
        <f>D126+'[1]2025 Ιούνιος'!F126</f>
        <v>0</v>
      </c>
      <c r="G126" s="15">
        <f t="shared" si="27"/>
        <v>0</v>
      </c>
      <c r="H126" s="14"/>
      <c r="I126" s="29" t="e">
        <f t="shared" si="28"/>
        <v>#DIV/0!</v>
      </c>
      <c r="J126" s="10"/>
      <c r="K126" s="10" t="e">
        <f t="shared" si="29"/>
        <v>#DIV/0!</v>
      </c>
      <c r="L126" s="14">
        <f>'[1]2024_60-69 ΕΞΟΔΑ+ΟΜ 2'!J75</f>
        <v>34.75</v>
      </c>
      <c r="M126" s="15">
        <f t="shared" si="30"/>
        <v>4.5257001160402535E-3</v>
      </c>
      <c r="N126" s="10">
        <f>L126+'[1]2025 Ιούνιος'!N126</f>
        <v>34.75</v>
      </c>
      <c r="O126" s="15">
        <f t="shared" si="31"/>
        <v>3.4473323996270737E-4</v>
      </c>
      <c r="P126" s="10"/>
      <c r="Q126" s="30" t="e">
        <f t="shared" si="25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2'!J84</f>
        <v>0</v>
      </c>
      <c r="E127" s="15">
        <f t="shared" si="26"/>
        <v>0</v>
      </c>
      <c r="F127" s="10">
        <f>D127+'[1]2025 Ιούνιος'!F127</f>
        <v>173.75</v>
      </c>
      <c r="G127" s="15">
        <f t="shared" si="27"/>
        <v>1.829843991977122E-3</v>
      </c>
      <c r="H127" s="14"/>
      <c r="I127" s="29" t="e">
        <f t="shared" si="28"/>
        <v>#DIV/0!</v>
      </c>
      <c r="J127" s="10"/>
      <c r="K127" s="10" t="e">
        <f t="shared" si="29"/>
        <v>#DIV/0!</v>
      </c>
      <c r="L127" s="14">
        <f>'[1]2024_60-69 ΕΞΟΔΑ+ΟΜ 2'!J76</f>
        <v>0</v>
      </c>
      <c r="M127" s="15">
        <f t="shared" si="30"/>
        <v>0</v>
      </c>
      <c r="N127" s="10">
        <f>L127+'[1]2025 Ιούνιος'!N127</f>
        <v>208.5</v>
      </c>
      <c r="O127" s="15">
        <f t="shared" si="31"/>
        <v>2.0683994397762439E-3</v>
      </c>
      <c r="P127" s="10"/>
      <c r="Q127" s="30" t="e">
        <f t="shared" si="25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2'!J85</f>
        <v>0</v>
      </c>
      <c r="E128" s="15">
        <f t="shared" si="26"/>
        <v>0</v>
      </c>
      <c r="F128" s="10">
        <f>D128+'[1]2025 Ιούνιος'!F128</f>
        <v>0</v>
      </c>
      <c r="G128" s="15">
        <f t="shared" si="27"/>
        <v>0</v>
      </c>
      <c r="H128" s="14"/>
      <c r="I128" s="29" t="e">
        <f t="shared" si="28"/>
        <v>#DIV/0!</v>
      </c>
      <c r="J128" s="10"/>
      <c r="K128" s="10" t="e">
        <f t="shared" si="29"/>
        <v>#DIV/0!</v>
      </c>
      <c r="L128" s="14">
        <f>'[1]2024_60-69 ΕΞΟΔΑ+ΟΜ 2'!J77</f>
        <v>0</v>
      </c>
      <c r="M128" s="15">
        <f t="shared" si="30"/>
        <v>0</v>
      </c>
      <c r="N128" s="10">
        <f>L128+'[1]2025 Ιούνιος'!N128</f>
        <v>0</v>
      </c>
      <c r="O128" s="15">
        <f t="shared" si="31"/>
        <v>0</v>
      </c>
      <c r="P128" s="10"/>
      <c r="Q128" s="30" t="e">
        <f t="shared" si="25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2'!J86</f>
        <v>0</v>
      </c>
      <c r="E129" s="15">
        <f t="shared" si="26"/>
        <v>0</v>
      </c>
      <c r="F129" s="10">
        <f>D129+'[1]2025 Ιούνιος'!F129</f>
        <v>0</v>
      </c>
      <c r="G129" s="15">
        <f t="shared" si="27"/>
        <v>0</v>
      </c>
      <c r="H129" s="14"/>
      <c r="I129" s="29" t="e">
        <f t="shared" si="28"/>
        <v>#DIV/0!</v>
      </c>
      <c r="J129" s="10"/>
      <c r="K129" s="10" t="e">
        <f t="shared" si="29"/>
        <v>#DIV/0!</v>
      </c>
      <c r="L129" s="14">
        <f>'[1]2024_60-69 ΕΞΟΔΑ+ΟΜ 2'!J78</f>
        <v>0</v>
      </c>
      <c r="M129" s="15">
        <f t="shared" si="30"/>
        <v>0</v>
      </c>
      <c r="N129" s="10">
        <f>L129+'[1]2025 Ιούνιος'!N129</f>
        <v>0</v>
      </c>
      <c r="O129" s="15">
        <f t="shared" si="31"/>
        <v>0</v>
      </c>
      <c r="P129" s="10"/>
      <c r="Q129" s="30" t="e">
        <f t="shared" si="25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2'!J87</f>
        <v>0</v>
      </c>
      <c r="E130" s="15">
        <f t="shared" si="26"/>
        <v>0</v>
      </c>
      <c r="F130" s="10">
        <f>D130+'[1]2025 Ιούνιος'!F130</f>
        <v>0</v>
      </c>
      <c r="G130" s="15">
        <f t="shared" si="27"/>
        <v>0</v>
      </c>
      <c r="H130" s="14"/>
      <c r="I130" s="29" t="e">
        <f t="shared" si="28"/>
        <v>#DIV/0!</v>
      </c>
      <c r="J130" s="10"/>
      <c r="K130" s="10" t="e">
        <f t="shared" si="29"/>
        <v>#DIV/0!</v>
      </c>
      <c r="L130" s="14">
        <f>'[1]2024_60-69 ΕΞΟΔΑ+ΟΜ 2'!J79</f>
        <v>0</v>
      </c>
      <c r="M130" s="15">
        <f t="shared" si="30"/>
        <v>0</v>
      </c>
      <c r="N130" s="10">
        <f>L130+'[1]2025 Ιούνιος'!N130</f>
        <v>0</v>
      </c>
      <c r="O130" s="15">
        <f t="shared" si="31"/>
        <v>0</v>
      </c>
      <c r="P130" s="10"/>
      <c r="Q130" s="30" t="e">
        <f t="shared" si="25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2'!J88</f>
        <v>0</v>
      </c>
      <c r="E131" s="15">
        <f t="shared" si="26"/>
        <v>0</v>
      </c>
      <c r="F131" s="10">
        <f>D131+'[1]2025 Ιούνιος'!F131</f>
        <v>172.5</v>
      </c>
      <c r="G131" s="15">
        <f t="shared" si="27"/>
        <v>1.8166796467110997E-3</v>
      </c>
      <c r="H131" s="14"/>
      <c r="I131" s="29" t="e">
        <f t="shared" si="28"/>
        <v>#DIV/0!</v>
      </c>
      <c r="J131" s="10"/>
      <c r="K131" s="10" t="e">
        <f t="shared" si="29"/>
        <v>#DIV/0!</v>
      </c>
      <c r="L131" s="14">
        <f>'[1]2024_60-69 ΕΞΟΔΑ+ΟΜ 2'!J80</f>
        <v>265.68</v>
      </c>
      <c r="M131" s="15">
        <f t="shared" si="30"/>
        <v>3.4601093721714375E-2</v>
      </c>
      <c r="N131" s="10">
        <f>L131+'[1]2025 Ιούνιος'!N131</f>
        <v>514.18000000000006</v>
      </c>
      <c r="O131" s="15">
        <f t="shared" si="31"/>
        <v>5.1008615057273349E-3</v>
      </c>
      <c r="P131" s="10"/>
      <c r="Q131" s="30" t="e">
        <f t="shared" si="25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2'!J89</f>
        <v>0</v>
      </c>
      <c r="E132" s="15">
        <f t="shared" si="26"/>
        <v>0</v>
      </c>
      <c r="F132" s="10">
        <f>D132+'[1]2025 Ιούνιος'!F132</f>
        <v>751.64</v>
      </c>
      <c r="G132" s="15">
        <f t="shared" si="27"/>
        <v>7.915878780602497E-3</v>
      </c>
      <c r="H132" s="14"/>
      <c r="I132" s="29" t="e">
        <f t="shared" si="28"/>
        <v>#DIV/0!</v>
      </c>
      <c r="J132" s="10"/>
      <c r="K132" s="10" t="e">
        <f t="shared" si="29"/>
        <v>#DIV/0!</v>
      </c>
      <c r="L132" s="14">
        <f>'[1]2024_60-69 ΕΞΟΔΑ+ΟΜ 2'!J81</f>
        <v>5.2</v>
      </c>
      <c r="M132" s="15">
        <f t="shared" si="30"/>
        <v>6.7722706772400921E-4</v>
      </c>
      <c r="N132" s="10">
        <f>L132+'[1]2025 Ιούνιος'!N132</f>
        <v>683.85000000000014</v>
      </c>
      <c r="O132" s="15">
        <f t="shared" si="31"/>
        <v>6.784052551035898E-3</v>
      </c>
      <c r="P132" s="10"/>
      <c r="Q132" s="30" t="e">
        <f t="shared" si="25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2'!J90</f>
        <v>0</v>
      </c>
      <c r="E133" s="15">
        <f t="shared" si="26"/>
        <v>0</v>
      </c>
      <c r="F133" s="10">
        <f>D133+'[1]2025 Ιούνιος'!F133</f>
        <v>88.68</v>
      </c>
      <c r="G133" s="15">
        <f t="shared" si="27"/>
        <v>9.3393131055269753E-4</v>
      </c>
      <c r="H133" s="14"/>
      <c r="I133" s="29" t="e">
        <f t="shared" si="28"/>
        <v>#DIV/0!</v>
      </c>
      <c r="J133" s="10"/>
      <c r="K133" s="10" t="e">
        <f t="shared" si="29"/>
        <v>#DIV/0!</v>
      </c>
      <c r="L133" s="14">
        <f>'[1]2024_60-69 ΕΞΟΔΑ+ΟΜ 2'!J82</f>
        <v>0.87</v>
      </c>
      <c r="M133" s="15">
        <f t="shared" si="30"/>
        <v>1.1330529786920922E-4</v>
      </c>
      <c r="N133" s="10">
        <f>L133+'[1]2025 Ιούνιος'!N133</f>
        <v>77.200000000000017</v>
      </c>
      <c r="O133" s="15">
        <f t="shared" si="31"/>
        <v>7.6585341367254711E-4</v>
      </c>
      <c r="P133" s="10"/>
      <c r="Q133" s="30" t="e">
        <f t="shared" si="25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2'!J91</f>
        <v>0</v>
      </c>
      <c r="E134" s="15">
        <f t="shared" si="26"/>
        <v>0</v>
      </c>
      <c r="F134" s="10">
        <f>D134+'[1]2025 Ιούνιος'!F134</f>
        <v>46.31</v>
      </c>
      <c r="G134" s="15">
        <f t="shared" si="27"/>
        <v>4.8771266341560013E-4</v>
      </c>
      <c r="H134" s="14"/>
      <c r="I134" s="29" t="e">
        <f t="shared" si="28"/>
        <v>#DIV/0!</v>
      </c>
      <c r="J134" s="10"/>
      <c r="K134" s="10" t="e">
        <f t="shared" si="29"/>
        <v>#DIV/0!</v>
      </c>
      <c r="L134" s="14">
        <f>'[1]2024_60-69 ΕΞΟΔΑ+ΟΜ 2'!J83</f>
        <v>87.68</v>
      </c>
      <c r="M134" s="15">
        <f t="shared" si="30"/>
        <v>1.1419090249623294E-2</v>
      </c>
      <c r="N134" s="10">
        <f>L134+'[1]2025 Ιούνιος'!N134</f>
        <v>121.00000000000001</v>
      </c>
      <c r="O134" s="15">
        <f t="shared" si="31"/>
        <v>1.2003661017406502E-3</v>
      </c>
      <c r="P134" s="10"/>
      <c r="Q134" s="30" t="e">
        <f t="shared" si="25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2'!J92</f>
        <v>0</v>
      </c>
      <c r="E135" s="15">
        <f t="shared" si="26"/>
        <v>0</v>
      </c>
      <c r="F135" s="10">
        <f>D135+'[1]2025 Ιούνιος'!F135</f>
        <v>62.370000000000005</v>
      </c>
      <c r="G135" s="15">
        <f t="shared" si="27"/>
        <v>6.5684817139345674E-4</v>
      </c>
      <c r="H135" s="14"/>
      <c r="I135" s="29" t="e">
        <f t="shared" si="28"/>
        <v>#DIV/0!</v>
      </c>
      <c r="J135" s="10"/>
      <c r="K135" s="10" t="e">
        <f t="shared" si="29"/>
        <v>#DIV/0!</v>
      </c>
      <c r="L135" s="14">
        <f>'[1]2024_60-69 ΕΞΟΔΑ+ΟΜ 2'!J84</f>
        <v>252.57</v>
      </c>
      <c r="M135" s="15">
        <f t="shared" si="30"/>
        <v>3.2893700095202497E-2</v>
      </c>
      <c r="N135" s="10">
        <f>L135+'[1]2025 Ιούνιος'!N135</f>
        <v>437.11</v>
      </c>
      <c r="O135" s="15">
        <f t="shared" si="31"/>
        <v>4.3362977415855831E-3</v>
      </c>
      <c r="P135" s="10"/>
      <c r="Q135" s="30" t="e">
        <f t="shared" si="25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2'!J93</f>
        <v>0</v>
      </c>
      <c r="E136" s="15">
        <f t="shared" si="26"/>
        <v>0</v>
      </c>
      <c r="F136" s="10">
        <f>D136+'[1]2025 Ιούνιος'!F136</f>
        <v>1482.8000000000002</v>
      </c>
      <c r="G136" s="15">
        <f t="shared" si="27"/>
        <v>1.5616072928366486E-2</v>
      </c>
      <c r="H136" s="14"/>
      <c r="I136" s="29" t="e">
        <f t="shared" si="28"/>
        <v>#DIV/0!</v>
      </c>
      <c r="J136" s="10"/>
      <c r="K136" s="10" t="e">
        <f t="shared" si="29"/>
        <v>#DIV/0!</v>
      </c>
      <c r="L136" s="14">
        <f>'[1]2024_60-69 ΕΞΟΔΑ+ΟΜ 2'!J85</f>
        <v>0</v>
      </c>
      <c r="M136" s="15">
        <f t="shared" si="30"/>
        <v>0</v>
      </c>
      <c r="N136" s="10">
        <f>L136+'[1]2025 Ιούνιος'!N136</f>
        <v>1835.6799999999998</v>
      </c>
      <c r="O136" s="15">
        <f t="shared" si="31"/>
        <v>1.8210645005316332E-2</v>
      </c>
      <c r="P136" s="10"/>
      <c r="Q136" s="30" t="e">
        <f t="shared" si="25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2'!J94</f>
        <v>0</v>
      </c>
      <c r="E137" s="15">
        <f t="shared" si="26"/>
        <v>0</v>
      </c>
      <c r="F137" s="10">
        <f>D137+'[1]2025 Ιούνιος'!F137</f>
        <v>25.62</v>
      </c>
      <c r="G137" s="15">
        <f t="shared" si="27"/>
        <v>2.6981642057239639E-4</v>
      </c>
      <c r="H137" s="14"/>
      <c r="I137" s="29" t="e">
        <f t="shared" si="28"/>
        <v>#DIV/0!</v>
      </c>
      <c r="J137" s="10"/>
      <c r="K137" s="10" t="e">
        <f t="shared" si="29"/>
        <v>#DIV/0!</v>
      </c>
      <c r="L137" s="14">
        <f>'[1]2024_60-69 ΕΞΟΔΑ+ΟΜ 2'!J86</f>
        <v>0</v>
      </c>
      <c r="M137" s="15">
        <f t="shared" si="30"/>
        <v>0</v>
      </c>
      <c r="N137" s="10">
        <f>L137+'[1]2025 Ιούνιος'!N137</f>
        <v>50.31</v>
      </c>
      <c r="O137" s="15">
        <f t="shared" si="31"/>
        <v>4.9909436841795126E-4</v>
      </c>
      <c r="P137" s="10"/>
      <c r="Q137" s="30" t="e">
        <f t="shared" si="25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2'!J95</f>
        <v>0</v>
      </c>
      <c r="E138" s="15">
        <f t="shared" si="26"/>
        <v>0</v>
      </c>
      <c r="F138" s="10">
        <f>D138+'[1]2025 Ιούνιος'!F138</f>
        <v>299.25</v>
      </c>
      <c r="G138" s="15">
        <f t="shared" si="27"/>
        <v>3.1515442566857773E-3</v>
      </c>
      <c r="H138" s="14"/>
      <c r="I138" s="29" t="e">
        <f t="shared" si="28"/>
        <v>#DIV/0!</v>
      </c>
      <c r="J138" s="10"/>
      <c r="K138" s="10" t="e">
        <f t="shared" si="29"/>
        <v>#DIV/0!</v>
      </c>
      <c r="L138" s="14">
        <f>'[1]2024_60-69 ΕΞΟΔΑ+ΟΜ 2'!J87</f>
        <v>0</v>
      </c>
      <c r="M138" s="15">
        <f t="shared" si="30"/>
        <v>0</v>
      </c>
      <c r="N138" s="10">
        <f>L138+'[1]2025 Ιούνιος'!N138</f>
        <v>469.58000000000004</v>
      </c>
      <c r="O138" s="15">
        <f t="shared" si="31"/>
        <v>4.6584125128543343E-3</v>
      </c>
      <c r="P138" s="10"/>
      <c r="Q138" s="30" t="e">
        <f t="shared" si="25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2'!J96</f>
        <v>0</v>
      </c>
      <c r="E139" s="15">
        <f t="shared" si="26"/>
        <v>0</v>
      </c>
      <c r="F139" s="10">
        <f>D139+'[1]2025 Ιούνιος'!F139</f>
        <v>0</v>
      </c>
      <c r="G139" s="15">
        <f t="shared" si="27"/>
        <v>0</v>
      </c>
      <c r="H139" s="14"/>
      <c r="I139" s="29" t="e">
        <f t="shared" si="28"/>
        <v>#DIV/0!</v>
      </c>
      <c r="J139" s="10"/>
      <c r="K139" s="10" t="e">
        <f t="shared" si="29"/>
        <v>#DIV/0!</v>
      </c>
      <c r="L139" s="14">
        <f>'[1]2024_60-69 ΕΞΟΔΑ+ΟΜ 2'!J88</f>
        <v>0</v>
      </c>
      <c r="M139" s="15">
        <f t="shared" si="30"/>
        <v>0</v>
      </c>
      <c r="N139" s="10">
        <f>L139+'[1]2025 Ιούνιος'!N139</f>
        <v>0</v>
      </c>
      <c r="O139" s="15">
        <f t="shared" si="31"/>
        <v>0</v>
      </c>
      <c r="P139" s="10"/>
      <c r="Q139" s="30" t="e">
        <f t="shared" si="25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2'!J97</f>
        <v>0</v>
      </c>
      <c r="E140" s="15">
        <f t="shared" si="26"/>
        <v>0</v>
      </c>
      <c r="F140" s="10">
        <f>D140+'[1]2025 Ιούνιος'!F140</f>
        <v>0</v>
      </c>
      <c r="G140" s="15">
        <f t="shared" si="27"/>
        <v>0</v>
      </c>
      <c r="H140" s="14"/>
      <c r="I140" s="29" t="e">
        <f t="shared" si="28"/>
        <v>#DIV/0!</v>
      </c>
      <c r="J140" s="10"/>
      <c r="K140" s="10" t="e">
        <f t="shared" si="29"/>
        <v>#DIV/0!</v>
      </c>
      <c r="L140" s="14">
        <f>'[1]2024_60-69 ΕΞΟΔΑ+ΟΜ 2'!J89</f>
        <v>0</v>
      </c>
      <c r="M140" s="15">
        <f t="shared" si="30"/>
        <v>0</v>
      </c>
      <c r="N140" s="10">
        <f>L140+'[1]2025 Ιούνιος'!N140</f>
        <v>0</v>
      </c>
      <c r="O140" s="15">
        <f t="shared" si="31"/>
        <v>0</v>
      </c>
      <c r="P140" s="10"/>
      <c r="Q140" s="30" t="e">
        <f t="shared" si="25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2'!J98</f>
        <v>0</v>
      </c>
      <c r="E141" s="15">
        <f t="shared" si="26"/>
        <v>0</v>
      </c>
      <c r="F141" s="10">
        <f>D141+'[1]2025 Ιούνιος'!F141</f>
        <v>0</v>
      </c>
      <c r="G141" s="15">
        <f t="shared" si="27"/>
        <v>0</v>
      </c>
      <c r="H141" s="14"/>
      <c r="I141" s="29" t="e">
        <f t="shared" si="28"/>
        <v>#DIV/0!</v>
      </c>
      <c r="J141" s="10"/>
      <c r="K141" s="10" t="e">
        <f t="shared" si="29"/>
        <v>#DIV/0!</v>
      </c>
      <c r="L141" s="14">
        <f>'[1]2024_60-69 ΕΞΟΔΑ+ΟΜ 2'!J90</f>
        <v>244.16</v>
      </c>
      <c r="M141" s="15">
        <f t="shared" si="30"/>
        <v>3.1798415549133478E-2</v>
      </c>
      <c r="N141" s="10">
        <f>L141+'[1]2025 Ιούνιος'!N141</f>
        <v>244.16</v>
      </c>
      <c r="O141" s="15">
        <f t="shared" si="31"/>
        <v>2.4221602264545214E-3</v>
      </c>
      <c r="P141" s="10"/>
      <c r="Q141" s="30" t="e">
        <f t="shared" si="25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2'!J99</f>
        <v>0</v>
      </c>
      <c r="E142" s="15">
        <f t="shared" si="26"/>
        <v>0</v>
      </c>
      <c r="F142" s="10">
        <f>D142+'[1]2025 Ιούνιος'!F142</f>
        <v>1086.5899999999999</v>
      </c>
      <c r="G142" s="15">
        <f t="shared" si="27"/>
        <v>1.1443396738085875E-2</v>
      </c>
      <c r="H142" s="14"/>
      <c r="I142" s="29" t="e">
        <f t="shared" si="28"/>
        <v>#DIV/0!</v>
      </c>
      <c r="J142" s="10"/>
      <c r="K142" s="10" t="e">
        <f t="shared" si="29"/>
        <v>#DIV/0!</v>
      </c>
      <c r="L142" s="14">
        <f>'[1]2024_60-69 ΕΞΟΔΑ+ΟΜ 2'!J91</f>
        <v>1250</v>
      </c>
      <c r="M142" s="15">
        <f t="shared" si="30"/>
        <v>0.1627949682028868</v>
      </c>
      <c r="N142" s="10">
        <f>L142+'[1]2025 Ιούνιος'!N142</f>
        <v>2151.3000000000002</v>
      </c>
      <c r="O142" s="15">
        <f t="shared" si="31"/>
        <v>2.134171565846827E-2</v>
      </c>
      <c r="P142" s="10"/>
      <c r="Q142" s="30" t="e">
        <f t="shared" si="25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2'!J100</f>
        <v>0</v>
      </c>
      <c r="E143" s="15">
        <f t="shared" si="26"/>
        <v>0</v>
      </c>
      <c r="F143" s="10">
        <f>D143+'[1]2025 Ιούνιος'!F143</f>
        <v>5242.7299999999996</v>
      </c>
      <c r="G143" s="15">
        <f t="shared" si="27"/>
        <v>5.5213686285227145E-2</v>
      </c>
      <c r="H143" s="14"/>
      <c r="I143" s="29" t="e">
        <f t="shared" si="28"/>
        <v>#DIV/0!</v>
      </c>
      <c r="J143" s="10"/>
      <c r="K143" s="10" t="e">
        <f t="shared" si="29"/>
        <v>#DIV/0!</v>
      </c>
      <c r="L143" s="14">
        <f>'[1]2024_60-69 ΕΞΟΔΑ+ΟΜ 2'!J92</f>
        <v>448.23</v>
      </c>
      <c r="M143" s="15">
        <f t="shared" si="30"/>
        <v>5.8375670878063966E-2</v>
      </c>
      <c r="N143" s="10">
        <f>L143+'[1]2025 Ιούνιος'!N143</f>
        <v>5248.23</v>
      </c>
      <c r="O143" s="15">
        <f t="shared" si="31"/>
        <v>5.2064441207754802E-2</v>
      </c>
      <c r="P143" s="10"/>
      <c r="Q143" s="30" t="e">
        <f t="shared" si="25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2'!J101</f>
        <v>0</v>
      </c>
      <c r="E144" s="15">
        <f t="shared" si="26"/>
        <v>0</v>
      </c>
      <c r="F144" s="10">
        <f>D144+'[1]2025 Ιούνιος'!F144</f>
        <v>4600.62</v>
      </c>
      <c r="G144" s="15">
        <f t="shared" si="27"/>
        <v>4.8451320094214601E-2</v>
      </c>
      <c r="H144" s="14"/>
      <c r="I144" s="29" t="e">
        <f t="shared" si="28"/>
        <v>#DIV/0!</v>
      </c>
      <c r="J144" s="10"/>
      <c r="K144" s="10" t="e">
        <f t="shared" si="29"/>
        <v>#DIV/0!</v>
      </c>
      <c r="L144" s="14">
        <f>'[1]2024_60-69 ΕΞΟΔΑ+ΟΜ 2'!J93</f>
        <v>196.93</v>
      </c>
      <c r="M144" s="15">
        <f t="shared" si="30"/>
        <v>2.5647370470555601E-2</v>
      </c>
      <c r="N144" s="10">
        <f>L144+'[1]2025 Ιούνιος'!N144</f>
        <v>2756</v>
      </c>
      <c r="O144" s="15">
        <f t="shared" si="31"/>
        <v>2.7340570052869682E-2</v>
      </c>
      <c r="P144" s="10"/>
      <c r="Q144" s="30" t="e">
        <f t="shared" si="25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2'!J102</f>
        <v>0</v>
      </c>
      <c r="E145" s="15">
        <f t="shared" si="26"/>
        <v>0</v>
      </c>
      <c r="F145" s="10">
        <f>D145+'[1]2025 Ιούνιος'!F145</f>
        <v>2050.08</v>
      </c>
      <c r="G145" s="15">
        <f t="shared" si="27"/>
        <v>2.1590368754373861E-2</v>
      </c>
      <c r="H145" s="14"/>
      <c r="I145" s="29" t="e">
        <f t="shared" si="28"/>
        <v>#DIV/0!</v>
      </c>
      <c r="J145" s="10"/>
      <c r="K145" s="10" t="e">
        <f t="shared" si="29"/>
        <v>#DIV/0!</v>
      </c>
      <c r="L145" s="14">
        <f>'[1]2024_60-69 ΕΞΟΔΑ+ΟΜ 2'!J94</f>
        <v>97.33</v>
      </c>
      <c r="M145" s="15">
        <f t="shared" si="30"/>
        <v>1.2675867404149579E-2</v>
      </c>
      <c r="N145" s="10">
        <f>L145+'[1]2025 Ιούνιος'!N145</f>
        <v>1502.76</v>
      </c>
      <c r="O145" s="15">
        <f t="shared" si="31"/>
        <v>1.4907951760758506E-2</v>
      </c>
      <c r="P145" s="10"/>
      <c r="Q145" s="30" t="e">
        <f t="shared" si="25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2'!J103</f>
        <v>0</v>
      </c>
      <c r="E146" s="15">
        <f t="shared" si="26"/>
        <v>0</v>
      </c>
      <c r="F146" s="10">
        <f>D146+'[1]2025 Ιούνιος'!F146</f>
        <v>345.75</v>
      </c>
      <c r="G146" s="15">
        <f t="shared" si="27"/>
        <v>3.6412579005818124E-3</v>
      </c>
      <c r="H146" s="14"/>
      <c r="I146" s="29" t="e">
        <f t="shared" si="28"/>
        <v>#DIV/0!</v>
      </c>
      <c r="J146" s="10"/>
      <c r="K146" s="10" t="e">
        <f t="shared" si="29"/>
        <v>#DIV/0!</v>
      </c>
      <c r="L146" s="14">
        <f>'[1]2024_60-69 ΕΞΟΔΑ+ΟΜ 2'!J95</f>
        <v>0</v>
      </c>
      <c r="M146" s="15">
        <f t="shared" si="30"/>
        <v>0</v>
      </c>
      <c r="N146" s="10">
        <f>L146+'[1]2025 Ιούνιος'!N146</f>
        <v>713.29</v>
      </c>
      <c r="O146" s="15">
        <f t="shared" si="31"/>
        <v>7.0761085678561009E-3</v>
      </c>
      <c r="P146" s="10"/>
      <c r="Q146" s="30" t="e">
        <f t="shared" si="25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2'!J104</f>
        <v>0</v>
      </c>
      <c r="E147" s="15">
        <f t="shared" si="26"/>
        <v>0</v>
      </c>
      <c r="F147" s="10">
        <f>D147+'[1]2025 Ιούνιος'!F147</f>
        <v>0</v>
      </c>
      <c r="G147" s="15">
        <f t="shared" si="27"/>
        <v>0</v>
      </c>
      <c r="H147" s="14"/>
      <c r="I147" s="29" t="e">
        <f t="shared" si="28"/>
        <v>#DIV/0!</v>
      </c>
      <c r="J147" s="10"/>
      <c r="K147" s="10" t="e">
        <f t="shared" si="29"/>
        <v>#DIV/0!</v>
      </c>
      <c r="L147" s="14">
        <f>'[1]2024_60-69 ΕΞΟΔΑ+ΟΜ 2'!J96</f>
        <v>0</v>
      </c>
      <c r="M147" s="15">
        <f t="shared" si="30"/>
        <v>0</v>
      </c>
      <c r="N147" s="10">
        <f>L147+'[1]2025 Ιούνιος'!N147</f>
        <v>0</v>
      </c>
      <c r="O147" s="15">
        <f t="shared" si="31"/>
        <v>0</v>
      </c>
      <c r="P147" s="10"/>
      <c r="Q147" s="30" t="e">
        <f t="shared" si="25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2'!J105</f>
        <v>0</v>
      </c>
      <c r="E148" s="15">
        <f t="shared" si="26"/>
        <v>0</v>
      </c>
      <c r="F148" s="10">
        <f>D148+'[1]2025 Ιούνιος'!F148</f>
        <v>0</v>
      </c>
      <c r="G148" s="15">
        <f t="shared" si="27"/>
        <v>0</v>
      </c>
      <c r="H148" s="14"/>
      <c r="I148" s="29" t="e">
        <f t="shared" si="28"/>
        <v>#DIV/0!</v>
      </c>
      <c r="J148" s="10"/>
      <c r="K148" s="10" t="e">
        <f t="shared" si="29"/>
        <v>#DIV/0!</v>
      </c>
      <c r="L148" s="14">
        <f>'[1]2024_60-69 ΕΞΟΔΑ+ΟΜ 2'!J97</f>
        <v>394.61</v>
      </c>
      <c r="M148" s="15">
        <f t="shared" si="30"/>
        <v>5.1392417922032932E-2</v>
      </c>
      <c r="N148" s="10">
        <f>L148+'[1]2025 Ιούνιος'!N148</f>
        <v>394.61</v>
      </c>
      <c r="O148" s="15">
        <f t="shared" si="31"/>
        <v>3.9146815488254371E-3</v>
      </c>
      <c r="P148" s="10"/>
      <c r="Q148" s="30" t="e">
        <f t="shared" si="25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2'!J106</f>
        <v>777.67000000000007</v>
      </c>
      <c r="E149" s="15">
        <f t="shared" si="26"/>
        <v>1</v>
      </c>
      <c r="F149" s="10">
        <f>D149+'[1]2025 Ιούνιος'!F149</f>
        <v>4915.04</v>
      </c>
      <c r="G149" s="15">
        <f t="shared" si="27"/>
        <v>5.1762626845048829E-2</v>
      </c>
      <c r="H149" s="14"/>
      <c r="I149" s="29" t="e">
        <f t="shared" si="28"/>
        <v>#DIV/0!</v>
      </c>
      <c r="J149" s="10"/>
      <c r="K149" s="10" t="e">
        <f t="shared" si="29"/>
        <v>#DIV/0!</v>
      </c>
      <c r="L149" s="14">
        <f>'[1]2024_60-69 ΕΞΟΔΑ+ΟΜ 2'!J98</f>
        <v>0</v>
      </c>
      <c r="M149" s="15">
        <f t="shared" si="30"/>
        <v>0</v>
      </c>
      <c r="N149" s="10">
        <f>L149+'[1]2025 Ιούνιος'!N149</f>
        <v>2966.61</v>
      </c>
      <c r="O149" s="15">
        <f t="shared" si="31"/>
        <v>2.9429901496568843E-2</v>
      </c>
      <c r="P149" s="10"/>
      <c r="Q149" s="30" t="e">
        <f t="shared" si="25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2'!J107</f>
        <v>0</v>
      </c>
      <c r="E150" s="15">
        <f t="shared" si="26"/>
        <v>0</v>
      </c>
      <c r="F150" s="10">
        <f>D150+'[1]2025 Ιούνιος'!F150</f>
        <v>0</v>
      </c>
      <c r="G150" s="15">
        <f t="shared" si="27"/>
        <v>0</v>
      </c>
      <c r="H150" s="14"/>
      <c r="I150" s="29" t="e">
        <f t="shared" si="28"/>
        <v>#DIV/0!</v>
      </c>
      <c r="J150" s="10"/>
      <c r="K150" s="10" t="e">
        <f t="shared" si="29"/>
        <v>#DIV/0!</v>
      </c>
      <c r="L150" s="14">
        <f>'[1]2024_60-69 ΕΞΟΔΑ+ΟΜ 2'!J99</f>
        <v>373.4</v>
      </c>
      <c r="M150" s="15">
        <f t="shared" si="30"/>
        <v>4.8630112901566346E-2</v>
      </c>
      <c r="N150" s="10">
        <f>L150+'[1]2025 Ιούνιος'!N150</f>
        <v>373.4</v>
      </c>
      <c r="O150" s="15">
        <f t="shared" si="31"/>
        <v>3.7042702676856089E-3</v>
      </c>
      <c r="P150" s="10"/>
      <c r="Q150" s="30" t="e">
        <f t="shared" si="25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2'!J108</f>
        <v>0</v>
      </c>
      <c r="E151" s="15">
        <f t="shared" si="26"/>
        <v>0</v>
      </c>
      <c r="F151" s="10">
        <f>D151+'[1]2025 Ιούνιος'!F151</f>
        <v>2393.4199999999996</v>
      </c>
      <c r="G151" s="15">
        <f t="shared" si="27"/>
        <v>2.5206245797282777E-2</v>
      </c>
      <c r="H151" s="14"/>
      <c r="I151" s="29" t="e">
        <f t="shared" si="28"/>
        <v>#DIV/0!</v>
      </c>
      <c r="J151" s="10"/>
      <c r="K151" s="10" t="e">
        <f t="shared" si="29"/>
        <v>#DIV/0!</v>
      </c>
      <c r="L151" s="14">
        <f>'[1]2024_60-69 ΕΞΟΔΑ+ΟΜ 2'!J100</f>
        <v>540.63</v>
      </c>
      <c r="M151" s="15">
        <f t="shared" si="30"/>
        <v>7.0409474927621354E-2</v>
      </c>
      <c r="N151" s="10">
        <f>L151+'[1]2025 Ιούνιος'!N151</f>
        <v>1096.8499999999999</v>
      </c>
      <c r="O151" s="15">
        <f t="shared" si="31"/>
        <v>1.08811699065639E-2</v>
      </c>
      <c r="P151" s="10"/>
      <c r="Q151" s="30" t="e">
        <f t="shared" si="25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2'!J109</f>
        <v>0</v>
      </c>
      <c r="E152" s="15">
        <f t="shared" si="26"/>
        <v>0</v>
      </c>
      <c r="F152" s="10">
        <f>D152+'[1]2025 Ιούνιος'!F152</f>
        <v>0</v>
      </c>
      <c r="G152" s="15">
        <f t="shared" si="27"/>
        <v>0</v>
      </c>
      <c r="H152" s="14"/>
      <c r="I152" s="29" t="e">
        <f t="shared" si="28"/>
        <v>#DIV/0!</v>
      </c>
      <c r="J152" s="10"/>
      <c r="K152" s="10" t="e">
        <f t="shared" si="29"/>
        <v>#DIV/0!</v>
      </c>
      <c r="L152" s="14">
        <f>'[1]2024_60-69 ΕΞΟΔΑ+ΟΜ 2'!J101</f>
        <v>0</v>
      </c>
      <c r="M152" s="15">
        <f t="shared" si="30"/>
        <v>0</v>
      </c>
      <c r="N152" s="10">
        <f>L152+'[1]2025 Ιούνιος'!N152</f>
        <v>4274</v>
      </c>
      <c r="O152" s="15">
        <f t="shared" si="31"/>
        <v>4.2399708420161476E-2</v>
      </c>
      <c r="P152" s="10"/>
      <c r="Q152" s="30" t="e">
        <f t="shared" si="25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2'!J110</f>
        <v>0</v>
      </c>
      <c r="E153" s="15">
        <f t="shared" si="26"/>
        <v>0</v>
      </c>
      <c r="F153" s="10">
        <f>D153+'[1]2025 Ιούνιος'!F153</f>
        <v>4666.0200000000004</v>
      </c>
      <c r="G153" s="15">
        <f t="shared" si="27"/>
        <v>4.9140078638532904E-2</v>
      </c>
      <c r="H153" s="14"/>
      <c r="I153" s="29" t="e">
        <f t="shared" si="28"/>
        <v>#DIV/0!</v>
      </c>
      <c r="J153" s="10"/>
      <c r="K153" s="10" t="e">
        <f t="shared" si="29"/>
        <v>#DIV/0!</v>
      </c>
      <c r="L153" s="14">
        <f>'[1]2024_60-69 ΕΞΟΔΑ+ΟΜ 2'!J102</f>
        <v>44.55</v>
      </c>
      <c r="M153" s="15">
        <f t="shared" si="30"/>
        <v>5.8020126667508859E-3</v>
      </c>
      <c r="N153" s="10">
        <f>L153+'[1]2025 Ιούνιος'!N153</f>
        <v>44.55</v>
      </c>
      <c r="O153" s="15">
        <f t="shared" si="31"/>
        <v>4.4195297382269383E-4</v>
      </c>
      <c r="P153" s="10"/>
      <c r="Q153" s="30" t="e">
        <f t="shared" si="25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2'!J73</f>
        <v>0</v>
      </c>
      <c r="E157" s="8"/>
      <c r="F157" s="7">
        <f>D157+'[1]2025 Ιούνιος'!F157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7678.37</v>
      </c>
      <c r="M157" s="8"/>
      <c r="N157" s="7">
        <f>SUM(N117:N156)</f>
        <v>100802.57999999999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>
        <f>F116-F157</f>
        <v>94953.449999999968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D7-D78-D111-D157</f>
        <v>-7839.9766666666674</v>
      </c>
      <c r="E159" s="4"/>
      <c r="F159" s="31">
        <f>F7-F78-F111-F157</f>
        <v>-24264.630825958739</v>
      </c>
      <c r="G159" s="4"/>
      <c r="H159" s="31">
        <f ca="1">H7-H78-H111-H157</f>
        <v>0</v>
      </c>
      <c r="I159" s="4"/>
      <c r="J159" s="31">
        <f ca="1">J7-J78-J111-J157</f>
        <v>332300.95283554913</v>
      </c>
      <c r="K159" s="4"/>
      <c r="L159" s="31">
        <f ca="1">L7-L78-L111-L157</f>
        <v>16425.669999999987</v>
      </c>
      <c r="M159" s="4"/>
      <c r="N159" s="31">
        <f ca="1">N7-N78-N111-N157</f>
        <v>-425101.14994690241</v>
      </c>
      <c r="O159" s="4"/>
      <c r="P159" s="31"/>
      <c r="Q159" s="4"/>
    </row>
  </sheetData>
  <mergeCells count="33">
    <mergeCell ref="D114:F114"/>
    <mergeCell ref="H114:J114"/>
    <mergeCell ref="L114:N114"/>
    <mergeCell ref="P114:Q114"/>
    <mergeCell ref="D82:F82"/>
    <mergeCell ref="H82:J82"/>
    <mergeCell ref="L82:N82"/>
    <mergeCell ref="P82:Q82"/>
    <mergeCell ref="D113:G113"/>
    <mergeCell ref="H113:K113"/>
    <mergeCell ref="L113:O113"/>
    <mergeCell ref="P113:Q113"/>
    <mergeCell ref="D41:F41"/>
    <mergeCell ref="H41:J41"/>
    <mergeCell ref="L41:N41"/>
    <mergeCell ref="P41:Q41"/>
    <mergeCell ref="D81:G81"/>
    <mergeCell ref="H81:K81"/>
    <mergeCell ref="L81:O81"/>
    <mergeCell ref="P81:Q81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59"/>
  <sheetViews>
    <sheetView topLeftCell="A90" workbookViewId="0">
      <selection activeCell="B85" sqref="B85:B110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</row>
    <row r="2" spans="1:17" ht="41.25" customHeight="1" x14ac:dyDescent="0.25">
      <c r="A2" s="57">
        <v>1</v>
      </c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>
        <f>[1]ΑΝΤΙΣΤΟΙΧΙΣΗ!$D$34</f>
        <v>2025</v>
      </c>
      <c r="H2" s="182" t="str">
        <f>[1]ΑΝΤΙΣΤΟΙΧΙΣΗ!$F$35</f>
        <v>ΠΡΟΥΠΟΛΟΓΙΣΜΟΣ ΤΡΕΧΟΝΤΟΣ ΕΤΟΥΣ</v>
      </c>
      <c r="I2" s="182"/>
      <c r="J2" s="182"/>
      <c r="K2" s="182">
        <f>[1]ΑΝΤΙΣΤΟΙΧΙΣΗ!$D$34</f>
        <v>2025</v>
      </c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161</v>
      </c>
      <c r="D3" s="180" t="str">
        <f>[1]ΑΝΤΙΣΤΟΙΧΙΣΗ!$F$113</f>
        <v xml:space="preserve">ΑΥΓΟΥΣΤΟΣ ΤΡΕΧΟΝ ΕΤΟΣ </v>
      </c>
      <c r="E3" s="180"/>
      <c r="F3" s="180"/>
      <c r="G3" s="61">
        <f>[1]ΑΝΤΙΣΤΟΙΧΙΣΗ!$D$34</f>
        <v>2025</v>
      </c>
      <c r="H3" s="180" t="str">
        <f>[1]ΑΝΤΙΣΤΟΙΧΙΣΗ!$F$113</f>
        <v xml:space="preserve">ΑΥΓΟΥΣΤΟΣ ΤΡΕΧΟΝ ΕΤΟΣ </v>
      </c>
      <c r="I3" s="180"/>
      <c r="J3" s="180"/>
      <c r="K3" s="61">
        <f>[1]ΑΝΤΙΣΤΟΙΧΙΣΗ!$D$34</f>
        <v>2025</v>
      </c>
      <c r="L3" s="180" t="str">
        <f>[1]ΑΝΤΙΣΤΟΙΧΙΣΗ!$F$127</f>
        <v>ΑΥΓΟΥΣΤΟΣ ΠΡΟΗΓΟΥΜΕΝΟΥ ΕΤΟΥΣ</v>
      </c>
      <c r="M3" s="180"/>
      <c r="N3" s="180"/>
      <c r="O3" s="61">
        <f>[1]ΑΝΤΙΣΤΟΙΧΙΣΗ!$D$33</f>
        <v>2024</v>
      </c>
      <c r="P3" s="180"/>
      <c r="Q3" s="180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 ca="1">D7-D6</f>
        <v>-8617.6466666666674</v>
      </c>
      <c r="E5" s="4"/>
      <c r="F5" s="3">
        <f>F7-F6</f>
        <v>-78401.947492625332</v>
      </c>
      <c r="G5" s="4"/>
      <c r="H5" s="3">
        <f ca="1">H159-H6</f>
        <v>0</v>
      </c>
      <c r="I5" s="4"/>
      <c r="J5" s="3">
        <f ca="1">J159-J6</f>
        <v>0</v>
      </c>
      <c r="K5" s="4"/>
      <c r="L5" s="3">
        <f ca="1">L7-L6</f>
        <v>-1923.6199999999953</v>
      </c>
      <c r="M5" s="4"/>
      <c r="N5" s="3">
        <f ca="1">N7-N6</f>
        <v>225730.03805309732</v>
      </c>
      <c r="O5" s="4"/>
      <c r="P5" s="3">
        <f ca="1">P159-P6</f>
        <v>225749.70221238935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 ca="1">D43+D84+D116</f>
        <v>8617.6466666666674</v>
      </c>
      <c r="E6" s="4"/>
      <c r="F6" s="3">
        <f>F78+F111+F157</f>
        <v>294241.51333333331</v>
      </c>
      <c r="G6" s="4"/>
      <c r="H6" s="3">
        <f ca="1">H38-H43-H84</f>
        <v>0</v>
      </c>
      <c r="I6" s="4"/>
      <c r="J6" s="66">
        <f ca="1">J38-J43-J84</f>
        <v>417740.29416449001</v>
      </c>
      <c r="K6" s="4"/>
      <c r="L6" s="3">
        <f ca="1">L43+L84+L116</f>
        <v>72580.45</v>
      </c>
      <c r="M6" s="4"/>
      <c r="N6" s="66">
        <f ca="1">N78+N111+N157</f>
        <v>215859.23000000004</v>
      </c>
      <c r="O6" s="4"/>
      <c r="P6" s="3">
        <f ca="1">P38-P43-P84</f>
        <v>-225749.70221238935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SUM(D8:D37)</f>
        <v>0</v>
      </c>
      <c r="E7" s="8"/>
      <c r="F7" s="7">
        <f>SUM(F8:F37)</f>
        <v>215839.56584070798</v>
      </c>
      <c r="G7" s="8"/>
      <c r="H7" s="7">
        <f>SUM(H8:H37)</f>
        <v>0</v>
      </c>
      <c r="I7" s="8"/>
      <c r="J7" s="7">
        <f>SUM(J8:J37)</f>
        <v>417740.29416449001</v>
      </c>
      <c r="K7" s="8"/>
      <c r="L7" s="7">
        <f>SUM(L8:L37)</f>
        <v>70656.83</v>
      </c>
      <c r="M7" s="8"/>
      <c r="N7" s="7">
        <f>SUM(N8:N37)</f>
        <v>441589.26805309736</v>
      </c>
      <c r="O7" s="8"/>
      <c r="P7" s="7">
        <f>SUM(P8:P37)</f>
        <v>-225749.70221238935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'[1]2025_ΕΣΟΔΑ'!J2</f>
        <v>0</v>
      </c>
      <c r="E8" s="11" t="e">
        <f>D8/$D$7</f>
        <v>#DIV/0!</v>
      </c>
      <c r="F8" s="12">
        <f>D8+'[1]2025 Ιούλιος'!F8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Ιούλιος'!J8</f>
        <v>333904.83628838381</v>
      </c>
      <c r="K8" s="11">
        <f>J8/$J$7</f>
        <v>0.79931201503129345</v>
      </c>
      <c r="L8" s="68">
        <f>'[1]2024_60-69 ΕΞΟΔΑ+ΟΜ 2'!J114</f>
        <v>62815.14</v>
      </c>
      <c r="M8" s="11">
        <f>L8/$L$7</f>
        <v>0.88901724008846705</v>
      </c>
      <c r="N8" s="12">
        <f>L8+'[1]2025 Ιούλιος'!N8</f>
        <v>388625.57283185842</v>
      </c>
      <c r="O8" s="11">
        <f>N8/$N$7</f>
        <v>0.88006118116332821</v>
      </c>
      <c r="P8" s="12">
        <f t="shared" ref="P8:P37" si="0">F8-N8</f>
        <v>-197314.2410619469</v>
      </c>
      <c r="Q8" s="11">
        <f t="shared" ref="Q8:Q37" si="1">N8/F8</f>
        <v>2.031377698521565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'[1]2025_ΕΣΟΔΑ'!J3</f>
        <v>0</v>
      </c>
      <c r="E9" s="11" t="e">
        <f t="shared" ref="E9:E37" si="2">D9/$D$7</f>
        <v>#DIV/0!</v>
      </c>
      <c r="F9" s="12">
        <f>D9+'[1]2025 Ιούλιος'!F9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Ιούλιος'!J9</f>
        <v>1421</v>
      </c>
      <c r="K9" s="11">
        <f t="shared" ref="K9:K37" si="5">J9/$J$7</f>
        <v>3.4016349867376332E-3</v>
      </c>
      <c r="L9" s="68">
        <f>'[1]2024_60-69 ΕΞΟΔΑ+ΟΜ 2'!J115</f>
        <v>0</v>
      </c>
      <c r="M9" s="11">
        <f t="shared" ref="M9:M37" si="6">L9/$L$7</f>
        <v>0</v>
      </c>
      <c r="N9" s="12">
        <f>L9+'[1]2025 Ιούλιος'!N9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'[1]2025_ΕΣΟΔΑ'!J4</f>
        <v>0</v>
      </c>
      <c r="E10" s="11" t="e">
        <f t="shared" si="2"/>
        <v>#DIV/0!</v>
      </c>
      <c r="F10" s="12">
        <f>D10+'[1]2025 Ιούλιος'!F10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Ιούλιος'!J10</f>
        <v>0</v>
      </c>
      <c r="K10" s="11">
        <f t="shared" si="5"/>
        <v>0</v>
      </c>
      <c r="L10" s="68">
        <f>'[1]2024_60-69 ΕΞΟΔΑ+ΟΜ 2'!J116</f>
        <v>0</v>
      </c>
      <c r="M10" s="11">
        <f t="shared" si="6"/>
        <v>0</v>
      </c>
      <c r="N10" s="12">
        <f>L10+'[1]2025 Ιούλιος'!N10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'[1]2025_ΕΣΟΔΑ'!J5</f>
        <v>0</v>
      </c>
      <c r="E11" s="11" t="e">
        <f t="shared" si="2"/>
        <v>#DIV/0!</v>
      </c>
      <c r="F11" s="12">
        <f>D11+'[1]2025 Ιούλιος'!F11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Ιούλιος'!J11</f>
        <v>49399.737876106199</v>
      </c>
      <c r="K11" s="11">
        <f t="shared" si="5"/>
        <v>0.11825466340255529</v>
      </c>
      <c r="L11" s="68">
        <f>'[1]2024_60-69 ΕΞΟΔΑ+ΟΜ 2'!J117</f>
        <v>3860.69</v>
      </c>
      <c r="M11" s="11">
        <f t="shared" si="6"/>
        <v>5.4640011446876399E-2</v>
      </c>
      <c r="N11" s="12">
        <f>L11+'[1]2025 Ιούλιος'!N11</f>
        <v>28149.08522123894</v>
      </c>
      <c r="O11" s="11">
        <f t="shared" si="7"/>
        <v>6.3744948660876988E-2</v>
      </c>
      <c r="P11" s="12">
        <f t="shared" si="0"/>
        <v>-14989.331150442482</v>
      </c>
      <c r="Q11" s="11">
        <f t="shared" si="1"/>
        <v>2.1390282120625748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'[1]2025_ΕΣΟΔΑ'!J6</f>
        <v>0</v>
      </c>
      <c r="E12" s="11" t="e">
        <f t="shared" si="2"/>
        <v>#DIV/0!</v>
      </c>
      <c r="F12" s="12">
        <f>D12+'[1]2025 Ιούλιος'!F12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Ιούλιος'!J12</f>
        <v>2606.5899999999997</v>
      </c>
      <c r="K12" s="11">
        <f t="shared" si="5"/>
        <v>6.2397380296132631E-3</v>
      </c>
      <c r="L12" s="68">
        <f>'[1]2024_60-69 ΕΞΟΔΑ+ΟΜ 2'!J118</f>
        <v>0</v>
      </c>
      <c r="M12" s="11">
        <f t="shared" si="6"/>
        <v>0</v>
      </c>
      <c r="N12" s="12">
        <f>L12+'[1]2025 Ιούλιος'!N12</f>
        <v>2406.5899999999997</v>
      </c>
      <c r="O12" s="11">
        <f t="shared" si="7"/>
        <v>5.4498380601736623E-3</v>
      </c>
      <c r="P12" s="12">
        <f t="shared" si="0"/>
        <v>-180.95999999999958</v>
      </c>
      <c r="Q12" s="11">
        <f t="shared" si="1"/>
        <v>1.0813073152320913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'[1]2025_ΕΣΟΔΑ'!J7</f>
        <v>0</v>
      </c>
      <c r="E13" s="11" t="e">
        <f t="shared" si="2"/>
        <v>#DIV/0!</v>
      </c>
      <c r="F13" s="12">
        <f>D13+'[1]2025 Ιούλιος'!F13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Ιούλιος'!J13</f>
        <v>9277.07</v>
      </c>
      <c r="K13" s="11">
        <f t="shared" si="5"/>
        <v>2.2207745169890283E-2</v>
      </c>
      <c r="L13" s="68">
        <f>'[1]2024_60-69 ΕΞΟΔΑ+ΟΜ 2'!J119</f>
        <v>2335.15</v>
      </c>
      <c r="M13" s="11">
        <f t="shared" si="6"/>
        <v>3.3049175854620139E-2</v>
      </c>
      <c r="N13" s="12">
        <f>L13+'[1]2025 Ιούλιος'!N13</f>
        <v>11612.22</v>
      </c>
      <c r="O13" s="11">
        <f t="shared" si="7"/>
        <v>2.6296427110189029E-2</v>
      </c>
      <c r="P13" s="12">
        <f t="shared" si="0"/>
        <v>-8285.5099999999984</v>
      </c>
      <c r="Q13" s="11">
        <f t="shared" si="1"/>
        <v>3.4906018258279197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'[1]2025_ΕΣΟΔΑ'!J8</f>
        <v>0</v>
      </c>
      <c r="E14" s="11" t="e">
        <f t="shared" si="2"/>
        <v>#DIV/0!</v>
      </c>
      <c r="F14" s="12">
        <f>D14+'[1]2025 Ιούλιος'!F14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Ιούλιος'!J14</f>
        <v>700</v>
      </c>
      <c r="K14" s="11">
        <f t="shared" si="5"/>
        <v>1.6756822594766667E-3</v>
      </c>
      <c r="L14" s="68">
        <f>'[1]2024_60-69 ΕΞΟΔΑ+ΟΜ 2'!J120</f>
        <v>100</v>
      </c>
      <c r="M14" s="11">
        <f t="shared" si="6"/>
        <v>1.4152913455075752E-3</v>
      </c>
      <c r="N14" s="12">
        <f>L14+'[1]2025 Ιούλιος'!N14</f>
        <v>800</v>
      </c>
      <c r="O14" s="11">
        <f t="shared" si="7"/>
        <v>1.8116382300844476E-3</v>
      </c>
      <c r="P14" s="12">
        <f t="shared" si="0"/>
        <v>-300</v>
      </c>
      <c r="Q14" s="11">
        <f t="shared" si="1"/>
        <v>1.6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'[1]2025_ΕΣΟΔΑ'!J9</f>
        <v>0</v>
      </c>
      <c r="E15" s="11" t="e">
        <f t="shared" si="2"/>
        <v>#DIV/0!</v>
      </c>
      <c r="F15" s="12">
        <f>D15+'[1]2025 Ιούλιος'!F15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Ιούλιος'!J15</f>
        <v>3345</v>
      </c>
      <c r="K15" s="11">
        <f t="shared" si="5"/>
        <v>8.0073673684992134E-3</v>
      </c>
      <c r="L15" s="68">
        <f>'[1]2024_60-69 ΕΞΟΔΑ+ΟΜ 2'!J121</f>
        <v>438.71</v>
      </c>
      <c r="M15" s="11">
        <f t="shared" si="6"/>
        <v>6.2090246618762826E-3</v>
      </c>
      <c r="N15" s="12">
        <f>L15+'[1]2025 Ιούλιος'!N15</f>
        <v>1107.71</v>
      </c>
      <c r="O15" s="11">
        <f t="shared" si="7"/>
        <v>2.5084622298085545E-3</v>
      </c>
      <c r="P15" s="12">
        <f t="shared" si="0"/>
        <v>67.380000000000109</v>
      </c>
      <c r="Q15" s="11">
        <f t="shared" si="1"/>
        <v>0.94265971117105918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'[1]2025_ΕΣΟΔΑ'!J10</f>
        <v>0</v>
      </c>
      <c r="E16" s="11" t="e">
        <f t="shared" si="2"/>
        <v>#DIV/0!</v>
      </c>
      <c r="F16" s="12">
        <f>D16+'[1]2025 Ιούλιος'!F16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Ιούλιος'!J16</f>
        <v>0</v>
      </c>
      <c r="K16" s="11">
        <f t="shared" si="5"/>
        <v>0</v>
      </c>
      <c r="L16" s="68">
        <f>'[1]2024_60-69 ΕΞΟΔΑ+ΟΜ 2'!J122</f>
        <v>0</v>
      </c>
      <c r="M16" s="11">
        <f t="shared" si="6"/>
        <v>0</v>
      </c>
      <c r="N16" s="12">
        <f>L16+'[1]2025 Ιούλιος'!N16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'[1]2025_ΕΣΟΔΑ'!J11</f>
        <v>0</v>
      </c>
      <c r="E17" s="11" t="e">
        <f t="shared" si="2"/>
        <v>#DIV/0!</v>
      </c>
      <c r="F17" s="12">
        <f>D17+'[1]2025 Ιούλιος'!F17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Ιούλιος'!J17</f>
        <v>513.29999999999995</v>
      </c>
      <c r="K17" s="11">
        <f t="shared" si="5"/>
        <v>1.2287538625562471E-3</v>
      </c>
      <c r="L17" s="68">
        <f>'[1]2024_60-69 ΕΞΟΔΑ+ΟΜ 2'!J123</f>
        <v>0</v>
      </c>
      <c r="M17" s="11">
        <f t="shared" si="6"/>
        <v>0</v>
      </c>
      <c r="N17" s="12">
        <f>L17+'[1]2025 Ιούλιος'!N17</f>
        <v>256.64999999999998</v>
      </c>
      <c r="O17" s="11">
        <f t="shared" si="7"/>
        <v>5.8119618968896676E-4</v>
      </c>
      <c r="P17" s="12">
        <f t="shared" si="0"/>
        <v>207.95000000000005</v>
      </c>
      <c r="Q17" s="11">
        <f t="shared" si="1"/>
        <v>0.55241067585019366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'[1]2025_ΕΣΟΔΑ'!J12</f>
        <v>0</v>
      </c>
      <c r="E18" s="11" t="e">
        <f t="shared" si="2"/>
        <v>#DIV/0!</v>
      </c>
      <c r="F18" s="12">
        <f>D18+'[1]2025 Ιούλιος'!F18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Ιούλιος'!J18</f>
        <v>0</v>
      </c>
      <c r="K18" s="11">
        <f t="shared" si="5"/>
        <v>0</v>
      </c>
      <c r="L18" s="68">
        <f>'[1]2024_60-69 ΕΞΟΔΑ+ΟΜ 2'!J124</f>
        <v>0</v>
      </c>
      <c r="M18" s="11">
        <f t="shared" si="6"/>
        <v>0</v>
      </c>
      <c r="N18" s="12">
        <f>L18+'[1]2025 Ιούλιος'!N18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'[1]2025_ΕΣΟΔΑ'!J13</f>
        <v>0</v>
      </c>
      <c r="E19" s="11" t="e">
        <f t="shared" si="2"/>
        <v>#DIV/0!</v>
      </c>
      <c r="F19" s="12">
        <f>D19+'[1]2025 Ιούλιος'!F19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Ιούλιος'!J19</f>
        <v>0</v>
      </c>
      <c r="K19" s="11">
        <f t="shared" si="5"/>
        <v>0</v>
      </c>
      <c r="L19" s="68">
        <f>'[1]2024_60-69 ΕΞΟΔΑ+ΟΜ 2'!J125</f>
        <v>0</v>
      </c>
      <c r="M19" s="11">
        <f t="shared" si="6"/>
        <v>0</v>
      </c>
      <c r="N19" s="12">
        <f>L19+'[1]2025 Ιούλιος'!N19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'[1]2025_ΕΣΟΔΑ'!J14</f>
        <v>0</v>
      </c>
      <c r="E20" s="11" t="e">
        <f t="shared" si="2"/>
        <v>#DIV/0!</v>
      </c>
      <c r="F20" s="12">
        <f>D20+'[1]2025 Ιούλιος'!F20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Ιούλιος'!J20</f>
        <v>0</v>
      </c>
      <c r="K20" s="11">
        <f t="shared" si="5"/>
        <v>0</v>
      </c>
      <c r="L20" s="68">
        <f>'[1]2024_60-69 ΕΞΟΔΑ+ΟΜ 2'!J126</f>
        <v>0</v>
      </c>
      <c r="M20" s="11">
        <f t="shared" si="6"/>
        <v>0</v>
      </c>
      <c r="N20" s="12">
        <f>L20+'[1]2025 Ιούλιος'!N20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'[1]2025_ΕΣΟΔΑ'!J15</f>
        <v>0</v>
      </c>
      <c r="E21" s="11" t="e">
        <f t="shared" si="2"/>
        <v>#DIV/0!</v>
      </c>
      <c r="F21" s="12">
        <f>D21+'[1]2025 Ιούλιος'!F21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Ιούλιος'!J21</f>
        <v>2021.2199999999998</v>
      </c>
      <c r="K21" s="11">
        <f t="shared" si="5"/>
        <v>4.8384607092848966E-3</v>
      </c>
      <c r="L21" s="68">
        <f>'[1]2024_60-69 ΕΞΟΔΑ+ΟΜ 2'!J127</f>
        <v>911.51</v>
      </c>
      <c r="M21" s="11">
        <f t="shared" si="6"/>
        <v>1.2900522143436097E-2</v>
      </c>
      <c r="N21" s="12">
        <f>L21+'[1]2025 Ιούλιος'!N21</f>
        <v>1922.12</v>
      </c>
      <c r="O21" s="11">
        <f t="shared" si="7"/>
        <v>4.3527325935123979E-3</v>
      </c>
      <c r="P21" s="12">
        <f t="shared" si="0"/>
        <v>1307.94</v>
      </c>
      <c r="Q21" s="11">
        <f t="shared" si="1"/>
        <v>0.5950725373522473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'[1]2025_ΕΣΟΔΑ'!J16</f>
        <v>0</v>
      </c>
      <c r="E22" s="11" t="e">
        <f t="shared" si="2"/>
        <v>#DIV/0!</v>
      </c>
      <c r="F22" s="12">
        <f>D22+'[1]2025 Ιούλιος'!F22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Ιούλιος'!J22</f>
        <v>0</v>
      </c>
      <c r="K22" s="11">
        <f t="shared" si="5"/>
        <v>0</v>
      </c>
      <c r="L22" s="68">
        <f>'[1]2024_60-69 ΕΞΟΔΑ+ΟΜ 2'!J128</f>
        <v>0</v>
      </c>
      <c r="M22" s="11">
        <f t="shared" si="6"/>
        <v>0</v>
      </c>
      <c r="N22" s="12">
        <f>L22+'[1]2025 Ιούλιος'!N22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'[1]2025_ΕΣΟΔΑ'!J17</f>
        <v>0</v>
      </c>
      <c r="E23" s="11" t="e">
        <f t="shared" si="2"/>
        <v>#DIV/0!</v>
      </c>
      <c r="F23" s="12">
        <f>D23+'[1]2025 Ιούλιος'!F23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Ιούλιος'!J23</f>
        <v>524.05999999999995</v>
      </c>
      <c r="K23" s="11">
        <f t="shared" si="5"/>
        <v>1.2545114927162025E-3</v>
      </c>
      <c r="L23" s="68">
        <f>'[1]2024_60-69 ΕΞΟΔΑ+ΟΜ 2'!J129</f>
        <v>0</v>
      </c>
      <c r="M23" s="11">
        <f t="shared" si="6"/>
        <v>0</v>
      </c>
      <c r="N23" s="12">
        <f>L23+'[1]2025 Ιούλιος'!N23</f>
        <v>524.05999999999995</v>
      </c>
      <c r="O23" s="11">
        <f t="shared" si="7"/>
        <v>1.1867589135725694E-3</v>
      </c>
      <c r="P23" s="12">
        <f t="shared" si="0"/>
        <v>-28.479999999999961</v>
      </c>
      <c r="Q23" s="11">
        <f t="shared" si="1"/>
        <v>1.0574680172726905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'[1]2025_ΕΣΟΔΑ'!J18</f>
        <v>0</v>
      </c>
      <c r="E24" s="11" t="e">
        <f>D24/$D$7</f>
        <v>#DIV/0!</v>
      </c>
      <c r="F24" s="12">
        <f>D24+'[1]2025 Ιούλιος'!F24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Ιούλιος'!J24</f>
        <v>0</v>
      </c>
      <c r="K24" s="11">
        <f>J24/$J$7</f>
        <v>0</v>
      </c>
      <c r="L24" s="68">
        <f>'[1]2024_60-69 ΕΞΟΔΑ+ΟΜ 2'!J130</f>
        <v>352.35</v>
      </c>
      <c r="M24" s="11">
        <f>L24/$L$7</f>
        <v>4.9867790558959409E-3</v>
      </c>
      <c r="N24" s="12">
        <f>L24+'[1]2025 Ιούλιος'!N24</f>
        <v>352.35</v>
      </c>
      <c r="O24" s="11">
        <f>N24/$N$7</f>
        <v>7.9791341296281892E-4</v>
      </c>
      <c r="P24" s="12">
        <f>F24-N24</f>
        <v>-352.35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'[1]2025_ΕΣΟΔΑ'!J19</f>
        <v>0</v>
      </c>
      <c r="E25" s="11" t="e">
        <f t="shared" si="2"/>
        <v>#DIV/0!</v>
      </c>
      <c r="F25" s="12">
        <f>D25+'[1]2025 Ιούλιος'!F25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Ιούλιος'!J25</f>
        <v>3409.5</v>
      </c>
      <c r="K25" s="11">
        <f t="shared" si="5"/>
        <v>8.1617695195509935E-3</v>
      </c>
      <c r="L25" s="68">
        <f>'[1]2024_60-69 ΕΞΟΔΑ+ΟΜ 2'!J131</f>
        <v>0</v>
      </c>
      <c r="M25" s="11">
        <f t="shared" si="6"/>
        <v>0</v>
      </c>
      <c r="N25" s="12">
        <f>L25+'[1]2025 Ιούλιος'!N25</f>
        <v>1704.75</v>
      </c>
      <c r="O25" s="11">
        <f t="shared" si="7"/>
        <v>3.8604878409205776E-3</v>
      </c>
      <c r="P25" s="12">
        <f t="shared" si="0"/>
        <v>-1704.75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'[1]2025_ΕΣΟΔΑ'!J20</f>
        <v>0</v>
      </c>
      <c r="E26" s="11" t="e">
        <f t="shared" si="2"/>
        <v>#DIV/0!</v>
      </c>
      <c r="F26" s="12">
        <f>D26+'[1]2025 Ιούλιος'!F26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Ιούλιος'!J26</f>
        <v>0</v>
      </c>
      <c r="K26" s="11">
        <f t="shared" si="5"/>
        <v>0</v>
      </c>
      <c r="L26" s="68">
        <f>'[1]2024_60-69 ΕΞΟΔΑ+ΟΜ 2'!J132</f>
        <v>0</v>
      </c>
      <c r="M26" s="11">
        <f t="shared" si="6"/>
        <v>0</v>
      </c>
      <c r="N26" s="12">
        <f>L26+'[1]2025 Ιούλιος'!N26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'[1]2025_ΕΣΟΔΑ'!J21</f>
        <v>0</v>
      </c>
      <c r="E27" s="11" t="e">
        <f t="shared" si="2"/>
        <v>#DIV/0!</v>
      </c>
      <c r="F27" s="12">
        <f>D27+'[1]2025 Ιούλιος'!F27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Ιούλιος'!J27</f>
        <v>0</v>
      </c>
      <c r="K27" s="11">
        <f t="shared" si="5"/>
        <v>0</v>
      </c>
      <c r="L27" s="68">
        <f>'[1]2024_60-69 ΕΞΟΔΑ+ΟΜ 2'!J133</f>
        <v>54.92</v>
      </c>
      <c r="M27" s="11">
        <f t="shared" si="6"/>
        <v>7.7727800695276026E-4</v>
      </c>
      <c r="N27" s="12">
        <f>L27+'[1]2025 Ιούλιος'!N27</f>
        <v>54.92</v>
      </c>
      <c r="O27" s="11">
        <f t="shared" si="7"/>
        <v>1.2436896449529732E-4</v>
      </c>
      <c r="P27" s="12">
        <f t="shared" si="0"/>
        <v>-54.92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'[1]2025_ΕΣΟΔΑ'!J22</f>
        <v>0</v>
      </c>
      <c r="E28" s="11" t="e">
        <f t="shared" si="2"/>
        <v>#DIV/0!</v>
      </c>
      <c r="F28" s="12">
        <f>D28+'[1]2025 Ιούλιος'!F28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Ιούλιος'!J28</f>
        <v>839.5</v>
      </c>
      <c r="K28" s="11">
        <f t="shared" si="5"/>
        <v>2.0096217954723738E-3</v>
      </c>
      <c r="L28" s="68">
        <f>'[1]2024_60-69 ΕΞΟΔΑ+ΟΜ 2'!J134</f>
        <v>120.16</v>
      </c>
      <c r="M28" s="11">
        <f t="shared" si="6"/>
        <v>1.7006140807619022E-3</v>
      </c>
      <c r="N28" s="12">
        <f>L28+'[1]2025 Ιούλιος'!N28</f>
        <v>539.91</v>
      </c>
      <c r="O28" s="11">
        <f t="shared" si="7"/>
        <v>1.2226519960061176E-3</v>
      </c>
      <c r="P28" s="12">
        <f t="shared" si="0"/>
        <v>-289.20999999999998</v>
      </c>
      <c r="Q28" s="11">
        <f t="shared" si="1"/>
        <v>2.1536098923015556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'[1]2025_ΕΣΟΔΑ'!J23</f>
        <v>0</v>
      </c>
      <c r="E29" s="11" t="e">
        <f t="shared" si="2"/>
        <v>#DIV/0!</v>
      </c>
      <c r="F29" s="12">
        <f>D29+'[1]2025 Ιούλιος'!F29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Ιούλιος'!J29</f>
        <v>0</v>
      </c>
      <c r="K29" s="11">
        <f t="shared" si="5"/>
        <v>0</v>
      </c>
      <c r="L29" s="68">
        <f>'[1]2024_60-69 ΕΞΟΔΑ+ΟΜ 2'!J135</f>
        <v>0</v>
      </c>
      <c r="M29" s="11">
        <f t="shared" si="6"/>
        <v>0</v>
      </c>
      <c r="N29" s="12">
        <f>L29+'[1]2025 Ιούλιος'!N29</f>
        <v>0</v>
      </c>
      <c r="O29" s="11">
        <f t="shared" si="7"/>
        <v>0</v>
      </c>
      <c r="P29" s="12">
        <f t="shared" si="0"/>
        <v>0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'[1]2025_ΕΣΟΔΑ'!J24</f>
        <v>0</v>
      </c>
      <c r="E30" s="11" t="e">
        <f t="shared" si="2"/>
        <v>#DIV/0!</v>
      </c>
      <c r="F30" s="12">
        <f>D30+'[1]2025 Ιούλιος'!F30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Ιούλιος'!J30</f>
        <v>11517.83</v>
      </c>
      <c r="K30" s="11">
        <f t="shared" si="5"/>
        <v>2.7571747712383049E-2</v>
      </c>
      <c r="L30" s="68">
        <f>'[1]2024_60-69 ΕΞΟΔΑ+ΟΜ 2'!J136</f>
        <v>-331.8</v>
      </c>
      <c r="M30" s="11">
        <f t="shared" si="6"/>
        <v>-4.6959366843941346E-3</v>
      </c>
      <c r="N30" s="12">
        <f>L30+'[1]2025 Ιούλιος'!N30</f>
        <v>5272.7</v>
      </c>
      <c r="O30" s="11">
        <f t="shared" si="7"/>
        <v>1.1940281119707833E-2</v>
      </c>
      <c r="P30" s="12">
        <f t="shared" si="0"/>
        <v>-5008.2699999999995</v>
      </c>
      <c r="Q30" s="11">
        <f t="shared" si="1"/>
        <v>19.939870665204399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'[1]2025_ΕΣΟΔΑ'!J25</f>
        <v>0</v>
      </c>
      <c r="E31" s="11" t="e">
        <f t="shared" si="2"/>
        <v>#DIV/0!</v>
      </c>
      <c r="F31" s="12">
        <f>D31+'[1]2025 Ιούλιος'!F31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Ιούλιος'!J31</f>
        <v>-1739.3500000000001</v>
      </c>
      <c r="K31" s="11">
        <f t="shared" si="5"/>
        <v>-4.1637113400296291E-3</v>
      </c>
      <c r="L31" s="68">
        <f>'[1]2024_60-69 ΕΞΟΔΑ+ΟΜ 2'!J137</f>
        <v>0</v>
      </c>
      <c r="M31" s="11">
        <f t="shared" si="6"/>
        <v>0</v>
      </c>
      <c r="N31" s="12">
        <f>L31+'[1]2025 Ιούλιος'!N31</f>
        <v>-1739.3700000000001</v>
      </c>
      <c r="O31" s="11">
        <f t="shared" si="7"/>
        <v>-3.9388864853274821E-3</v>
      </c>
      <c r="P31" s="12">
        <f t="shared" si="0"/>
        <v>457.51</v>
      </c>
      <c r="Q31" s="11">
        <f t="shared" si="1"/>
        <v>1.3569110511288285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'[1]2025_ΕΣΟΔΑ'!J26</f>
        <v>0</v>
      </c>
      <c r="E32" s="11" t="e">
        <f t="shared" si="2"/>
        <v>#DIV/0!</v>
      </c>
      <c r="F32" s="12">
        <f>D32+'[1]2025 Ιούλιος'!F32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Ιούλιος'!J32</f>
        <v>0</v>
      </c>
      <c r="K32" s="11">
        <f t="shared" si="5"/>
        <v>0</v>
      </c>
      <c r="L32" s="68">
        <f>'[1]2024_60-69 ΕΞΟΔΑ+ΟΜ 2'!J138</f>
        <v>0</v>
      </c>
      <c r="M32" s="11">
        <f t="shared" si="6"/>
        <v>0</v>
      </c>
      <c r="N32" s="12">
        <f>L32+'[1]2025 Ιούλιος'!N32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'[1]2025_ΕΣΟΔΑ'!J27</f>
        <v>0</v>
      </c>
      <c r="E33" s="11" t="e">
        <f t="shared" si="2"/>
        <v>#DIV/0!</v>
      </c>
      <c r="F33" s="12">
        <f>D33+'[1]2025 Ιούλιος'!F33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Ιούλιος'!J33</f>
        <v>0</v>
      </c>
      <c r="K33" s="11">
        <f t="shared" si="5"/>
        <v>0</v>
      </c>
      <c r="L33" s="68">
        <f>'[1]2024_60-69 ΕΞΟΔΑ+ΟΜ 2'!J139</f>
        <v>0</v>
      </c>
      <c r="M33" s="11">
        <f t="shared" si="6"/>
        <v>0</v>
      </c>
      <c r="N33" s="12">
        <f>L33+'[1]2025 Ιούλιος'!N33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'[1]2025_ΕΣΟΔΑ'!J28</f>
        <v>0</v>
      </c>
      <c r="E34" s="11" t="e">
        <f t="shared" si="2"/>
        <v>#DIV/0!</v>
      </c>
      <c r="F34" s="12">
        <f>D34+'[1]2025 Ιούλιος'!F34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Ιούλιος'!J34</f>
        <v>0</v>
      </c>
      <c r="K34" s="11">
        <f t="shared" si="5"/>
        <v>0</v>
      </c>
      <c r="L34" s="68">
        <f>'[1]2024_60-69 ΕΞΟΔΑ+ΟΜ 2'!J140</f>
        <v>0</v>
      </c>
      <c r="M34" s="11">
        <f t="shared" si="6"/>
        <v>0</v>
      </c>
      <c r="N34" s="12">
        <f>L34+'[1]2025 Ιούλιος'!N34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'[1]2025_ΕΣΟΔΑ'!J29</f>
        <v>0</v>
      </c>
      <c r="E35" s="11" t="e">
        <f t="shared" si="2"/>
        <v>#DIV/0!</v>
      </c>
      <c r="F35" s="12">
        <f>D35+'[1]2025 Ιούλιος'!F35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Ιούλιος'!J35</f>
        <v>0</v>
      </c>
      <c r="K35" s="11">
        <f t="shared" si="5"/>
        <v>0</v>
      </c>
      <c r="L35" s="68">
        <f>'[1]2024_60-69 ΕΞΟΔΑ+ΟΜ 2'!J141</f>
        <v>0</v>
      </c>
      <c r="M35" s="11">
        <f t="shared" si="6"/>
        <v>0</v>
      </c>
      <c r="N35" s="12">
        <f>L35+'[1]2025 Ιούλιος'!N35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'[1]2025_ΕΣΟΔΑ'!J30</f>
        <v>0</v>
      </c>
      <c r="E36" s="11" t="e">
        <f t="shared" si="2"/>
        <v>#DIV/0!</v>
      </c>
      <c r="F36" s="12">
        <f>D36+'[1]2025 Ιούλιος'!F36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Ιούλιος'!J36</f>
        <v>0</v>
      </c>
      <c r="K36" s="11">
        <f t="shared" si="5"/>
        <v>0</v>
      </c>
      <c r="L36" s="68">
        <f>'[1]2024_60-69 ΕΞΟΔΑ+ΟΜ 2'!J142</f>
        <v>0</v>
      </c>
      <c r="M36" s="11">
        <f t="shared" si="6"/>
        <v>0</v>
      </c>
      <c r="N36" s="12">
        <f>L36+'[1]2025 Ιούλιος'!N36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'[1]2025_ΕΣΟΔΑ'!J31</f>
        <v>0</v>
      </c>
      <c r="E37" s="11" t="e">
        <f t="shared" si="2"/>
        <v>#DIV/0!</v>
      </c>
      <c r="F37" s="12">
        <f>D37+'[1]2025 Ιούλιος'!F37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Ιούλιος'!J37</f>
        <v>0</v>
      </c>
      <c r="K37" s="11">
        <f t="shared" si="5"/>
        <v>0</v>
      </c>
      <c r="L37" s="68">
        <f>'[1]2024_60-69 ΕΞΟΔΑ+ΟΜ 2'!J143</f>
        <v>0</v>
      </c>
      <c r="M37" s="11">
        <f t="shared" si="6"/>
        <v>0</v>
      </c>
      <c r="N37" s="12">
        <f>L37+'[1]2025 Ιούλιος'!N37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'[1]2025_ΕΣΟΔΑ'!J32</f>
        <v>0</v>
      </c>
      <c r="E38" s="8"/>
      <c r="F38" s="7" t="str">
        <f>'[1]2025_ΕΣΟΔΑ'!J34</f>
        <v>Αύγουστος</v>
      </c>
      <c r="G38" s="8"/>
      <c r="H38" s="7">
        <f>SUM(H8:H31)</f>
        <v>0</v>
      </c>
      <c r="I38" s="8"/>
      <c r="J38" s="7">
        <f>SUM(J8:J31)</f>
        <v>417740.29416449001</v>
      </c>
      <c r="K38" s="8"/>
      <c r="L38" s="7">
        <f>SUM(L8:L31)</f>
        <v>70656.83</v>
      </c>
      <c r="M38" s="8"/>
      <c r="N38" s="7">
        <f>SUM(N8:N31)</f>
        <v>441589.26805309736</v>
      </c>
      <c r="O38" s="8"/>
      <c r="P38" s="7">
        <f>SUM(P8:P31)</f>
        <v>-225749.70221238935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0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0" t="str">
        <f>[1]ΑΝΤΙΣΤΟΙΧΙΣΗ!$F$113</f>
        <v xml:space="preserve">ΑΥΓΟΥΣΤΟΣ ΤΡΕΧΟΝ ΕΤΟΣ </v>
      </c>
      <c r="E41" s="180"/>
      <c r="F41" s="180"/>
      <c r="G41" s="61">
        <f>[1]ΑΝΤΙΣΤΟΙΧΙΣΗ!$D$34</f>
        <v>2025</v>
      </c>
      <c r="H41" s="180" t="str">
        <f>[1]ΑΝΤΙΣΤΟΙΧΙΣΗ!$F$113</f>
        <v xml:space="preserve">ΑΥΓΟΥΣΤΟΣ ΤΡΕΧΟΝ ΕΤΟΣ </v>
      </c>
      <c r="I41" s="180"/>
      <c r="J41" s="180"/>
      <c r="K41" s="61">
        <f>[1]ΑΝΤΙΣΤΟΙΧΙΣΗ!$D$34</f>
        <v>2025</v>
      </c>
      <c r="L41" s="180" t="str">
        <f>[1]ΑΝΤΙΣΤΟΙΧΙΣΗ!$F$127</f>
        <v>ΑΥΓΟΥΣΤΟΣ ΠΡΟΗΓΟΥΜΕΝΟΥ ΕΤΟΥΣ</v>
      </c>
      <c r="M41" s="180"/>
      <c r="N41" s="180"/>
      <c r="O41" s="61">
        <f>[1]ΑΝΤΙΣΤΟΙΧΙΣΗ!$D$33</f>
        <v>2024</v>
      </c>
      <c r="P41" s="180"/>
      <c r="Q41" s="180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SUM(D44:D77)</f>
        <v>7839.9766666666674</v>
      </c>
      <c r="E43" s="8"/>
      <c r="F43" s="7" t="e">
        <f>SUM(F44:F77)</f>
        <v>#REF!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60152.169999999984</v>
      </c>
      <c r="M43" s="8"/>
      <c r="N43" s="7">
        <f>SUM(N44:N77)</f>
        <v>782031.50799999957</v>
      </c>
      <c r="O43" s="8"/>
      <c r="P43" s="7">
        <f>SUM(P44:P77)</f>
        <v>0</v>
      </c>
      <c r="Q43" s="8"/>
    </row>
    <row r="44" spans="1:17" ht="1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2'!K4</f>
        <v>0</v>
      </c>
      <c r="E44" s="15">
        <f>D44/$D$43</f>
        <v>0</v>
      </c>
      <c r="F44" s="10">
        <f>D44+'[1]2025 Ιούλιος'!F44</f>
        <v>238822.33666666664</v>
      </c>
      <c r="G44" s="15" t="e">
        <f>F44/$F$43</f>
        <v>#REF!</v>
      </c>
      <c r="H44" s="14"/>
      <c r="I44" s="16" t="e">
        <f>H44/$H$43</f>
        <v>#DIV/0!</v>
      </c>
      <c r="J44" s="10">
        <f>H44</f>
        <v>0</v>
      </c>
      <c r="K44" s="17" t="e">
        <f>J44/$J$43</f>
        <v>#DIV/0!</v>
      </c>
      <c r="L44" s="14">
        <f>'[1]2024_60-69 ΕΞΟΔΑ+ΟΜ 2'!K4</f>
        <v>5871.9100000000008</v>
      </c>
      <c r="M44" s="15">
        <f>L44/$L$43</f>
        <v>9.7617592183291177E-2</v>
      </c>
      <c r="N44" s="10">
        <f>L44+'[1]2025 Ιούλιος'!N44</f>
        <v>337264.53899999993</v>
      </c>
      <c r="O44" s="15">
        <f>N44/$N$43</f>
        <v>0.4312672002980219</v>
      </c>
      <c r="P44" s="10"/>
      <c r="Q44" s="15"/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2'!K5</f>
        <v>0</v>
      </c>
      <c r="E45" s="15">
        <f t="shared" ref="E45:E77" si="8">D45/$D$43</f>
        <v>0</v>
      </c>
      <c r="F45" s="10">
        <f>D45+'[1]2025 Ιούλιος'!F45</f>
        <v>17090.259999999998</v>
      </c>
      <c r="G45" s="15" t="e">
        <f t="shared" ref="G45:G77" si="9">F45/$F$43</f>
        <v>#REF!</v>
      </c>
      <c r="H45" s="14"/>
      <c r="I45" s="16" t="e">
        <f t="shared" ref="I45:I77" si="10">H45/$H$43</f>
        <v>#DIV/0!</v>
      </c>
      <c r="J45" s="10">
        <f>H45</f>
        <v>0</v>
      </c>
      <c r="K45" s="17" t="e">
        <f t="shared" ref="K45:K77" si="11">J45/$J$43</f>
        <v>#DIV/0!</v>
      </c>
      <c r="L45" s="14">
        <f>'[1]2024_60-69 ΕΞΟΔΑ+ΟΜ 2'!K5</f>
        <v>5746.2000000000007</v>
      </c>
      <c r="M45" s="15">
        <f t="shared" ref="M45:M77" si="12">L45/$L$43</f>
        <v>9.55277257661694E-2</v>
      </c>
      <c r="N45" s="10">
        <f>L45+'[1]2025 Ιούλιος'!N45</f>
        <v>35106.410000000003</v>
      </c>
      <c r="O45" s="15">
        <f t="shared" ref="O45:O77" si="13">N45/$N$43</f>
        <v>4.4891298676421131E-2</v>
      </c>
      <c r="P45" s="10"/>
      <c r="Q45" s="15">
        <f>N45/F45</f>
        <v>2.0541764724468794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2'!K6</f>
        <v>0</v>
      </c>
      <c r="E46" s="15">
        <f t="shared" si="8"/>
        <v>0</v>
      </c>
      <c r="F46" s="10">
        <f>D46+'[1]2025 Ιούλιος'!F46</f>
        <v>24880</v>
      </c>
      <c r="G46" s="15" t="e">
        <f t="shared" si="9"/>
        <v>#REF!</v>
      </c>
      <c r="H46" s="14"/>
      <c r="I46" s="16" t="e">
        <f t="shared" si="10"/>
        <v>#DIV/0!</v>
      </c>
      <c r="J46" s="10">
        <f t="shared" ref="J46:J77" si="14">H46</f>
        <v>0</v>
      </c>
      <c r="K46" s="17" t="e">
        <f t="shared" si="11"/>
        <v>#DIV/0!</v>
      </c>
      <c r="L46" s="14">
        <f>'[1]2024_60-69 ΕΞΟΔΑ+ΟΜ 2'!K6</f>
        <v>1982.12</v>
      </c>
      <c r="M46" s="15">
        <f t="shared" si="12"/>
        <v>3.2951762172503507E-2</v>
      </c>
      <c r="N46" s="10">
        <f>L46+'[1]2025 Ιούλιος'!N46</f>
        <v>39144.600000000006</v>
      </c>
      <c r="O46" s="15">
        <f t="shared" si="13"/>
        <v>5.0055016453378023E-2</v>
      </c>
      <c r="P46" s="10"/>
      <c r="Q46" s="15">
        <f t="shared" ref="Q46:Q77" si="15">N46/F46</f>
        <v>1.5733360128617366</v>
      </c>
    </row>
    <row r="47" spans="1:17" ht="15" customHeight="1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2'!K37</f>
        <v>0</v>
      </c>
      <c r="E47" s="15" t="e">
        <f ca="1">D47/$D$84</f>
        <v>#DIV/0!</v>
      </c>
      <c r="F47" s="79" t="e">
        <f>'[1]2025 Ιούλιος'!F81+#REF!</f>
        <v>#REF!</v>
      </c>
      <c r="G47" s="15" t="e">
        <f>F47/$F$84</f>
        <v>#REF!</v>
      </c>
      <c r="H47" s="14"/>
      <c r="I47" s="26" t="e">
        <f ca="1">H47/$H$84</f>
        <v>#DIV/0!</v>
      </c>
      <c r="J47" s="27"/>
      <c r="K47" s="27" t="e">
        <f ca="1">J47/$J$84</f>
        <v>#DIV/0!</v>
      </c>
      <c r="L47" s="79">
        <f>'[1]2024_60-69 ΕΞΟΔΑ+ΟΜ 2'!K35</f>
        <v>2460.9699999999998</v>
      </c>
      <c r="M47" s="15">
        <f ca="1">L47/$L$84</f>
        <v>0.25648997373577354</v>
      </c>
      <c r="N47" s="10">
        <f>L47+'[1]2025 Ιούλιος'!N81</f>
        <v>47382.540000000008</v>
      </c>
      <c r="O47" s="15">
        <f ca="1">N47/$N$84</f>
        <v>0.4765036363384037</v>
      </c>
      <c r="P47" s="27"/>
      <c r="Q47" s="28"/>
    </row>
    <row r="48" spans="1:17" ht="15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2'!K38</f>
        <v>0</v>
      </c>
      <c r="E48" s="15" t="e">
        <f ca="1">D48/$D$84</f>
        <v>#DIV/0!</v>
      </c>
      <c r="F48" s="79" t="e">
        <f>'[1]2025 Ιούλιος'!F82+#REF!</f>
        <v>#REF!</v>
      </c>
      <c r="G48" s="15" t="e">
        <f>F48/$F$84</f>
        <v>#REF!</v>
      </c>
      <c r="H48" s="14"/>
      <c r="I48" s="26" t="e">
        <f ca="1">H48/$H$84</f>
        <v>#DIV/0!</v>
      </c>
      <c r="J48" s="27"/>
      <c r="K48" s="27" t="e">
        <f ca="1">J48/$J$84</f>
        <v>#DIV/0!</v>
      </c>
      <c r="L48" s="79">
        <f>'[1]2024_60-69 ΕΞΟΔΑ+ΟΜ 2'!K36</f>
        <v>1718.77</v>
      </c>
      <c r="M48" s="15">
        <f ca="1">L48/$L$84</f>
        <v>0.17913557343561096</v>
      </c>
      <c r="N48" s="10">
        <f>L48+'[1]2025 Ιούλιος'!N82</f>
        <v>13547.49</v>
      </c>
      <c r="O48" s="15">
        <f ca="1">N48/$N$84</f>
        <v>0.1362406542211152</v>
      </c>
      <c r="P48" s="27"/>
      <c r="Q48" s="28" t="e">
        <f ca="1">SUM(D48:P48)</f>
        <v>#DIV/0!</v>
      </c>
    </row>
    <row r="49" spans="1:17" ht="15" customHeight="1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2'!K7</f>
        <v>0</v>
      </c>
      <c r="E49" s="15">
        <f t="shared" si="8"/>
        <v>0</v>
      </c>
      <c r="F49" s="10">
        <f>D49+'[1]2025 Ιούλιος'!F47</f>
        <v>14200.8</v>
      </c>
      <c r="G49" s="15" t="e">
        <f t="shared" si="9"/>
        <v>#REF!</v>
      </c>
      <c r="H49" s="14"/>
      <c r="I49" s="16" t="e">
        <f t="shared" si="10"/>
        <v>#DIV/0!</v>
      </c>
      <c r="J49" s="10">
        <f t="shared" si="14"/>
        <v>0</v>
      </c>
      <c r="K49" s="17" t="e">
        <f t="shared" si="11"/>
        <v>#DIV/0!</v>
      </c>
      <c r="L49" s="14">
        <f>'[1]2024_60-69 ΕΞΟΔΑ+ΟΜ 2'!K7</f>
        <v>1481.66</v>
      </c>
      <c r="M49" s="15">
        <f t="shared" si="12"/>
        <v>2.4631862823901458E-2</v>
      </c>
      <c r="N49" s="10">
        <f>L49+'[1]2025 Ιούλιος'!N47</f>
        <v>22685.059999999998</v>
      </c>
      <c r="O49" s="15">
        <f t="shared" si="13"/>
        <v>2.9007859361083455E-2</v>
      </c>
      <c r="P49" s="10"/>
      <c r="Q49" s="15">
        <f t="shared" si="15"/>
        <v>1.5974494394681988</v>
      </c>
    </row>
    <row r="50" spans="1:17" ht="15" customHeight="1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2'!K8</f>
        <v>0</v>
      </c>
      <c r="E50" s="15">
        <f t="shared" si="8"/>
        <v>0</v>
      </c>
      <c r="F50" s="10">
        <f>D50+'[1]2025 Ιούλιος'!F48</f>
        <v>3672.9500000000003</v>
      </c>
      <c r="G50" s="15" t="e">
        <f t="shared" si="9"/>
        <v>#REF!</v>
      </c>
      <c r="H50" s="14"/>
      <c r="I50" s="16" t="e">
        <f t="shared" si="10"/>
        <v>#DIV/0!</v>
      </c>
      <c r="J50" s="10">
        <f t="shared" si="14"/>
        <v>0</v>
      </c>
      <c r="K50" s="17" t="e">
        <f t="shared" si="11"/>
        <v>#DIV/0!</v>
      </c>
      <c r="L50" s="14">
        <f>'[1]2024_60-69 ΕΞΟΔΑ+ΟΜ 2'!K8</f>
        <v>1307.33</v>
      </c>
      <c r="M50" s="15">
        <f t="shared" si="12"/>
        <v>2.1733713014842195E-2</v>
      </c>
      <c r="N50" s="10">
        <f>L50+'[1]2025 Ιούλιος'!N48</f>
        <v>8346.0099999999984</v>
      </c>
      <c r="O50" s="15">
        <f t="shared" si="13"/>
        <v>1.0672217058548494E-2</v>
      </c>
      <c r="P50" s="10"/>
      <c r="Q50" s="15">
        <f t="shared" si="15"/>
        <v>2.272290665541322</v>
      </c>
    </row>
    <row r="51" spans="1:17" ht="28.5" customHeight="1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2'!K9</f>
        <v>0</v>
      </c>
      <c r="E51" s="15">
        <f t="shared" si="8"/>
        <v>0</v>
      </c>
      <c r="F51" s="10">
        <f>D51+'[1]2025 Ιούλιος'!F49</f>
        <v>4508.5199999999995</v>
      </c>
      <c r="G51" s="15" t="e">
        <f t="shared" si="9"/>
        <v>#REF!</v>
      </c>
      <c r="H51" s="14"/>
      <c r="I51" s="16" t="e">
        <f t="shared" si="10"/>
        <v>#DIV/0!</v>
      </c>
      <c r="J51" s="10">
        <f t="shared" si="14"/>
        <v>0</v>
      </c>
      <c r="K51" s="17" t="e">
        <f t="shared" si="11"/>
        <v>#DIV/0!</v>
      </c>
      <c r="L51" s="14">
        <f>'[1]2024_60-69 ΕΞΟΔΑ+ΟΜ 2'!K9</f>
        <v>517.64</v>
      </c>
      <c r="M51" s="15">
        <f t="shared" si="12"/>
        <v>8.6055083299571757E-3</v>
      </c>
      <c r="N51" s="10">
        <f>L51+'[1]2025 Ιούλιος'!N49</f>
        <v>7897.5400000000009</v>
      </c>
      <c r="O51" s="15">
        <f t="shared" si="13"/>
        <v>1.0098749115873225E-2</v>
      </c>
      <c r="P51" s="10"/>
      <c r="Q51" s="15">
        <f t="shared" si="15"/>
        <v>1.7516923513702949</v>
      </c>
    </row>
    <row r="52" spans="1:17" ht="15" customHeight="1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2'!K41</f>
        <v>0</v>
      </c>
      <c r="E52" s="15" t="e">
        <f ca="1">D52/$D$84</f>
        <v>#DIV/0!</v>
      </c>
      <c r="F52" s="79" t="e">
        <f>'[1]2025 Ιούλιος'!F85+#REF!</f>
        <v>#REF!</v>
      </c>
      <c r="G52" s="15" t="e">
        <f>F52/$F$84</f>
        <v>#REF!</v>
      </c>
      <c r="H52" s="14"/>
      <c r="I52" s="26" t="e">
        <f ca="1">H52/$H$84</f>
        <v>#DIV/0!</v>
      </c>
      <c r="J52" s="27"/>
      <c r="K52" s="27" t="e">
        <f ca="1">J52/$J$84</f>
        <v>#DIV/0!</v>
      </c>
      <c r="L52" s="79">
        <f>'[1]2024_60-69 ΕΞΟΔΑ+ΟΜ 2'!K39</f>
        <v>568.54999999999995</v>
      </c>
      <c r="M52" s="15">
        <f ca="1">L52/$L$84</f>
        <v>5.9256055363321798E-2</v>
      </c>
      <c r="N52" s="10">
        <f>L52+'[1]2025 Ιούλιος'!N85</f>
        <v>568.54999999999995</v>
      </c>
      <c r="O52" s="15">
        <f ca="1">N52/$N$84</f>
        <v>5.7176365479815845E-3</v>
      </c>
      <c r="P52" s="27"/>
      <c r="Q52" s="28" t="e">
        <f ca="1">SUM(D52:P52)</f>
        <v>#DIV/0!</v>
      </c>
    </row>
    <row r="53" spans="1:17" ht="15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2'!K42</f>
        <v>0</v>
      </c>
      <c r="E53" s="15" t="e">
        <f ca="1">D53/$D$84</f>
        <v>#DIV/0!</v>
      </c>
      <c r="F53" s="79" t="e">
        <f>'[1]2025 Ιούλιος'!F86+#REF!</f>
        <v>#REF!</v>
      </c>
      <c r="G53" s="15" t="e">
        <f>F53/$F$84</f>
        <v>#REF!</v>
      </c>
      <c r="H53" s="14"/>
      <c r="I53" s="26" t="e">
        <f ca="1">H53/$H$84</f>
        <v>#DIV/0!</v>
      </c>
      <c r="J53" s="27"/>
      <c r="K53" s="27" t="e">
        <f ca="1">J53/$J$84</f>
        <v>#DIV/0!</v>
      </c>
      <c r="L53" s="79">
        <f>'[1]2024_60-69 ΕΞΟΔΑ+ΟΜ 2'!K40</f>
        <v>403.12</v>
      </c>
      <c r="M53" s="15">
        <f ca="1">L53/$L$84</f>
        <v>4.2014424479926628E-2</v>
      </c>
      <c r="N53" s="10">
        <f>L53+'[1]2025 Ιούλιος'!N86</f>
        <v>2746.91</v>
      </c>
      <c r="O53" s="15">
        <f ca="1">N53/$N$84</f>
        <v>2.7624365508778639E-2</v>
      </c>
      <c r="P53" s="27"/>
      <c r="Q53" s="28" t="e">
        <f ca="1">SUM(D53:P53)</f>
        <v>#DIV/0!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2'!K10</f>
        <v>0</v>
      </c>
      <c r="E54" s="15">
        <f t="shared" si="8"/>
        <v>0</v>
      </c>
      <c r="F54" s="10">
        <f>D54+'[1]2025 Ιούλιος'!F50</f>
        <v>3032.88</v>
      </c>
      <c r="G54" s="15" t="e">
        <f t="shared" si="9"/>
        <v>#REF!</v>
      </c>
      <c r="H54" s="14"/>
      <c r="I54" s="16" t="e">
        <f t="shared" si="10"/>
        <v>#DIV/0!</v>
      </c>
      <c r="J54" s="10">
        <f t="shared" si="14"/>
        <v>0</v>
      </c>
      <c r="K54" s="17" t="e">
        <f t="shared" si="11"/>
        <v>#DIV/0!</v>
      </c>
      <c r="L54" s="14">
        <f>'[1]2024_60-69 ΕΞΟΔΑ+ΟΜ 2'!K10</f>
        <v>9331.11</v>
      </c>
      <c r="M54" s="15">
        <f t="shared" si="12"/>
        <v>0.15512507695067365</v>
      </c>
      <c r="N54" s="10">
        <f>L54+'[1]2025 Ιούλιος'!N50</f>
        <v>14815.28</v>
      </c>
      <c r="O54" s="15">
        <f t="shared" si="13"/>
        <v>1.8944607536196621E-2</v>
      </c>
      <c r="P54" s="10"/>
      <c r="Q54" s="15">
        <f t="shared" si="15"/>
        <v>4.8848882909973357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2'!K11</f>
        <v>0</v>
      </c>
      <c r="E55" s="15">
        <f t="shared" si="8"/>
        <v>0</v>
      </c>
      <c r="F55" s="10">
        <f>D55+'[1]2025 Ιούλιος'!F51</f>
        <v>47267</v>
      </c>
      <c r="G55" s="15" t="e">
        <f t="shared" si="9"/>
        <v>#REF!</v>
      </c>
      <c r="H55" s="14"/>
      <c r="I55" s="16" t="e">
        <f t="shared" si="10"/>
        <v>#DIV/0!</v>
      </c>
      <c r="J55" s="10">
        <f t="shared" si="14"/>
        <v>0</v>
      </c>
      <c r="K55" s="17" t="e">
        <f t="shared" si="11"/>
        <v>#DIV/0!</v>
      </c>
      <c r="L55" s="14">
        <f>'[1]2024_60-69 ΕΞΟΔΑ+ΟΜ 2'!K11</f>
        <v>0</v>
      </c>
      <c r="M55" s="15">
        <f t="shared" si="12"/>
        <v>0</v>
      </c>
      <c r="N55" s="10">
        <f>L55+'[1]2025 Ιούλιος'!N51</f>
        <v>65221.07</v>
      </c>
      <c r="O55" s="15">
        <f t="shared" si="13"/>
        <v>8.3399542515619512E-2</v>
      </c>
      <c r="P55" s="10"/>
      <c r="Q55" s="15">
        <f t="shared" si="15"/>
        <v>1.3798436541350203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2'!K12</f>
        <v>0</v>
      </c>
      <c r="E56" s="15">
        <f t="shared" si="8"/>
        <v>0</v>
      </c>
      <c r="F56" s="10">
        <f>D56+'[1]2025 Ιούλιος'!F52</f>
        <v>0</v>
      </c>
      <c r="G56" s="15" t="e">
        <f t="shared" si="9"/>
        <v>#REF!</v>
      </c>
      <c r="H56" s="14"/>
      <c r="I56" s="16" t="e">
        <f t="shared" si="10"/>
        <v>#DIV/0!</v>
      </c>
      <c r="J56" s="10">
        <f t="shared" si="14"/>
        <v>0</v>
      </c>
      <c r="K56" s="17" t="e">
        <f t="shared" si="11"/>
        <v>#DIV/0!</v>
      </c>
      <c r="L56" s="14">
        <f>'[1]2024_60-69 ΕΞΟΔΑ+ΟΜ 2'!K12</f>
        <v>328.35</v>
      </c>
      <c r="M56" s="15">
        <f t="shared" si="12"/>
        <v>5.4586559387633082E-3</v>
      </c>
      <c r="N56" s="10">
        <f>L56+'[1]2025 Ιούλιος'!N52</f>
        <v>328.35</v>
      </c>
      <c r="O56" s="15">
        <f t="shared" si="13"/>
        <v>4.1986799334944468E-4</v>
      </c>
      <c r="P56" s="10"/>
      <c r="Q56" s="15" t="e">
        <f t="shared" si="15"/>
        <v>#DIV/0!</v>
      </c>
    </row>
    <row r="57" spans="1:17" ht="15" customHeight="1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2'!K13</f>
        <v>0</v>
      </c>
      <c r="E57" s="15">
        <f t="shared" si="8"/>
        <v>0</v>
      </c>
      <c r="F57" s="10">
        <f>D57+'[1]2025 Ιούλιος'!F53</f>
        <v>1664.65</v>
      </c>
      <c r="G57" s="15" t="e">
        <f t="shared" si="9"/>
        <v>#REF!</v>
      </c>
      <c r="H57" s="14"/>
      <c r="I57" s="16" t="e">
        <f t="shared" si="10"/>
        <v>#DIV/0!</v>
      </c>
      <c r="J57" s="10">
        <f t="shared" si="14"/>
        <v>0</v>
      </c>
      <c r="K57" s="17" t="e">
        <f t="shared" si="11"/>
        <v>#DIV/0!</v>
      </c>
      <c r="L57" s="14">
        <f>'[1]2024_60-69 ΕΞΟΔΑ+ΟΜ 2'!K13</f>
        <v>265.64</v>
      </c>
      <c r="M57" s="15">
        <f t="shared" si="12"/>
        <v>4.4161332833046602E-3</v>
      </c>
      <c r="N57" s="10">
        <f>L57+'[1]2025 Ιούλιος'!N53</f>
        <v>2568.11</v>
      </c>
      <c r="O57" s="15">
        <f t="shared" si="13"/>
        <v>3.2838958197065398E-3</v>
      </c>
      <c r="P57" s="10"/>
      <c r="Q57" s="15">
        <f t="shared" si="15"/>
        <v>1.5427327065749556</v>
      </c>
    </row>
    <row r="58" spans="1:17" ht="15" customHeight="1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2'!K14</f>
        <v>0</v>
      </c>
      <c r="E58" s="15">
        <f t="shared" si="8"/>
        <v>0</v>
      </c>
      <c r="F58" s="10">
        <f>D58+'[1]2025 Ιούλιος'!F54</f>
        <v>2427.5</v>
      </c>
      <c r="G58" s="15" t="e">
        <f t="shared" si="9"/>
        <v>#REF!</v>
      </c>
      <c r="H58" s="14"/>
      <c r="I58" s="16" t="e">
        <f t="shared" si="10"/>
        <v>#DIV/0!</v>
      </c>
      <c r="J58" s="10">
        <f t="shared" si="14"/>
        <v>0</v>
      </c>
      <c r="K58" s="17" t="e">
        <f t="shared" si="11"/>
        <v>#DIV/0!</v>
      </c>
      <c r="L58" s="14">
        <f>'[1]2024_60-69 ΕΞΟΔΑ+ΟΜ 2'!K14</f>
        <v>3672.2400000000011</v>
      </c>
      <c r="M58" s="15">
        <f t="shared" si="12"/>
        <v>6.1049169132219208E-2</v>
      </c>
      <c r="N58" s="10">
        <f>L58+'[1]2025 Ιούλιος'!N54</f>
        <v>7585.090000000002</v>
      </c>
      <c r="O58" s="15">
        <f t="shared" si="13"/>
        <v>9.6992127841478305E-3</v>
      </c>
      <c r="P58" s="10"/>
      <c r="Q58" s="15">
        <f t="shared" si="15"/>
        <v>3.1246508753862008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2'!K15</f>
        <v>0</v>
      </c>
      <c r="E59" s="15">
        <f t="shared" si="8"/>
        <v>0</v>
      </c>
      <c r="F59" s="10">
        <f>D59+'[1]2025 Ιούλιος'!F55</f>
        <v>3383.5</v>
      </c>
      <c r="G59" s="15" t="e">
        <f t="shared" si="9"/>
        <v>#REF!</v>
      </c>
      <c r="H59" s="14"/>
      <c r="I59" s="16" t="e">
        <f t="shared" si="10"/>
        <v>#DIV/0!</v>
      </c>
      <c r="J59" s="10">
        <f t="shared" si="14"/>
        <v>0</v>
      </c>
      <c r="K59" s="17" t="e">
        <f t="shared" si="11"/>
        <v>#DIV/0!</v>
      </c>
      <c r="L59" s="14">
        <f>'[1]2024_60-69 ΕΞΟΔΑ+ΟΜ 2'!K15</f>
        <v>0</v>
      </c>
      <c r="M59" s="15">
        <f t="shared" si="12"/>
        <v>0</v>
      </c>
      <c r="N59" s="10">
        <f>L59+'[1]2025 Ιούλιος'!N55</f>
        <v>4382.0190000000002</v>
      </c>
      <c r="O59" s="15">
        <f t="shared" si="13"/>
        <v>5.6033790904496429E-3</v>
      </c>
      <c r="P59" s="10"/>
      <c r="Q59" s="15">
        <f t="shared" si="15"/>
        <v>1.2951142308260677</v>
      </c>
    </row>
    <row r="60" spans="1:17" ht="15" customHeight="1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2'!K16</f>
        <v>0</v>
      </c>
      <c r="E60" s="15">
        <f t="shared" si="8"/>
        <v>0</v>
      </c>
      <c r="F60" s="10">
        <f>D60+'[1]2025 Ιούλιος'!F56</f>
        <v>1079.08</v>
      </c>
      <c r="G60" s="15" t="e">
        <f t="shared" si="9"/>
        <v>#REF!</v>
      </c>
      <c r="H60" s="14"/>
      <c r="I60" s="16" t="e">
        <f t="shared" si="10"/>
        <v>#DIV/0!</v>
      </c>
      <c r="J60" s="10"/>
      <c r="K60" s="17" t="e">
        <f t="shared" si="11"/>
        <v>#DIV/0!</v>
      </c>
      <c r="L60" s="14">
        <f>'[1]2024_60-69 ΕΞΟΔΑ+ΟΜ 2'!K16</f>
        <v>357.93</v>
      </c>
      <c r="M60" s="15">
        <f t="shared" si="12"/>
        <v>5.9504087716203769E-3</v>
      </c>
      <c r="N60" s="10">
        <f>L60+'[1]2025 Ιούλιος'!N56</f>
        <v>357.93</v>
      </c>
      <c r="O60" s="15">
        <f t="shared" si="13"/>
        <v>4.5769255629531515E-4</v>
      </c>
      <c r="P60" s="10"/>
      <c r="Q60" s="15"/>
    </row>
    <row r="61" spans="1:17" ht="42.75" customHeight="1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2'!K17</f>
        <v>0</v>
      </c>
      <c r="E61" s="15">
        <f t="shared" si="8"/>
        <v>0</v>
      </c>
      <c r="F61" s="10">
        <f>D61+'[1]2025 Ιούλιος'!F57</f>
        <v>1678.29</v>
      </c>
      <c r="G61" s="15" t="e">
        <f t="shared" si="9"/>
        <v>#REF!</v>
      </c>
      <c r="H61" s="14"/>
      <c r="I61" s="16" t="e">
        <f t="shared" si="10"/>
        <v>#DIV/0!</v>
      </c>
      <c r="J61" s="10">
        <f t="shared" si="14"/>
        <v>0</v>
      </c>
      <c r="K61" s="17" t="e">
        <f t="shared" si="11"/>
        <v>#DIV/0!</v>
      </c>
      <c r="L61" s="14">
        <f>'[1]2024_60-69 ΕΞΟΔΑ+ΟΜ 2'!K17</f>
        <v>486.81</v>
      </c>
      <c r="M61" s="15">
        <f t="shared" si="12"/>
        <v>8.0929748669083777E-3</v>
      </c>
      <c r="N61" s="10">
        <f>L61+'[1]2025 Ιούλιος'!N57</f>
        <v>2680.21</v>
      </c>
      <c r="O61" s="15">
        <f t="shared" si="13"/>
        <v>3.4272404277603625E-3</v>
      </c>
      <c r="P61" s="10"/>
      <c r="Q61" s="15">
        <f t="shared" si="15"/>
        <v>1.5969886014931867</v>
      </c>
    </row>
    <row r="62" spans="1:17" ht="42.75" customHeight="1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2'!K18</f>
        <v>0</v>
      </c>
      <c r="E62" s="15">
        <f t="shared" si="8"/>
        <v>0</v>
      </c>
      <c r="F62" s="10">
        <f>D62+'[1]2025 Ιούλιος'!F58</f>
        <v>287.06</v>
      </c>
      <c r="G62" s="15" t="e">
        <f t="shared" si="9"/>
        <v>#REF!</v>
      </c>
      <c r="H62" s="14"/>
      <c r="I62" s="16" t="e">
        <f t="shared" si="10"/>
        <v>#DIV/0!</v>
      </c>
      <c r="J62" s="10">
        <f t="shared" si="14"/>
        <v>0</v>
      </c>
      <c r="K62" s="17" t="e">
        <f t="shared" si="11"/>
        <v>#DIV/0!</v>
      </c>
      <c r="L62" s="14">
        <f>'[1]2024_60-69 ΕΞΟΔΑ+ΟΜ 2'!K18</f>
        <v>383.39</v>
      </c>
      <c r="M62" s="15">
        <f t="shared" si="12"/>
        <v>6.3736686473655083E-3</v>
      </c>
      <c r="N62" s="10">
        <f>L62+'[1]2025 Ιούλιος'!N58</f>
        <v>702.3900000000001</v>
      </c>
      <c r="O62" s="15">
        <f t="shared" si="13"/>
        <v>8.9816074264874822E-4</v>
      </c>
      <c r="P62" s="10"/>
      <c r="Q62" s="15">
        <f t="shared" si="15"/>
        <v>2.4468403818017141</v>
      </c>
    </row>
    <row r="63" spans="1:17" ht="15" customHeight="1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2'!K19</f>
        <v>0</v>
      </c>
      <c r="E63" s="15">
        <f t="shared" si="8"/>
        <v>0</v>
      </c>
      <c r="F63" s="10">
        <f>D63+'[1]2025 Ιούλιος'!F59</f>
        <v>3780.7</v>
      </c>
      <c r="G63" s="15" t="e">
        <f t="shared" si="9"/>
        <v>#REF!</v>
      </c>
      <c r="H63" s="14"/>
      <c r="I63" s="16" t="e">
        <f t="shared" si="10"/>
        <v>#DIV/0!</v>
      </c>
      <c r="J63" s="10">
        <f t="shared" si="14"/>
        <v>0</v>
      </c>
      <c r="K63" s="17" t="e">
        <f t="shared" si="11"/>
        <v>#DIV/0!</v>
      </c>
      <c r="L63" s="14">
        <f>'[1]2024_60-69 ΕΞΟΔΑ+ΟΜ 2'!K19</f>
        <v>0</v>
      </c>
      <c r="M63" s="15">
        <f t="shared" si="12"/>
        <v>0</v>
      </c>
      <c r="N63" s="10">
        <f>L63+'[1]2025 Ιούλιος'!N59</f>
        <v>1059.69</v>
      </c>
      <c r="O63" s="15">
        <f t="shared" si="13"/>
        <v>1.3550477048042426E-3</v>
      </c>
      <c r="P63" s="10"/>
      <c r="Q63" s="15">
        <f t="shared" si="15"/>
        <v>0.2802893644034174</v>
      </c>
    </row>
    <row r="64" spans="1:17" ht="42.75" customHeight="1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2'!K20</f>
        <v>0</v>
      </c>
      <c r="E64" s="15">
        <f t="shared" si="8"/>
        <v>0</v>
      </c>
      <c r="F64" s="10">
        <f>D64+'[1]2025 Ιούλιος'!F60</f>
        <v>363.25000000000006</v>
      </c>
      <c r="G64" s="15" t="e">
        <f t="shared" si="9"/>
        <v>#REF!</v>
      </c>
      <c r="H64" s="14"/>
      <c r="I64" s="16" t="e">
        <f t="shared" si="10"/>
        <v>#DIV/0!</v>
      </c>
      <c r="J64" s="10">
        <f t="shared" si="14"/>
        <v>0</v>
      </c>
      <c r="K64" s="17" t="e">
        <f t="shared" si="11"/>
        <v>#DIV/0!</v>
      </c>
      <c r="L64" s="14">
        <f>'[1]2024_60-69 ΕΞΟΔΑ+ΟΜ 2'!K20</f>
        <v>0</v>
      </c>
      <c r="M64" s="15">
        <f t="shared" si="12"/>
        <v>0</v>
      </c>
      <c r="N64" s="10">
        <f>L64+'[1]2025 Ιούλιος'!N60</f>
        <v>1009.04</v>
      </c>
      <c r="O64" s="15">
        <f t="shared" si="13"/>
        <v>1.2902804934043662E-3</v>
      </c>
      <c r="P64" s="10"/>
      <c r="Q64" s="15">
        <f t="shared" si="15"/>
        <v>2.7778114246386783</v>
      </c>
    </row>
    <row r="65" spans="1:17" ht="28.5" customHeight="1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2'!K21</f>
        <v>0</v>
      </c>
      <c r="E65" s="15">
        <f t="shared" si="8"/>
        <v>0</v>
      </c>
      <c r="F65" s="10">
        <f>D65+'[1]2025 Ιούλιος'!F61</f>
        <v>0</v>
      </c>
      <c r="G65" s="15" t="e">
        <f t="shared" si="9"/>
        <v>#REF!</v>
      </c>
      <c r="H65" s="14"/>
      <c r="I65" s="16" t="e">
        <f t="shared" si="10"/>
        <v>#DIV/0!</v>
      </c>
      <c r="J65" s="10">
        <f t="shared" si="14"/>
        <v>0</v>
      </c>
      <c r="K65" s="17" t="e">
        <f t="shared" si="11"/>
        <v>#DIV/0!</v>
      </c>
      <c r="L65" s="14">
        <f>'[1]2024_60-69 ΕΞΟΔΑ+ΟΜ 2'!K21</f>
        <v>9.35</v>
      </c>
      <c r="M65" s="15">
        <f t="shared" si="12"/>
        <v>1.5543911383413103E-4</v>
      </c>
      <c r="N65" s="10">
        <f>L65+'[1]2025 Ιούλιος'!N61</f>
        <v>9.35</v>
      </c>
      <c r="O65" s="15">
        <f t="shared" si="13"/>
        <v>1.1956040011625727E-5</v>
      </c>
      <c r="P65" s="10"/>
      <c r="Q65" s="15" t="e">
        <f t="shared" si="15"/>
        <v>#DIV/0!</v>
      </c>
    </row>
    <row r="66" spans="1:17" ht="15" customHeight="1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2'!K22</f>
        <v>0</v>
      </c>
      <c r="E66" s="15">
        <f t="shared" si="8"/>
        <v>0</v>
      </c>
      <c r="F66" s="10">
        <f>D66+'[1]2025 Ιούλιος'!F62</f>
        <v>0</v>
      </c>
      <c r="G66" s="15" t="e">
        <f t="shared" si="9"/>
        <v>#REF!</v>
      </c>
      <c r="H66" s="14"/>
      <c r="I66" s="16" t="e">
        <f t="shared" si="10"/>
        <v>#DIV/0!</v>
      </c>
      <c r="J66" s="10">
        <f t="shared" si="14"/>
        <v>0</v>
      </c>
      <c r="K66" s="17" t="e">
        <f t="shared" si="11"/>
        <v>#DIV/0!</v>
      </c>
      <c r="L66" s="14">
        <f>'[1]2024_60-69 ΕΞΟΔΑ+ΟΜ 2'!K22</f>
        <v>0</v>
      </c>
      <c r="M66" s="15">
        <f t="shared" si="12"/>
        <v>0</v>
      </c>
      <c r="N66" s="10">
        <f>L66+'[1]2025 Ιούλιος'!N62</f>
        <v>17.98</v>
      </c>
      <c r="O66" s="15">
        <f t="shared" si="13"/>
        <v>2.2991401006313432E-5</v>
      </c>
      <c r="P66" s="10"/>
      <c r="Q66" s="15" t="e">
        <f t="shared" si="15"/>
        <v>#DIV/0!</v>
      </c>
    </row>
    <row r="67" spans="1:17" ht="22.5" customHeight="1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2'!K23</f>
        <v>0</v>
      </c>
      <c r="E67" s="15">
        <f t="shared" si="8"/>
        <v>0</v>
      </c>
      <c r="F67" s="10">
        <f>D67+'[1]2025 Ιούλιος'!F63</f>
        <v>0</v>
      </c>
      <c r="G67" s="15" t="e">
        <f t="shared" si="9"/>
        <v>#REF!</v>
      </c>
      <c r="H67" s="14"/>
      <c r="I67" s="16" t="e">
        <f t="shared" si="10"/>
        <v>#DIV/0!</v>
      </c>
      <c r="J67" s="10">
        <f t="shared" si="14"/>
        <v>0</v>
      </c>
      <c r="K67" s="17" t="e">
        <f t="shared" si="11"/>
        <v>#DIV/0!</v>
      </c>
      <c r="L67" s="14">
        <f>'[1]2024_60-69 ΕΞΟΔΑ+ΟΜ 2'!K23</f>
        <v>24.03</v>
      </c>
      <c r="M67" s="15">
        <f t="shared" si="12"/>
        <v>3.9948683480579351E-4</v>
      </c>
      <c r="N67" s="10">
        <f>L67+'[1]2025 Ιούλιος'!N63</f>
        <v>125.13</v>
      </c>
      <c r="O67" s="15">
        <f t="shared" si="13"/>
        <v>1.600063408186874E-4</v>
      </c>
      <c r="P67" s="10"/>
      <c r="Q67" s="15" t="e">
        <f t="shared" si="15"/>
        <v>#DIV/0!</v>
      </c>
    </row>
    <row r="68" spans="1:17" ht="36" customHeight="1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2'!K24</f>
        <v>0</v>
      </c>
      <c r="E68" s="15">
        <f t="shared" si="8"/>
        <v>0</v>
      </c>
      <c r="F68" s="10">
        <f>D68+'[1]2025 Ιούλιος'!F64</f>
        <v>188.71</v>
      </c>
      <c r="G68" s="15" t="e">
        <f t="shared" si="9"/>
        <v>#REF!</v>
      </c>
      <c r="H68" s="14"/>
      <c r="I68" s="16" t="e">
        <f t="shared" si="10"/>
        <v>#DIV/0!</v>
      </c>
      <c r="J68" s="10">
        <f t="shared" si="14"/>
        <v>0</v>
      </c>
      <c r="K68" s="17" t="e">
        <f t="shared" si="11"/>
        <v>#DIV/0!</v>
      </c>
      <c r="L68" s="14">
        <f>'[1]2024_60-69 ΕΞΟΔΑ+ΟΜ 2'!K24</f>
        <v>9089.7099999999991</v>
      </c>
      <c r="M68" s="15">
        <f t="shared" si="12"/>
        <v>0.15111192164804696</v>
      </c>
      <c r="N68" s="10">
        <f>L68+'[1]2025 Ιούλιος'!N64</f>
        <v>9552.1899999999987</v>
      </c>
      <c r="O68" s="15">
        <f t="shared" si="13"/>
        <v>1.221458458167392E-2</v>
      </c>
      <c r="P68" s="10"/>
      <c r="Q68" s="15">
        <f t="shared" si="15"/>
        <v>50.618356207938099</v>
      </c>
    </row>
    <row r="69" spans="1:17" ht="36" customHeight="1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2'!K25</f>
        <v>0</v>
      </c>
      <c r="E69" s="15">
        <f t="shared" si="8"/>
        <v>0</v>
      </c>
      <c r="F69" s="10">
        <f>D69+'[1]2025 Ιούλιος'!F65</f>
        <v>36346.14</v>
      </c>
      <c r="G69" s="15" t="e">
        <f t="shared" si="9"/>
        <v>#REF!</v>
      </c>
      <c r="H69" s="14"/>
      <c r="I69" s="16" t="e">
        <f t="shared" si="10"/>
        <v>#DIV/0!</v>
      </c>
      <c r="J69" s="10">
        <f t="shared" si="14"/>
        <v>0</v>
      </c>
      <c r="K69" s="17" t="e">
        <f t="shared" si="11"/>
        <v>#DIV/0!</v>
      </c>
      <c r="L69" s="14">
        <f>'[1]2024_60-69 ΕΞΟΔΑ+ΟΜ 2'!K25</f>
        <v>711.5</v>
      </c>
      <c r="M69" s="15">
        <f t="shared" si="12"/>
        <v>1.1828334705132004E-2</v>
      </c>
      <c r="N69" s="10">
        <f>L69+'[1]2025 Ιούλιος'!N65</f>
        <v>53693.58</v>
      </c>
      <c r="O69" s="15">
        <f t="shared" si="13"/>
        <v>6.8659100625393252E-2</v>
      </c>
      <c r="P69" s="10"/>
      <c r="Q69" s="15">
        <f t="shared" si="15"/>
        <v>1.4772842453146333</v>
      </c>
    </row>
    <row r="70" spans="1:17" ht="36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2'!K26</f>
        <v>0</v>
      </c>
      <c r="E70" s="15">
        <f t="shared" si="8"/>
        <v>0</v>
      </c>
      <c r="F70" s="10">
        <f>D70+'[1]2025 Ιούλιος'!F66</f>
        <v>2900.09</v>
      </c>
      <c r="G70" s="15" t="e">
        <f t="shared" si="9"/>
        <v>#REF!</v>
      </c>
      <c r="H70" s="14"/>
      <c r="I70" s="16" t="e">
        <f t="shared" si="10"/>
        <v>#DIV/0!</v>
      </c>
      <c r="J70" s="10">
        <f t="shared" si="14"/>
        <v>0</v>
      </c>
      <c r="K70" s="17" t="e">
        <f t="shared" si="11"/>
        <v>#DIV/0!</v>
      </c>
      <c r="L70" s="14">
        <f>'[1]2024_60-69 ΕΞΟΔΑ+ΟΜ 2'!K26</f>
        <v>0</v>
      </c>
      <c r="M70" s="15">
        <f t="shared" si="12"/>
        <v>0</v>
      </c>
      <c r="N70" s="10">
        <f>L70+'[1]2025 Ιούλιος'!N66</f>
        <v>752.38</v>
      </c>
      <c r="O70" s="15">
        <f t="shared" si="13"/>
        <v>9.6208399828309787E-4</v>
      </c>
      <c r="P70" s="10"/>
      <c r="Q70" s="15">
        <f t="shared" si="15"/>
        <v>0.25943332793120211</v>
      </c>
    </row>
    <row r="71" spans="1:17" ht="15.75" customHeight="1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2'!K27</f>
        <v>0</v>
      </c>
      <c r="E71" s="15">
        <f t="shared" si="8"/>
        <v>0</v>
      </c>
      <c r="F71" s="10">
        <f>D71+'[1]2025 Ιούλιος'!F67</f>
        <v>0</v>
      </c>
      <c r="G71" s="15" t="e">
        <f t="shared" si="9"/>
        <v>#REF!</v>
      </c>
      <c r="H71" s="14"/>
      <c r="I71" s="16" t="e">
        <f t="shared" si="10"/>
        <v>#DIV/0!</v>
      </c>
      <c r="J71" s="10">
        <f t="shared" si="14"/>
        <v>0</v>
      </c>
      <c r="K71" s="17" t="e">
        <f t="shared" si="11"/>
        <v>#DIV/0!</v>
      </c>
      <c r="L71" s="14">
        <f>'[1]2024_60-69 ΕΞΟΔΑ+ΟΜ 2'!K27</f>
        <v>157.55000000000001</v>
      </c>
      <c r="M71" s="15">
        <f t="shared" si="12"/>
        <v>2.619190629365492E-3</v>
      </c>
      <c r="N71" s="10">
        <f>L71+'[1]2025 Ιούλιος'!N67</f>
        <v>386.05</v>
      </c>
      <c r="O71" s="15">
        <f t="shared" si="13"/>
        <v>4.9365018679017241E-4</v>
      </c>
      <c r="P71" s="10"/>
      <c r="Q71" s="15" t="e">
        <f t="shared" si="15"/>
        <v>#DIV/0!</v>
      </c>
    </row>
    <row r="72" spans="1:17" ht="27.7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2'!K28</f>
        <v>0</v>
      </c>
      <c r="E72" s="15">
        <f t="shared" si="8"/>
        <v>0</v>
      </c>
      <c r="F72" s="10">
        <f>D72+'[1]2025 Ιούλιος'!F68</f>
        <v>399.06</v>
      </c>
      <c r="G72" s="15" t="e">
        <f t="shared" si="9"/>
        <v>#REF!</v>
      </c>
      <c r="H72" s="14"/>
      <c r="I72" s="16" t="e">
        <f t="shared" si="10"/>
        <v>#DIV/0!</v>
      </c>
      <c r="J72" s="10">
        <f t="shared" si="14"/>
        <v>0</v>
      </c>
      <c r="K72" s="17" t="e">
        <f t="shared" si="11"/>
        <v>#DIV/0!</v>
      </c>
      <c r="L72" s="14">
        <f>'[1]2024_60-69 ΕΞΟΔΑ+ΟΜ 2'!K28</f>
        <v>2185.81</v>
      </c>
      <c r="M72" s="15">
        <f t="shared" si="12"/>
        <v>3.6338007423506097E-2</v>
      </c>
      <c r="N72" s="10">
        <f>L72+'[1]2025 Ιούλιος'!N68</f>
        <v>2185.81</v>
      </c>
      <c r="O72" s="15">
        <f t="shared" si="13"/>
        <v>2.7950408361295861E-3</v>
      </c>
      <c r="P72" s="10"/>
      <c r="Q72" s="15">
        <f t="shared" si="15"/>
        <v>5.4773968826742845</v>
      </c>
    </row>
    <row r="73" spans="1:17" ht="78.75" customHeight="1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2'!K29</f>
        <v>0</v>
      </c>
      <c r="E73" s="15">
        <f t="shared" si="8"/>
        <v>0</v>
      </c>
      <c r="F73" s="10">
        <f>D73+'[1]2025 Ιούλιος'!F69</f>
        <v>5994.46</v>
      </c>
      <c r="G73" s="15" t="e">
        <f t="shared" si="9"/>
        <v>#REF!</v>
      </c>
      <c r="H73" s="14"/>
      <c r="I73" s="16" t="e">
        <f t="shared" si="10"/>
        <v>#DIV/0!</v>
      </c>
      <c r="J73" s="10">
        <f t="shared" si="14"/>
        <v>0</v>
      </c>
      <c r="K73" s="17" t="e">
        <f t="shared" si="11"/>
        <v>#DIV/0!</v>
      </c>
      <c r="L73" s="14">
        <f>'[1]2024_60-69 ΕΞΟΔΑ+ΟΜ 2'!K29</f>
        <v>0</v>
      </c>
      <c r="M73" s="15">
        <f t="shared" si="12"/>
        <v>0</v>
      </c>
      <c r="N73" s="10">
        <f>L73+'[1]2025 Ιούλιος'!N69</f>
        <v>11123.619999999999</v>
      </c>
      <c r="O73" s="15">
        <f t="shared" si="13"/>
        <v>1.4224004897766863E-2</v>
      </c>
      <c r="P73" s="10"/>
      <c r="Q73" s="15">
        <f t="shared" si="15"/>
        <v>1.8556500502130298</v>
      </c>
    </row>
    <row r="74" spans="1:17" ht="30" customHeight="1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f>'[1]2025_60-69 ΕΞΟΔΑ+ΟΜ 2'!K30</f>
        <v>0</v>
      </c>
      <c r="E74" s="15">
        <f t="shared" si="8"/>
        <v>0</v>
      </c>
      <c r="F74" s="10">
        <f>D74+'[1]2025 Ιούλιος'!F70</f>
        <v>1811.8300000000002</v>
      </c>
      <c r="G74" s="15" t="e">
        <f t="shared" si="9"/>
        <v>#REF!</v>
      </c>
      <c r="H74" s="14"/>
      <c r="I74" s="16" t="e">
        <f t="shared" si="10"/>
        <v>#DIV/0!</v>
      </c>
      <c r="J74" s="10">
        <f t="shared" si="14"/>
        <v>0</v>
      </c>
      <c r="K74" s="17" t="e">
        <f t="shared" si="11"/>
        <v>#DIV/0!</v>
      </c>
      <c r="L74" s="14">
        <f>'[1]2024_60-69 ΕΞΟΔΑ+ΟΜ 2'!K30</f>
        <v>331.8</v>
      </c>
      <c r="M74" s="15">
        <f t="shared" si="12"/>
        <v>5.5160104780924797E-3</v>
      </c>
      <c r="N74" s="10">
        <f>L74+'[1]2025 Ιούλιος'!N70</f>
        <v>4683.9800000000005</v>
      </c>
      <c r="O74" s="15">
        <f t="shared" si="13"/>
        <v>5.9895029191074523E-3</v>
      </c>
      <c r="P74" s="10"/>
      <c r="Q74" s="15">
        <f t="shared" si="15"/>
        <v>2.5852204677039237</v>
      </c>
    </row>
    <row r="75" spans="1:17" ht="33.75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2'!K31</f>
        <v>7839.9766666666674</v>
      </c>
      <c r="E75" s="15">
        <f t="shared" si="8"/>
        <v>1</v>
      </c>
      <c r="F75" s="10">
        <f>D75+'[1]2025 Ιούλιος'!F71</f>
        <v>7839.9766666666674</v>
      </c>
      <c r="G75" s="15" t="e">
        <f t="shared" si="9"/>
        <v>#REF!</v>
      </c>
      <c r="H75" s="14"/>
      <c r="I75" s="16" t="e">
        <f t="shared" si="10"/>
        <v>#DIV/0!</v>
      </c>
      <c r="J75" s="10">
        <f t="shared" si="14"/>
        <v>0</v>
      </c>
      <c r="K75" s="17" t="e">
        <f t="shared" si="11"/>
        <v>#DIV/0!</v>
      </c>
      <c r="L75" s="14">
        <f>'[1]2024_60-69 ΕΞΟΔΑ+ΟΜ 2'!K31</f>
        <v>7839.98</v>
      </c>
      <c r="M75" s="15">
        <f t="shared" si="12"/>
        <v>0.13033578007243965</v>
      </c>
      <c r="N75" s="10">
        <f>L75+'[1]2025 Ιούλιος'!N71</f>
        <v>9579.33</v>
      </c>
      <c r="O75" s="15">
        <f t="shared" si="13"/>
        <v>1.2249289065729056E-2</v>
      </c>
      <c r="P75" s="10"/>
      <c r="Q75" s="15">
        <f t="shared" si="15"/>
        <v>1.2218569528055567</v>
      </c>
    </row>
    <row r="76" spans="1:17" ht="28.5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2'!K32</f>
        <v>0</v>
      </c>
      <c r="E76" s="15">
        <f t="shared" si="8"/>
        <v>0</v>
      </c>
      <c r="F76" s="10">
        <f>D76+'[1]2025 Ιούλιος'!F72</f>
        <v>54879.836666666677</v>
      </c>
      <c r="G76" s="15" t="e">
        <f t="shared" si="9"/>
        <v>#REF!</v>
      </c>
      <c r="H76" s="14"/>
      <c r="I76" s="16" t="e">
        <f t="shared" si="10"/>
        <v>#DIV/0!</v>
      </c>
      <c r="J76" s="10">
        <f t="shared" si="14"/>
        <v>0</v>
      </c>
      <c r="K76" s="17" t="e">
        <f t="shared" si="11"/>
        <v>#DIV/0!</v>
      </c>
      <c r="L76" s="14">
        <f>'[1]2024_60-69 ΕΞΟΔΑ+ΟΜ 2'!K32</f>
        <v>2918.7</v>
      </c>
      <c r="M76" s="15">
        <f t="shared" si="12"/>
        <v>4.8521940272478956E-2</v>
      </c>
      <c r="N76" s="10">
        <f>L76+'[1]2025 Ιούλιος'!N72</f>
        <v>57798.559999999983</v>
      </c>
      <c r="O76" s="15">
        <f t="shared" si="13"/>
        <v>7.3908224168379694E-2</v>
      </c>
      <c r="P76" s="10"/>
      <c r="Q76" s="15">
        <f t="shared" si="15"/>
        <v>1.0531838924933627</v>
      </c>
    </row>
    <row r="77" spans="1:17" ht="28.5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2'!K33</f>
        <v>0</v>
      </c>
      <c r="E77" s="15">
        <f t="shared" si="8"/>
        <v>0</v>
      </c>
      <c r="F77" s="10">
        <f>D77+'[1]2025 Ιούλιος'!F73</f>
        <v>5806.2300000000005</v>
      </c>
      <c r="G77" s="15" t="e">
        <f t="shared" si="9"/>
        <v>#REF!</v>
      </c>
      <c r="H77" s="14"/>
      <c r="I77" s="16" t="e">
        <f t="shared" si="10"/>
        <v>#DIV/0!</v>
      </c>
      <c r="J77" s="10">
        <f t="shared" si="14"/>
        <v>0</v>
      </c>
      <c r="K77" s="17" t="e">
        <f t="shared" si="11"/>
        <v>#DIV/0!</v>
      </c>
      <c r="L77" s="14">
        <f>'[1]2024_60-69 ΕΞΟΔΑ+ΟΜ 2'!K33</f>
        <v>0</v>
      </c>
      <c r="M77" s="15">
        <f t="shared" si="12"/>
        <v>0</v>
      </c>
      <c r="N77" s="10">
        <f>L77+'[1]2025 Ιούλιος'!N73</f>
        <v>16724.72</v>
      </c>
      <c r="O77" s="15">
        <f t="shared" si="13"/>
        <v>2.1386248289116262E-2</v>
      </c>
      <c r="P77" s="10"/>
      <c r="Q77" s="15">
        <f t="shared" si="15"/>
        <v>2.8804783827027176</v>
      </c>
    </row>
    <row r="78" spans="1:17" ht="28.5" customHeight="1" x14ac:dyDescent="0.25">
      <c r="A78" s="191">
        <v>77</v>
      </c>
      <c r="B78" s="60"/>
      <c r="C78" s="75" t="s">
        <v>163</v>
      </c>
      <c r="D78" s="7">
        <f>'[1]2025_60-69 ΕΞΟΔΑ+ΟΜ 2'!K3</f>
        <v>7839.9766666666674</v>
      </c>
      <c r="E78" s="21"/>
      <c r="F78" s="7">
        <f>'[1]2025_60-69 ΕΞΟΔΑ+ΟΜ 2'!X3</f>
        <v>247944.17333333331</v>
      </c>
      <c r="G78" s="21"/>
      <c r="H78" s="7">
        <f>SUM(H44:H77)</f>
        <v>0</v>
      </c>
      <c r="I78" s="21"/>
      <c r="J78" s="7">
        <f>SUM(J44:J77)</f>
        <v>0</v>
      </c>
      <c r="K78" s="21"/>
      <c r="L78" s="7">
        <f>SUM(L44:L77)</f>
        <v>60152.169999999984</v>
      </c>
      <c r="M78" s="21"/>
      <c r="N78" s="7"/>
      <c r="O78" s="21"/>
      <c r="P78" s="7">
        <f>SUM(P44:P77)</f>
        <v>0</v>
      </c>
      <c r="Q78" s="21"/>
    </row>
    <row r="79" spans="1:17" ht="33" customHeight="1" x14ac:dyDescent="0.25">
      <c r="A79" s="60">
        <v>78</v>
      </c>
      <c r="B79" s="60"/>
      <c r="C79" s="22" t="s">
        <v>18</v>
      </c>
      <c r="D79" s="7">
        <f>D43-D78</f>
        <v>0</v>
      </c>
      <c r="E79" s="21"/>
      <c r="F79" s="7" t="e">
        <f>F43-F78</f>
        <v>#REF!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0</v>
      </c>
      <c r="M79" s="21"/>
      <c r="N79" s="7"/>
      <c r="O79" s="21"/>
      <c r="P79" s="7">
        <f>P43-P78</f>
        <v>0</v>
      </c>
      <c r="Q79" s="21"/>
    </row>
    <row r="80" spans="1:17" ht="27" customHeight="1" x14ac:dyDescent="0.25">
      <c r="A80" s="76">
        <v>79</v>
      </c>
      <c r="B80" s="76"/>
      <c r="C80" s="13" t="s">
        <v>32</v>
      </c>
      <c r="D80" s="23">
        <f>D38-D78</f>
        <v>-7839.9766666666674</v>
      </c>
      <c r="E80" s="24"/>
      <c r="F80" s="23" t="e">
        <f>F38-F78</f>
        <v>#VALUE!</v>
      </c>
      <c r="G80" s="24"/>
      <c r="H80" s="25">
        <f>H38-H78</f>
        <v>0</v>
      </c>
      <c r="I80" s="24" t="e">
        <f t="shared" ref="I80" si="16">H80/$I$39</f>
        <v>#DIV/0!</v>
      </c>
      <c r="J80" s="25">
        <f>J38-J78</f>
        <v>417740.29416449001</v>
      </c>
      <c r="K80" s="24"/>
      <c r="L80" s="77">
        <f>L38-L78</f>
        <v>10504.660000000018</v>
      </c>
      <c r="M80" s="24"/>
      <c r="N80" s="23">
        <f>N38-N78</f>
        <v>441589.26805309736</v>
      </c>
      <c r="O80" s="24"/>
      <c r="P80" s="23">
        <f>P38-P78</f>
        <v>-225749.70221238935</v>
      </c>
      <c r="Q80" s="24"/>
    </row>
    <row r="81" spans="1:17" ht="30.75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</row>
    <row r="82" spans="1:17" ht="24.75" customHeight="1" x14ac:dyDescent="0.25">
      <c r="A82" s="19">
        <v>81</v>
      </c>
      <c r="B82" s="19"/>
      <c r="C82" s="5" t="s">
        <v>3</v>
      </c>
      <c r="D82" s="180" t="str">
        <f>[1]ΑΝΤΙΣΤΟΙΧΙΣΗ!$F$113</f>
        <v xml:space="preserve">ΑΥΓΟΥΣΤΟΣ ΤΡΕΧΟΝ ΕΤΟΣ </v>
      </c>
      <c r="E82" s="180"/>
      <c r="F82" s="180"/>
      <c r="G82" s="61">
        <f>[1]ΑΝΤΙΣΤΟΙΧΙΣΗ!$D$34</f>
        <v>2025</v>
      </c>
      <c r="H82" s="180" t="str">
        <f>[1]ΑΝΤΙΣΤΟΙΧΙΣΗ!$F$113</f>
        <v xml:space="preserve">ΑΥΓΟΥΣΤΟΣ ΤΡΕΧΟΝ ΕΤΟΣ </v>
      </c>
      <c r="I82" s="180"/>
      <c r="J82" s="180"/>
      <c r="K82" s="61">
        <f>[1]ΑΝΤΙΣΤΟΙΧΙΣΗ!$D$34</f>
        <v>2025</v>
      </c>
      <c r="L82" s="180" t="str">
        <f>[1]ΑΝΤΙΣΤΟΙΧΙΣΗ!$F$127</f>
        <v>ΑΥΓΟΥΣΤΟΣ ΠΡΟΗΓΟΥΜΕΝΟΥ ΕΤΟΥΣ</v>
      </c>
      <c r="M82" s="180"/>
      <c r="N82" s="180"/>
      <c r="O82" s="61">
        <f>[1]ΑΝΤΙΣΤΟΙΧΙΣΗ!$D$33</f>
        <v>2024</v>
      </c>
      <c r="P82" s="180"/>
      <c r="Q82" s="180"/>
    </row>
    <row r="83" spans="1:17" ht="15" customHeight="1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</row>
    <row r="84" spans="1:17" ht="15" customHeight="1" x14ac:dyDescent="0.25">
      <c r="A84" s="19">
        <v>83</v>
      </c>
      <c r="B84" s="19" t="s">
        <v>2</v>
      </c>
      <c r="C84" s="75" t="s">
        <v>165</v>
      </c>
      <c r="D84" s="7">
        <f ca="1">SUM(D47:D110)</f>
        <v>0</v>
      </c>
      <c r="E84" s="8"/>
      <c r="F84" s="7" t="e">
        <f>SUM(F47:F110)</f>
        <v>#REF!</v>
      </c>
      <c r="G84" s="8"/>
      <c r="H84" s="7">
        <f ca="1">SUM(H47:H110)</f>
        <v>0</v>
      </c>
      <c r="I84" s="8"/>
      <c r="J84" s="7">
        <f ca="1">SUM(J47:J110)</f>
        <v>0</v>
      </c>
      <c r="K84" s="8"/>
      <c r="L84" s="7">
        <f ca="1">SUM(L47:L110)</f>
        <v>9594.7999999999993</v>
      </c>
      <c r="M84" s="8"/>
      <c r="N84" s="7">
        <f ca="1">SUM(N47:N110)</f>
        <v>99437.94</v>
      </c>
      <c r="O84" s="8"/>
      <c r="P84" s="7">
        <f ca="1">SUM(P47:P110)</f>
        <v>0</v>
      </c>
      <c r="Q84" s="8"/>
    </row>
    <row r="85" spans="1:17" ht="24.75" customHeight="1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2'!K39</f>
        <v>0</v>
      </c>
      <c r="E85" s="15" t="e">
        <f t="shared" ref="E85:E105" ca="1" si="17">D85/$D$84</f>
        <v>#DIV/0!</v>
      </c>
      <c r="F85" s="79" t="e">
        <f>'[1]2025 Ιούλιος'!F83+#REF!</f>
        <v>#REF!</v>
      </c>
      <c r="G85" s="15" t="e">
        <f t="shared" ref="G85:G105" si="18">F85/$F$84</f>
        <v>#REF!</v>
      </c>
      <c r="H85" s="14"/>
      <c r="I85" s="26" t="e">
        <f t="shared" ref="I85:I105" ca="1" si="19">H85/$H$84</f>
        <v>#DIV/0!</v>
      </c>
      <c r="J85" s="27"/>
      <c r="K85" s="27" t="e">
        <f t="shared" ref="K85:K105" ca="1" si="20">J85/$J$84</f>
        <v>#DIV/0!</v>
      </c>
      <c r="L85" s="79">
        <f>'[1]2024_60-69 ΕΞΟΔΑ+ΟΜ 2'!K37</f>
        <v>2797.91</v>
      </c>
      <c r="M85" s="15">
        <f t="shared" ref="M85:M105" ca="1" si="21">L85/$L$84</f>
        <v>0.29160691207737527</v>
      </c>
      <c r="N85" s="10">
        <f>L85+'[1]2025 Ιούλιος'!N83</f>
        <v>9390.92</v>
      </c>
      <c r="O85" s="15">
        <f t="shared" ref="O85:O105" ca="1" si="22">N85/$N$84</f>
        <v>9.4440009517494025E-2</v>
      </c>
      <c r="P85" s="27"/>
      <c r="Q85" s="28" t="e">
        <f t="shared" ref="Q85:Q105" ca="1" si="23">SUM(D85:P85)</f>
        <v>#DIV/0!</v>
      </c>
    </row>
    <row r="86" spans="1:17" ht="14.25" customHeight="1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2'!K40</f>
        <v>0</v>
      </c>
      <c r="E86" s="15" t="e">
        <f t="shared" ca="1" si="17"/>
        <v>#DIV/0!</v>
      </c>
      <c r="F86" s="79" t="e">
        <f>'[1]2025 Ιούλιος'!F84+#REF!</f>
        <v>#REF!</v>
      </c>
      <c r="G86" s="15" t="e">
        <f t="shared" si="18"/>
        <v>#REF!</v>
      </c>
      <c r="H86" s="14"/>
      <c r="I86" s="26" t="e">
        <f t="shared" ca="1" si="19"/>
        <v>#DIV/0!</v>
      </c>
      <c r="J86" s="27"/>
      <c r="K86" s="27" t="e">
        <f t="shared" ca="1" si="20"/>
        <v>#DIV/0!</v>
      </c>
      <c r="L86" s="79">
        <f>'[1]2024_60-69 ΕΞΟΔΑ+ΟΜ 2'!K38</f>
        <v>0</v>
      </c>
      <c r="M86" s="15">
        <f t="shared" ca="1" si="21"/>
        <v>0</v>
      </c>
      <c r="N86" s="10">
        <f>L86+'[1]2025 Ιούλιος'!N84</f>
        <v>10477.5</v>
      </c>
      <c r="O86" s="15">
        <f t="shared" ca="1" si="22"/>
        <v>0.10536722703628011</v>
      </c>
      <c r="P86" s="27"/>
      <c r="Q86" s="28" t="e">
        <f t="shared" ca="1" si="23"/>
        <v>#DIV/0!</v>
      </c>
    </row>
    <row r="87" spans="1:17" ht="15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2'!K43</f>
        <v>0</v>
      </c>
      <c r="E87" s="15" t="e">
        <f t="shared" ca="1" si="17"/>
        <v>#DIV/0!</v>
      </c>
      <c r="F87" s="79" t="e">
        <f>'[1]2025 Ιούλιος'!F87+#REF!</f>
        <v>#REF!</v>
      </c>
      <c r="G87" s="15" t="e">
        <f t="shared" si="18"/>
        <v>#REF!</v>
      </c>
      <c r="H87" s="14"/>
      <c r="I87" s="26" t="e">
        <f t="shared" ca="1" si="19"/>
        <v>#DIV/0!</v>
      </c>
      <c r="J87" s="27"/>
      <c r="K87" s="27" t="e">
        <f t="shared" ca="1" si="20"/>
        <v>#DIV/0!</v>
      </c>
      <c r="L87" s="79">
        <f>'[1]2024_60-69 ΕΞΟΔΑ+ΟΜ 2'!K41</f>
        <v>477.31999999999988</v>
      </c>
      <c r="M87" s="15">
        <f t="shared" ca="1" si="21"/>
        <v>4.9747780047525732E-2</v>
      </c>
      <c r="N87" s="10">
        <f>L87+'[1]2025 Ιούλιος'!N87</f>
        <v>2165.66</v>
      </c>
      <c r="O87" s="15">
        <f t="shared" ca="1" si="22"/>
        <v>2.1779011109843985E-2</v>
      </c>
      <c r="P87" s="27"/>
      <c r="Q87" s="28" t="e">
        <f t="shared" ca="1" si="23"/>
        <v>#DIV/0!</v>
      </c>
    </row>
    <row r="88" spans="1:17" ht="15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2'!K44</f>
        <v>0</v>
      </c>
      <c r="E88" s="15" t="e">
        <f t="shared" ca="1" si="17"/>
        <v>#DIV/0!</v>
      </c>
      <c r="F88" s="79" t="e">
        <f>'[1]2025 Ιούλιος'!F88+#REF!</f>
        <v>#REF!</v>
      </c>
      <c r="G88" s="15" t="e">
        <f t="shared" si="18"/>
        <v>#REF!</v>
      </c>
      <c r="H88" s="14"/>
      <c r="I88" s="26" t="e">
        <f t="shared" ca="1" si="19"/>
        <v>#DIV/0!</v>
      </c>
      <c r="J88" s="27"/>
      <c r="K88" s="27" t="e">
        <f t="shared" ca="1" si="20"/>
        <v>#DIV/0!</v>
      </c>
      <c r="L88" s="79">
        <f>'[1]2024_60-69 ΕΞΟΔΑ+ΟΜ 2'!K42</f>
        <v>0</v>
      </c>
      <c r="M88" s="15">
        <f t="shared" ca="1" si="21"/>
        <v>0</v>
      </c>
      <c r="N88" s="10">
        <f>L88+'[1]2025 Ιούλιος'!N88</f>
        <v>1970.91</v>
      </c>
      <c r="O88" s="15">
        <f t="shared" ca="1" si="22"/>
        <v>1.9820503119835346E-2</v>
      </c>
      <c r="P88" s="27"/>
      <c r="Q88" s="28" t="e">
        <f t="shared" ca="1" si="23"/>
        <v>#DIV/0!</v>
      </c>
    </row>
    <row r="89" spans="1:17" ht="28.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2'!K45</f>
        <v>0</v>
      </c>
      <c r="E89" s="15" t="e">
        <f t="shared" ca="1" si="17"/>
        <v>#DIV/0!</v>
      </c>
      <c r="F89" s="79" t="e">
        <f>'[1]2025 Ιούλιος'!F89+#REF!</f>
        <v>#REF!</v>
      </c>
      <c r="G89" s="15" t="e">
        <f t="shared" si="18"/>
        <v>#REF!</v>
      </c>
      <c r="H89" s="80"/>
      <c r="I89" s="26" t="e">
        <f t="shared" ca="1" si="19"/>
        <v>#DIV/0!</v>
      </c>
      <c r="J89" s="80"/>
      <c r="K89" s="27" t="e">
        <f t="shared" ca="1" si="20"/>
        <v>#DIV/0!</v>
      </c>
      <c r="L89" s="79">
        <f>'[1]2024_60-69 ΕΞΟΔΑ+ΟΜ 2'!K43</f>
        <v>0</v>
      </c>
      <c r="M89" s="15">
        <f t="shared" ca="1" si="21"/>
        <v>0</v>
      </c>
      <c r="N89" s="10">
        <f>L89+'[1]2025 Ιούλιος'!N89</f>
        <v>0</v>
      </c>
      <c r="O89" s="15">
        <f t="shared" ca="1" si="22"/>
        <v>0</v>
      </c>
      <c r="P89" s="80"/>
      <c r="Q89" s="28" t="e">
        <f t="shared" ca="1" si="23"/>
        <v>#DIV/0!</v>
      </c>
    </row>
    <row r="90" spans="1:17" ht="42.75" customHeight="1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2'!K46</f>
        <v>0</v>
      </c>
      <c r="E90" s="15" t="e">
        <f t="shared" ca="1" si="17"/>
        <v>#DIV/0!</v>
      </c>
      <c r="F90" s="79" t="e">
        <f>'[1]2025 Ιούλιος'!F90+#REF!</f>
        <v>#REF!</v>
      </c>
      <c r="G90" s="15" t="e">
        <f t="shared" si="18"/>
        <v>#REF!</v>
      </c>
      <c r="H90" s="80"/>
      <c r="I90" s="26" t="e">
        <f t="shared" ca="1" si="19"/>
        <v>#DIV/0!</v>
      </c>
      <c r="J90" s="80"/>
      <c r="K90" s="27" t="e">
        <f t="shared" ca="1" si="20"/>
        <v>#DIV/0!</v>
      </c>
      <c r="L90" s="79">
        <f>'[1]2024_60-69 ΕΞΟΔΑ+ΟΜ 2'!K44</f>
        <v>0</v>
      </c>
      <c r="M90" s="15">
        <f t="shared" ca="1" si="21"/>
        <v>0</v>
      </c>
      <c r="N90" s="10">
        <f>L90+'[1]2025 Ιούλιος'!N90</f>
        <v>0</v>
      </c>
      <c r="O90" s="15">
        <f t="shared" ca="1" si="22"/>
        <v>0</v>
      </c>
      <c r="P90" s="80"/>
      <c r="Q90" s="28" t="e">
        <f t="shared" ca="1" si="23"/>
        <v>#DIV/0!</v>
      </c>
    </row>
    <row r="91" spans="1:17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2'!K47</f>
        <v>0</v>
      </c>
      <c r="E91" s="15" t="e">
        <f t="shared" ca="1" si="17"/>
        <v>#DIV/0!</v>
      </c>
      <c r="F91" s="79" t="e">
        <f>'[1]2025 Ιούλιος'!F91+#REF!</f>
        <v>#REF!</v>
      </c>
      <c r="G91" s="15" t="e">
        <f t="shared" si="18"/>
        <v>#REF!</v>
      </c>
      <c r="H91" s="80"/>
      <c r="I91" s="26" t="e">
        <f t="shared" ca="1" si="19"/>
        <v>#DIV/0!</v>
      </c>
      <c r="J91" s="80"/>
      <c r="K91" s="27" t="e">
        <f t="shared" ca="1" si="20"/>
        <v>#DIV/0!</v>
      </c>
      <c r="L91" s="79">
        <f>'[1]2024_60-69 ΕΞΟΔΑ+ΟΜ 2'!K45</f>
        <v>0</v>
      </c>
      <c r="M91" s="15">
        <f t="shared" ca="1" si="21"/>
        <v>0</v>
      </c>
      <c r="N91" s="10">
        <f>L91+'[1]2025 Ιούλιος'!N91</f>
        <v>0</v>
      </c>
      <c r="O91" s="15">
        <f t="shared" ca="1" si="22"/>
        <v>0</v>
      </c>
      <c r="P91" s="80"/>
      <c r="Q91" s="28" t="e">
        <f t="shared" ca="1" si="23"/>
        <v>#DIV/0!</v>
      </c>
    </row>
    <row r="92" spans="1:17" ht="15" customHeight="1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2'!K48</f>
        <v>0</v>
      </c>
      <c r="E92" s="15" t="e">
        <f t="shared" ca="1" si="17"/>
        <v>#DIV/0!</v>
      </c>
      <c r="F92" s="79" t="e">
        <f>'[1]2025 Ιούλιος'!F92+#REF!</f>
        <v>#REF!</v>
      </c>
      <c r="G92" s="15" t="e">
        <f t="shared" si="18"/>
        <v>#REF!</v>
      </c>
      <c r="H92" s="14"/>
      <c r="I92" s="26" t="e">
        <f t="shared" ca="1" si="19"/>
        <v>#DIV/0!</v>
      </c>
      <c r="J92" s="27"/>
      <c r="K92" s="27" t="e">
        <f t="shared" ca="1" si="20"/>
        <v>#DIV/0!</v>
      </c>
      <c r="L92" s="79">
        <f>'[1]2024_60-69 ΕΞΟΔΑ+ΟΜ 2'!K46</f>
        <v>0</v>
      </c>
      <c r="M92" s="15">
        <f t="shared" ca="1" si="21"/>
        <v>0</v>
      </c>
      <c r="N92" s="10">
        <f>L92+'[1]2025 Ιούλιος'!N92</f>
        <v>0</v>
      </c>
      <c r="O92" s="15">
        <f t="shared" ca="1" si="22"/>
        <v>0</v>
      </c>
      <c r="P92" s="27"/>
      <c r="Q92" s="28" t="e">
        <f t="shared" ca="1" si="23"/>
        <v>#DIV/0!</v>
      </c>
    </row>
    <row r="93" spans="1:17" ht="15" customHeight="1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2'!K49</f>
        <v>0</v>
      </c>
      <c r="E93" s="15" t="e">
        <f t="shared" ca="1" si="17"/>
        <v>#DIV/0!</v>
      </c>
      <c r="F93" s="79" t="e">
        <f>'[1]2025 Ιούλιος'!F93+#REF!</f>
        <v>#REF!</v>
      </c>
      <c r="G93" s="15" t="e">
        <f t="shared" si="18"/>
        <v>#REF!</v>
      </c>
      <c r="H93" s="14"/>
      <c r="I93" s="26" t="e">
        <f t="shared" ca="1" si="19"/>
        <v>#DIV/0!</v>
      </c>
      <c r="J93" s="27"/>
      <c r="K93" s="27" t="e">
        <f t="shared" ca="1" si="20"/>
        <v>#DIV/0!</v>
      </c>
      <c r="L93" s="79">
        <f>'[1]2024_60-69 ΕΞΟΔΑ+ΟΜ 2'!K47</f>
        <v>0</v>
      </c>
      <c r="M93" s="15">
        <f t="shared" ca="1" si="21"/>
        <v>0</v>
      </c>
      <c r="N93" s="10">
        <f>L93+'[1]2025 Ιούλιος'!N93</f>
        <v>0</v>
      </c>
      <c r="O93" s="15">
        <f t="shared" ca="1" si="22"/>
        <v>0</v>
      </c>
      <c r="P93" s="27"/>
      <c r="Q93" s="28" t="e">
        <f t="shared" ca="1" si="23"/>
        <v>#DIV/0!</v>
      </c>
    </row>
    <row r="94" spans="1:17" ht="1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2'!K50</f>
        <v>0</v>
      </c>
      <c r="E94" s="15" t="e">
        <f t="shared" ca="1" si="17"/>
        <v>#DIV/0!</v>
      </c>
      <c r="F94" s="79" t="e">
        <f>'[1]2025 Ιούλιος'!F94+#REF!</f>
        <v>#REF!</v>
      </c>
      <c r="G94" s="15" t="e">
        <f t="shared" si="18"/>
        <v>#REF!</v>
      </c>
      <c r="H94" s="81"/>
      <c r="I94" s="26" t="e">
        <f t="shared" ca="1" si="19"/>
        <v>#DIV/0!</v>
      </c>
      <c r="J94" s="81"/>
      <c r="K94" s="27" t="e">
        <f t="shared" ca="1" si="20"/>
        <v>#DIV/0!</v>
      </c>
      <c r="L94" s="79">
        <f>'[1]2024_60-69 ΕΞΟΔΑ+ΟΜ 2'!K48</f>
        <v>0</v>
      </c>
      <c r="M94" s="15">
        <f t="shared" ca="1" si="21"/>
        <v>0</v>
      </c>
      <c r="N94" s="10">
        <f>L94+'[1]2025 Ιούλιος'!N94</f>
        <v>0</v>
      </c>
      <c r="O94" s="15">
        <f t="shared" ca="1" si="22"/>
        <v>0</v>
      </c>
      <c r="P94" s="81"/>
      <c r="Q94" s="28" t="e">
        <f t="shared" ca="1" si="23"/>
        <v>#DIV/0!</v>
      </c>
    </row>
    <row r="95" spans="1:17" ht="28.5" customHeight="1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2'!K51</f>
        <v>0</v>
      </c>
      <c r="E95" s="15" t="e">
        <f t="shared" ca="1" si="17"/>
        <v>#DIV/0!</v>
      </c>
      <c r="F95" s="79" t="e">
        <f>'[1]2025 Ιούλιος'!F95+#REF!</f>
        <v>#REF!</v>
      </c>
      <c r="G95" s="15" t="e">
        <f t="shared" si="18"/>
        <v>#REF!</v>
      </c>
      <c r="H95" s="14"/>
      <c r="I95" s="26" t="e">
        <f t="shared" ca="1" si="19"/>
        <v>#DIV/0!</v>
      </c>
      <c r="J95" s="27"/>
      <c r="K95" s="27" t="e">
        <f t="shared" ca="1" si="20"/>
        <v>#DIV/0!</v>
      </c>
      <c r="L95" s="79">
        <f>'[1]2024_60-69 ΕΞΟΔΑ+ΟΜ 2'!K49</f>
        <v>0</v>
      </c>
      <c r="M95" s="15">
        <f t="shared" ca="1" si="21"/>
        <v>0</v>
      </c>
      <c r="N95" s="10">
        <f>L95+'[1]2025 Ιούλιος'!N95</f>
        <v>0</v>
      </c>
      <c r="O95" s="15">
        <f t="shared" ca="1" si="22"/>
        <v>0</v>
      </c>
      <c r="P95" s="27"/>
      <c r="Q95" s="28" t="e">
        <f t="shared" ca="1" si="23"/>
        <v>#DIV/0!</v>
      </c>
    </row>
    <row r="96" spans="1:17" ht="15" customHeight="1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2'!K52</f>
        <v>0</v>
      </c>
      <c r="E96" s="15" t="e">
        <f t="shared" ca="1" si="17"/>
        <v>#DIV/0!</v>
      </c>
      <c r="F96" s="79" t="e">
        <f>'[1]2025 Ιούλιος'!F96+#REF!</f>
        <v>#REF!</v>
      </c>
      <c r="G96" s="15" t="e">
        <f t="shared" si="18"/>
        <v>#REF!</v>
      </c>
      <c r="H96" s="14"/>
      <c r="I96" s="26" t="e">
        <f t="shared" ca="1" si="19"/>
        <v>#DIV/0!</v>
      </c>
      <c r="J96" s="27"/>
      <c r="K96" s="27" t="e">
        <f t="shared" ca="1" si="20"/>
        <v>#DIV/0!</v>
      </c>
      <c r="L96" s="79">
        <f>'[1]2024_60-69 ΕΞΟΔΑ+ΟΜ 2'!K50</f>
        <v>0</v>
      </c>
      <c r="M96" s="15">
        <f t="shared" ca="1" si="21"/>
        <v>0</v>
      </c>
      <c r="N96" s="10">
        <f>L96+'[1]2025 Ιούλιος'!N96</f>
        <v>246.76</v>
      </c>
      <c r="O96" s="15">
        <f t="shared" ca="1" si="22"/>
        <v>2.4815477874943906E-3</v>
      </c>
      <c r="P96" s="27"/>
      <c r="Q96" s="28" t="e">
        <f t="shared" ca="1" si="23"/>
        <v>#DIV/0!</v>
      </c>
    </row>
    <row r="97" spans="1:17" ht="15" customHeight="1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2'!K53</f>
        <v>0</v>
      </c>
      <c r="E97" s="15" t="e">
        <f t="shared" ca="1" si="17"/>
        <v>#DIV/0!</v>
      </c>
      <c r="F97" s="79" t="e">
        <f>'[1]2025 Ιούλιος'!F97+#REF!</f>
        <v>#REF!</v>
      </c>
      <c r="G97" s="15" t="e">
        <f t="shared" si="18"/>
        <v>#REF!</v>
      </c>
      <c r="H97" s="14"/>
      <c r="I97" s="26" t="e">
        <f t="shared" ca="1" si="19"/>
        <v>#DIV/0!</v>
      </c>
      <c r="J97" s="27"/>
      <c r="K97" s="27" t="e">
        <f t="shared" ca="1" si="20"/>
        <v>#DIV/0!</v>
      </c>
      <c r="L97" s="79">
        <f>'[1]2024_60-69 ΕΞΟΔΑ+ΟΜ 2'!K51</f>
        <v>0</v>
      </c>
      <c r="M97" s="15">
        <f t="shared" ca="1" si="21"/>
        <v>0</v>
      </c>
      <c r="N97" s="10">
        <f>L97+'[1]2025 Ιούλιος'!N97</f>
        <v>311.78999999999996</v>
      </c>
      <c r="O97" s="15">
        <f t="shared" ca="1" si="22"/>
        <v>3.1355235235162753E-3</v>
      </c>
      <c r="P97" s="27"/>
      <c r="Q97" s="28" t="e">
        <f t="shared" ca="1" si="23"/>
        <v>#DIV/0!</v>
      </c>
    </row>
    <row r="98" spans="1:17" ht="15" customHeight="1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2'!K54</f>
        <v>0</v>
      </c>
      <c r="E98" s="15" t="e">
        <f t="shared" ca="1" si="17"/>
        <v>#DIV/0!</v>
      </c>
      <c r="F98" s="79" t="e">
        <f>'[1]2025 Ιούλιος'!F98+#REF!</f>
        <v>#REF!</v>
      </c>
      <c r="G98" s="15" t="e">
        <f t="shared" si="18"/>
        <v>#REF!</v>
      </c>
      <c r="H98" s="14"/>
      <c r="I98" s="26" t="e">
        <f t="shared" ca="1" si="19"/>
        <v>#DIV/0!</v>
      </c>
      <c r="J98" s="27"/>
      <c r="K98" s="27" t="e">
        <f t="shared" ca="1" si="20"/>
        <v>#DIV/0!</v>
      </c>
      <c r="L98" s="79">
        <f>'[1]2024_60-69 ΕΞΟΔΑ+ΟΜ 2'!K52</f>
        <v>0</v>
      </c>
      <c r="M98" s="15">
        <f t="shared" ca="1" si="21"/>
        <v>0</v>
      </c>
      <c r="N98" s="10">
        <f>L98+'[1]2025 Ιούλιος'!N98</f>
        <v>0</v>
      </c>
      <c r="O98" s="15">
        <f t="shared" ca="1" si="22"/>
        <v>0</v>
      </c>
      <c r="P98" s="27"/>
      <c r="Q98" s="28" t="e">
        <f t="shared" ca="1" si="23"/>
        <v>#DIV/0!</v>
      </c>
    </row>
    <row r="99" spans="1:17" ht="1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2'!K55</f>
        <v>0</v>
      </c>
      <c r="E99" s="15" t="e">
        <f t="shared" ca="1" si="17"/>
        <v>#DIV/0!</v>
      </c>
      <c r="F99" s="79" t="e">
        <f>'[1]2025 Ιούλιος'!F99+#REF!</f>
        <v>#REF!</v>
      </c>
      <c r="G99" s="15" t="e">
        <f t="shared" si="18"/>
        <v>#REF!</v>
      </c>
      <c r="H99" s="14"/>
      <c r="I99" s="26" t="e">
        <f t="shared" ca="1" si="19"/>
        <v>#DIV/0!</v>
      </c>
      <c r="J99" s="27"/>
      <c r="K99" s="27" t="e">
        <f t="shared" ca="1" si="20"/>
        <v>#DIV/0!</v>
      </c>
      <c r="L99" s="79">
        <f>'[1]2024_60-69 ΕΞΟΔΑ+ΟΜ 2'!K53</f>
        <v>0</v>
      </c>
      <c r="M99" s="15">
        <f t="shared" ca="1" si="21"/>
        <v>0</v>
      </c>
      <c r="N99" s="10">
        <f>L99+'[1]2025 Ιούλιος'!N99</f>
        <v>0</v>
      </c>
      <c r="O99" s="15">
        <f t="shared" ca="1" si="22"/>
        <v>0</v>
      </c>
      <c r="P99" s="27"/>
      <c r="Q99" s="28" t="e">
        <f t="shared" ca="1" si="23"/>
        <v>#DIV/0!</v>
      </c>
    </row>
    <row r="100" spans="1:17" ht="15" customHeight="1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2'!K56</f>
        <v>0</v>
      </c>
      <c r="E100" s="15" t="e">
        <f t="shared" ca="1" si="17"/>
        <v>#DIV/0!</v>
      </c>
      <c r="F100" s="79" t="e">
        <f>'[1]2025 Ιούλιος'!F100+#REF!</f>
        <v>#REF!</v>
      </c>
      <c r="G100" s="15" t="e">
        <f t="shared" si="18"/>
        <v>#REF!</v>
      </c>
      <c r="H100" s="14"/>
      <c r="I100" s="26" t="e">
        <f t="shared" ca="1" si="19"/>
        <v>#DIV/0!</v>
      </c>
      <c r="J100" s="27"/>
      <c r="K100" s="27" t="e">
        <f t="shared" ca="1" si="20"/>
        <v>#DIV/0!</v>
      </c>
      <c r="L100" s="79">
        <f>'[1]2024_60-69 ΕΞΟΔΑ+ΟΜ 2'!K54</f>
        <v>168.16</v>
      </c>
      <c r="M100" s="15">
        <f t="shared" ca="1" si="21"/>
        <v>1.752616000333514E-2</v>
      </c>
      <c r="N100" s="10">
        <f>L100+'[1]2025 Ιούλιος'!N100</f>
        <v>288.03999999999996</v>
      </c>
      <c r="O100" s="15">
        <f t="shared" ca="1" si="22"/>
        <v>2.8966810857103432E-3</v>
      </c>
      <c r="P100" s="27"/>
      <c r="Q100" s="28" t="e">
        <f t="shared" ca="1" si="23"/>
        <v>#DIV/0!</v>
      </c>
    </row>
    <row r="101" spans="1:17" ht="25.5" customHeight="1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2'!K57</f>
        <v>0</v>
      </c>
      <c r="E101" s="15" t="e">
        <f t="shared" ca="1" si="17"/>
        <v>#DIV/0!</v>
      </c>
      <c r="F101" s="79" t="e">
        <f>'[1]2025 Ιούλιος'!F101+#REF!</f>
        <v>#REF!</v>
      </c>
      <c r="G101" s="15" t="e">
        <f t="shared" si="18"/>
        <v>#REF!</v>
      </c>
      <c r="H101" s="14"/>
      <c r="I101" s="26" t="e">
        <f t="shared" ca="1" si="19"/>
        <v>#DIV/0!</v>
      </c>
      <c r="J101" s="27"/>
      <c r="K101" s="27" t="e">
        <f t="shared" ca="1" si="20"/>
        <v>#DIV/0!</v>
      </c>
      <c r="L101" s="79">
        <f>'[1]2024_60-69 ΕΞΟΔΑ+ΟΜ 2'!K55</f>
        <v>0</v>
      </c>
      <c r="M101" s="15">
        <f t="shared" ca="1" si="21"/>
        <v>0</v>
      </c>
      <c r="N101" s="10">
        <f>L101+'[1]2025 Ιούλιος'!N101</f>
        <v>1710.0700000000002</v>
      </c>
      <c r="O101" s="15">
        <f t="shared" ca="1" si="22"/>
        <v>1.7197359478685902E-2</v>
      </c>
      <c r="P101" s="27"/>
      <c r="Q101" s="28" t="e">
        <f t="shared" ca="1" si="23"/>
        <v>#DIV/0!</v>
      </c>
    </row>
    <row r="102" spans="1:17" ht="24" customHeight="1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2'!K58</f>
        <v>0</v>
      </c>
      <c r="E102" s="15" t="e">
        <f t="shared" ca="1" si="17"/>
        <v>#DIV/0!</v>
      </c>
      <c r="F102" s="79" t="e">
        <f>'[1]2025 Ιούλιος'!F102+#REF!</f>
        <v>#REF!</v>
      </c>
      <c r="G102" s="15" t="e">
        <f t="shared" si="18"/>
        <v>#REF!</v>
      </c>
      <c r="H102" s="14"/>
      <c r="I102" s="26" t="e">
        <f t="shared" ca="1" si="19"/>
        <v>#DIV/0!</v>
      </c>
      <c r="J102" s="27"/>
      <c r="K102" s="27" t="e">
        <f t="shared" ca="1" si="20"/>
        <v>#DIV/0!</v>
      </c>
      <c r="L102" s="79">
        <f>'[1]2024_60-69 ΕΞΟΔΑ+ΟΜ 2'!K56</f>
        <v>0</v>
      </c>
      <c r="M102" s="15">
        <f t="shared" ca="1" si="21"/>
        <v>0</v>
      </c>
      <c r="N102" s="10">
        <f>L102+'[1]2025 Ιούλιος'!N102</f>
        <v>0</v>
      </c>
      <c r="O102" s="15">
        <f t="shared" ca="1" si="22"/>
        <v>0</v>
      </c>
      <c r="P102" s="27"/>
      <c r="Q102" s="28" t="e">
        <f t="shared" ca="1" si="23"/>
        <v>#DIV/0!</v>
      </c>
    </row>
    <row r="103" spans="1:17" ht="15.75" hidden="1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2'!K59</f>
        <v>0</v>
      </c>
      <c r="E103" s="15" t="e">
        <f t="shared" ca="1" si="17"/>
        <v>#DIV/0!</v>
      </c>
      <c r="F103" s="79" t="e">
        <f>'[1]2025 Ιούλιος'!F103+#REF!</f>
        <v>#REF!</v>
      </c>
      <c r="G103" s="15" t="e">
        <f t="shared" si="18"/>
        <v>#REF!</v>
      </c>
      <c r="H103" s="14"/>
      <c r="I103" s="26" t="e">
        <f t="shared" ca="1" si="19"/>
        <v>#DIV/0!</v>
      </c>
      <c r="J103" s="27"/>
      <c r="K103" s="27" t="e">
        <f t="shared" ca="1" si="20"/>
        <v>#DIV/0!</v>
      </c>
      <c r="L103" s="79">
        <f>'[1]2024_60-69 ΕΞΟΔΑ+ΟΜ 2'!K57</f>
        <v>1000</v>
      </c>
      <c r="M103" s="15">
        <f t="shared" ca="1" si="21"/>
        <v>0.10422312085713095</v>
      </c>
      <c r="N103" s="10">
        <f>L103+'[1]2025 Ιούλιος'!N103</f>
        <v>2396.23</v>
      </c>
      <c r="O103" s="15">
        <f t="shared" ca="1" si="22"/>
        <v>2.4097743778682464E-2</v>
      </c>
      <c r="P103" s="27"/>
      <c r="Q103" s="28" t="e">
        <f t="shared" ca="1" si="23"/>
        <v>#DIV/0!</v>
      </c>
    </row>
    <row r="104" spans="1:17" ht="15.75" hidden="1" customHeight="1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2'!K60</f>
        <v>0</v>
      </c>
      <c r="E104" s="15" t="e">
        <f t="shared" ca="1" si="17"/>
        <v>#DIV/0!</v>
      </c>
      <c r="F104" s="79" t="e">
        <f>'[1]2025 Ιούλιος'!F104+#REF!</f>
        <v>#REF!</v>
      </c>
      <c r="G104" s="15" t="e">
        <f t="shared" si="18"/>
        <v>#REF!</v>
      </c>
      <c r="H104" s="14"/>
      <c r="I104" s="26" t="e">
        <f t="shared" ca="1" si="19"/>
        <v>#DIV/0!</v>
      </c>
      <c r="J104" s="27"/>
      <c r="K104" s="27" t="e">
        <f t="shared" ca="1" si="20"/>
        <v>#DIV/0!</v>
      </c>
      <c r="L104" s="79">
        <f>'[1]2024_60-69 ΕΞΟΔΑ+ΟΜ 2'!K58</f>
        <v>0</v>
      </c>
      <c r="M104" s="15">
        <f t="shared" ca="1" si="21"/>
        <v>0</v>
      </c>
      <c r="N104" s="10">
        <f>L104+'[1]2025 Ιούλιος'!N104</f>
        <v>6234.57</v>
      </c>
      <c r="O104" s="15">
        <f t="shared" ca="1" si="22"/>
        <v>6.2698100946178087E-2</v>
      </c>
      <c r="P104" s="27"/>
      <c r="Q104" s="28" t="e">
        <f t="shared" ca="1" si="23"/>
        <v>#DIV/0!</v>
      </c>
    </row>
    <row r="105" spans="1:17" ht="31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2'!K61</f>
        <v>0</v>
      </c>
      <c r="E105" s="15" t="e">
        <f t="shared" ca="1" si="17"/>
        <v>#DIV/0!</v>
      </c>
      <c r="F105" s="79" t="e">
        <f>'[1]2025 Ιούλιος'!F105+#REF!</f>
        <v>#REF!</v>
      </c>
      <c r="G105" s="15" t="e">
        <f t="shared" si="18"/>
        <v>#REF!</v>
      </c>
      <c r="H105" s="14"/>
      <c r="I105" s="26" t="e">
        <f t="shared" ca="1" si="19"/>
        <v>#DIV/0!</v>
      </c>
      <c r="J105" s="27"/>
      <c r="K105" s="27" t="e">
        <f t="shared" ca="1" si="20"/>
        <v>#DIV/0!</v>
      </c>
      <c r="L105" s="79">
        <f>'[1]2024_60-69 ΕΞΟΔΑ+ΟΜ 2'!K59</f>
        <v>0</v>
      </c>
      <c r="M105" s="15">
        <f t="shared" ca="1" si="21"/>
        <v>0</v>
      </c>
      <c r="N105" s="10">
        <f>L105+'[1]2025 Ιούλιος'!N105</f>
        <v>0</v>
      </c>
      <c r="O105" s="15">
        <f t="shared" ca="1" si="22"/>
        <v>0</v>
      </c>
      <c r="P105" s="27"/>
      <c r="Q105" s="28" t="e">
        <f t="shared" ca="1" si="23"/>
        <v>#DIV/0!</v>
      </c>
    </row>
    <row r="106" spans="1:17" ht="45" customHeight="1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26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2'!K36</f>
        <v>0</v>
      </c>
      <c r="E111" s="8"/>
      <c r="F111" s="7">
        <f>'[1]2025_60-69 ΕΞΟΔΑ+ΟΜ 2'!X36</f>
        <v>46297.34</v>
      </c>
      <c r="G111" s="8"/>
      <c r="H111" s="7">
        <f ca="1">SUM(H47:H110)</f>
        <v>0</v>
      </c>
      <c r="I111" s="8"/>
      <c r="J111" s="7">
        <f ca="1">SUM(J47:J110)</f>
        <v>0</v>
      </c>
      <c r="K111" s="8"/>
      <c r="L111" s="7">
        <f ca="1">SUM(L47:L110)</f>
        <v>9594.7999999999993</v>
      </c>
      <c r="M111" s="8"/>
      <c r="N111" s="7">
        <f ca="1">SUM(N47:N110)</f>
        <v>99437.94</v>
      </c>
      <c r="O111" s="8"/>
      <c r="P111" s="7">
        <f ca="1">SUM(P47:P110)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 ca="1">D84-D111</f>
        <v>0</v>
      </c>
      <c r="E112" s="8"/>
      <c r="F112" s="7" t="e">
        <f>F84-F111</f>
        <v>#REF!</v>
      </c>
      <c r="G112" s="8"/>
      <c r="H112" s="7">
        <f ca="1">H84-H111</f>
        <v>0</v>
      </c>
      <c r="I112" s="8"/>
      <c r="J112" s="7">
        <f ca="1">J84-J111</f>
        <v>0</v>
      </c>
      <c r="K112" s="8"/>
      <c r="L112" s="7">
        <f ca="1">L84-L111</f>
        <v>0</v>
      </c>
      <c r="M112" s="8"/>
      <c r="N112" s="7">
        <f ca="1">N84-N111</f>
        <v>0</v>
      </c>
      <c r="O112" s="8"/>
      <c r="P112" s="7">
        <f ca="1">P84-P111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</row>
    <row r="114" spans="1:17" ht="15" customHeight="1" x14ac:dyDescent="0.25">
      <c r="A114" s="60"/>
      <c r="B114" s="19"/>
      <c r="C114" s="5" t="s">
        <v>161</v>
      </c>
      <c r="D114" s="180" t="str">
        <f>[1]ΑΝΤΙΣΤΟΙΧΙΣΗ!$F$113</f>
        <v xml:space="preserve">ΑΥΓΟΥΣΤΟΣ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[1]ΑΝΤΙΣΤΟΙΧΙΣΗ!$F$113</f>
        <v xml:space="preserve">ΑΥΓΟΥΣΤΟΣ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[1]ΑΝΤΙΣΤΟΙΧΙΣΗ!$F$127</f>
        <v>ΑΥΓΟΥΣΤΟΣ ΠΡΟΗΓΟΥΜΕΝΟΥ ΕΤΟΥΣ</v>
      </c>
      <c r="M114" s="180"/>
      <c r="N114" s="180"/>
      <c r="O114" s="61">
        <f>[1]ΑΝΤΙΣΤΟΙΧΙΣΗ!$D$33</f>
        <v>2024</v>
      </c>
      <c r="P114" s="180"/>
      <c r="Q114" s="180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/>
      <c r="B116" s="19" t="s">
        <v>2</v>
      </c>
      <c r="C116" s="6" t="s">
        <v>167</v>
      </c>
      <c r="D116" s="7">
        <f>SUM(D117:D156)</f>
        <v>777.67000000000007</v>
      </c>
      <c r="E116" s="8"/>
      <c r="F116" s="7">
        <f>SUM(F117:F156)</f>
        <v>96508.789999999979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7984.8899999999994</v>
      </c>
      <c r="M116" s="8"/>
      <c r="N116" s="7">
        <f>SUM(N117:N156)</f>
        <v>116421.29000000005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59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2'!K74</f>
        <v>0</v>
      </c>
      <c r="E117" s="15">
        <f>D117/$D$116</f>
        <v>0</v>
      </c>
      <c r="F117" s="10">
        <f>D117+'[1]2025 Ιούλιος'!F117</f>
        <v>48900.83</v>
      </c>
      <c r="G117" s="15">
        <f>F117/$F$116</f>
        <v>0.50669819816412587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2'!K66</f>
        <v>1618.5</v>
      </c>
      <c r="M117" s="15">
        <f>L117/$L$116</f>
        <v>0.20269534082498319</v>
      </c>
      <c r="N117" s="10">
        <f>L117+'[1]2025 Ιούλιος'!N117</f>
        <v>58698.240000000013</v>
      </c>
      <c r="O117" s="15">
        <f>N117/$N$116</f>
        <v>0.50418819444450402</v>
      </c>
      <c r="P117" s="10"/>
      <c r="Q117" s="30" t="e">
        <f t="shared" ref="Q117:Q153" si="24">SUM(D117:P117)</f>
        <v>#DIV/0!</v>
      </c>
    </row>
    <row r="118" spans="1:17" ht="15" customHeight="1" x14ac:dyDescent="0.25">
      <c r="A118" s="67">
        <v>60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2'!K75</f>
        <v>0</v>
      </c>
      <c r="E118" s="15">
        <f t="shared" ref="E118:E153" si="25">D118/$D$116</f>
        <v>0</v>
      </c>
      <c r="F118" s="10">
        <f>D118+'[1]2025 Ιούλιος'!F118</f>
        <v>6449.25</v>
      </c>
      <c r="G118" s="15">
        <f t="shared" ref="G118:G153" si="26">F118/$F$116</f>
        <v>6.6825519209182935E-2</v>
      </c>
      <c r="H118" s="14"/>
      <c r="I118" s="29" t="e">
        <f t="shared" ref="I118:I153" si="27">H118/$H$116</f>
        <v>#DIV/0!</v>
      </c>
      <c r="J118" s="10"/>
      <c r="K118" s="10" t="e">
        <f t="shared" ref="K118:K153" si="28">J118/$J$116</f>
        <v>#DIV/0!</v>
      </c>
      <c r="L118" s="14">
        <f>'[1]2024_60-69 ΕΞΟΔΑ+ΟΜ 2'!K67</f>
        <v>380.76</v>
      </c>
      <c r="M118" s="15">
        <f t="shared" ref="M118:M153" si="29">L118/$L$116</f>
        <v>4.7685065166833858E-2</v>
      </c>
      <c r="N118" s="10">
        <f>L118+'[1]2025 Ιούλιος'!N118</f>
        <v>9059.5300000000007</v>
      </c>
      <c r="O118" s="15">
        <f t="shared" ref="O118:O153" si="30">N118/$N$116</f>
        <v>7.7816780762350227E-2</v>
      </c>
      <c r="P118" s="10"/>
      <c r="Q118" s="30" t="e">
        <f t="shared" si="24"/>
        <v>#DIV/0!</v>
      </c>
    </row>
    <row r="119" spans="1:17" ht="28.5" customHeight="1" x14ac:dyDescent="0.25">
      <c r="A119" s="67">
        <v>61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2'!K76</f>
        <v>0</v>
      </c>
      <c r="E119" s="15">
        <f t="shared" si="25"/>
        <v>0</v>
      </c>
      <c r="F119" s="10">
        <f>D119+'[1]2025 Ιούλιος'!F119</f>
        <v>1329.02</v>
      </c>
      <c r="G119" s="15">
        <f t="shared" si="26"/>
        <v>1.3770973607689002E-2</v>
      </c>
      <c r="H119" s="14"/>
      <c r="I119" s="29" t="e">
        <f t="shared" si="27"/>
        <v>#DIV/0!</v>
      </c>
      <c r="J119" s="10"/>
      <c r="K119" s="10" t="e">
        <f t="shared" si="28"/>
        <v>#DIV/0!</v>
      </c>
      <c r="L119" s="14">
        <f>'[1]2024_60-69 ΕΞΟΔΑ+ΟΜ 2'!K68</f>
        <v>875.5</v>
      </c>
      <c r="M119" s="15">
        <f t="shared" si="29"/>
        <v>0.10964459122166993</v>
      </c>
      <c r="N119" s="10">
        <f>L119+'[1]2025 Ιούλιος'!N119</f>
        <v>2702.65</v>
      </c>
      <c r="O119" s="15">
        <f t="shared" si="30"/>
        <v>2.3214396610791711E-2</v>
      </c>
      <c r="P119" s="10"/>
      <c r="Q119" s="30" t="e">
        <f t="shared" si="24"/>
        <v>#DIV/0!</v>
      </c>
    </row>
    <row r="120" spans="1:17" ht="28.5" customHeight="1" x14ac:dyDescent="0.25">
      <c r="A120" s="67">
        <v>62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2'!K77</f>
        <v>0</v>
      </c>
      <c r="E120" s="15">
        <f t="shared" si="25"/>
        <v>0</v>
      </c>
      <c r="F120" s="10">
        <f>D120+'[1]2025 Ιούλιος'!F120</f>
        <v>4377.5</v>
      </c>
      <c r="G120" s="15">
        <f t="shared" si="26"/>
        <v>4.5358562676000816E-2</v>
      </c>
      <c r="H120" s="14"/>
      <c r="I120" s="29" t="e">
        <f t="shared" si="27"/>
        <v>#DIV/0!</v>
      </c>
      <c r="J120" s="10"/>
      <c r="K120" s="10" t="e">
        <f t="shared" si="28"/>
        <v>#DIV/0!</v>
      </c>
      <c r="L120" s="14">
        <f>'[1]2024_60-69 ΕΞΟΔΑ+ΟΜ 2'!K69</f>
        <v>0</v>
      </c>
      <c r="M120" s="15">
        <f t="shared" si="29"/>
        <v>0</v>
      </c>
      <c r="N120" s="10">
        <f>L120+'[1]2025 Ιούλιος'!N120</f>
        <v>5975.5</v>
      </c>
      <c r="O120" s="15">
        <f t="shared" si="30"/>
        <v>5.1326522837876108E-2</v>
      </c>
      <c r="P120" s="10"/>
      <c r="Q120" s="30" t="e">
        <f t="shared" si="24"/>
        <v>#DIV/0!</v>
      </c>
    </row>
    <row r="121" spans="1:17" ht="28.5" customHeight="1" x14ac:dyDescent="0.25">
      <c r="A121" s="67">
        <v>63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2'!K78</f>
        <v>0</v>
      </c>
      <c r="E121" s="15">
        <f t="shared" si="25"/>
        <v>0</v>
      </c>
      <c r="F121" s="10">
        <f>D121+'[1]2025 Ιούλιος'!F121</f>
        <v>0</v>
      </c>
      <c r="G121" s="15">
        <f t="shared" si="26"/>
        <v>0</v>
      </c>
      <c r="H121" s="14"/>
      <c r="I121" s="29" t="e">
        <f t="shared" si="27"/>
        <v>#DIV/0!</v>
      </c>
      <c r="J121" s="10"/>
      <c r="K121" s="10" t="e">
        <f t="shared" si="28"/>
        <v>#DIV/0!</v>
      </c>
      <c r="L121" s="14">
        <f>'[1]2024_60-69 ΕΞΟΔΑ+ΟΜ 2'!K70</f>
        <v>241.31</v>
      </c>
      <c r="M121" s="15">
        <f t="shared" si="29"/>
        <v>3.022082959189169E-2</v>
      </c>
      <c r="N121" s="10">
        <f>L121+'[1]2025 Ιούλιος'!N121</f>
        <v>241.31</v>
      </c>
      <c r="O121" s="15">
        <f t="shared" si="30"/>
        <v>2.0727308553272336E-3</v>
      </c>
      <c r="P121" s="10"/>
      <c r="Q121" s="30" t="e">
        <f t="shared" si="24"/>
        <v>#DIV/0!</v>
      </c>
    </row>
    <row r="122" spans="1:17" ht="15" customHeight="1" x14ac:dyDescent="0.25">
      <c r="A122" s="67">
        <v>64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2'!K79</f>
        <v>0</v>
      </c>
      <c r="E122" s="15">
        <f t="shared" si="25"/>
        <v>0</v>
      </c>
      <c r="F122" s="10">
        <f>D122+'[1]2025 Ιούλιος'!F122</f>
        <v>1242.75</v>
      </c>
      <c r="G122" s="15">
        <f t="shared" si="26"/>
        <v>1.2877065394768707E-2</v>
      </c>
      <c r="H122" s="14"/>
      <c r="I122" s="29" t="e">
        <f t="shared" si="27"/>
        <v>#DIV/0!</v>
      </c>
      <c r="J122" s="10"/>
      <c r="K122" s="10" t="e">
        <f t="shared" si="28"/>
        <v>#DIV/0!</v>
      </c>
      <c r="L122" s="14">
        <f>'[1]2024_60-69 ΕΞΟΔΑ+ΟΜ 2'!K71</f>
        <v>965.25</v>
      </c>
      <c r="M122" s="15">
        <f t="shared" si="29"/>
        <v>0.12088457073297192</v>
      </c>
      <c r="N122" s="10">
        <f>L122+'[1]2025 Ιούλιος'!N122</f>
        <v>2654.42</v>
      </c>
      <c r="O122" s="15">
        <f t="shared" si="30"/>
        <v>2.2800125303541981E-2</v>
      </c>
      <c r="P122" s="10"/>
      <c r="Q122" s="30" t="e">
        <f t="shared" si="24"/>
        <v>#DIV/0!</v>
      </c>
    </row>
    <row r="123" spans="1:17" ht="15" customHeight="1" x14ac:dyDescent="0.25">
      <c r="A123" s="67">
        <v>65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2'!K80</f>
        <v>0</v>
      </c>
      <c r="E123" s="15">
        <f t="shared" si="25"/>
        <v>0</v>
      </c>
      <c r="F123" s="10">
        <f>D123+'[1]2025 Ιούλιος'!F123</f>
        <v>4826.25</v>
      </c>
      <c r="G123" s="15">
        <f t="shared" si="26"/>
        <v>5.0008398198754758E-2</v>
      </c>
      <c r="H123" s="14"/>
      <c r="I123" s="29" t="e">
        <f t="shared" si="27"/>
        <v>#DIV/0!</v>
      </c>
      <c r="J123" s="10"/>
      <c r="K123" s="10" t="e">
        <f t="shared" si="28"/>
        <v>#DIV/0!</v>
      </c>
      <c r="L123" s="14">
        <f>'[1]2024_60-69 ΕΞΟΔΑ+ΟΜ 2'!K72</f>
        <v>31.52</v>
      </c>
      <c r="M123" s="15">
        <f t="shared" si="29"/>
        <v>3.9474557570611498E-3</v>
      </c>
      <c r="N123" s="10">
        <f>L123+'[1]2025 Ιούλιος'!N123</f>
        <v>6788.27</v>
      </c>
      <c r="O123" s="15">
        <f t="shared" si="30"/>
        <v>5.8307806072239857E-2</v>
      </c>
      <c r="P123" s="10"/>
      <c r="Q123" s="30" t="e">
        <f t="shared" si="24"/>
        <v>#DIV/0!</v>
      </c>
    </row>
    <row r="124" spans="1:17" ht="28.5" customHeight="1" x14ac:dyDescent="0.25">
      <c r="A124" s="67">
        <v>66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2'!K81</f>
        <v>0</v>
      </c>
      <c r="E124" s="15">
        <f t="shared" si="25"/>
        <v>0</v>
      </c>
      <c r="F124" s="10">
        <f>D124+'[1]2025 Ιούλιος'!F124</f>
        <v>157.6</v>
      </c>
      <c r="G124" s="15">
        <f t="shared" si="26"/>
        <v>1.6330118738407146E-3</v>
      </c>
      <c r="H124" s="14"/>
      <c r="I124" s="29" t="e">
        <f t="shared" si="27"/>
        <v>#DIV/0!</v>
      </c>
      <c r="J124" s="10"/>
      <c r="K124" s="10" t="e">
        <f t="shared" si="28"/>
        <v>#DIV/0!</v>
      </c>
      <c r="L124" s="14">
        <f>'[1]2024_60-69 ΕΞΟΔΑ+ΟΜ 2'!K73</f>
        <v>8.69</v>
      </c>
      <c r="M124" s="15">
        <f t="shared" si="29"/>
        <v>1.0883055370831658E-3</v>
      </c>
      <c r="N124" s="10">
        <f>L124+'[1]2025 Ιούλιος'!N124</f>
        <v>223.81</v>
      </c>
      <c r="O124" s="15">
        <f t="shared" si="30"/>
        <v>1.9224147061074474E-3</v>
      </c>
      <c r="P124" s="10"/>
      <c r="Q124" s="30" t="e">
        <f t="shared" si="24"/>
        <v>#DIV/0!</v>
      </c>
    </row>
    <row r="125" spans="1:17" ht="15" customHeight="1" x14ac:dyDescent="0.25">
      <c r="A125" s="67">
        <v>67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2'!K82</f>
        <v>0</v>
      </c>
      <c r="E125" s="15">
        <f t="shared" si="25"/>
        <v>0</v>
      </c>
      <c r="F125" s="10">
        <f>D125+'[1]2025 Ιούλιος'!F125</f>
        <v>44.75</v>
      </c>
      <c r="G125" s="15">
        <f t="shared" si="26"/>
        <v>4.6368833346682731E-4</v>
      </c>
      <c r="H125" s="14"/>
      <c r="I125" s="29" t="e">
        <f t="shared" si="27"/>
        <v>#DIV/0!</v>
      </c>
      <c r="J125" s="10"/>
      <c r="K125" s="10" t="e">
        <f t="shared" si="28"/>
        <v>#DIV/0!</v>
      </c>
      <c r="L125" s="14">
        <f>'[1]2024_60-69 ΕΞΟΔΑ+ΟΜ 2'!K74</f>
        <v>0</v>
      </c>
      <c r="M125" s="15">
        <f t="shared" si="29"/>
        <v>0</v>
      </c>
      <c r="N125" s="10">
        <f>L125+'[1]2025 Ιούλιος'!N125</f>
        <v>60.829999999999991</v>
      </c>
      <c r="O125" s="15">
        <f t="shared" si="30"/>
        <v>5.2249893468797647E-4</v>
      </c>
      <c r="P125" s="10"/>
      <c r="Q125" s="30" t="e">
        <f t="shared" si="24"/>
        <v>#DIV/0!</v>
      </c>
    </row>
    <row r="126" spans="1:17" ht="28.5" customHeight="1" x14ac:dyDescent="0.25">
      <c r="A126" s="67">
        <v>68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2'!K83</f>
        <v>0</v>
      </c>
      <c r="E126" s="15">
        <f t="shared" si="25"/>
        <v>0</v>
      </c>
      <c r="F126" s="10">
        <f>D126+'[1]2025 Ιούλιος'!F126</f>
        <v>0</v>
      </c>
      <c r="G126" s="15">
        <f t="shared" si="26"/>
        <v>0</v>
      </c>
      <c r="H126" s="14"/>
      <c r="I126" s="29" t="e">
        <f t="shared" si="27"/>
        <v>#DIV/0!</v>
      </c>
      <c r="J126" s="10"/>
      <c r="K126" s="10" t="e">
        <f t="shared" si="28"/>
        <v>#DIV/0!</v>
      </c>
      <c r="L126" s="14">
        <f>'[1]2024_60-69 ΕΞΟΔΑ+ΟΜ 2'!K75</f>
        <v>34.75</v>
      </c>
      <c r="M126" s="15">
        <f t="shared" si="29"/>
        <v>4.3519697829275047E-3</v>
      </c>
      <c r="N126" s="10">
        <f>L126+'[1]2025 Ιούλιος'!N126</f>
        <v>34.75</v>
      </c>
      <c r="O126" s="15">
        <f t="shared" si="30"/>
        <v>2.9848492487928954E-4</v>
      </c>
      <c r="P126" s="10"/>
      <c r="Q126" s="30" t="e">
        <f t="shared" si="24"/>
        <v>#DIV/0!</v>
      </c>
    </row>
    <row r="127" spans="1:17" ht="15" customHeight="1" x14ac:dyDescent="0.25">
      <c r="A127" s="67">
        <v>69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2'!K84</f>
        <v>0</v>
      </c>
      <c r="E127" s="15">
        <f t="shared" si="25"/>
        <v>0</v>
      </c>
      <c r="F127" s="10">
        <f>D127+'[1]2025 Ιούλιος'!F127</f>
        <v>173.75</v>
      </c>
      <c r="G127" s="15">
        <f t="shared" si="26"/>
        <v>1.8003541439075138E-3</v>
      </c>
      <c r="H127" s="14"/>
      <c r="I127" s="29" t="e">
        <f t="shared" si="27"/>
        <v>#DIV/0!</v>
      </c>
      <c r="J127" s="10"/>
      <c r="K127" s="10" t="e">
        <f t="shared" si="28"/>
        <v>#DIV/0!</v>
      </c>
      <c r="L127" s="14">
        <f>'[1]2024_60-69 ΕΞΟΔΑ+ΟΜ 2'!K76</f>
        <v>0</v>
      </c>
      <c r="M127" s="15">
        <f t="shared" si="29"/>
        <v>0</v>
      </c>
      <c r="N127" s="10">
        <f>L127+'[1]2025 Ιούλιος'!N127</f>
        <v>243.25</v>
      </c>
      <c r="O127" s="15">
        <f t="shared" si="30"/>
        <v>2.0893944741550269E-3</v>
      </c>
      <c r="P127" s="10"/>
      <c r="Q127" s="30" t="e">
        <f t="shared" si="24"/>
        <v>#DIV/0!</v>
      </c>
    </row>
    <row r="128" spans="1:17" ht="15" customHeight="1" x14ac:dyDescent="0.25">
      <c r="A128" s="67">
        <v>70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2'!K85</f>
        <v>0</v>
      </c>
      <c r="E128" s="15">
        <f t="shared" si="25"/>
        <v>0</v>
      </c>
      <c r="F128" s="10">
        <f>D128+'[1]2025 Ιούλιος'!F128</f>
        <v>0</v>
      </c>
      <c r="G128" s="15">
        <f t="shared" si="26"/>
        <v>0</v>
      </c>
      <c r="H128" s="14"/>
      <c r="I128" s="29" t="e">
        <f t="shared" si="27"/>
        <v>#DIV/0!</v>
      </c>
      <c r="J128" s="10"/>
      <c r="K128" s="10" t="e">
        <f t="shared" si="28"/>
        <v>#DIV/0!</v>
      </c>
      <c r="L128" s="14">
        <f>'[1]2024_60-69 ΕΞΟΔΑ+ΟΜ 2'!K77</f>
        <v>0</v>
      </c>
      <c r="M128" s="15">
        <f t="shared" si="29"/>
        <v>0</v>
      </c>
      <c r="N128" s="10">
        <f>L128+'[1]2025 Ιούλιος'!N128</f>
        <v>0</v>
      </c>
      <c r="O128" s="15">
        <f t="shared" si="30"/>
        <v>0</v>
      </c>
      <c r="P128" s="10"/>
      <c r="Q128" s="30" t="e">
        <f t="shared" si="24"/>
        <v>#DIV/0!</v>
      </c>
    </row>
    <row r="129" spans="1:17" ht="15" customHeight="1" x14ac:dyDescent="0.25">
      <c r="A129" s="67">
        <v>71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2'!K86</f>
        <v>0</v>
      </c>
      <c r="E129" s="15">
        <f t="shared" si="25"/>
        <v>0</v>
      </c>
      <c r="F129" s="10">
        <f>D129+'[1]2025 Ιούλιος'!F129</f>
        <v>0</v>
      </c>
      <c r="G129" s="15">
        <f t="shared" si="26"/>
        <v>0</v>
      </c>
      <c r="H129" s="14"/>
      <c r="I129" s="29" t="e">
        <f t="shared" si="27"/>
        <v>#DIV/0!</v>
      </c>
      <c r="J129" s="10"/>
      <c r="K129" s="10" t="e">
        <f t="shared" si="28"/>
        <v>#DIV/0!</v>
      </c>
      <c r="L129" s="14">
        <f>'[1]2024_60-69 ΕΞΟΔΑ+ΟΜ 2'!K78</f>
        <v>0</v>
      </c>
      <c r="M129" s="15">
        <f t="shared" si="29"/>
        <v>0</v>
      </c>
      <c r="N129" s="10">
        <f>L129+'[1]2025 Ιούλιος'!N129</f>
        <v>0</v>
      </c>
      <c r="O129" s="15">
        <f t="shared" si="30"/>
        <v>0</v>
      </c>
      <c r="P129" s="10"/>
      <c r="Q129" s="30" t="e">
        <f t="shared" si="24"/>
        <v>#DIV/0!</v>
      </c>
    </row>
    <row r="130" spans="1:17" ht="15" customHeight="1" x14ac:dyDescent="0.25">
      <c r="A130" s="67">
        <v>72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2'!K87</f>
        <v>0</v>
      </c>
      <c r="E130" s="15">
        <f t="shared" si="25"/>
        <v>0</v>
      </c>
      <c r="F130" s="10">
        <f>D130+'[1]2025 Ιούλιος'!F130</f>
        <v>0</v>
      </c>
      <c r="G130" s="15">
        <f t="shared" si="26"/>
        <v>0</v>
      </c>
      <c r="H130" s="14"/>
      <c r="I130" s="29" t="e">
        <f t="shared" si="27"/>
        <v>#DIV/0!</v>
      </c>
      <c r="J130" s="10"/>
      <c r="K130" s="10" t="e">
        <f t="shared" si="28"/>
        <v>#DIV/0!</v>
      </c>
      <c r="L130" s="14">
        <f>'[1]2024_60-69 ΕΞΟΔΑ+ΟΜ 2'!K79</f>
        <v>61</v>
      </c>
      <c r="M130" s="15">
        <f t="shared" si="29"/>
        <v>7.6394289714698639E-3</v>
      </c>
      <c r="N130" s="10">
        <f>L130+'[1]2025 Ιούλιος'!N130</f>
        <v>61</v>
      </c>
      <c r="O130" s="15">
        <f t="shared" si="30"/>
        <v>5.239591487089687E-4</v>
      </c>
      <c r="P130" s="10"/>
      <c r="Q130" s="30" t="e">
        <f t="shared" si="24"/>
        <v>#DIV/0!</v>
      </c>
    </row>
    <row r="131" spans="1:17" ht="15" customHeight="1" x14ac:dyDescent="0.25">
      <c r="A131" s="67">
        <v>73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2'!K88</f>
        <v>0</v>
      </c>
      <c r="E131" s="15">
        <f t="shared" si="25"/>
        <v>0</v>
      </c>
      <c r="F131" s="10">
        <f>D131+'[1]2025 Ιούλιος'!F131</f>
        <v>172.5</v>
      </c>
      <c r="G131" s="15">
        <f t="shared" si="26"/>
        <v>1.7874019558218484E-3</v>
      </c>
      <c r="H131" s="14"/>
      <c r="I131" s="29" t="e">
        <f t="shared" si="27"/>
        <v>#DIV/0!</v>
      </c>
      <c r="J131" s="10"/>
      <c r="K131" s="10" t="e">
        <f t="shared" si="28"/>
        <v>#DIV/0!</v>
      </c>
      <c r="L131" s="14">
        <f>'[1]2024_60-69 ΕΞΟΔΑ+ΟΜ 2'!K80</f>
        <v>290.24</v>
      </c>
      <c r="M131" s="15">
        <f t="shared" si="29"/>
        <v>3.6348653519334646E-2</v>
      </c>
      <c r="N131" s="10">
        <f>L131+'[1]2025 Ιούλιος'!N131</f>
        <v>538.74</v>
      </c>
      <c r="O131" s="15">
        <f t="shared" si="30"/>
        <v>4.6275041274667179E-3</v>
      </c>
      <c r="P131" s="10"/>
      <c r="Q131" s="30" t="e">
        <f t="shared" si="24"/>
        <v>#DIV/0!</v>
      </c>
    </row>
    <row r="132" spans="1:17" ht="15" customHeight="1" x14ac:dyDescent="0.25">
      <c r="A132" s="67">
        <v>74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2'!K89</f>
        <v>0</v>
      </c>
      <c r="E132" s="15">
        <f t="shared" si="25"/>
        <v>0</v>
      </c>
      <c r="F132" s="10">
        <f>D132+'[1]2025 Ιούλιος'!F132</f>
        <v>751.64</v>
      </c>
      <c r="G132" s="15">
        <f t="shared" si="26"/>
        <v>7.7883061221677334E-3</v>
      </c>
      <c r="H132" s="14"/>
      <c r="I132" s="29" t="e">
        <f t="shared" si="27"/>
        <v>#DIV/0!</v>
      </c>
      <c r="J132" s="10"/>
      <c r="K132" s="10" t="e">
        <f t="shared" si="28"/>
        <v>#DIV/0!</v>
      </c>
      <c r="L132" s="14">
        <f>'[1]2024_60-69 ΕΞΟΔΑ+ΟΜ 2'!K81</f>
        <v>31.01</v>
      </c>
      <c r="M132" s="15">
        <f t="shared" si="29"/>
        <v>3.8835851213980411E-3</v>
      </c>
      <c r="N132" s="10">
        <f>L132+'[1]2025 Ιούλιος'!N132</f>
        <v>975.34000000000015</v>
      </c>
      <c r="O132" s="15">
        <f t="shared" si="30"/>
        <v>8.3776773131443542E-3</v>
      </c>
      <c r="P132" s="10"/>
      <c r="Q132" s="30" t="e">
        <f t="shared" si="24"/>
        <v>#DIV/0!</v>
      </c>
    </row>
    <row r="133" spans="1:17" ht="57" customHeight="1" x14ac:dyDescent="0.25">
      <c r="A133" s="67">
        <v>75</v>
      </c>
      <c r="B133" s="67">
        <v>17</v>
      </c>
      <c r="C133" s="71">
        <f>[1]ΑΝΤΙΣΤΟΙΧΙΣΗ!O203</f>
        <v>0</v>
      </c>
      <c r="D133" s="14">
        <f>'[1]2025_60-69 ΕΞΟΔΑ+ΟΜ 2'!K90</f>
        <v>0</v>
      </c>
      <c r="E133" s="15">
        <f t="shared" si="25"/>
        <v>0</v>
      </c>
      <c r="F133" s="10">
        <f>D133+'[1]2025 Ιούλιος'!F133</f>
        <v>88.68</v>
      </c>
      <c r="G133" s="15">
        <f t="shared" si="26"/>
        <v>9.188800315494581E-4</v>
      </c>
      <c r="H133" s="14"/>
      <c r="I133" s="29" t="e">
        <f t="shared" si="27"/>
        <v>#DIV/0!</v>
      </c>
      <c r="J133" s="10"/>
      <c r="K133" s="10" t="e">
        <f t="shared" si="28"/>
        <v>#DIV/0!</v>
      </c>
      <c r="L133" s="14">
        <f>'[1]2024_60-69 ΕΞΟΔΑ+ΟΜ 2'!K82</f>
        <v>-3.07</v>
      </c>
      <c r="M133" s="15">
        <f t="shared" si="29"/>
        <v>-3.8447617938381116E-4</v>
      </c>
      <c r="N133" s="10">
        <f>L133+'[1]2025 Ιούλιος'!N133</f>
        <v>78.460000000000022</v>
      </c>
      <c r="O133" s="15">
        <f t="shared" si="30"/>
        <v>6.7393171815910977E-4</v>
      </c>
      <c r="P133" s="10"/>
      <c r="Q133" s="30" t="e">
        <f t="shared" si="24"/>
        <v>#DIV/0!</v>
      </c>
    </row>
    <row r="134" spans="1:17" ht="57" customHeight="1" x14ac:dyDescent="0.25">
      <c r="A134" s="67">
        <v>76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2'!K91</f>
        <v>0</v>
      </c>
      <c r="E134" s="15">
        <f t="shared" si="25"/>
        <v>0</v>
      </c>
      <c r="F134" s="10">
        <f>D134+'[1]2025 Ιούλιος'!F134</f>
        <v>46.31</v>
      </c>
      <c r="G134" s="15">
        <f t="shared" si="26"/>
        <v>4.7985266419773795E-4</v>
      </c>
      <c r="H134" s="14"/>
      <c r="I134" s="29" t="e">
        <f t="shared" si="27"/>
        <v>#DIV/0!</v>
      </c>
      <c r="J134" s="10"/>
      <c r="K134" s="10" t="e">
        <f t="shared" si="28"/>
        <v>#DIV/0!</v>
      </c>
      <c r="L134" s="14">
        <f>'[1]2024_60-69 ΕΞΟΔΑ+ΟΜ 2'!K83</f>
        <v>-227.12</v>
      </c>
      <c r="M134" s="15">
        <f t="shared" si="29"/>
        <v>-2.8443723081971076E-2</v>
      </c>
      <c r="N134" s="10">
        <f>L134+'[1]2025 Ιούλιος'!N134</f>
        <v>-192.93</v>
      </c>
      <c r="O134" s="15">
        <f t="shared" si="30"/>
        <v>-1.6571711239413334E-3</v>
      </c>
      <c r="P134" s="10"/>
      <c r="Q134" s="30" t="e">
        <f t="shared" si="24"/>
        <v>#DIV/0!</v>
      </c>
    </row>
    <row r="135" spans="1:17" ht="15" customHeight="1" x14ac:dyDescent="0.25">
      <c r="A135" s="67">
        <v>77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2'!K92</f>
        <v>0</v>
      </c>
      <c r="E135" s="15">
        <f t="shared" si="25"/>
        <v>0</v>
      </c>
      <c r="F135" s="10">
        <f>D135+'[1]2025 Ιούλιος'!F135</f>
        <v>62.370000000000005</v>
      </c>
      <c r="G135" s="15">
        <f t="shared" si="26"/>
        <v>6.4626237672236922E-4</v>
      </c>
      <c r="H135" s="14"/>
      <c r="I135" s="29" t="e">
        <f t="shared" si="27"/>
        <v>#DIV/0!</v>
      </c>
      <c r="J135" s="10"/>
      <c r="K135" s="10" t="e">
        <f t="shared" si="28"/>
        <v>#DIV/0!</v>
      </c>
      <c r="L135" s="14">
        <f>'[1]2024_60-69 ΕΞΟΔΑ+ΟΜ 2'!K84</f>
        <v>528.74</v>
      </c>
      <c r="M135" s="15">
        <f t="shared" si="29"/>
        <v>6.6217568432376653E-2</v>
      </c>
      <c r="N135" s="10">
        <f>L135+'[1]2025 Ιούλιος'!N135</f>
        <v>800.96</v>
      </c>
      <c r="O135" s="15">
        <f t="shared" si="30"/>
        <v>6.8798413073759938E-3</v>
      </c>
      <c r="P135" s="10"/>
      <c r="Q135" s="30" t="e">
        <f t="shared" si="24"/>
        <v>#DIV/0!</v>
      </c>
    </row>
    <row r="136" spans="1:17" ht="15" customHeight="1" x14ac:dyDescent="0.25">
      <c r="A136" s="67">
        <v>78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2'!K93</f>
        <v>0</v>
      </c>
      <c r="E136" s="15">
        <f t="shared" si="25"/>
        <v>0</v>
      </c>
      <c r="F136" s="10">
        <f>D136+'[1]2025 Ιούλιος'!F136</f>
        <v>1482.8000000000002</v>
      </c>
      <c r="G136" s="15">
        <f t="shared" si="26"/>
        <v>1.5364403594739924E-2</v>
      </c>
      <c r="H136" s="14"/>
      <c r="I136" s="29" t="e">
        <f t="shared" si="27"/>
        <v>#DIV/0!</v>
      </c>
      <c r="J136" s="10"/>
      <c r="K136" s="10" t="e">
        <f t="shared" si="28"/>
        <v>#DIV/0!</v>
      </c>
      <c r="L136" s="14">
        <f>'[1]2024_60-69 ΕΞΟΔΑ+ΟΜ 2'!K85</f>
        <v>21.62</v>
      </c>
      <c r="M136" s="15">
        <f t="shared" si="29"/>
        <v>2.7076140059537454E-3</v>
      </c>
      <c r="N136" s="10">
        <f>L136+'[1]2025 Ιούλιος'!N136</f>
        <v>2109.87</v>
      </c>
      <c r="O136" s="15">
        <f t="shared" si="30"/>
        <v>1.812271621453429E-2</v>
      </c>
      <c r="P136" s="10"/>
      <c r="Q136" s="30" t="e">
        <f t="shared" si="24"/>
        <v>#DIV/0!</v>
      </c>
    </row>
    <row r="137" spans="1:17" ht="15" customHeight="1" x14ac:dyDescent="0.25">
      <c r="A137" s="67">
        <v>79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2'!K94</f>
        <v>0</v>
      </c>
      <c r="E137" s="15">
        <f t="shared" si="25"/>
        <v>0</v>
      </c>
      <c r="F137" s="10">
        <f>D137+'[1]2025 Ιούλιος'!F137</f>
        <v>25.62</v>
      </c>
      <c r="G137" s="15">
        <f t="shared" si="26"/>
        <v>2.654680470038015E-4</v>
      </c>
      <c r="H137" s="14"/>
      <c r="I137" s="29" t="e">
        <f t="shared" si="27"/>
        <v>#DIV/0!</v>
      </c>
      <c r="J137" s="10"/>
      <c r="K137" s="10" t="e">
        <f t="shared" si="28"/>
        <v>#DIV/0!</v>
      </c>
      <c r="L137" s="14">
        <f>'[1]2024_60-69 ΕΞΟΔΑ+ΟΜ 2'!K86</f>
        <v>0</v>
      </c>
      <c r="M137" s="15">
        <f t="shared" si="29"/>
        <v>0</v>
      </c>
      <c r="N137" s="10">
        <f>L137+'[1]2025 Ιούλιος'!N137</f>
        <v>50.31</v>
      </c>
      <c r="O137" s="15">
        <f t="shared" si="30"/>
        <v>4.3213745527128223E-4</v>
      </c>
      <c r="P137" s="10"/>
      <c r="Q137" s="30" t="e">
        <f t="shared" si="24"/>
        <v>#DIV/0!</v>
      </c>
    </row>
    <row r="138" spans="1:17" ht="15" customHeight="1" x14ac:dyDescent="0.25">
      <c r="A138" s="67">
        <v>80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2'!K95</f>
        <v>0</v>
      </c>
      <c r="E138" s="15">
        <f t="shared" si="25"/>
        <v>0</v>
      </c>
      <c r="F138" s="10">
        <f>D138+'[1]2025 Ιούλιος'!F138</f>
        <v>299.25</v>
      </c>
      <c r="G138" s="15">
        <f t="shared" si="26"/>
        <v>3.1007538277083367E-3</v>
      </c>
      <c r="H138" s="14"/>
      <c r="I138" s="29" t="e">
        <f t="shared" si="27"/>
        <v>#DIV/0!</v>
      </c>
      <c r="J138" s="10"/>
      <c r="K138" s="10" t="e">
        <f t="shared" si="28"/>
        <v>#DIV/0!</v>
      </c>
      <c r="L138" s="14">
        <f>'[1]2024_60-69 ΕΞΟΔΑ+ΟΜ 2'!K87</f>
        <v>0</v>
      </c>
      <c r="M138" s="15">
        <f t="shared" si="29"/>
        <v>0</v>
      </c>
      <c r="N138" s="10">
        <f>L138+'[1]2025 Ιούλιος'!N138</f>
        <v>469.58000000000004</v>
      </c>
      <c r="O138" s="15">
        <f t="shared" si="30"/>
        <v>4.0334547057501238E-3</v>
      </c>
      <c r="P138" s="10"/>
      <c r="Q138" s="30" t="e">
        <f t="shared" si="24"/>
        <v>#DIV/0!</v>
      </c>
    </row>
    <row r="139" spans="1:17" ht="15" customHeight="1" x14ac:dyDescent="0.25">
      <c r="A139" s="67">
        <v>81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2'!K96</f>
        <v>0</v>
      </c>
      <c r="E139" s="15">
        <f t="shared" si="25"/>
        <v>0</v>
      </c>
      <c r="F139" s="10">
        <f>D139+'[1]2025 Ιούλιος'!F139</f>
        <v>0</v>
      </c>
      <c r="G139" s="15">
        <f t="shared" si="26"/>
        <v>0</v>
      </c>
      <c r="H139" s="14"/>
      <c r="I139" s="29" t="e">
        <f t="shared" si="27"/>
        <v>#DIV/0!</v>
      </c>
      <c r="J139" s="10"/>
      <c r="K139" s="10" t="e">
        <f t="shared" si="28"/>
        <v>#DIV/0!</v>
      </c>
      <c r="L139" s="14">
        <f>'[1]2024_60-69 ΕΞΟΔΑ+ΟΜ 2'!K88</f>
        <v>0</v>
      </c>
      <c r="M139" s="15">
        <f t="shared" si="29"/>
        <v>0</v>
      </c>
      <c r="N139" s="10">
        <f>L139+'[1]2025 Ιούλιος'!N139</f>
        <v>0</v>
      </c>
      <c r="O139" s="15">
        <f t="shared" si="30"/>
        <v>0</v>
      </c>
      <c r="P139" s="10"/>
      <c r="Q139" s="30" t="e">
        <f t="shared" si="24"/>
        <v>#DIV/0!</v>
      </c>
    </row>
    <row r="140" spans="1:17" ht="15" customHeight="1" x14ac:dyDescent="0.25">
      <c r="A140" s="67">
        <v>82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2'!K97</f>
        <v>0</v>
      </c>
      <c r="E140" s="15">
        <f t="shared" si="25"/>
        <v>0</v>
      </c>
      <c r="F140" s="10">
        <f>D140+'[1]2025 Ιούλιος'!F140</f>
        <v>0</v>
      </c>
      <c r="G140" s="15">
        <f t="shared" si="26"/>
        <v>0</v>
      </c>
      <c r="H140" s="14"/>
      <c r="I140" s="29" t="e">
        <f t="shared" si="27"/>
        <v>#DIV/0!</v>
      </c>
      <c r="J140" s="10"/>
      <c r="K140" s="10" t="e">
        <f t="shared" si="28"/>
        <v>#DIV/0!</v>
      </c>
      <c r="L140" s="14">
        <f>'[1]2024_60-69 ΕΞΟΔΑ+ΟΜ 2'!K89</f>
        <v>0</v>
      </c>
      <c r="M140" s="15">
        <f t="shared" si="29"/>
        <v>0</v>
      </c>
      <c r="N140" s="10">
        <f>L140+'[1]2025 Ιούλιος'!N140</f>
        <v>0</v>
      </c>
      <c r="O140" s="15">
        <f t="shared" si="30"/>
        <v>0</v>
      </c>
      <c r="P140" s="10"/>
      <c r="Q140" s="30" t="e">
        <f t="shared" si="24"/>
        <v>#DIV/0!</v>
      </c>
    </row>
    <row r="141" spans="1:17" ht="15" customHeight="1" x14ac:dyDescent="0.25">
      <c r="A141" s="67">
        <v>83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2'!K98</f>
        <v>0</v>
      </c>
      <c r="E141" s="15">
        <f t="shared" si="25"/>
        <v>0</v>
      </c>
      <c r="F141" s="10">
        <f>D141+'[1]2025 Ιούλιος'!F141</f>
        <v>0</v>
      </c>
      <c r="G141" s="15">
        <f t="shared" si="26"/>
        <v>0</v>
      </c>
      <c r="H141" s="14"/>
      <c r="I141" s="29" t="e">
        <f t="shared" si="27"/>
        <v>#DIV/0!</v>
      </c>
      <c r="J141" s="10"/>
      <c r="K141" s="10" t="e">
        <f t="shared" si="28"/>
        <v>#DIV/0!</v>
      </c>
      <c r="L141" s="14">
        <f>'[1]2024_60-69 ΕΞΟΔΑ+ΟΜ 2'!K90</f>
        <v>0</v>
      </c>
      <c r="M141" s="15">
        <f t="shared" si="29"/>
        <v>0</v>
      </c>
      <c r="N141" s="10">
        <f>L141+'[1]2025 Ιούλιος'!N141</f>
        <v>0</v>
      </c>
      <c r="O141" s="15">
        <f t="shared" si="30"/>
        <v>0</v>
      </c>
      <c r="P141" s="10"/>
      <c r="Q141" s="30" t="e">
        <f t="shared" si="24"/>
        <v>#DIV/0!</v>
      </c>
    </row>
    <row r="142" spans="1:17" ht="15" customHeight="1" x14ac:dyDescent="0.25">
      <c r="A142" s="67">
        <v>84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2'!K99</f>
        <v>0</v>
      </c>
      <c r="E142" s="15">
        <f t="shared" si="25"/>
        <v>0</v>
      </c>
      <c r="F142" s="10">
        <f>D142+'[1]2025 Ιούλιος'!F142</f>
        <v>1086.5899999999999</v>
      </c>
      <c r="G142" s="15">
        <f t="shared" si="26"/>
        <v>1.1258974441602678E-2</v>
      </c>
      <c r="H142" s="14"/>
      <c r="I142" s="29" t="e">
        <f t="shared" si="27"/>
        <v>#DIV/0!</v>
      </c>
      <c r="J142" s="10"/>
      <c r="K142" s="10" t="e">
        <f t="shared" si="28"/>
        <v>#DIV/0!</v>
      </c>
      <c r="L142" s="14">
        <f>'[1]2024_60-69 ΕΞΟΔΑ+ΟΜ 2'!K91</f>
        <v>1740</v>
      </c>
      <c r="M142" s="15">
        <f t="shared" si="29"/>
        <v>0.21791158049766499</v>
      </c>
      <c r="N142" s="10">
        <f>L142+'[1]2025 Ιούλιος'!N142</f>
        <v>2885.46</v>
      </c>
      <c r="O142" s="15">
        <f t="shared" si="30"/>
        <v>2.4784642053012802E-2</v>
      </c>
      <c r="P142" s="10"/>
      <c r="Q142" s="30" t="e">
        <f t="shared" si="24"/>
        <v>#DIV/0!</v>
      </c>
    </row>
    <row r="143" spans="1:17" ht="42.75" customHeight="1" x14ac:dyDescent="0.25">
      <c r="A143" s="67">
        <v>85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2'!K100</f>
        <v>0</v>
      </c>
      <c r="E143" s="15">
        <f t="shared" si="25"/>
        <v>0</v>
      </c>
      <c r="F143" s="10">
        <f>D143+'[1]2025 Ιούλιος'!F143</f>
        <v>5242.7299999999996</v>
      </c>
      <c r="G143" s="15">
        <f t="shared" si="26"/>
        <v>5.432386003388915E-2</v>
      </c>
      <c r="H143" s="14"/>
      <c r="I143" s="29" t="e">
        <f t="shared" si="27"/>
        <v>#DIV/0!</v>
      </c>
      <c r="J143" s="10"/>
      <c r="K143" s="10" t="e">
        <f t="shared" si="28"/>
        <v>#DIV/0!</v>
      </c>
      <c r="L143" s="14">
        <f>'[1]2024_60-69 ΕΞΟΔΑ+ΟΜ 2'!K92</f>
        <v>38.24</v>
      </c>
      <c r="M143" s="15">
        <f t="shared" si="29"/>
        <v>4.7890453093279942E-3</v>
      </c>
      <c r="N143" s="10">
        <f>L143+'[1]2025 Ιούλιος'!N143</f>
        <v>6088.24</v>
      </c>
      <c r="O143" s="15">
        <f t="shared" si="30"/>
        <v>5.2294902418621177E-2</v>
      </c>
      <c r="P143" s="10"/>
      <c r="Q143" s="30" t="e">
        <f t="shared" si="24"/>
        <v>#DIV/0!</v>
      </c>
    </row>
    <row r="144" spans="1:17" ht="15" customHeight="1" x14ac:dyDescent="0.25">
      <c r="A144" s="67">
        <v>86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2'!K101</f>
        <v>0</v>
      </c>
      <c r="E144" s="15">
        <f t="shared" si="25"/>
        <v>0</v>
      </c>
      <c r="F144" s="10">
        <f>D144+'[1]2025 Ιούλιος'!F144</f>
        <v>4600.62</v>
      </c>
      <c r="G144" s="15">
        <f t="shared" si="26"/>
        <v>4.7670476440539775E-2</v>
      </c>
      <c r="H144" s="14"/>
      <c r="I144" s="29" t="e">
        <f t="shared" si="27"/>
        <v>#DIV/0!</v>
      </c>
      <c r="J144" s="10"/>
      <c r="K144" s="10" t="e">
        <f t="shared" si="28"/>
        <v>#DIV/0!</v>
      </c>
      <c r="L144" s="14">
        <f>'[1]2024_60-69 ΕΞΟΔΑ+ΟΜ 2'!K93</f>
        <v>194.97</v>
      </c>
      <c r="M144" s="15">
        <f t="shared" si="29"/>
        <v>2.4417368304384908E-2</v>
      </c>
      <c r="N144" s="10">
        <f>L144+'[1]2025 Ιούλιος'!N144</f>
        <v>3202.27</v>
      </c>
      <c r="O144" s="15">
        <f t="shared" si="30"/>
        <v>2.7505879723545398E-2</v>
      </c>
      <c r="P144" s="10"/>
      <c r="Q144" s="30" t="e">
        <f t="shared" si="24"/>
        <v>#DIV/0!</v>
      </c>
    </row>
    <row r="145" spans="1:17" ht="15" customHeight="1" x14ac:dyDescent="0.25">
      <c r="A145" s="67">
        <v>87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2'!K102</f>
        <v>0</v>
      </c>
      <c r="E145" s="15">
        <f t="shared" si="25"/>
        <v>0</v>
      </c>
      <c r="F145" s="10">
        <f>D145+'[1]2025 Ιούλιος'!F145</f>
        <v>2050.08</v>
      </c>
      <c r="G145" s="15">
        <f t="shared" si="26"/>
        <v>2.1242417400529012E-2</v>
      </c>
      <c r="H145" s="14"/>
      <c r="I145" s="29" t="e">
        <f t="shared" si="27"/>
        <v>#DIV/0!</v>
      </c>
      <c r="J145" s="10"/>
      <c r="K145" s="10" t="e">
        <f t="shared" si="28"/>
        <v>#DIV/0!</v>
      </c>
      <c r="L145" s="14">
        <f>'[1]2024_60-69 ΕΞΟΔΑ+ΟΜ 2'!K94</f>
        <v>89.28</v>
      </c>
      <c r="M145" s="15">
        <f t="shared" si="29"/>
        <v>1.11811183372595E-2</v>
      </c>
      <c r="N145" s="10">
        <f>L145+'[1]2025 Ιούλιος'!N145</f>
        <v>1691.64</v>
      </c>
      <c r="O145" s="15">
        <f t="shared" si="30"/>
        <v>1.4530332038066227E-2</v>
      </c>
      <c r="P145" s="10"/>
      <c r="Q145" s="30" t="e">
        <f t="shared" si="24"/>
        <v>#DIV/0!</v>
      </c>
    </row>
    <row r="146" spans="1:17" ht="15" customHeight="1" x14ac:dyDescent="0.25">
      <c r="A146" s="67">
        <v>88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2'!K103</f>
        <v>0</v>
      </c>
      <c r="E146" s="15">
        <f t="shared" si="25"/>
        <v>0</v>
      </c>
      <c r="F146" s="10">
        <f>D146+'[1]2025 Ιούλιος'!F146</f>
        <v>345.75</v>
      </c>
      <c r="G146" s="15">
        <f t="shared" si="26"/>
        <v>3.5825752244950959E-3</v>
      </c>
      <c r="H146" s="14"/>
      <c r="I146" s="29" t="e">
        <f t="shared" si="27"/>
        <v>#DIV/0!</v>
      </c>
      <c r="J146" s="10"/>
      <c r="K146" s="10" t="e">
        <f t="shared" si="28"/>
        <v>#DIV/0!</v>
      </c>
      <c r="L146" s="14">
        <f>'[1]2024_60-69 ΕΞΟΔΑ+ΟΜ 2'!K95</f>
        <v>0</v>
      </c>
      <c r="M146" s="15">
        <f t="shared" si="29"/>
        <v>0</v>
      </c>
      <c r="N146" s="10">
        <f>L146+'[1]2025 Ιούλιος'!N146</f>
        <v>810.62</v>
      </c>
      <c r="O146" s="15">
        <f t="shared" si="30"/>
        <v>6.9628158217453148E-3</v>
      </c>
      <c r="P146" s="10"/>
      <c r="Q146" s="30" t="e">
        <f t="shared" si="24"/>
        <v>#DIV/0!</v>
      </c>
    </row>
    <row r="147" spans="1:17" ht="15" customHeight="1" x14ac:dyDescent="0.25">
      <c r="A147" s="67">
        <v>89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2'!K104</f>
        <v>0</v>
      </c>
      <c r="E147" s="15">
        <f t="shared" si="25"/>
        <v>0</v>
      </c>
      <c r="F147" s="10">
        <f>D147+'[1]2025 Ιούλιος'!F147</f>
        <v>0</v>
      </c>
      <c r="G147" s="15">
        <f t="shared" si="26"/>
        <v>0</v>
      </c>
      <c r="H147" s="14"/>
      <c r="I147" s="29" t="e">
        <f t="shared" si="27"/>
        <v>#DIV/0!</v>
      </c>
      <c r="J147" s="10"/>
      <c r="K147" s="10" t="e">
        <f t="shared" si="28"/>
        <v>#DIV/0!</v>
      </c>
      <c r="L147" s="14">
        <f>'[1]2024_60-69 ΕΞΟΔΑ+ΟΜ 2'!K96</f>
        <v>0</v>
      </c>
      <c r="M147" s="15">
        <f t="shared" si="29"/>
        <v>0</v>
      </c>
      <c r="N147" s="10">
        <f>L147+'[1]2025 Ιούλιος'!N147</f>
        <v>0</v>
      </c>
      <c r="O147" s="15">
        <f t="shared" si="30"/>
        <v>0</v>
      </c>
      <c r="P147" s="10"/>
      <c r="Q147" s="30" t="e">
        <f t="shared" si="24"/>
        <v>#DIV/0!</v>
      </c>
    </row>
    <row r="148" spans="1:17" ht="30" customHeight="1" x14ac:dyDescent="0.25">
      <c r="A148" s="67">
        <v>90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2'!K105</f>
        <v>0</v>
      </c>
      <c r="E148" s="15">
        <f t="shared" si="25"/>
        <v>0</v>
      </c>
      <c r="F148" s="10">
        <f>D148+'[1]2025 Ιούλιος'!F148</f>
        <v>0</v>
      </c>
      <c r="G148" s="15">
        <f t="shared" si="26"/>
        <v>0</v>
      </c>
      <c r="H148" s="14"/>
      <c r="I148" s="29" t="e">
        <f t="shared" si="27"/>
        <v>#DIV/0!</v>
      </c>
      <c r="J148" s="10"/>
      <c r="K148" s="10" t="e">
        <f t="shared" si="28"/>
        <v>#DIV/0!</v>
      </c>
      <c r="L148" s="14">
        <f>'[1]2024_60-69 ΕΞΟΔΑ+ΟΜ 2'!K97</f>
        <v>387.49999999999989</v>
      </c>
      <c r="M148" s="15">
        <f t="shared" si="29"/>
        <v>4.8529159449911007E-2</v>
      </c>
      <c r="N148" s="10">
        <f>L148+'[1]2025 Ιούλιος'!N148</f>
        <v>387.49999999999989</v>
      </c>
      <c r="O148" s="15">
        <f t="shared" si="30"/>
        <v>3.3284290184381199E-3</v>
      </c>
      <c r="P148" s="10"/>
      <c r="Q148" s="30" t="e">
        <f t="shared" si="24"/>
        <v>#DIV/0!</v>
      </c>
    </row>
    <row r="149" spans="1:17" ht="30" customHeight="1" x14ac:dyDescent="0.25">
      <c r="A149" s="67">
        <v>91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2'!K106</f>
        <v>777.67000000000007</v>
      </c>
      <c r="E149" s="15">
        <f t="shared" si="25"/>
        <v>1</v>
      </c>
      <c r="F149" s="10">
        <f>D149+'[1]2025 Ιούλιος'!F149</f>
        <v>4915.04</v>
      </c>
      <c r="G149" s="15">
        <f t="shared" si="26"/>
        <v>5.0928418022855755E-2</v>
      </c>
      <c r="H149" s="14"/>
      <c r="I149" s="29" t="e">
        <f t="shared" si="27"/>
        <v>#DIV/0!</v>
      </c>
      <c r="J149" s="10"/>
      <c r="K149" s="10" t="e">
        <f t="shared" si="28"/>
        <v>#DIV/0!</v>
      </c>
      <c r="L149" s="14">
        <f>'[1]2024_60-69 ΕΞΟΔΑ+ΟΜ 2'!K98</f>
        <v>0</v>
      </c>
      <c r="M149" s="15">
        <f t="shared" si="29"/>
        <v>0</v>
      </c>
      <c r="N149" s="10">
        <f>L149+'[1]2025 Ιούλιος'!N149</f>
        <v>3361.2200000000003</v>
      </c>
      <c r="O149" s="15">
        <f t="shared" si="30"/>
        <v>2.8871179833173114E-2</v>
      </c>
      <c r="P149" s="10"/>
      <c r="Q149" s="30" t="e">
        <f t="shared" si="24"/>
        <v>#DIV/0!</v>
      </c>
    </row>
    <row r="150" spans="1:17" ht="30" customHeight="1" x14ac:dyDescent="0.25">
      <c r="A150" s="67">
        <v>92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2'!K107</f>
        <v>0</v>
      </c>
      <c r="E150" s="15">
        <f t="shared" si="25"/>
        <v>0</v>
      </c>
      <c r="F150" s="10">
        <f>D150+'[1]2025 Ιούλιος'!F150</f>
        <v>0</v>
      </c>
      <c r="G150" s="15">
        <f t="shared" si="26"/>
        <v>0</v>
      </c>
      <c r="H150" s="14"/>
      <c r="I150" s="29" t="e">
        <f t="shared" si="27"/>
        <v>#DIV/0!</v>
      </c>
      <c r="J150" s="10"/>
      <c r="K150" s="10" t="e">
        <f t="shared" si="28"/>
        <v>#DIV/0!</v>
      </c>
      <c r="L150" s="14">
        <f>'[1]2024_60-69 ΕΞΟΔΑ+ΟΜ 2'!K99</f>
        <v>0</v>
      </c>
      <c r="M150" s="15">
        <f t="shared" si="29"/>
        <v>0</v>
      </c>
      <c r="N150" s="10">
        <f>L150+'[1]2025 Ιούλιος'!N150</f>
        <v>0</v>
      </c>
      <c r="O150" s="15">
        <f t="shared" si="30"/>
        <v>0</v>
      </c>
      <c r="P150" s="10"/>
      <c r="Q150" s="30" t="e">
        <f t="shared" si="24"/>
        <v>#DIV/0!</v>
      </c>
    </row>
    <row r="151" spans="1:17" ht="15" x14ac:dyDescent="0.25">
      <c r="A151" s="67">
        <v>93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2'!K108</f>
        <v>0</v>
      </c>
      <c r="E151" s="15">
        <f t="shared" si="25"/>
        <v>0</v>
      </c>
      <c r="F151" s="10">
        <f>D151+'[1]2025 Ιούλιος'!F151</f>
        <v>2393.4199999999996</v>
      </c>
      <c r="G151" s="15">
        <f t="shared" si="26"/>
        <v>2.4800020806394943E-2</v>
      </c>
      <c r="H151" s="14"/>
      <c r="I151" s="29" t="e">
        <f t="shared" si="27"/>
        <v>#DIV/0!</v>
      </c>
      <c r="J151" s="10"/>
      <c r="K151" s="10" t="e">
        <f t="shared" si="28"/>
        <v>#DIV/0!</v>
      </c>
      <c r="L151" s="14">
        <f>'[1]2024_60-69 ΕΞΟΔΑ+ΟΜ 2'!K100</f>
        <v>422.99</v>
      </c>
      <c r="M151" s="15">
        <f t="shared" si="29"/>
        <v>5.2973804272820293E-2</v>
      </c>
      <c r="N151" s="10">
        <f>L151+'[1]2025 Ιούλιος'!N151</f>
        <v>1352.6100000000001</v>
      </c>
      <c r="O151" s="15">
        <f t="shared" si="30"/>
        <v>1.1618235805495709E-2</v>
      </c>
      <c r="P151" s="10"/>
      <c r="Q151" s="30" t="e">
        <f t="shared" si="24"/>
        <v>#DIV/0!</v>
      </c>
    </row>
    <row r="152" spans="1:17" ht="15" x14ac:dyDescent="0.25">
      <c r="A152" s="67">
        <v>94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2'!K109</f>
        <v>0</v>
      </c>
      <c r="E152" s="15">
        <f t="shared" si="25"/>
        <v>0</v>
      </c>
      <c r="F152" s="10">
        <f>D152+'[1]2025 Ιούλιος'!F152</f>
        <v>0</v>
      </c>
      <c r="G152" s="15">
        <f t="shared" si="26"/>
        <v>0</v>
      </c>
      <c r="H152" s="14"/>
      <c r="I152" s="29" t="e">
        <f t="shared" si="27"/>
        <v>#DIV/0!</v>
      </c>
      <c r="J152" s="10"/>
      <c r="K152" s="10" t="e">
        <f t="shared" si="28"/>
        <v>#DIV/0!</v>
      </c>
      <c r="L152" s="14">
        <f>'[1]2024_60-69 ΕΞΟΔΑ+ΟΜ 2'!K101</f>
        <v>0</v>
      </c>
      <c r="M152" s="15">
        <f t="shared" si="29"/>
        <v>0</v>
      </c>
      <c r="N152" s="10">
        <f>L152+'[1]2025 Ιούλιος'!N152</f>
        <v>4814.63</v>
      </c>
      <c r="O152" s="15">
        <f t="shared" si="30"/>
        <v>4.1355236658174789E-2</v>
      </c>
      <c r="P152" s="10"/>
      <c r="Q152" s="30" t="e">
        <f t="shared" si="24"/>
        <v>#DIV/0!</v>
      </c>
    </row>
    <row r="153" spans="1:17" ht="42.75" x14ac:dyDescent="0.25">
      <c r="A153" s="67">
        <v>95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2'!K110</f>
        <v>0</v>
      </c>
      <c r="E153" s="15">
        <f t="shared" si="25"/>
        <v>0</v>
      </c>
      <c r="F153" s="10">
        <f>D153+'[1]2025 Ιούλιος'!F153</f>
        <v>5443.6900000000005</v>
      </c>
      <c r="G153" s="15">
        <f t="shared" si="26"/>
        <v>5.6406157408045443E-2</v>
      </c>
      <c r="H153" s="14"/>
      <c r="I153" s="29" t="e">
        <f t="shared" si="27"/>
        <v>#DIV/0!</v>
      </c>
      <c r="J153" s="10"/>
      <c r="K153" s="10" t="e">
        <f t="shared" si="28"/>
        <v>#DIV/0!</v>
      </c>
      <c r="L153" s="14">
        <f>'[1]2024_60-69 ΕΞΟΔΑ+ΟΜ 2'!K102</f>
        <v>253.21</v>
      </c>
      <c r="M153" s="15">
        <f t="shared" si="29"/>
        <v>3.171114442403089E-2</v>
      </c>
      <c r="N153" s="10">
        <f>L153+'[1]2025 Ιούλιος'!N153</f>
        <v>253.21</v>
      </c>
      <c r="O153" s="15">
        <f t="shared" si="30"/>
        <v>2.1749458367966881E-3</v>
      </c>
      <c r="P153" s="10"/>
      <c r="Q153" s="30" t="e">
        <f t="shared" si="24"/>
        <v>#DIV/0!</v>
      </c>
    </row>
    <row r="154" spans="1:17" ht="15" x14ac:dyDescent="0.25">
      <c r="A154" s="67">
        <v>96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97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98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2'!K73</f>
        <v>0</v>
      </c>
      <c r="E157" s="8"/>
      <c r="F157" s="7">
        <f>'[1]2025_60-69 ΕΞΟΔΑ+ΟΜ 2'!X73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7984.8899999999994</v>
      </c>
      <c r="M157" s="8"/>
      <c r="N157" s="7">
        <f>SUM(N117:N156)</f>
        <v>116421.29000000005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>
        <f>F116-F157</f>
        <v>96508.789999999979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D7-D78-D111-D157</f>
        <v>-7839.9766666666674</v>
      </c>
      <c r="E159" s="4"/>
      <c r="F159" s="31">
        <f>F7-F78-F111-F157</f>
        <v>-78401.947492625332</v>
      </c>
      <c r="G159" s="4"/>
      <c r="H159" s="31">
        <f ca="1">H7-H78-H111-H157</f>
        <v>0</v>
      </c>
      <c r="I159" s="4"/>
      <c r="J159" s="31">
        <f ca="1">J7-J78-J111-J157</f>
        <v>417740.29416449001</v>
      </c>
      <c r="K159" s="4"/>
      <c r="L159" s="31">
        <f ca="1">L7-L78-L111-L157</f>
        <v>-1923.6199999999917</v>
      </c>
      <c r="M159" s="4"/>
      <c r="N159" s="31">
        <f ca="1">N7-N78-N111-N157</f>
        <v>225730.03805309732</v>
      </c>
      <c r="O159" s="4"/>
      <c r="P159" s="31"/>
      <c r="Q159" s="4"/>
    </row>
  </sheetData>
  <mergeCells count="33">
    <mergeCell ref="D114:F114"/>
    <mergeCell ref="H114:J114"/>
    <mergeCell ref="L114:N114"/>
    <mergeCell ref="P114:Q114"/>
    <mergeCell ref="D82:F82"/>
    <mergeCell ref="H82:J82"/>
    <mergeCell ref="L82:N82"/>
    <mergeCell ref="P82:Q82"/>
    <mergeCell ref="D113:G113"/>
    <mergeCell ref="H113:K113"/>
    <mergeCell ref="L113:O113"/>
    <mergeCell ref="P113:Q113"/>
    <mergeCell ref="D41:F41"/>
    <mergeCell ref="H41:J41"/>
    <mergeCell ref="L41:N41"/>
    <mergeCell ref="P41:Q41"/>
    <mergeCell ref="D81:G81"/>
    <mergeCell ref="H81:K81"/>
    <mergeCell ref="L81:O81"/>
    <mergeCell ref="P81:Q81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60"/>
  <sheetViews>
    <sheetView topLeftCell="A96" workbookViewId="0">
      <selection activeCell="B85" sqref="B85:B110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8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</row>
    <row r="2" spans="1:17" ht="41.25" customHeight="1" x14ac:dyDescent="0.25">
      <c r="A2" s="57">
        <v>1</v>
      </c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>
        <f>[1]ΑΝΤΙΣΤΟΙΧΙΣΗ!$D$34</f>
        <v>2025</v>
      </c>
      <c r="H2" s="182" t="str">
        <f>[1]ΑΝΤΙΣΤΟΙΧΙΣΗ!$F$35</f>
        <v>ΠΡΟΥΠΟΛΟΓΙΣΜΟΣ ΤΡΕΧΟΝΤΟΣ ΕΤΟΥΣ</v>
      </c>
      <c r="I2" s="182"/>
      <c r="J2" s="182"/>
      <c r="K2" s="182">
        <f>[1]ΑΝΤΙΣΤΟΙΧΙΣΗ!$D$34</f>
        <v>2025</v>
      </c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0" t="str">
        <f>[1]ΑΝΤΙΣΤΟΙΧΙΣΗ!$F$114</f>
        <v xml:space="preserve">ΣΕΠΤΕΜΒΡΙΟΣ ΤΡΕΧΟΝ ΕΤΟΣ </v>
      </c>
      <c r="E3" s="180"/>
      <c r="F3" s="180"/>
      <c r="G3" s="61">
        <f>[1]ΑΝΤΙΣΤΟΙΧΙΣΗ!$D$34</f>
        <v>2025</v>
      </c>
      <c r="H3" s="180" t="str">
        <f>[1]ΑΝΤΙΣΤΟΙΧΙΣΗ!$F$114</f>
        <v xml:space="preserve">ΣΕΠΤΕΜΒΡΙΟΣ ΤΡΕΧΟΝ ΕΤΟΣ </v>
      </c>
      <c r="I3" s="180"/>
      <c r="J3" s="180"/>
      <c r="K3" s="61">
        <f>[1]ΑΝΤΙΣΤΟΙΧΙΣΗ!$D$34</f>
        <v>2025</v>
      </c>
      <c r="L3" s="180" t="str">
        <f>[1]ΑΝΤΙΣΤΟΙΧΙΣΗ!$F$128</f>
        <v>ΣΕΠΤΕΜΒΡΙΟΣ ΠΡΟΗΓΟΥΜΕΝΟΥ ΕΤΟΥΣ</v>
      </c>
      <c r="M3" s="180"/>
      <c r="N3" s="180"/>
      <c r="O3" s="61">
        <f>[1]ΑΝΤΙΣΤΟΙΧΙΣΗ!$D$33</f>
        <v>2024</v>
      </c>
      <c r="P3" s="180"/>
      <c r="Q3" s="180"/>
    </row>
    <row r="4" spans="1:17" ht="78.75" customHeight="1" x14ac:dyDescent="0.25">
      <c r="A4" s="62">
        <v>3</v>
      </c>
      <c r="B4" s="62" t="s">
        <v>1</v>
      </c>
      <c r="C4" s="62"/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 ca="1">D7-D6</f>
        <v>-8617.6466666666674</v>
      </c>
      <c r="E5" s="4"/>
      <c r="F5" s="3" t="e">
        <f>F7-F6</f>
        <v>#REF!</v>
      </c>
      <c r="G5" s="4"/>
      <c r="H5" s="3">
        <f ca="1">H159-H6</f>
        <v>0</v>
      </c>
      <c r="I5" s="4"/>
      <c r="J5" s="3" t="e">
        <f>J159-J6</f>
        <v>#REF!</v>
      </c>
      <c r="K5" s="4"/>
      <c r="L5" s="3">
        <f ca="1">L7-L6</f>
        <v>4873.2269026548893</v>
      </c>
      <c r="M5" s="4"/>
      <c r="N5" s="3" t="e">
        <f>N7-N6</f>
        <v>#REF!</v>
      </c>
      <c r="O5" s="4"/>
      <c r="P5" s="3">
        <f ca="1">P159-P6</f>
        <v>0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 ca="1">D43+D84+D116</f>
        <v>8617.6466666666674</v>
      </c>
      <c r="E6" s="4"/>
      <c r="F6" s="3">
        <f>F78+F111+F157</f>
        <v>255784.15</v>
      </c>
      <c r="G6" s="4"/>
      <c r="H6" s="3">
        <f ca="1">H38-H43-H84</f>
        <v>0</v>
      </c>
      <c r="I6" s="4"/>
      <c r="J6" s="66" t="e">
        <f>J38-J43-J84</f>
        <v>#REF!</v>
      </c>
      <c r="K6" s="4"/>
      <c r="L6" s="3">
        <f ca="1">L43+L84+L116</f>
        <v>72283.490000000005</v>
      </c>
      <c r="M6" s="4"/>
      <c r="N6" s="66" t="e">
        <f>N78+N111+N157</f>
        <v>#REF!</v>
      </c>
      <c r="O6" s="4"/>
      <c r="P6" s="3">
        <f ca="1">P38-P43-P84</f>
        <v>0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SUM(D8:D31)</f>
        <v>0</v>
      </c>
      <c r="E7" s="8"/>
      <c r="F7" s="7" t="e">
        <f>SUM(F8:F31)</f>
        <v>#REF!</v>
      </c>
      <c r="G7" s="8"/>
      <c r="H7" s="7">
        <f>SUM(H8:H31)</f>
        <v>0</v>
      </c>
      <c r="I7" s="8"/>
      <c r="J7" s="7" t="e">
        <f>SUM(J8:J31)</f>
        <v>#REF!</v>
      </c>
      <c r="K7" s="8"/>
      <c r="L7" s="7">
        <f>SUM(L8:L31)</f>
        <v>77156.716902654895</v>
      </c>
      <c r="M7" s="8"/>
      <c r="N7" s="7" t="e">
        <f>L7+#REF!</f>
        <v>#REF!</v>
      </c>
      <c r="O7" s="8"/>
      <c r="P7" s="7" t="e">
        <f>SUM(P8:P31)</f>
        <v>#REF!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'[1]2025_ΕΣΟΔΑ'!K2</f>
        <v>0</v>
      </c>
      <c r="E8" s="11" t="e">
        <f>D8/$D$7</f>
        <v>#DIV/0!</v>
      </c>
      <c r="F8" s="12" t="e">
        <f>D8+#REF!</f>
        <v>#REF!</v>
      </c>
      <c r="G8" s="11" t="e">
        <f>F8/$F$7</f>
        <v>#REF!</v>
      </c>
      <c r="H8" s="12"/>
      <c r="I8" s="11" t="e">
        <f t="shared" ref="I8:I23" si="0">H8/$H$39</f>
        <v>#DIV/0!</v>
      </c>
      <c r="J8" s="12" t="e">
        <f>H8+#REF!</f>
        <v>#REF!</v>
      </c>
      <c r="K8" s="11" t="e">
        <f>J8/$J$7</f>
        <v>#REF!</v>
      </c>
      <c r="L8" s="68">
        <f>'[1]2024_60-69 ΕΞΟΔΑ+ΟΜ 2'!K114</f>
        <v>66655.538672566399</v>
      </c>
      <c r="M8" s="11">
        <f>L8/$L$7</f>
        <v>0.86389806809253755</v>
      </c>
      <c r="N8" s="12" t="e">
        <f>L8+#REF!</f>
        <v>#REF!</v>
      </c>
      <c r="O8" s="11" t="e">
        <f>N8/$N$7</f>
        <v>#REF!</v>
      </c>
      <c r="P8" s="12" t="e">
        <f t="shared" ref="P8:P37" si="1">F8-N8</f>
        <v>#REF!</v>
      </c>
      <c r="Q8" s="11" t="e">
        <f t="shared" ref="Q8:Q37" si="2">N8/F8</f>
        <v>#REF!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'[1]2025_ΕΣΟΔΑ'!K3</f>
        <v>0</v>
      </c>
      <c r="E9" s="11" t="e">
        <f t="shared" ref="E9:E37" si="3">D9/$D$7</f>
        <v>#DIV/0!</v>
      </c>
      <c r="F9" s="12" t="e">
        <f>D9+#REF!</f>
        <v>#REF!</v>
      </c>
      <c r="G9" s="11" t="e">
        <f t="shared" ref="G9:G37" si="4">F9/$F$7</f>
        <v>#REF!</v>
      </c>
      <c r="H9" s="12"/>
      <c r="I9" s="11" t="e">
        <f t="shared" si="0"/>
        <v>#DIV/0!</v>
      </c>
      <c r="J9" s="12" t="e">
        <f>H9+#REF!</f>
        <v>#REF!</v>
      </c>
      <c r="K9" s="11" t="e">
        <f t="shared" ref="K9:K37" si="5">J9/$J$7</f>
        <v>#REF!</v>
      </c>
      <c r="L9" s="68">
        <f>'[1]2024_60-69 ΕΞΟΔΑ+ΟΜ 2'!K115</f>
        <v>0</v>
      </c>
      <c r="M9" s="11">
        <f t="shared" ref="M9:M37" si="6">L9/$L$7</f>
        <v>0</v>
      </c>
      <c r="N9" s="12" t="e">
        <f>L9+#REF!</f>
        <v>#REF!</v>
      </c>
      <c r="O9" s="11" t="e">
        <f t="shared" ref="O9:O37" si="7">N9/$N$7</f>
        <v>#REF!</v>
      </c>
      <c r="P9" s="12" t="e">
        <f t="shared" si="1"/>
        <v>#REF!</v>
      </c>
      <c r="Q9" s="11" t="e">
        <f t="shared" si="2"/>
        <v>#REF!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'[1]2025_ΕΣΟΔΑ'!K4</f>
        <v>0</v>
      </c>
      <c r="E10" s="11" t="e">
        <f t="shared" si="3"/>
        <v>#DIV/0!</v>
      </c>
      <c r="F10" s="12" t="e">
        <f>D10+#REF!</f>
        <v>#REF!</v>
      </c>
      <c r="G10" s="11" t="e">
        <f t="shared" si="4"/>
        <v>#REF!</v>
      </c>
      <c r="H10" s="12"/>
      <c r="I10" s="11" t="e">
        <f t="shared" si="0"/>
        <v>#DIV/0!</v>
      </c>
      <c r="J10" s="12" t="e">
        <f>H10+#REF!</f>
        <v>#REF!</v>
      </c>
      <c r="K10" s="11" t="e">
        <f t="shared" si="5"/>
        <v>#REF!</v>
      </c>
      <c r="L10" s="68">
        <f>'[1]2024_60-69 ΕΞΟΔΑ+ΟΜ 2'!K116</f>
        <v>0</v>
      </c>
      <c r="M10" s="11">
        <f t="shared" si="6"/>
        <v>0</v>
      </c>
      <c r="N10" s="12" t="e">
        <f>L10+#REF!</f>
        <v>#REF!</v>
      </c>
      <c r="O10" s="11" t="e">
        <f t="shared" si="7"/>
        <v>#REF!</v>
      </c>
      <c r="P10" s="12" t="e">
        <f t="shared" si="1"/>
        <v>#REF!</v>
      </c>
      <c r="Q10" s="11" t="e">
        <f t="shared" si="2"/>
        <v>#REF!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'[1]2025_ΕΣΟΔΑ'!K5</f>
        <v>0</v>
      </c>
      <c r="E11" s="11" t="e">
        <f t="shared" si="3"/>
        <v>#DIV/0!</v>
      </c>
      <c r="F11" s="12" t="e">
        <f>D11+#REF!</f>
        <v>#REF!</v>
      </c>
      <c r="G11" s="11" t="e">
        <f t="shared" si="4"/>
        <v>#REF!</v>
      </c>
      <c r="H11" s="12"/>
      <c r="I11" s="11" t="e">
        <f t="shared" si="0"/>
        <v>#DIV/0!</v>
      </c>
      <c r="J11" s="12" t="e">
        <f>H11+#REF!</f>
        <v>#REF!</v>
      </c>
      <c r="K11" s="11" t="e">
        <f t="shared" si="5"/>
        <v>#REF!</v>
      </c>
      <c r="L11" s="68">
        <f>'[1]2024_60-69 ΕΞΟΔΑ+ΟΜ 2'!K117</f>
        <v>5935.3982300884963</v>
      </c>
      <c r="M11" s="11">
        <f t="shared" si="6"/>
        <v>7.6926526534001144E-2</v>
      </c>
      <c r="N11" s="12" t="e">
        <f>L11+#REF!</f>
        <v>#REF!</v>
      </c>
      <c r="O11" s="11" t="e">
        <f t="shared" si="7"/>
        <v>#REF!</v>
      </c>
      <c r="P11" s="12" t="e">
        <f t="shared" si="1"/>
        <v>#REF!</v>
      </c>
      <c r="Q11" s="11" t="e">
        <f t="shared" si="2"/>
        <v>#REF!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'[1]2025_ΕΣΟΔΑ'!K6</f>
        <v>0</v>
      </c>
      <c r="E12" s="11" t="e">
        <f t="shared" si="3"/>
        <v>#DIV/0!</v>
      </c>
      <c r="F12" s="12" t="e">
        <f>D12+#REF!</f>
        <v>#REF!</v>
      </c>
      <c r="G12" s="11" t="e">
        <f t="shared" si="4"/>
        <v>#REF!</v>
      </c>
      <c r="H12" s="12"/>
      <c r="I12" s="11" t="e">
        <f t="shared" si="0"/>
        <v>#DIV/0!</v>
      </c>
      <c r="J12" s="12" t="e">
        <f>H12+#REF!</f>
        <v>#REF!</v>
      </c>
      <c r="K12" s="11" t="e">
        <f t="shared" si="5"/>
        <v>#REF!</v>
      </c>
      <c r="L12" s="68">
        <f>'[1]2024_60-69 ΕΞΟΔΑ+ΟΜ 2'!K118</f>
        <v>278.14</v>
      </c>
      <c r="M12" s="11">
        <f t="shared" si="6"/>
        <v>3.6048708546129109E-3</v>
      </c>
      <c r="N12" s="12" t="e">
        <f>L12+#REF!</f>
        <v>#REF!</v>
      </c>
      <c r="O12" s="11" t="e">
        <f t="shared" si="7"/>
        <v>#REF!</v>
      </c>
      <c r="P12" s="12" t="e">
        <f t="shared" si="1"/>
        <v>#REF!</v>
      </c>
      <c r="Q12" s="11" t="e">
        <f t="shared" si="2"/>
        <v>#REF!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'[1]2025_ΕΣΟΔΑ'!K7</f>
        <v>0</v>
      </c>
      <c r="E13" s="11" t="e">
        <f t="shared" si="3"/>
        <v>#DIV/0!</v>
      </c>
      <c r="F13" s="12" t="e">
        <f>D13+#REF!</f>
        <v>#REF!</v>
      </c>
      <c r="G13" s="11" t="e">
        <f t="shared" si="4"/>
        <v>#REF!</v>
      </c>
      <c r="H13" s="12"/>
      <c r="I13" s="11" t="e">
        <f t="shared" si="0"/>
        <v>#DIV/0!</v>
      </c>
      <c r="J13" s="12" t="e">
        <f>H13+#REF!</f>
        <v>#REF!</v>
      </c>
      <c r="K13" s="11" t="e">
        <f t="shared" si="5"/>
        <v>#REF!</v>
      </c>
      <c r="L13" s="68">
        <f>'[1]2024_60-69 ΕΞΟΔΑ+ΟΜ 2'!K119</f>
        <v>2499.94</v>
      </c>
      <c r="M13" s="11">
        <f t="shared" si="6"/>
        <v>3.2400808385277202E-2</v>
      </c>
      <c r="N13" s="12" t="e">
        <f>L13+#REF!</f>
        <v>#REF!</v>
      </c>
      <c r="O13" s="11" t="e">
        <f t="shared" si="7"/>
        <v>#REF!</v>
      </c>
      <c r="P13" s="12" t="e">
        <f t="shared" si="1"/>
        <v>#REF!</v>
      </c>
      <c r="Q13" s="11" t="e">
        <f t="shared" si="2"/>
        <v>#REF!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'[1]2025_ΕΣΟΔΑ'!K8</f>
        <v>0</v>
      </c>
      <c r="E14" s="11" t="e">
        <f t="shared" si="3"/>
        <v>#DIV/0!</v>
      </c>
      <c r="F14" s="12" t="e">
        <f>D14+#REF!</f>
        <v>#REF!</v>
      </c>
      <c r="G14" s="11" t="e">
        <f t="shared" si="4"/>
        <v>#REF!</v>
      </c>
      <c r="H14" s="12"/>
      <c r="I14" s="11" t="e">
        <f t="shared" si="0"/>
        <v>#DIV/0!</v>
      </c>
      <c r="J14" s="12" t="e">
        <f>H14+#REF!</f>
        <v>#REF!</v>
      </c>
      <c r="K14" s="11" t="e">
        <f t="shared" si="5"/>
        <v>#REF!</v>
      </c>
      <c r="L14" s="68">
        <f>'[1]2024_60-69 ΕΞΟΔΑ+ΟΜ 2'!K120</f>
        <v>100</v>
      </c>
      <c r="M14" s="11">
        <f t="shared" si="6"/>
        <v>1.2960634409336705E-3</v>
      </c>
      <c r="N14" s="12" t="e">
        <f>L14+#REF!</f>
        <v>#REF!</v>
      </c>
      <c r="O14" s="11" t="e">
        <f t="shared" si="7"/>
        <v>#REF!</v>
      </c>
      <c r="P14" s="12" t="e">
        <f t="shared" si="1"/>
        <v>#REF!</v>
      </c>
      <c r="Q14" s="11" t="e">
        <f t="shared" si="2"/>
        <v>#REF!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'[1]2025_ΕΣΟΔΑ'!K9</f>
        <v>0</v>
      </c>
      <c r="E15" s="11" t="e">
        <f t="shared" si="3"/>
        <v>#DIV/0!</v>
      </c>
      <c r="F15" s="12" t="e">
        <f>D15+#REF!</f>
        <v>#REF!</v>
      </c>
      <c r="G15" s="11" t="e">
        <f t="shared" si="4"/>
        <v>#REF!</v>
      </c>
      <c r="H15" s="12"/>
      <c r="I15" s="11" t="e">
        <f t="shared" si="0"/>
        <v>#DIV/0!</v>
      </c>
      <c r="J15" s="12" t="e">
        <f>H15+#REF!</f>
        <v>#REF!</v>
      </c>
      <c r="K15" s="11" t="e">
        <f t="shared" si="5"/>
        <v>#REF!</v>
      </c>
      <c r="L15" s="68">
        <f>'[1]2024_60-69 ΕΞΟΔΑ+ΟΜ 2'!K121</f>
        <v>618.54</v>
      </c>
      <c r="M15" s="11">
        <f t="shared" si="6"/>
        <v>8.016670807551125E-3</v>
      </c>
      <c r="N15" s="12" t="e">
        <f>L15+#REF!</f>
        <v>#REF!</v>
      </c>
      <c r="O15" s="11" t="e">
        <f t="shared" si="7"/>
        <v>#REF!</v>
      </c>
      <c r="P15" s="12" t="e">
        <f t="shared" si="1"/>
        <v>#REF!</v>
      </c>
      <c r="Q15" s="11" t="e">
        <f t="shared" si="2"/>
        <v>#REF!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'[1]2025_ΕΣΟΔΑ'!K10</f>
        <v>0</v>
      </c>
      <c r="E16" s="11" t="e">
        <f t="shared" si="3"/>
        <v>#DIV/0!</v>
      </c>
      <c r="F16" s="12" t="e">
        <f>D16+#REF!</f>
        <v>#REF!</v>
      </c>
      <c r="G16" s="11" t="e">
        <f t="shared" si="4"/>
        <v>#REF!</v>
      </c>
      <c r="H16" s="12"/>
      <c r="I16" s="11" t="e">
        <f t="shared" si="0"/>
        <v>#DIV/0!</v>
      </c>
      <c r="J16" s="12" t="e">
        <f>H16+#REF!</f>
        <v>#REF!</v>
      </c>
      <c r="K16" s="11" t="e">
        <f t="shared" si="5"/>
        <v>#REF!</v>
      </c>
      <c r="L16" s="68">
        <f>'[1]2024_60-69 ΕΞΟΔΑ+ΟΜ 2'!K122</f>
        <v>0</v>
      </c>
      <c r="M16" s="11">
        <f t="shared" si="6"/>
        <v>0</v>
      </c>
      <c r="N16" s="12" t="e">
        <f>L16+#REF!</f>
        <v>#REF!</v>
      </c>
      <c r="O16" s="11" t="e">
        <f t="shared" si="7"/>
        <v>#REF!</v>
      </c>
      <c r="P16" s="12" t="e">
        <f t="shared" si="1"/>
        <v>#REF!</v>
      </c>
      <c r="Q16" s="11" t="e">
        <f t="shared" si="2"/>
        <v>#REF!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'[1]2025_ΕΣΟΔΑ'!K11</f>
        <v>0</v>
      </c>
      <c r="E17" s="11" t="e">
        <f t="shared" si="3"/>
        <v>#DIV/0!</v>
      </c>
      <c r="F17" s="12" t="e">
        <f>D17+#REF!</f>
        <v>#REF!</v>
      </c>
      <c r="G17" s="11" t="e">
        <f t="shared" si="4"/>
        <v>#REF!</v>
      </c>
      <c r="H17" s="12"/>
      <c r="I17" s="11" t="e">
        <f t="shared" si="0"/>
        <v>#DIV/0!</v>
      </c>
      <c r="J17" s="12" t="e">
        <f>H17+#REF!</f>
        <v>#REF!</v>
      </c>
      <c r="K17" s="11" t="e">
        <f t="shared" si="5"/>
        <v>#REF!</v>
      </c>
      <c r="L17" s="68">
        <f>'[1]2024_60-69 ΕΞΟΔΑ+ΟΜ 2'!K123</f>
        <v>281.62</v>
      </c>
      <c r="M17" s="11">
        <f t="shared" si="6"/>
        <v>3.6499738623574029E-3</v>
      </c>
      <c r="N17" s="12" t="e">
        <f>L17+#REF!</f>
        <v>#REF!</v>
      </c>
      <c r="O17" s="11" t="e">
        <f t="shared" si="7"/>
        <v>#REF!</v>
      </c>
      <c r="P17" s="12" t="e">
        <f t="shared" si="1"/>
        <v>#REF!</v>
      </c>
      <c r="Q17" s="11" t="e">
        <f t="shared" si="2"/>
        <v>#REF!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'[1]2025_ΕΣΟΔΑ'!K12</f>
        <v>0</v>
      </c>
      <c r="E18" s="11" t="e">
        <f t="shared" si="3"/>
        <v>#DIV/0!</v>
      </c>
      <c r="F18" s="12" t="e">
        <f>D18+#REF!</f>
        <v>#REF!</v>
      </c>
      <c r="G18" s="11" t="e">
        <f t="shared" si="4"/>
        <v>#REF!</v>
      </c>
      <c r="H18" s="12"/>
      <c r="I18" s="11" t="e">
        <f t="shared" si="0"/>
        <v>#DIV/0!</v>
      </c>
      <c r="J18" s="12" t="e">
        <f>H18+#REF!</f>
        <v>#REF!</v>
      </c>
      <c r="K18" s="11" t="e">
        <f t="shared" si="5"/>
        <v>#REF!</v>
      </c>
      <c r="L18" s="68">
        <f>'[1]2024_60-69 ΕΞΟΔΑ+ΟΜ 2'!K124</f>
        <v>0</v>
      </c>
      <c r="M18" s="11">
        <f t="shared" si="6"/>
        <v>0</v>
      </c>
      <c r="N18" s="12" t="e">
        <f>L18+#REF!</f>
        <v>#REF!</v>
      </c>
      <c r="O18" s="11" t="e">
        <f t="shared" si="7"/>
        <v>#REF!</v>
      </c>
      <c r="P18" s="12" t="e">
        <f t="shared" si="1"/>
        <v>#REF!</v>
      </c>
      <c r="Q18" s="11" t="e">
        <f t="shared" si="2"/>
        <v>#REF!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'[1]2025_ΕΣΟΔΑ'!K13</f>
        <v>0</v>
      </c>
      <c r="E19" s="11" t="e">
        <f t="shared" si="3"/>
        <v>#DIV/0!</v>
      </c>
      <c r="F19" s="12" t="e">
        <f>D19+#REF!</f>
        <v>#REF!</v>
      </c>
      <c r="G19" s="11" t="e">
        <f t="shared" si="4"/>
        <v>#REF!</v>
      </c>
      <c r="H19" s="12"/>
      <c r="I19" s="11" t="e">
        <f t="shared" si="0"/>
        <v>#DIV/0!</v>
      </c>
      <c r="J19" s="12" t="e">
        <f>H19+#REF!</f>
        <v>#REF!</v>
      </c>
      <c r="K19" s="11" t="e">
        <f t="shared" si="5"/>
        <v>#REF!</v>
      </c>
      <c r="L19" s="68">
        <f>'[1]2024_60-69 ΕΞΟΔΑ+ΟΜ 2'!K125</f>
        <v>0</v>
      </c>
      <c r="M19" s="11">
        <f t="shared" si="6"/>
        <v>0</v>
      </c>
      <c r="N19" s="12" t="e">
        <f>L19+#REF!</f>
        <v>#REF!</v>
      </c>
      <c r="O19" s="11" t="e">
        <f t="shared" si="7"/>
        <v>#REF!</v>
      </c>
      <c r="P19" s="12" t="e">
        <f t="shared" si="1"/>
        <v>#REF!</v>
      </c>
      <c r="Q19" s="11" t="e">
        <f t="shared" si="2"/>
        <v>#REF!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'[1]2025_ΕΣΟΔΑ'!K14</f>
        <v>0</v>
      </c>
      <c r="E20" s="11" t="e">
        <f t="shared" si="3"/>
        <v>#DIV/0!</v>
      </c>
      <c r="F20" s="12" t="e">
        <f>D20+#REF!</f>
        <v>#REF!</v>
      </c>
      <c r="G20" s="11" t="e">
        <f t="shared" si="4"/>
        <v>#REF!</v>
      </c>
      <c r="H20" s="12"/>
      <c r="I20" s="11" t="e">
        <f t="shared" si="0"/>
        <v>#DIV/0!</v>
      </c>
      <c r="J20" s="12" t="e">
        <f>H20+#REF!</f>
        <v>#REF!</v>
      </c>
      <c r="K20" s="11" t="e">
        <f t="shared" si="5"/>
        <v>#REF!</v>
      </c>
      <c r="L20" s="68">
        <f>'[1]2024_60-69 ΕΞΟΔΑ+ΟΜ 2'!K126</f>
        <v>0</v>
      </c>
      <c r="M20" s="11">
        <f t="shared" si="6"/>
        <v>0</v>
      </c>
      <c r="N20" s="12" t="e">
        <f>L20+#REF!</f>
        <v>#REF!</v>
      </c>
      <c r="O20" s="11" t="e">
        <f t="shared" si="7"/>
        <v>#REF!</v>
      </c>
      <c r="P20" s="12" t="e">
        <f t="shared" si="1"/>
        <v>#REF!</v>
      </c>
      <c r="Q20" s="11" t="e">
        <f t="shared" si="2"/>
        <v>#REF!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'[1]2025_ΕΣΟΔΑ'!K15</f>
        <v>0</v>
      </c>
      <c r="E21" s="11" t="e">
        <f t="shared" si="3"/>
        <v>#DIV/0!</v>
      </c>
      <c r="F21" s="12" t="e">
        <f>D21+#REF!</f>
        <v>#REF!</v>
      </c>
      <c r="G21" s="11" t="e">
        <f t="shared" si="4"/>
        <v>#REF!</v>
      </c>
      <c r="H21" s="12"/>
      <c r="I21" s="11" t="e">
        <f t="shared" si="0"/>
        <v>#DIV/0!</v>
      </c>
      <c r="J21" s="12" t="e">
        <f>H21+#REF!</f>
        <v>#REF!</v>
      </c>
      <c r="K21" s="11" t="e">
        <f t="shared" si="5"/>
        <v>#REF!</v>
      </c>
      <c r="L21" s="68">
        <f>'[1]2024_60-69 ΕΞΟΔΑ+ΟΜ 2'!K127</f>
        <v>460.18</v>
      </c>
      <c r="M21" s="11">
        <f t="shared" si="6"/>
        <v>5.9642247424885652E-3</v>
      </c>
      <c r="N21" s="12" t="e">
        <f>L21+#REF!</f>
        <v>#REF!</v>
      </c>
      <c r="O21" s="11" t="e">
        <f t="shared" si="7"/>
        <v>#REF!</v>
      </c>
      <c r="P21" s="12" t="e">
        <f t="shared" si="1"/>
        <v>#REF!</v>
      </c>
      <c r="Q21" s="11" t="e">
        <f t="shared" si="2"/>
        <v>#REF!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'[1]2025_ΕΣΟΔΑ'!K16</f>
        <v>0</v>
      </c>
      <c r="E22" s="11" t="e">
        <f t="shared" si="3"/>
        <v>#DIV/0!</v>
      </c>
      <c r="F22" s="12" t="e">
        <f>D22+#REF!</f>
        <v>#REF!</v>
      </c>
      <c r="G22" s="11" t="e">
        <f t="shared" si="4"/>
        <v>#REF!</v>
      </c>
      <c r="H22" s="12"/>
      <c r="I22" s="11" t="e">
        <f t="shared" si="0"/>
        <v>#DIV/0!</v>
      </c>
      <c r="J22" s="12" t="e">
        <f>H22+#REF!</f>
        <v>#REF!</v>
      </c>
      <c r="K22" s="11" t="e">
        <f t="shared" si="5"/>
        <v>#REF!</v>
      </c>
      <c r="L22" s="68">
        <f>'[1]2024_60-69 ΕΞΟΔΑ+ΟΜ 2'!K128</f>
        <v>0</v>
      </c>
      <c r="M22" s="11">
        <f t="shared" si="6"/>
        <v>0</v>
      </c>
      <c r="N22" s="12" t="e">
        <f>L22+#REF!</f>
        <v>#REF!</v>
      </c>
      <c r="O22" s="11" t="e">
        <f t="shared" si="7"/>
        <v>#REF!</v>
      </c>
      <c r="P22" s="12" t="e">
        <f t="shared" si="1"/>
        <v>#REF!</v>
      </c>
      <c r="Q22" s="11" t="e">
        <f t="shared" si="2"/>
        <v>#REF!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'[1]2025_ΕΣΟΔΑ'!K17</f>
        <v>0</v>
      </c>
      <c r="E23" s="11" t="e">
        <f t="shared" si="3"/>
        <v>#DIV/0!</v>
      </c>
      <c r="F23" s="12" t="e">
        <f>D23+#REF!</f>
        <v>#REF!</v>
      </c>
      <c r="G23" s="11" t="e">
        <f t="shared" si="4"/>
        <v>#REF!</v>
      </c>
      <c r="H23" s="12"/>
      <c r="I23" s="11" t="e">
        <f t="shared" si="0"/>
        <v>#DIV/0!</v>
      </c>
      <c r="J23" s="12" t="e">
        <f>H23+#REF!</f>
        <v>#REF!</v>
      </c>
      <c r="K23" s="11" t="e">
        <f t="shared" si="5"/>
        <v>#REF!</v>
      </c>
      <c r="L23" s="68">
        <f>'[1]2024_60-69 ΕΞΟΔΑ+ΟΜ 2'!K129</f>
        <v>0</v>
      </c>
      <c r="M23" s="11">
        <f t="shared" si="6"/>
        <v>0</v>
      </c>
      <c r="N23" s="12" t="e">
        <f>L23+#REF!</f>
        <v>#REF!</v>
      </c>
      <c r="O23" s="11" t="e">
        <f t="shared" si="7"/>
        <v>#REF!</v>
      </c>
      <c r="P23" s="12" t="e">
        <f t="shared" si="1"/>
        <v>#REF!</v>
      </c>
      <c r="Q23" s="11" t="e">
        <f t="shared" si="2"/>
        <v>#REF!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'[1]2025_ΕΣΟΔΑ'!K18</f>
        <v>0</v>
      </c>
      <c r="E24" s="11" t="e">
        <f>D24/$D$7</f>
        <v>#DIV/0!</v>
      </c>
      <c r="F24" s="12">
        <f>D24+'[1]2025 Aύγουστος'!F24</f>
        <v>0</v>
      </c>
      <c r="G24" s="11" t="e">
        <f>F24/$F$7</f>
        <v>#REF!</v>
      </c>
      <c r="H24" s="12">
        <f>[1]ΠΡΟΥΠΟΛΟΓΙΣΜΟΣ_ΕΣΟΔΑ!E225</f>
        <v>0</v>
      </c>
      <c r="I24" s="11" t="e">
        <f>H24/$H$7</f>
        <v>#DIV/0!</v>
      </c>
      <c r="J24" s="12">
        <f>H24+'[1]2025 Aύγουστος'!J24</f>
        <v>0</v>
      </c>
      <c r="K24" s="11" t="e">
        <f>J24/$J$7</f>
        <v>#REF!</v>
      </c>
      <c r="L24" s="68">
        <f>'[1]2024_60-69 ΕΞΟΔΑ+ΟΜ 2'!K130</f>
        <v>287.85000000000002</v>
      </c>
      <c r="M24" s="11">
        <f>L24/$L$7</f>
        <v>3.730718614727571E-3</v>
      </c>
      <c r="N24" s="12">
        <f>L24+'[1]2025 Aύγουστος'!N24</f>
        <v>287.85000000000002</v>
      </c>
      <c r="O24" s="11" t="e">
        <f>N24/$N$7</f>
        <v>#REF!</v>
      </c>
      <c r="P24" s="12">
        <f>F24-N24</f>
        <v>-287.85000000000002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'[1]2025_ΕΣΟΔΑ'!K19</f>
        <v>0</v>
      </c>
      <c r="E25" s="11" t="e">
        <f t="shared" si="3"/>
        <v>#DIV/0!</v>
      </c>
      <c r="F25" s="12" t="e">
        <f>D25+#REF!</f>
        <v>#REF!</v>
      </c>
      <c r="G25" s="11" t="e">
        <f t="shared" si="4"/>
        <v>#REF!</v>
      </c>
      <c r="H25" s="12"/>
      <c r="I25" s="11" t="e">
        <f t="shared" ref="I25:I37" si="8">H25/$H$39</f>
        <v>#DIV/0!</v>
      </c>
      <c r="J25" s="12" t="e">
        <f>H25+#REF!</f>
        <v>#REF!</v>
      </c>
      <c r="K25" s="11" t="e">
        <f t="shared" si="5"/>
        <v>#REF!</v>
      </c>
      <c r="L25" s="68">
        <f>'[1]2024_60-69 ΕΞΟΔΑ+ΟΜ 2'!K131</f>
        <v>0</v>
      </c>
      <c r="M25" s="11">
        <f t="shared" si="6"/>
        <v>0</v>
      </c>
      <c r="N25" s="12" t="e">
        <f>L25+#REF!</f>
        <v>#REF!</v>
      </c>
      <c r="O25" s="11" t="e">
        <f t="shared" si="7"/>
        <v>#REF!</v>
      </c>
      <c r="P25" s="12" t="e">
        <f t="shared" si="1"/>
        <v>#REF!</v>
      </c>
      <c r="Q25" s="11" t="e">
        <f t="shared" si="2"/>
        <v>#REF!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'[1]2025_ΕΣΟΔΑ'!K20</f>
        <v>0</v>
      </c>
      <c r="E26" s="11" t="e">
        <f t="shared" si="3"/>
        <v>#DIV/0!</v>
      </c>
      <c r="F26" s="12" t="e">
        <f>D26+#REF!</f>
        <v>#REF!</v>
      </c>
      <c r="G26" s="11" t="e">
        <f t="shared" si="4"/>
        <v>#REF!</v>
      </c>
      <c r="H26" s="12"/>
      <c r="I26" s="11" t="e">
        <f t="shared" si="8"/>
        <v>#DIV/0!</v>
      </c>
      <c r="J26" s="12" t="e">
        <f>H26+#REF!</f>
        <v>#REF!</v>
      </c>
      <c r="K26" s="11" t="e">
        <f t="shared" si="5"/>
        <v>#REF!</v>
      </c>
      <c r="L26" s="68">
        <f>'[1]2024_60-69 ΕΞΟΔΑ+ΟΜ 2'!K132</f>
        <v>0</v>
      </c>
      <c r="M26" s="11">
        <f t="shared" si="6"/>
        <v>0</v>
      </c>
      <c r="N26" s="12" t="e">
        <f>L26+#REF!</f>
        <v>#REF!</v>
      </c>
      <c r="O26" s="11" t="e">
        <f t="shared" si="7"/>
        <v>#REF!</v>
      </c>
      <c r="P26" s="12" t="e">
        <f t="shared" si="1"/>
        <v>#REF!</v>
      </c>
      <c r="Q26" s="11" t="e">
        <f t="shared" si="2"/>
        <v>#REF!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'[1]2025_ΕΣΟΔΑ'!K21</f>
        <v>0</v>
      </c>
      <c r="E27" s="11" t="e">
        <f t="shared" si="3"/>
        <v>#DIV/0!</v>
      </c>
      <c r="F27" s="12" t="e">
        <f>D27+#REF!</f>
        <v>#REF!</v>
      </c>
      <c r="G27" s="11" t="e">
        <f t="shared" si="4"/>
        <v>#REF!</v>
      </c>
      <c r="H27" s="12"/>
      <c r="I27" s="11" t="e">
        <f t="shared" si="8"/>
        <v>#DIV/0!</v>
      </c>
      <c r="J27" s="12" t="e">
        <f>H27+#REF!</f>
        <v>#REF!</v>
      </c>
      <c r="K27" s="11" t="e">
        <f t="shared" si="5"/>
        <v>#REF!</v>
      </c>
      <c r="L27" s="68">
        <f>'[1]2024_60-69 ΕΞΟΔΑ+ΟΜ 2'!K133</f>
        <v>275.08</v>
      </c>
      <c r="M27" s="11">
        <f t="shared" si="6"/>
        <v>3.5652113133203406E-3</v>
      </c>
      <c r="N27" s="12" t="e">
        <f>L27+#REF!</f>
        <v>#REF!</v>
      </c>
      <c r="O27" s="11" t="e">
        <f t="shared" si="7"/>
        <v>#REF!</v>
      </c>
      <c r="P27" s="12" t="e">
        <f t="shared" si="1"/>
        <v>#REF!</v>
      </c>
      <c r="Q27" s="11" t="e">
        <f t="shared" si="2"/>
        <v>#REF!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'[1]2025_ΕΣΟΔΑ'!K22</f>
        <v>0</v>
      </c>
      <c r="E28" s="11" t="e">
        <f t="shared" si="3"/>
        <v>#DIV/0!</v>
      </c>
      <c r="F28" s="12" t="e">
        <f>D28+#REF!</f>
        <v>#REF!</v>
      </c>
      <c r="G28" s="11" t="e">
        <f t="shared" si="4"/>
        <v>#REF!</v>
      </c>
      <c r="H28" s="12"/>
      <c r="I28" s="11" t="e">
        <f t="shared" si="8"/>
        <v>#DIV/0!</v>
      </c>
      <c r="J28" s="12" t="e">
        <f>H28+#REF!</f>
        <v>#REF!</v>
      </c>
      <c r="K28" s="11" t="e">
        <f t="shared" si="5"/>
        <v>#REF!</v>
      </c>
      <c r="L28" s="68">
        <f>'[1]2024_60-69 ΕΞΟΔΑ+ΟΜ 2'!K134</f>
        <v>0</v>
      </c>
      <c r="M28" s="11">
        <f t="shared" si="6"/>
        <v>0</v>
      </c>
      <c r="N28" s="12" t="e">
        <f>L28+#REF!</f>
        <v>#REF!</v>
      </c>
      <c r="O28" s="11" t="e">
        <f t="shared" si="7"/>
        <v>#REF!</v>
      </c>
      <c r="P28" s="12" t="e">
        <f t="shared" si="1"/>
        <v>#REF!</v>
      </c>
      <c r="Q28" s="11" t="e">
        <f t="shared" si="2"/>
        <v>#REF!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'[1]2025_ΕΣΟΔΑ'!K23</f>
        <v>0</v>
      </c>
      <c r="E29" s="11" t="e">
        <f t="shared" si="3"/>
        <v>#DIV/0!</v>
      </c>
      <c r="F29" s="12" t="e">
        <f>D29+#REF!</f>
        <v>#REF!</v>
      </c>
      <c r="G29" s="11" t="e">
        <f t="shared" si="4"/>
        <v>#REF!</v>
      </c>
      <c r="H29" s="12"/>
      <c r="I29" s="11" t="e">
        <f t="shared" si="8"/>
        <v>#DIV/0!</v>
      </c>
      <c r="J29" s="12" t="e">
        <f>H29+#REF!</f>
        <v>#REF!</v>
      </c>
      <c r="K29" s="11" t="e">
        <f t="shared" si="5"/>
        <v>#REF!</v>
      </c>
      <c r="L29" s="68">
        <f>'[1]2024_60-69 ΕΞΟΔΑ+ΟΜ 2'!K135</f>
        <v>126.27</v>
      </c>
      <c r="M29" s="11">
        <f t="shared" si="6"/>
        <v>1.6365393068669457E-3</v>
      </c>
      <c r="N29" s="12" t="e">
        <f>L29+#REF!</f>
        <v>#REF!</v>
      </c>
      <c r="O29" s="11" t="e">
        <f t="shared" si="7"/>
        <v>#REF!</v>
      </c>
      <c r="P29" s="12" t="e">
        <f t="shared" si="1"/>
        <v>#REF!</v>
      </c>
      <c r="Q29" s="11" t="e">
        <f t="shared" si="2"/>
        <v>#REF!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'[1]2025_ΕΣΟΔΑ'!K24</f>
        <v>0</v>
      </c>
      <c r="E30" s="11" t="e">
        <f t="shared" si="3"/>
        <v>#DIV/0!</v>
      </c>
      <c r="F30" s="12" t="e">
        <f>D30+#REF!</f>
        <v>#REF!</v>
      </c>
      <c r="G30" s="11" t="e">
        <f t="shared" si="4"/>
        <v>#REF!</v>
      </c>
      <c r="H30" s="12"/>
      <c r="I30" s="11" t="e">
        <f t="shared" si="8"/>
        <v>#DIV/0!</v>
      </c>
      <c r="J30" s="12" t="e">
        <f>H30+#REF!</f>
        <v>#REF!</v>
      </c>
      <c r="K30" s="11" t="e">
        <f t="shared" si="5"/>
        <v>#REF!</v>
      </c>
      <c r="L30" s="68">
        <f>'[1]2024_60-69 ΕΞΟΔΑ+ΟΜ 2'!K136</f>
        <v>-361.84</v>
      </c>
      <c r="M30" s="11">
        <f t="shared" si="6"/>
        <v>-4.6896759546743933E-3</v>
      </c>
      <c r="N30" s="12" t="e">
        <f>L30+#REF!</f>
        <v>#REF!</v>
      </c>
      <c r="O30" s="11" t="e">
        <f t="shared" si="7"/>
        <v>#REF!</v>
      </c>
      <c r="P30" s="12" t="e">
        <f t="shared" si="1"/>
        <v>#REF!</v>
      </c>
      <c r="Q30" s="11" t="e">
        <f t="shared" si="2"/>
        <v>#REF!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'[1]2025_ΕΣΟΔΑ'!K25</f>
        <v>0</v>
      </c>
      <c r="E31" s="11" t="e">
        <f t="shared" si="3"/>
        <v>#DIV/0!</v>
      </c>
      <c r="F31" s="12" t="e">
        <f>D31+#REF!</f>
        <v>#REF!</v>
      </c>
      <c r="G31" s="11" t="e">
        <f t="shared" si="4"/>
        <v>#REF!</v>
      </c>
      <c r="H31" s="12"/>
      <c r="I31" s="11" t="e">
        <f t="shared" si="8"/>
        <v>#DIV/0!</v>
      </c>
      <c r="J31" s="12" t="e">
        <f>H31+#REF!</f>
        <v>#REF!</v>
      </c>
      <c r="K31" s="11" t="e">
        <f t="shared" si="5"/>
        <v>#REF!</v>
      </c>
      <c r="L31" s="68">
        <f>'[1]2024_60-69 ΕΞΟΔΑ+ΟΜ 2'!K137</f>
        <v>0</v>
      </c>
      <c r="M31" s="11">
        <f t="shared" si="6"/>
        <v>0</v>
      </c>
      <c r="N31" s="12" t="e">
        <f>L31+#REF!</f>
        <v>#REF!</v>
      </c>
      <c r="O31" s="11" t="e">
        <f t="shared" si="7"/>
        <v>#REF!</v>
      </c>
      <c r="P31" s="12" t="e">
        <f t="shared" si="1"/>
        <v>#REF!</v>
      </c>
      <c r="Q31" s="11" t="e">
        <f t="shared" si="2"/>
        <v>#REF!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'[1]2025_ΕΣΟΔΑ'!K26</f>
        <v>0</v>
      </c>
      <c r="E32" s="11" t="e">
        <f t="shared" si="3"/>
        <v>#DIV/0!</v>
      </c>
      <c r="F32" s="12" t="e">
        <f>D32+#REF!</f>
        <v>#REF!</v>
      </c>
      <c r="G32" s="11" t="e">
        <f t="shared" si="4"/>
        <v>#REF!</v>
      </c>
      <c r="H32" s="12"/>
      <c r="I32" s="11" t="e">
        <f t="shared" si="8"/>
        <v>#DIV/0!</v>
      </c>
      <c r="J32" s="12" t="e">
        <f>H32+#REF!</f>
        <v>#REF!</v>
      </c>
      <c r="K32" s="11" t="e">
        <f t="shared" si="5"/>
        <v>#REF!</v>
      </c>
      <c r="L32" s="68">
        <f>'[1]2024_60-69 ΕΞΟΔΑ+ΟΜ 2'!K138</f>
        <v>0</v>
      </c>
      <c r="M32" s="11">
        <f t="shared" si="6"/>
        <v>0</v>
      </c>
      <c r="N32" s="12" t="e">
        <f>L32+#REF!</f>
        <v>#REF!</v>
      </c>
      <c r="O32" s="11" t="e">
        <f t="shared" si="7"/>
        <v>#REF!</v>
      </c>
      <c r="P32" s="12" t="e">
        <f t="shared" si="1"/>
        <v>#REF!</v>
      </c>
      <c r="Q32" s="11" t="e">
        <f t="shared" si="2"/>
        <v>#REF!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'[1]2025_ΕΣΟΔΑ'!K27</f>
        <v>0</v>
      </c>
      <c r="E33" s="11" t="e">
        <f t="shared" si="3"/>
        <v>#DIV/0!</v>
      </c>
      <c r="F33" s="12" t="e">
        <f>D33+#REF!</f>
        <v>#REF!</v>
      </c>
      <c r="G33" s="11" t="e">
        <f t="shared" si="4"/>
        <v>#REF!</v>
      </c>
      <c r="H33" s="12"/>
      <c r="I33" s="11" t="e">
        <f t="shared" si="8"/>
        <v>#DIV/0!</v>
      </c>
      <c r="J33" s="12" t="e">
        <f>H33+#REF!</f>
        <v>#REF!</v>
      </c>
      <c r="K33" s="11" t="e">
        <f t="shared" si="5"/>
        <v>#REF!</v>
      </c>
      <c r="L33" s="68">
        <f>'[1]2024_60-69 ΕΞΟΔΑ+ΟΜ 2'!K139</f>
        <v>0</v>
      </c>
      <c r="M33" s="11">
        <f t="shared" si="6"/>
        <v>0</v>
      </c>
      <c r="N33" s="12" t="e">
        <f>L33+#REF!</f>
        <v>#REF!</v>
      </c>
      <c r="O33" s="11" t="e">
        <f t="shared" si="7"/>
        <v>#REF!</v>
      </c>
      <c r="P33" s="12" t="e">
        <f t="shared" si="1"/>
        <v>#REF!</v>
      </c>
      <c r="Q33" s="11" t="e">
        <f t="shared" si="2"/>
        <v>#REF!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'[1]2025_ΕΣΟΔΑ'!K28</f>
        <v>0</v>
      </c>
      <c r="E34" s="11" t="e">
        <f t="shared" si="3"/>
        <v>#DIV/0!</v>
      </c>
      <c r="F34" s="12" t="e">
        <f>D34+#REF!</f>
        <v>#REF!</v>
      </c>
      <c r="G34" s="11" t="e">
        <f t="shared" si="4"/>
        <v>#REF!</v>
      </c>
      <c r="H34" s="12"/>
      <c r="I34" s="11" t="e">
        <f t="shared" si="8"/>
        <v>#DIV/0!</v>
      </c>
      <c r="J34" s="12" t="e">
        <f>H34+#REF!</f>
        <v>#REF!</v>
      </c>
      <c r="K34" s="11" t="e">
        <f t="shared" si="5"/>
        <v>#REF!</v>
      </c>
      <c r="L34" s="68">
        <f>'[1]2024_60-69 ΕΞΟΔΑ+ΟΜ 2'!K140</f>
        <v>0</v>
      </c>
      <c r="M34" s="11">
        <f t="shared" si="6"/>
        <v>0</v>
      </c>
      <c r="N34" s="12" t="e">
        <f>L34+#REF!</f>
        <v>#REF!</v>
      </c>
      <c r="O34" s="11" t="e">
        <f t="shared" si="7"/>
        <v>#REF!</v>
      </c>
      <c r="P34" s="12" t="e">
        <f t="shared" si="1"/>
        <v>#REF!</v>
      </c>
      <c r="Q34" s="11" t="e">
        <f t="shared" si="2"/>
        <v>#REF!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'[1]2025_ΕΣΟΔΑ'!K29</f>
        <v>0</v>
      </c>
      <c r="E35" s="11" t="e">
        <f t="shared" si="3"/>
        <v>#DIV/0!</v>
      </c>
      <c r="F35" s="12" t="e">
        <f>D35+#REF!</f>
        <v>#REF!</v>
      </c>
      <c r="G35" s="11" t="e">
        <f t="shared" si="4"/>
        <v>#REF!</v>
      </c>
      <c r="H35" s="12"/>
      <c r="I35" s="11" t="e">
        <f t="shared" si="8"/>
        <v>#DIV/0!</v>
      </c>
      <c r="J35" s="12" t="e">
        <f>H35+#REF!</f>
        <v>#REF!</v>
      </c>
      <c r="K35" s="11" t="e">
        <f t="shared" si="5"/>
        <v>#REF!</v>
      </c>
      <c r="L35" s="68">
        <f>'[1]2024_60-69 ΕΞΟΔΑ+ΟΜ 2'!K141</f>
        <v>0</v>
      </c>
      <c r="M35" s="11">
        <f t="shared" si="6"/>
        <v>0</v>
      </c>
      <c r="N35" s="12" t="e">
        <f>L35+#REF!</f>
        <v>#REF!</v>
      </c>
      <c r="O35" s="11" t="e">
        <f t="shared" si="7"/>
        <v>#REF!</v>
      </c>
      <c r="P35" s="12" t="e">
        <f t="shared" si="1"/>
        <v>#REF!</v>
      </c>
      <c r="Q35" s="11" t="e">
        <f t="shared" si="2"/>
        <v>#REF!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'[1]2025_ΕΣΟΔΑ'!K30</f>
        <v>0</v>
      </c>
      <c r="E36" s="11" t="e">
        <f t="shared" si="3"/>
        <v>#DIV/0!</v>
      </c>
      <c r="F36" s="12" t="e">
        <f>D36+#REF!</f>
        <v>#REF!</v>
      </c>
      <c r="G36" s="11" t="e">
        <f t="shared" si="4"/>
        <v>#REF!</v>
      </c>
      <c r="H36" s="12"/>
      <c r="I36" s="11" t="e">
        <f t="shared" si="8"/>
        <v>#DIV/0!</v>
      </c>
      <c r="J36" s="12" t="e">
        <f>H36+#REF!</f>
        <v>#REF!</v>
      </c>
      <c r="K36" s="11" t="e">
        <f t="shared" si="5"/>
        <v>#REF!</v>
      </c>
      <c r="L36" s="68">
        <f>'[1]2024_60-69 ΕΞΟΔΑ+ΟΜ 2'!K142</f>
        <v>0</v>
      </c>
      <c r="M36" s="11">
        <f t="shared" si="6"/>
        <v>0</v>
      </c>
      <c r="N36" s="12" t="e">
        <f>L36+#REF!</f>
        <v>#REF!</v>
      </c>
      <c r="O36" s="11" t="e">
        <f t="shared" si="7"/>
        <v>#REF!</v>
      </c>
      <c r="P36" s="12" t="e">
        <f t="shared" si="1"/>
        <v>#REF!</v>
      </c>
      <c r="Q36" s="11" t="e">
        <f t="shared" si="2"/>
        <v>#REF!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'[1]2025_ΕΣΟΔΑ'!K31</f>
        <v>0</v>
      </c>
      <c r="E37" s="11" t="e">
        <f t="shared" si="3"/>
        <v>#DIV/0!</v>
      </c>
      <c r="F37" s="12" t="e">
        <f>D37+#REF!</f>
        <v>#REF!</v>
      </c>
      <c r="G37" s="11" t="e">
        <f t="shared" si="4"/>
        <v>#REF!</v>
      </c>
      <c r="H37" s="12"/>
      <c r="I37" s="11" t="e">
        <f t="shared" si="8"/>
        <v>#DIV/0!</v>
      </c>
      <c r="J37" s="12" t="e">
        <f>H37+#REF!</f>
        <v>#REF!</v>
      </c>
      <c r="K37" s="11" t="e">
        <f t="shared" si="5"/>
        <v>#REF!</v>
      </c>
      <c r="L37" s="68">
        <f>'[1]2024_60-69 ΕΞΟΔΑ+ΟΜ 2'!K143</f>
        <v>0</v>
      </c>
      <c r="M37" s="11">
        <f t="shared" si="6"/>
        <v>0</v>
      </c>
      <c r="N37" s="12" t="e">
        <f>L37+#REF!</f>
        <v>#REF!</v>
      </c>
      <c r="O37" s="11" t="e">
        <f t="shared" si="7"/>
        <v>#REF!</v>
      </c>
      <c r="P37" s="12" t="e">
        <f t="shared" si="1"/>
        <v>#REF!</v>
      </c>
      <c r="Q37" s="11" t="e">
        <f t="shared" si="2"/>
        <v>#REF!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'[1]2025_ΕΣΟΔΑ'!K32</f>
        <v>0</v>
      </c>
      <c r="E38" s="8"/>
      <c r="F38" s="7" t="str">
        <f>'[1]2025_ΕΣΟΔΑ'!K34</f>
        <v>Σεπτέμβριος</v>
      </c>
      <c r="G38" s="8"/>
      <c r="H38" s="7">
        <f>SUM(H8:H37)</f>
        <v>0</v>
      </c>
      <c r="I38" s="8"/>
      <c r="J38" s="7" t="e">
        <f>SUM(J8:J37)</f>
        <v>#REF!</v>
      </c>
      <c r="K38" s="8"/>
      <c r="L38" s="7">
        <f>SUM(L8:L37)</f>
        <v>77156.716902654895</v>
      </c>
      <c r="M38" s="8"/>
      <c r="N38" s="7" t="e">
        <f>SUM(N8:N37)</f>
        <v>#REF!</v>
      </c>
      <c r="O38" s="8"/>
      <c r="P38" s="7"/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0</v>
      </c>
      <c r="E39" s="8"/>
      <c r="F39" s="7" t="e">
        <f>F7-F38</f>
        <v>#REF!</v>
      </c>
      <c r="G39" s="8"/>
      <c r="H39" s="7">
        <f>H7-H38</f>
        <v>0</v>
      </c>
      <c r="I39" s="8"/>
      <c r="J39" s="7" t="e">
        <f>J7-J38</f>
        <v>#REF!</v>
      </c>
      <c r="K39" s="8"/>
      <c r="L39" s="7">
        <f>L7-L38</f>
        <v>0</v>
      </c>
      <c r="M39" s="8"/>
      <c r="N39" s="7" t="e">
        <f>N7-N38</f>
        <v>#REF!</v>
      </c>
      <c r="O39" s="8"/>
      <c r="P39" s="7"/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0" t="str">
        <f>[1]ΑΝΤΙΣΤΟΙΧΙΣΗ!$F$114</f>
        <v xml:space="preserve">ΣΕΠΤΕΜΒΡΙΟΣ ΤΡΕΧΟΝ ΕΤΟΣ </v>
      </c>
      <c r="E41" s="180"/>
      <c r="F41" s="180"/>
      <c r="G41" s="61">
        <f>[1]ΑΝΤΙΣΤΟΙΧΙΣΗ!$D$34</f>
        <v>2025</v>
      </c>
      <c r="H41" s="180" t="str">
        <f>[1]ΑΝΤΙΣΤΟΙΧΙΣΗ!$F$114</f>
        <v xml:space="preserve">ΣΕΠΤΕΜΒΡΙΟΣ ΤΡΕΧΟΝ ΕΤΟΣ </v>
      </c>
      <c r="I41" s="180"/>
      <c r="J41" s="180"/>
      <c r="K41" s="61">
        <f>[1]ΑΝΤΙΣΤΟΙΧΙΣΗ!$D$34</f>
        <v>2025</v>
      </c>
      <c r="L41" s="180" t="str">
        <f>[1]ΑΝΤΙΣΤΟΙΧΙΣΗ!$F$128</f>
        <v>ΣΕΠΤΕΜΒΡΙΟΣ ΠΡΟΗΓΟΥΜΕΝΟΥ ΕΤΟΥΣ</v>
      </c>
      <c r="M41" s="180"/>
      <c r="N41" s="180"/>
      <c r="O41" s="61">
        <f>[1]ΑΝΤΙΣΤΟΙΧΙΣΗ!$D$33</f>
        <v>2024</v>
      </c>
      <c r="P41" s="180"/>
      <c r="Q41" s="180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30.75" customHeight="1" x14ac:dyDescent="0.25">
      <c r="A43" s="60">
        <v>42</v>
      </c>
      <c r="B43" s="70" t="s">
        <v>2</v>
      </c>
      <c r="C43" s="6" t="s">
        <v>31</v>
      </c>
      <c r="D43" s="7">
        <f>SUM(D44:D77)</f>
        <v>7839.9766666666674</v>
      </c>
      <c r="E43" s="8"/>
      <c r="F43" s="7" t="e">
        <f>SUM(F44:F77)</f>
        <v>#REF!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58072.439999999995</v>
      </c>
      <c r="M43" s="8"/>
      <c r="N43" s="7" t="e">
        <f>SUM(N44:N77)</f>
        <v>#REF!</v>
      </c>
      <c r="O43" s="8"/>
      <c r="P43" s="7">
        <f>SUM(P44:P77)</f>
        <v>0</v>
      </c>
      <c r="Q43" s="8"/>
    </row>
    <row r="44" spans="1:17" ht="24.7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2'!L4</f>
        <v>0</v>
      </c>
      <c r="E44" s="15">
        <f>D44/$D$43</f>
        <v>0</v>
      </c>
      <c r="F44" s="10" t="e">
        <f>D44+#REF!</f>
        <v>#REF!</v>
      </c>
      <c r="G44" s="15" t="e">
        <f>F44/$F$43</f>
        <v>#REF!</v>
      </c>
      <c r="H44" s="14"/>
      <c r="I44" s="16" t="e">
        <f>H44/$H$43</f>
        <v>#DIV/0!</v>
      </c>
      <c r="J44" s="10"/>
      <c r="K44" s="17" t="e">
        <f>J44/$J$43</f>
        <v>#DIV/0!</v>
      </c>
      <c r="L44" s="14">
        <f>'[1]2024_60-69 ΕΞΟΔΑ+ΟΜ 2'!L4</f>
        <v>5002.6099999999997</v>
      </c>
      <c r="M44" s="15">
        <f>L44/$L$43</f>
        <v>8.6144305284916567E-2</v>
      </c>
      <c r="N44" s="10" t="e">
        <f>L44+#REF!</f>
        <v>#REF!</v>
      </c>
      <c r="O44" s="15" t="e">
        <f>N44/$N$43</f>
        <v>#REF!</v>
      </c>
      <c r="P44" s="10"/>
      <c r="Q44" s="15"/>
    </row>
    <row r="45" spans="1:17" ht="24.7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2'!L5</f>
        <v>0</v>
      </c>
      <c r="E45" s="15">
        <f t="shared" ref="E45:E77" si="9">D45/$D$43</f>
        <v>0</v>
      </c>
      <c r="F45" s="10" t="e">
        <f>D45+#REF!</f>
        <v>#REF!</v>
      </c>
      <c r="G45" s="15" t="e">
        <f t="shared" ref="G45:G77" si="10">F45/$F$43</f>
        <v>#REF!</v>
      </c>
      <c r="H45" s="14"/>
      <c r="I45" s="16" t="e">
        <f t="shared" ref="I45:I77" si="11">H45/$H$43</f>
        <v>#DIV/0!</v>
      </c>
      <c r="J45" s="10">
        <f>H45</f>
        <v>0</v>
      </c>
      <c r="K45" s="17" t="e">
        <f t="shared" ref="K45:K77" si="12">J45/$J$43</f>
        <v>#DIV/0!</v>
      </c>
      <c r="L45" s="14">
        <f>'[1]2024_60-69 ΕΞΟΔΑ+ΟΜ 2'!L5</f>
        <v>5054.9400000000014</v>
      </c>
      <c r="M45" s="15">
        <f t="shared" ref="M45:M77" si="13">L45/$L$43</f>
        <v>8.7045421201520062E-2</v>
      </c>
      <c r="N45" s="10" t="e">
        <f>L45+#REF!</f>
        <v>#REF!</v>
      </c>
      <c r="O45" s="15" t="e">
        <f t="shared" ref="O45:O77" si="14">N45/$N$43</f>
        <v>#REF!</v>
      </c>
      <c r="P45" s="10"/>
      <c r="Q45" s="15" t="e">
        <f>N45/F45</f>
        <v>#REF!</v>
      </c>
    </row>
    <row r="46" spans="1:17" ht="24.7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2'!L6</f>
        <v>0</v>
      </c>
      <c r="E46" s="15">
        <f t="shared" si="9"/>
        <v>0</v>
      </c>
      <c r="F46" s="10" t="e">
        <f>D46+#REF!</f>
        <v>#REF!</v>
      </c>
      <c r="G46" s="15" t="e">
        <f t="shared" si="10"/>
        <v>#REF!</v>
      </c>
      <c r="H46" s="14"/>
      <c r="I46" s="16" t="e">
        <f t="shared" si="11"/>
        <v>#DIV/0!</v>
      </c>
      <c r="J46" s="10">
        <f t="shared" ref="J46:J77" si="15">H46</f>
        <v>0</v>
      </c>
      <c r="K46" s="17" t="e">
        <f t="shared" si="12"/>
        <v>#DIV/0!</v>
      </c>
      <c r="L46" s="14">
        <f>'[1]2024_60-69 ΕΞΟΔΑ+ΟΜ 2'!L6</f>
        <v>1933.8</v>
      </c>
      <c r="M46" s="15">
        <f t="shared" si="13"/>
        <v>3.3299789022124784E-2</v>
      </c>
      <c r="N46" s="10" t="e">
        <f>L46+#REF!</f>
        <v>#REF!</v>
      </c>
      <c r="O46" s="15" t="e">
        <f t="shared" si="14"/>
        <v>#REF!</v>
      </c>
      <c r="P46" s="10"/>
      <c r="Q46" s="15" t="e">
        <f t="shared" ref="Q46:Q75" si="16">N46/F46</f>
        <v>#REF!</v>
      </c>
    </row>
    <row r="47" spans="1:17" ht="41.25" customHeight="1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2'!L37</f>
        <v>0</v>
      </c>
      <c r="E47" s="15" t="e">
        <f ca="1">D47/$D$84</f>
        <v>#DIV/0!</v>
      </c>
      <c r="F47" s="79" t="e">
        <f>D47+#REF!</f>
        <v>#REF!</v>
      </c>
      <c r="G47" s="15" t="e">
        <f>F47/$F$84</f>
        <v>#REF!</v>
      </c>
      <c r="H47" s="14"/>
      <c r="I47" s="26" t="e">
        <f ca="1">H47/$H$84</f>
        <v>#DIV/0!</v>
      </c>
      <c r="J47" s="27"/>
      <c r="K47" s="27" t="e">
        <f>J47/$J$84</f>
        <v>#REF!</v>
      </c>
      <c r="L47" s="79">
        <f>'[1]2024_60-69 ΕΞΟΔΑ+ΟΜ 2'!L35</f>
        <v>1739.8</v>
      </c>
      <c r="M47" s="15">
        <f ca="1">L47/$L$84</f>
        <v>0.22201209466969352</v>
      </c>
      <c r="N47" s="10" t="e">
        <f>L47+#REF!</f>
        <v>#REF!</v>
      </c>
      <c r="O47" s="15" t="e">
        <f>N47/$N$84</f>
        <v>#REF!</v>
      </c>
      <c r="P47" s="27"/>
      <c r="Q47" s="28" t="e">
        <f ca="1">SUM(Q48:Q106)</f>
        <v>#DIV/0!</v>
      </c>
    </row>
    <row r="48" spans="1:17" ht="41.25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2'!L38</f>
        <v>0</v>
      </c>
      <c r="E48" s="15" t="e">
        <f ca="1">D48/$D$84</f>
        <v>#DIV/0!</v>
      </c>
      <c r="F48" s="79" t="e">
        <f>D48+#REF!</f>
        <v>#REF!</v>
      </c>
      <c r="G48" s="15" t="e">
        <f>F48/$F$84</f>
        <v>#REF!</v>
      </c>
      <c r="H48" s="14"/>
      <c r="I48" s="26" t="e">
        <f ca="1">H48/$H$84</f>
        <v>#DIV/0!</v>
      </c>
      <c r="J48" s="27"/>
      <c r="K48" s="27" t="e">
        <f>J48/$J$84</f>
        <v>#REF!</v>
      </c>
      <c r="L48" s="79">
        <f>'[1]2024_60-69 ΕΞΟΔΑ+ΟΜ 2'!L36</f>
        <v>1756.79</v>
      </c>
      <c r="M48" s="15">
        <f ca="1">L48/$L$84</f>
        <v>0.22418015162361815</v>
      </c>
      <c r="N48" s="10" t="e">
        <f>L48+#REF!</f>
        <v>#REF!</v>
      </c>
      <c r="O48" s="15" t="e">
        <f>N48/$N$84</f>
        <v>#REF!</v>
      </c>
      <c r="P48" s="27"/>
      <c r="Q48" s="28" t="e">
        <f ca="1">SUM(D48:P48)</f>
        <v>#DIV/0!</v>
      </c>
    </row>
    <row r="49" spans="1:17" ht="24.75" customHeight="1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2'!L7</f>
        <v>0</v>
      </c>
      <c r="E49" s="15">
        <f t="shared" si="9"/>
        <v>0</v>
      </c>
      <c r="F49" s="10" t="e">
        <f>D49+#REF!</f>
        <v>#REF!</v>
      </c>
      <c r="G49" s="15" t="e">
        <f t="shared" si="10"/>
        <v>#REF!</v>
      </c>
      <c r="H49" s="14"/>
      <c r="I49" s="16" t="e">
        <f t="shared" si="11"/>
        <v>#DIV/0!</v>
      </c>
      <c r="J49" s="10">
        <f t="shared" si="15"/>
        <v>0</v>
      </c>
      <c r="K49" s="17" t="e">
        <f t="shared" si="12"/>
        <v>#DIV/0!</v>
      </c>
      <c r="L49" s="14">
        <f>'[1]2024_60-69 ΕΞΟΔΑ+ΟΜ 2'!L7</f>
        <v>1156.06</v>
      </c>
      <c r="M49" s="15">
        <f t="shared" si="13"/>
        <v>1.990720555223786E-2</v>
      </c>
      <c r="N49" s="10" t="e">
        <f>L49+#REF!</f>
        <v>#REF!</v>
      </c>
      <c r="O49" s="15" t="e">
        <f t="shared" si="14"/>
        <v>#REF!</v>
      </c>
      <c r="P49" s="10"/>
      <c r="Q49" s="15" t="e">
        <f t="shared" si="16"/>
        <v>#REF!</v>
      </c>
    </row>
    <row r="50" spans="1:17" ht="24.75" customHeight="1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2'!L8</f>
        <v>0</v>
      </c>
      <c r="E50" s="15">
        <f t="shared" si="9"/>
        <v>0</v>
      </c>
      <c r="F50" s="10" t="e">
        <f>D50+#REF!</f>
        <v>#REF!</v>
      </c>
      <c r="G50" s="15" t="e">
        <f t="shared" si="10"/>
        <v>#REF!</v>
      </c>
      <c r="H50" s="14"/>
      <c r="I50" s="16" t="e">
        <f t="shared" si="11"/>
        <v>#DIV/0!</v>
      </c>
      <c r="J50" s="10">
        <f t="shared" si="15"/>
        <v>0</v>
      </c>
      <c r="K50" s="17" t="e">
        <f t="shared" si="12"/>
        <v>#DIV/0!</v>
      </c>
      <c r="L50" s="14">
        <f>'[1]2024_60-69 ΕΞΟΔΑ+ΟΜ 2'!L8</f>
        <v>1005.93</v>
      </c>
      <c r="M50" s="15">
        <f t="shared" si="13"/>
        <v>1.73219861262933E-2</v>
      </c>
      <c r="N50" s="10" t="e">
        <f>L50+#REF!</f>
        <v>#REF!</v>
      </c>
      <c r="O50" s="15" t="e">
        <f t="shared" si="14"/>
        <v>#REF!</v>
      </c>
      <c r="P50" s="10"/>
      <c r="Q50" s="15" t="e">
        <f t="shared" si="16"/>
        <v>#REF!</v>
      </c>
    </row>
    <row r="51" spans="1:17" ht="24.75" customHeight="1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2'!L9</f>
        <v>0</v>
      </c>
      <c r="E51" s="15">
        <f t="shared" si="9"/>
        <v>0</v>
      </c>
      <c r="F51" s="10" t="e">
        <f>D51+#REF!</f>
        <v>#REF!</v>
      </c>
      <c r="G51" s="15" t="e">
        <f t="shared" si="10"/>
        <v>#REF!</v>
      </c>
      <c r="H51" s="14"/>
      <c r="I51" s="16" t="e">
        <f t="shared" si="11"/>
        <v>#DIV/0!</v>
      </c>
      <c r="J51" s="10">
        <f t="shared" si="15"/>
        <v>0</v>
      </c>
      <c r="K51" s="17" t="e">
        <f t="shared" si="12"/>
        <v>#DIV/0!</v>
      </c>
      <c r="L51" s="14">
        <f>'[1]2024_60-69 ΕΞΟΔΑ+ΟΜ 2'!L9</f>
        <v>484.86</v>
      </c>
      <c r="M51" s="15">
        <f t="shared" si="13"/>
        <v>8.3492272754511435E-3</v>
      </c>
      <c r="N51" s="10" t="e">
        <f>L51+#REF!</f>
        <v>#REF!</v>
      </c>
      <c r="O51" s="15" t="e">
        <f t="shared" si="14"/>
        <v>#REF!</v>
      </c>
      <c r="P51" s="10"/>
      <c r="Q51" s="15" t="e">
        <f t="shared" si="16"/>
        <v>#REF!</v>
      </c>
    </row>
    <row r="52" spans="1:17" ht="41.25" customHeight="1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2'!L41</f>
        <v>0</v>
      </c>
      <c r="E52" s="15" t="e">
        <f ca="1">D52/$D$84</f>
        <v>#DIV/0!</v>
      </c>
      <c r="F52" s="79" t="e">
        <f>D52+#REF!</f>
        <v>#REF!</v>
      </c>
      <c r="G52" s="15" t="e">
        <f>F52/$F$84</f>
        <v>#REF!</v>
      </c>
      <c r="H52" s="14"/>
      <c r="I52" s="26" t="e">
        <f ca="1">H52/$H$84</f>
        <v>#DIV/0!</v>
      </c>
      <c r="J52" s="27"/>
      <c r="K52" s="27" t="e">
        <f>J52/$J$84</f>
        <v>#REF!</v>
      </c>
      <c r="L52" s="79">
        <f>'[1]2024_60-69 ΕΞΟΔΑ+ΟΜ 2'!L39</f>
        <v>365.51</v>
      </c>
      <c r="M52" s="15">
        <f ca="1">L52/$L$84</f>
        <v>4.6641936270099826E-2</v>
      </c>
      <c r="N52" s="10" t="e">
        <f>L52+#REF!</f>
        <v>#REF!</v>
      </c>
      <c r="O52" s="15" t="e">
        <f>N52/$N$84</f>
        <v>#REF!</v>
      </c>
      <c r="P52" s="27"/>
      <c r="Q52" s="28" t="e">
        <f ca="1">SUM(D52:P52)</f>
        <v>#DIV/0!</v>
      </c>
    </row>
    <row r="53" spans="1:17" ht="41.25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2'!L42</f>
        <v>0</v>
      </c>
      <c r="E53" s="15" t="e">
        <f ca="1">D53/$D$84</f>
        <v>#DIV/0!</v>
      </c>
      <c r="F53" s="79" t="e">
        <f>D53+#REF!</f>
        <v>#REF!</v>
      </c>
      <c r="G53" s="15" t="e">
        <f>F53/$F$84</f>
        <v>#REF!</v>
      </c>
      <c r="H53" s="14"/>
      <c r="I53" s="26" t="e">
        <f ca="1">H53/$H$84</f>
        <v>#DIV/0!</v>
      </c>
      <c r="J53" s="27"/>
      <c r="K53" s="27" t="e">
        <f>J53/$J$84</f>
        <v>#REF!</v>
      </c>
      <c r="L53" s="79">
        <f>'[1]2024_60-69 ΕΞΟΔΑ+ΟΜ 2'!L40</f>
        <v>369.3</v>
      </c>
      <c r="M53" s="15">
        <f ca="1">L53/$L$84</f>
        <v>4.7125569928450295E-2</v>
      </c>
      <c r="N53" s="10" t="e">
        <f>L53+#REF!</f>
        <v>#REF!</v>
      </c>
      <c r="O53" s="15" t="e">
        <f>N53/$N$84</f>
        <v>#REF!</v>
      </c>
      <c r="P53" s="27"/>
      <c r="Q53" s="28" t="e">
        <f ca="1">SUM(D53:P53)</f>
        <v>#DIV/0!</v>
      </c>
    </row>
    <row r="54" spans="1:17" ht="24.75" customHeight="1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2'!L10</f>
        <v>0</v>
      </c>
      <c r="E54" s="15">
        <f t="shared" si="9"/>
        <v>0</v>
      </c>
      <c r="F54" s="10" t="e">
        <f>D54+#REF!</f>
        <v>#REF!</v>
      </c>
      <c r="G54" s="15" t="e">
        <f t="shared" si="10"/>
        <v>#REF!</v>
      </c>
      <c r="H54" s="14"/>
      <c r="I54" s="16" t="e">
        <f t="shared" si="11"/>
        <v>#DIV/0!</v>
      </c>
      <c r="J54" s="10">
        <f t="shared" si="15"/>
        <v>0</v>
      </c>
      <c r="K54" s="17" t="e">
        <f t="shared" si="12"/>
        <v>#DIV/0!</v>
      </c>
      <c r="L54" s="14">
        <f>'[1]2024_60-69 ΕΞΟΔΑ+ΟΜ 2'!L10</f>
        <v>9799.739999999998</v>
      </c>
      <c r="M54" s="15">
        <f t="shared" si="13"/>
        <v>0.16875027121298844</v>
      </c>
      <c r="N54" s="10" t="e">
        <f>L54+#REF!</f>
        <v>#REF!</v>
      </c>
      <c r="O54" s="15" t="e">
        <f t="shared" si="14"/>
        <v>#REF!</v>
      </c>
      <c r="P54" s="10"/>
      <c r="Q54" s="15" t="e">
        <f t="shared" si="16"/>
        <v>#REF!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2'!L11</f>
        <v>0</v>
      </c>
      <c r="E55" s="15">
        <f t="shared" si="9"/>
        <v>0</v>
      </c>
      <c r="F55" s="10" t="e">
        <f>D55+#REF!</f>
        <v>#REF!</v>
      </c>
      <c r="G55" s="15" t="e">
        <f t="shared" si="10"/>
        <v>#REF!</v>
      </c>
      <c r="H55" s="14"/>
      <c r="I55" s="16" t="e">
        <f t="shared" si="11"/>
        <v>#DIV/0!</v>
      </c>
      <c r="J55" s="10">
        <f t="shared" si="15"/>
        <v>0</v>
      </c>
      <c r="K55" s="17" t="e">
        <f t="shared" si="12"/>
        <v>#DIV/0!</v>
      </c>
      <c r="L55" s="14">
        <f>'[1]2024_60-69 ΕΞΟΔΑ+ΟΜ 2'!L11</f>
        <v>0</v>
      </c>
      <c r="M55" s="15">
        <f t="shared" si="13"/>
        <v>0</v>
      </c>
      <c r="N55" s="10" t="e">
        <f>L55+#REF!</f>
        <v>#REF!</v>
      </c>
      <c r="O55" s="15" t="e">
        <f t="shared" si="14"/>
        <v>#REF!</v>
      </c>
      <c r="P55" s="10"/>
      <c r="Q55" s="15" t="e">
        <f t="shared" si="16"/>
        <v>#REF!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2'!L12</f>
        <v>0</v>
      </c>
      <c r="E56" s="15">
        <f t="shared" si="9"/>
        <v>0</v>
      </c>
      <c r="F56" s="10" t="e">
        <f>D56+#REF!</f>
        <v>#REF!</v>
      </c>
      <c r="G56" s="15" t="e">
        <f t="shared" si="10"/>
        <v>#REF!</v>
      </c>
      <c r="H56" s="14"/>
      <c r="I56" s="16" t="e">
        <f t="shared" si="11"/>
        <v>#DIV/0!</v>
      </c>
      <c r="J56" s="10">
        <f t="shared" si="15"/>
        <v>0</v>
      </c>
      <c r="K56" s="17" t="e">
        <f t="shared" si="12"/>
        <v>#DIV/0!</v>
      </c>
      <c r="L56" s="14">
        <f>'[1]2024_60-69 ΕΞΟΔΑ+ΟΜ 2'!L12</f>
        <v>328.35</v>
      </c>
      <c r="M56" s="15">
        <f t="shared" si="13"/>
        <v>5.6541450643368876E-3</v>
      </c>
      <c r="N56" s="10" t="e">
        <f>L56+#REF!</f>
        <v>#REF!</v>
      </c>
      <c r="O56" s="15" t="e">
        <f t="shared" si="14"/>
        <v>#REF!</v>
      </c>
      <c r="P56" s="10"/>
      <c r="Q56" s="15" t="e">
        <f t="shared" si="16"/>
        <v>#REF!</v>
      </c>
    </row>
    <row r="57" spans="1:17" ht="15" customHeight="1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2'!L13</f>
        <v>0</v>
      </c>
      <c r="E57" s="15">
        <f t="shared" si="9"/>
        <v>0</v>
      </c>
      <c r="F57" s="10" t="e">
        <f>D57+#REF!</f>
        <v>#REF!</v>
      </c>
      <c r="G57" s="15" t="e">
        <f t="shared" si="10"/>
        <v>#REF!</v>
      </c>
      <c r="H57" s="14"/>
      <c r="I57" s="16" t="e">
        <f t="shared" si="11"/>
        <v>#DIV/0!</v>
      </c>
      <c r="J57" s="10">
        <f t="shared" si="15"/>
        <v>0</v>
      </c>
      <c r="K57" s="17" t="e">
        <f t="shared" si="12"/>
        <v>#DIV/0!</v>
      </c>
      <c r="L57" s="14">
        <f>'[1]2024_60-69 ΕΞΟΔΑ+ΟΜ 2'!L13</f>
        <v>865.06</v>
      </c>
      <c r="M57" s="15">
        <f t="shared" si="13"/>
        <v>1.4896222717695348E-2</v>
      </c>
      <c r="N57" s="10" t="e">
        <f>L57+#REF!</f>
        <v>#REF!</v>
      </c>
      <c r="O57" s="15" t="e">
        <f t="shared" si="14"/>
        <v>#REF!</v>
      </c>
      <c r="P57" s="10"/>
      <c r="Q57" s="15" t="e">
        <f t="shared" si="16"/>
        <v>#REF!</v>
      </c>
    </row>
    <row r="58" spans="1:17" ht="15" customHeight="1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2'!L14</f>
        <v>0</v>
      </c>
      <c r="E58" s="15">
        <f t="shared" si="9"/>
        <v>0</v>
      </c>
      <c r="F58" s="10" t="e">
        <f>D58+#REF!</f>
        <v>#REF!</v>
      </c>
      <c r="G58" s="15" t="e">
        <f t="shared" si="10"/>
        <v>#REF!</v>
      </c>
      <c r="H58" s="14"/>
      <c r="I58" s="16" t="e">
        <f t="shared" si="11"/>
        <v>#DIV/0!</v>
      </c>
      <c r="J58" s="10">
        <f t="shared" si="15"/>
        <v>0</v>
      </c>
      <c r="K58" s="17" t="e">
        <f t="shared" si="12"/>
        <v>#DIV/0!</v>
      </c>
      <c r="L58" s="14">
        <f>'[1]2024_60-69 ΕΞΟΔΑ+ΟΜ 2'!L14</f>
        <v>2343.33</v>
      </c>
      <c r="M58" s="15">
        <f t="shared" si="13"/>
        <v>4.0351843318448481E-2</v>
      </c>
      <c r="N58" s="10" t="e">
        <f>L58+#REF!</f>
        <v>#REF!</v>
      </c>
      <c r="O58" s="15" t="e">
        <f t="shared" si="14"/>
        <v>#REF!</v>
      </c>
      <c r="P58" s="10"/>
      <c r="Q58" s="15" t="e">
        <f t="shared" si="16"/>
        <v>#REF!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2'!L15</f>
        <v>0</v>
      </c>
      <c r="E59" s="15">
        <f t="shared" si="9"/>
        <v>0</v>
      </c>
      <c r="F59" s="10" t="e">
        <f>D59+#REF!</f>
        <v>#REF!</v>
      </c>
      <c r="G59" s="15" t="e">
        <f t="shared" si="10"/>
        <v>#REF!</v>
      </c>
      <c r="H59" s="14"/>
      <c r="I59" s="16" t="e">
        <f t="shared" si="11"/>
        <v>#DIV/0!</v>
      </c>
      <c r="J59" s="10">
        <f t="shared" si="15"/>
        <v>0</v>
      </c>
      <c r="K59" s="17" t="e">
        <f t="shared" si="12"/>
        <v>#DIV/0!</v>
      </c>
      <c r="L59" s="14">
        <f>'[1]2024_60-69 ΕΞΟΔΑ+ΟΜ 2'!L15</f>
        <v>0</v>
      </c>
      <c r="M59" s="15">
        <f t="shared" si="13"/>
        <v>0</v>
      </c>
      <c r="N59" s="10" t="e">
        <f>L59+#REF!</f>
        <v>#REF!</v>
      </c>
      <c r="O59" s="15" t="e">
        <f t="shared" si="14"/>
        <v>#REF!</v>
      </c>
      <c r="P59" s="10"/>
      <c r="Q59" s="15" t="e">
        <f t="shared" si="16"/>
        <v>#REF!</v>
      </c>
    </row>
    <row r="60" spans="1:17" ht="15" customHeight="1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2'!L16</f>
        <v>0</v>
      </c>
      <c r="E60" s="15">
        <f t="shared" si="9"/>
        <v>0</v>
      </c>
      <c r="F60" s="10" t="e">
        <f>D60+#REF!</f>
        <v>#REF!</v>
      </c>
      <c r="G60" s="15" t="e">
        <f t="shared" si="10"/>
        <v>#REF!</v>
      </c>
      <c r="H60" s="14"/>
      <c r="I60" s="16" t="e">
        <f t="shared" si="11"/>
        <v>#DIV/0!</v>
      </c>
      <c r="J60" s="10"/>
      <c r="K60" s="17" t="e">
        <f t="shared" si="12"/>
        <v>#DIV/0!</v>
      </c>
      <c r="L60" s="14">
        <f>'[1]2024_60-69 ΕΞΟΔΑ+ΟΜ 2'!L16</f>
        <v>360.39</v>
      </c>
      <c r="M60" s="15">
        <f t="shared" si="13"/>
        <v>6.2058697723050733E-3</v>
      </c>
      <c r="N60" s="10" t="e">
        <f>L60+#REF!</f>
        <v>#REF!</v>
      </c>
      <c r="O60" s="15" t="e">
        <f t="shared" si="14"/>
        <v>#REF!</v>
      </c>
      <c r="P60" s="10"/>
      <c r="Q60" s="15"/>
    </row>
    <row r="61" spans="1:17" ht="42.75" customHeight="1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2'!L17</f>
        <v>0</v>
      </c>
      <c r="E61" s="15">
        <f t="shared" si="9"/>
        <v>0</v>
      </c>
      <c r="F61" s="10" t="e">
        <f>D61+#REF!</f>
        <v>#REF!</v>
      </c>
      <c r="G61" s="15" t="e">
        <f t="shared" si="10"/>
        <v>#REF!</v>
      </c>
      <c r="H61" s="14"/>
      <c r="I61" s="16" t="e">
        <f t="shared" si="11"/>
        <v>#DIV/0!</v>
      </c>
      <c r="J61" s="10">
        <f t="shared" si="15"/>
        <v>0</v>
      </c>
      <c r="K61" s="17" t="e">
        <f t="shared" si="12"/>
        <v>#DIV/0!</v>
      </c>
      <c r="L61" s="14">
        <f>'[1]2024_60-69 ΕΞΟΔΑ+ΟΜ 2'!L17</f>
        <v>0</v>
      </c>
      <c r="M61" s="15">
        <f t="shared" si="13"/>
        <v>0</v>
      </c>
      <c r="N61" s="10" t="e">
        <f>L61+#REF!</f>
        <v>#REF!</v>
      </c>
      <c r="O61" s="15" t="e">
        <f t="shared" si="14"/>
        <v>#REF!</v>
      </c>
      <c r="P61" s="10"/>
      <c r="Q61" s="15" t="e">
        <f t="shared" si="16"/>
        <v>#REF!</v>
      </c>
    </row>
    <row r="62" spans="1:17" ht="42.75" customHeight="1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2'!L18</f>
        <v>0</v>
      </c>
      <c r="E62" s="15">
        <f t="shared" si="9"/>
        <v>0</v>
      </c>
      <c r="F62" s="10" t="e">
        <f>D62+#REF!</f>
        <v>#REF!</v>
      </c>
      <c r="G62" s="15" t="e">
        <f t="shared" si="10"/>
        <v>#REF!</v>
      </c>
      <c r="H62" s="14"/>
      <c r="I62" s="16" t="e">
        <f t="shared" si="11"/>
        <v>#DIV/0!</v>
      </c>
      <c r="J62" s="10">
        <f t="shared" si="15"/>
        <v>0</v>
      </c>
      <c r="K62" s="17" t="e">
        <f t="shared" si="12"/>
        <v>#DIV/0!</v>
      </c>
      <c r="L62" s="14">
        <f>'[1]2024_60-69 ΕΞΟΔΑ+ΟΜ 2'!L18</f>
        <v>0</v>
      </c>
      <c r="M62" s="15">
        <f t="shared" si="13"/>
        <v>0</v>
      </c>
      <c r="N62" s="10" t="e">
        <f>L62+#REF!</f>
        <v>#REF!</v>
      </c>
      <c r="O62" s="15" t="e">
        <f t="shared" si="14"/>
        <v>#REF!</v>
      </c>
      <c r="P62" s="10"/>
      <c r="Q62" s="15" t="e">
        <f t="shared" si="16"/>
        <v>#REF!</v>
      </c>
    </row>
    <row r="63" spans="1:17" ht="15" customHeight="1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2'!L19</f>
        <v>0</v>
      </c>
      <c r="E63" s="15">
        <f t="shared" si="9"/>
        <v>0</v>
      </c>
      <c r="F63" s="10" t="e">
        <f>D63+#REF!</f>
        <v>#REF!</v>
      </c>
      <c r="G63" s="15" t="e">
        <f t="shared" si="10"/>
        <v>#REF!</v>
      </c>
      <c r="H63" s="14"/>
      <c r="I63" s="16" t="e">
        <f t="shared" si="11"/>
        <v>#DIV/0!</v>
      </c>
      <c r="J63" s="10">
        <f t="shared" si="15"/>
        <v>0</v>
      </c>
      <c r="K63" s="17" t="e">
        <f t="shared" si="12"/>
        <v>#DIV/0!</v>
      </c>
      <c r="L63" s="14">
        <f>'[1]2024_60-69 ΕΞΟΔΑ+ΟΜ 2'!L19</f>
        <v>0</v>
      </c>
      <c r="M63" s="15">
        <f t="shared" si="13"/>
        <v>0</v>
      </c>
      <c r="N63" s="10" t="e">
        <f>L63+#REF!</f>
        <v>#REF!</v>
      </c>
      <c r="O63" s="15" t="e">
        <f t="shared" si="14"/>
        <v>#REF!</v>
      </c>
      <c r="P63" s="10"/>
      <c r="Q63" s="15" t="e">
        <f t="shared" si="16"/>
        <v>#REF!</v>
      </c>
    </row>
    <row r="64" spans="1:17" ht="42.75" customHeight="1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2'!L20</f>
        <v>0</v>
      </c>
      <c r="E64" s="15">
        <f t="shared" si="9"/>
        <v>0</v>
      </c>
      <c r="F64" s="10" t="e">
        <f>D64+#REF!</f>
        <v>#REF!</v>
      </c>
      <c r="G64" s="15" t="e">
        <f t="shared" si="10"/>
        <v>#REF!</v>
      </c>
      <c r="H64" s="14"/>
      <c r="I64" s="16" t="e">
        <f t="shared" si="11"/>
        <v>#DIV/0!</v>
      </c>
      <c r="J64" s="10">
        <f t="shared" si="15"/>
        <v>0</v>
      </c>
      <c r="K64" s="17" t="e">
        <f t="shared" si="12"/>
        <v>#DIV/0!</v>
      </c>
      <c r="L64" s="14">
        <f>'[1]2024_60-69 ΕΞΟΔΑ+ΟΜ 2'!L20</f>
        <v>0</v>
      </c>
      <c r="M64" s="15">
        <f t="shared" si="13"/>
        <v>0</v>
      </c>
      <c r="N64" s="10" t="e">
        <f>L64+#REF!</f>
        <v>#REF!</v>
      </c>
      <c r="O64" s="15" t="e">
        <f t="shared" si="14"/>
        <v>#REF!</v>
      </c>
      <c r="P64" s="10"/>
      <c r="Q64" s="15" t="e">
        <f t="shared" si="16"/>
        <v>#REF!</v>
      </c>
    </row>
    <row r="65" spans="1:17" ht="28.5" customHeight="1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2'!L21</f>
        <v>0</v>
      </c>
      <c r="E65" s="15">
        <f t="shared" si="9"/>
        <v>0</v>
      </c>
      <c r="F65" s="10" t="e">
        <f>D65+#REF!</f>
        <v>#REF!</v>
      </c>
      <c r="G65" s="15" t="e">
        <f t="shared" si="10"/>
        <v>#REF!</v>
      </c>
      <c r="H65" s="14"/>
      <c r="I65" s="16" t="e">
        <f t="shared" si="11"/>
        <v>#DIV/0!</v>
      </c>
      <c r="J65" s="10">
        <f t="shared" si="15"/>
        <v>0</v>
      </c>
      <c r="K65" s="17" t="e">
        <f t="shared" si="12"/>
        <v>#DIV/0!</v>
      </c>
      <c r="L65" s="14">
        <f>'[1]2024_60-69 ΕΞΟΔΑ+ΟΜ 2'!L21</f>
        <v>9.35</v>
      </c>
      <c r="M65" s="15">
        <f t="shared" si="13"/>
        <v>1.6100580585213918E-4</v>
      </c>
      <c r="N65" s="10" t="e">
        <f>L65+#REF!</f>
        <v>#REF!</v>
      </c>
      <c r="O65" s="15" t="e">
        <f t="shared" si="14"/>
        <v>#REF!</v>
      </c>
      <c r="P65" s="10"/>
      <c r="Q65" s="15" t="e">
        <f t="shared" si="16"/>
        <v>#REF!</v>
      </c>
    </row>
    <row r="66" spans="1:17" ht="15" customHeight="1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2'!L22</f>
        <v>0</v>
      </c>
      <c r="E66" s="15">
        <f t="shared" si="9"/>
        <v>0</v>
      </c>
      <c r="F66" s="10" t="e">
        <f>D66+#REF!</f>
        <v>#REF!</v>
      </c>
      <c r="G66" s="15" t="e">
        <f t="shared" si="10"/>
        <v>#REF!</v>
      </c>
      <c r="H66" s="14"/>
      <c r="I66" s="16" t="e">
        <f t="shared" si="11"/>
        <v>#DIV/0!</v>
      </c>
      <c r="J66" s="10">
        <f t="shared" si="15"/>
        <v>0</v>
      </c>
      <c r="K66" s="17" t="e">
        <f t="shared" si="12"/>
        <v>#DIV/0!</v>
      </c>
      <c r="L66" s="14">
        <f>'[1]2024_60-69 ΕΞΟΔΑ+ΟΜ 2'!L22</f>
        <v>0</v>
      </c>
      <c r="M66" s="15">
        <f t="shared" si="13"/>
        <v>0</v>
      </c>
      <c r="N66" s="10" t="e">
        <f>L66+#REF!</f>
        <v>#REF!</v>
      </c>
      <c r="O66" s="15" t="e">
        <f t="shared" si="14"/>
        <v>#REF!</v>
      </c>
      <c r="P66" s="10"/>
      <c r="Q66" s="15" t="e">
        <f t="shared" si="16"/>
        <v>#REF!</v>
      </c>
    </row>
    <row r="67" spans="1:17" ht="22.5" customHeight="1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2'!L23</f>
        <v>0</v>
      </c>
      <c r="E67" s="15">
        <f t="shared" si="9"/>
        <v>0</v>
      </c>
      <c r="F67" s="10" t="e">
        <f>D67+#REF!</f>
        <v>#REF!</v>
      </c>
      <c r="G67" s="15" t="e">
        <f t="shared" si="10"/>
        <v>#REF!</v>
      </c>
      <c r="H67" s="14"/>
      <c r="I67" s="16" t="e">
        <f t="shared" si="11"/>
        <v>#DIV/0!</v>
      </c>
      <c r="J67" s="10">
        <f t="shared" si="15"/>
        <v>0</v>
      </c>
      <c r="K67" s="17" t="e">
        <f t="shared" si="12"/>
        <v>#DIV/0!</v>
      </c>
      <c r="L67" s="14">
        <f>'[1]2024_60-69 ΕΞΟΔΑ+ΟΜ 2'!L23</f>
        <v>37.83</v>
      </c>
      <c r="M67" s="15">
        <f t="shared" si="13"/>
        <v>6.5142776849052664E-4</v>
      </c>
      <c r="N67" s="10" t="e">
        <f>L67+#REF!</f>
        <v>#REF!</v>
      </c>
      <c r="O67" s="15" t="e">
        <f t="shared" si="14"/>
        <v>#REF!</v>
      </c>
      <c r="P67" s="10"/>
      <c r="Q67" s="15" t="e">
        <f t="shared" si="16"/>
        <v>#REF!</v>
      </c>
    </row>
    <row r="68" spans="1:17" ht="36" customHeight="1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2'!L24</f>
        <v>0</v>
      </c>
      <c r="E68" s="15">
        <f t="shared" si="9"/>
        <v>0</v>
      </c>
      <c r="F68" s="10" t="e">
        <f>D68+#REF!</f>
        <v>#REF!</v>
      </c>
      <c r="G68" s="15" t="e">
        <f t="shared" si="10"/>
        <v>#REF!</v>
      </c>
      <c r="H68" s="14"/>
      <c r="I68" s="16" t="e">
        <f t="shared" si="11"/>
        <v>#DIV/0!</v>
      </c>
      <c r="J68" s="10">
        <f t="shared" si="15"/>
        <v>0</v>
      </c>
      <c r="K68" s="17" t="e">
        <f t="shared" si="12"/>
        <v>#DIV/0!</v>
      </c>
      <c r="L68" s="14">
        <f>'[1]2024_60-69 ΕΞΟΔΑ+ΟΜ 2'!L24</f>
        <v>8795.36</v>
      </c>
      <c r="M68" s="15">
        <f t="shared" si="13"/>
        <v>0.15145497588873486</v>
      </c>
      <c r="N68" s="10" t="e">
        <f>L68+#REF!</f>
        <v>#REF!</v>
      </c>
      <c r="O68" s="15" t="e">
        <f t="shared" si="14"/>
        <v>#REF!</v>
      </c>
      <c r="P68" s="10"/>
      <c r="Q68" s="15" t="e">
        <f t="shared" si="16"/>
        <v>#REF!</v>
      </c>
    </row>
    <row r="69" spans="1:17" ht="36" customHeight="1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2'!L25</f>
        <v>0</v>
      </c>
      <c r="E69" s="15">
        <f t="shared" si="9"/>
        <v>0</v>
      </c>
      <c r="F69" s="10" t="e">
        <f>D69+#REF!</f>
        <v>#REF!</v>
      </c>
      <c r="G69" s="15" t="e">
        <f t="shared" si="10"/>
        <v>#REF!</v>
      </c>
      <c r="H69" s="14"/>
      <c r="I69" s="16" t="e">
        <f t="shared" si="11"/>
        <v>#DIV/0!</v>
      </c>
      <c r="J69" s="10">
        <f t="shared" si="15"/>
        <v>0</v>
      </c>
      <c r="K69" s="17" t="e">
        <f t="shared" si="12"/>
        <v>#DIV/0!</v>
      </c>
      <c r="L69" s="14">
        <f>'[1]2024_60-69 ΕΞΟΔΑ+ΟΜ 2'!L25</f>
        <v>-21.24</v>
      </c>
      <c r="M69" s="15">
        <f t="shared" si="13"/>
        <v>-3.6575008730475248E-4</v>
      </c>
      <c r="N69" s="10" t="e">
        <f>L69+#REF!</f>
        <v>#REF!</v>
      </c>
      <c r="O69" s="15" t="e">
        <f t="shared" si="14"/>
        <v>#REF!</v>
      </c>
      <c r="P69" s="10"/>
      <c r="Q69" s="15" t="e">
        <f t="shared" si="16"/>
        <v>#REF!</v>
      </c>
    </row>
    <row r="70" spans="1:17" ht="36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2'!L26</f>
        <v>0</v>
      </c>
      <c r="E70" s="15">
        <f t="shared" si="9"/>
        <v>0</v>
      </c>
      <c r="F70" s="10" t="e">
        <f>D70+#REF!</f>
        <v>#REF!</v>
      </c>
      <c r="G70" s="15" t="e">
        <f t="shared" si="10"/>
        <v>#REF!</v>
      </c>
      <c r="H70" s="14"/>
      <c r="I70" s="16" t="e">
        <f t="shared" si="11"/>
        <v>#DIV/0!</v>
      </c>
      <c r="J70" s="10">
        <f t="shared" si="15"/>
        <v>0</v>
      </c>
      <c r="K70" s="17" t="e">
        <f t="shared" si="12"/>
        <v>#DIV/0!</v>
      </c>
      <c r="L70" s="14">
        <f>'[1]2024_60-69 ΕΞΟΔΑ+ΟΜ 2'!L26</f>
        <v>0</v>
      </c>
      <c r="M70" s="15">
        <f t="shared" si="13"/>
        <v>0</v>
      </c>
      <c r="N70" s="10" t="e">
        <f>L70+#REF!</f>
        <v>#REF!</v>
      </c>
      <c r="O70" s="15" t="e">
        <f t="shared" si="14"/>
        <v>#REF!</v>
      </c>
      <c r="P70" s="10"/>
      <c r="Q70" s="15" t="e">
        <f t="shared" si="16"/>
        <v>#REF!</v>
      </c>
    </row>
    <row r="71" spans="1:17" ht="15.75" customHeight="1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2'!L27</f>
        <v>0</v>
      </c>
      <c r="E71" s="15">
        <f t="shared" si="9"/>
        <v>0</v>
      </c>
      <c r="F71" s="10" t="e">
        <f>D71+#REF!</f>
        <v>#REF!</v>
      </c>
      <c r="G71" s="15" t="e">
        <f t="shared" si="10"/>
        <v>#REF!</v>
      </c>
      <c r="H71" s="14"/>
      <c r="I71" s="16" t="e">
        <f t="shared" si="11"/>
        <v>#DIV/0!</v>
      </c>
      <c r="J71" s="10">
        <f t="shared" si="15"/>
        <v>0</v>
      </c>
      <c r="K71" s="17" t="e">
        <f t="shared" si="12"/>
        <v>#DIV/0!</v>
      </c>
      <c r="L71" s="14">
        <f>'[1]2024_60-69 ΕΞΟΔΑ+ΟΜ 2'!L27</f>
        <v>186.25</v>
      </c>
      <c r="M71" s="15">
        <f t="shared" si="13"/>
        <v>3.2072012128300451E-3</v>
      </c>
      <c r="N71" s="10" t="e">
        <f>L71+#REF!</f>
        <v>#REF!</v>
      </c>
      <c r="O71" s="15" t="e">
        <f t="shared" si="14"/>
        <v>#REF!</v>
      </c>
      <c r="P71" s="10"/>
      <c r="Q71" s="15" t="e">
        <f t="shared" si="16"/>
        <v>#REF!</v>
      </c>
    </row>
    <row r="72" spans="1:17" ht="27.7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2'!L28</f>
        <v>0</v>
      </c>
      <c r="E72" s="15">
        <f t="shared" si="9"/>
        <v>0</v>
      </c>
      <c r="F72" s="10" t="e">
        <f>D72+#REF!</f>
        <v>#REF!</v>
      </c>
      <c r="G72" s="15" t="e">
        <f t="shared" si="10"/>
        <v>#REF!</v>
      </c>
      <c r="H72" s="14"/>
      <c r="I72" s="16" t="e">
        <f t="shared" si="11"/>
        <v>#DIV/0!</v>
      </c>
      <c r="J72" s="10">
        <f t="shared" si="15"/>
        <v>0</v>
      </c>
      <c r="K72" s="17" t="e">
        <f t="shared" si="12"/>
        <v>#DIV/0!</v>
      </c>
      <c r="L72" s="14">
        <f>'[1]2024_60-69 ΕΞΟΔΑ+ΟΜ 2'!L28</f>
        <v>1837.94</v>
      </c>
      <c r="M72" s="15">
        <f t="shared" si="13"/>
        <v>3.1649092065013977E-2</v>
      </c>
      <c r="N72" s="10" t="e">
        <f>L72+#REF!</f>
        <v>#REF!</v>
      </c>
      <c r="O72" s="15" t="e">
        <f t="shared" si="14"/>
        <v>#REF!</v>
      </c>
      <c r="P72" s="10"/>
      <c r="Q72" s="15" t="e">
        <f t="shared" si="16"/>
        <v>#REF!</v>
      </c>
    </row>
    <row r="73" spans="1:17" ht="78.75" customHeight="1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2'!L29</f>
        <v>0</v>
      </c>
      <c r="E73" s="15">
        <f t="shared" si="9"/>
        <v>0</v>
      </c>
      <c r="F73" s="10" t="e">
        <f>D73+#REF!</f>
        <v>#REF!</v>
      </c>
      <c r="G73" s="15" t="e">
        <f t="shared" si="10"/>
        <v>#REF!</v>
      </c>
      <c r="H73" s="14"/>
      <c r="I73" s="16" t="e">
        <f t="shared" si="11"/>
        <v>#DIV/0!</v>
      </c>
      <c r="J73" s="10">
        <f t="shared" si="15"/>
        <v>0</v>
      </c>
      <c r="K73" s="17" t="e">
        <f t="shared" si="12"/>
        <v>#DIV/0!</v>
      </c>
      <c r="L73" s="14">
        <f>'[1]2024_60-69 ΕΞΟΔΑ+ΟΜ 2'!L29</f>
        <v>3513.93</v>
      </c>
      <c r="M73" s="15">
        <f t="shared" si="13"/>
        <v>6.0509425813690627E-2</v>
      </c>
      <c r="N73" s="10" t="e">
        <f>L73+#REF!</f>
        <v>#REF!</v>
      </c>
      <c r="O73" s="15" t="e">
        <f t="shared" si="14"/>
        <v>#REF!</v>
      </c>
      <c r="P73" s="10"/>
      <c r="Q73" s="15" t="e">
        <f t="shared" si="16"/>
        <v>#REF!</v>
      </c>
    </row>
    <row r="74" spans="1:17" ht="30" customHeight="1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v>0</v>
      </c>
      <c r="E74" s="15">
        <f t="shared" si="9"/>
        <v>0</v>
      </c>
      <c r="F74" s="10" t="e">
        <f>D74+#REF!</f>
        <v>#REF!</v>
      </c>
      <c r="G74" s="15" t="e">
        <f t="shared" si="10"/>
        <v>#REF!</v>
      </c>
      <c r="H74" s="14"/>
      <c r="I74" s="16" t="e">
        <f t="shared" si="11"/>
        <v>#DIV/0!</v>
      </c>
      <c r="J74" s="10">
        <f t="shared" si="15"/>
        <v>0</v>
      </c>
      <c r="K74" s="17" t="e">
        <f t="shared" si="12"/>
        <v>#DIV/0!</v>
      </c>
      <c r="L74" s="14">
        <f>'[1]2024_60-69 ΕΞΟΔΑ+ΟΜ 2'!L30</f>
        <v>361.84</v>
      </c>
      <c r="M74" s="15">
        <f t="shared" si="13"/>
        <v>6.2308385871163675E-3</v>
      </c>
      <c r="N74" s="10" t="e">
        <f>L74+#REF!</f>
        <v>#REF!</v>
      </c>
      <c r="O74" s="15" t="e">
        <f t="shared" si="14"/>
        <v>#REF!</v>
      </c>
      <c r="P74" s="10"/>
      <c r="Q74" s="15" t="e">
        <f t="shared" si="16"/>
        <v>#REF!</v>
      </c>
    </row>
    <row r="75" spans="1:17" ht="33.75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2'!L31</f>
        <v>7839.9766666666674</v>
      </c>
      <c r="E75" s="15">
        <f t="shared" si="9"/>
        <v>1</v>
      </c>
      <c r="F75" s="10" t="e">
        <f>D75+#REF!</f>
        <v>#REF!</v>
      </c>
      <c r="G75" s="15" t="e">
        <f t="shared" si="10"/>
        <v>#REF!</v>
      </c>
      <c r="H75" s="14"/>
      <c r="I75" s="16" t="e">
        <f t="shared" si="11"/>
        <v>#DIV/0!</v>
      </c>
      <c r="J75" s="10">
        <f t="shared" si="15"/>
        <v>0</v>
      </c>
      <c r="K75" s="17" t="e">
        <f t="shared" si="12"/>
        <v>#DIV/0!</v>
      </c>
      <c r="L75" s="14">
        <f>'[1]2024_60-69 ΕΞΟΔΑ+ΟΜ 2'!L31</f>
        <v>7839.98</v>
      </c>
      <c r="M75" s="15">
        <f t="shared" si="13"/>
        <v>0.13500345430638011</v>
      </c>
      <c r="N75" s="10" t="e">
        <f>L75+#REF!</f>
        <v>#REF!</v>
      </c>
      <c r="O75" s="15" t="e">
        <f t="shared" si="14"/>
        <v>#REF!</v>
      </c>
      <c r="P75" s="10"/>
      <c r="Q75" s="15" t="e">
        <f t="shared" si="16"/>
        <v>#REF!</v>
      </c>
    </row>
    <row r="76" spans="1:17" ht="28.5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2'!L32</f>
        <v>0</v>
      </c>
      <c r="E76" s="15">
        <f t="shared" si="9"/>
        <v>0</v>
      </c>
      <c r="F76" s="10" t="e">
        <f>D76+#REF!</f>
        <v>#REF!</v>
      </c>
      <c r="G76" s="15" t="e">
        <f t="shared" si="10"/>
        <v>#REF!</v>
      </c>
      <c r="H76" s="14"/>
      <c r="I76" s="16" t="e">
        <f t="shared" si="11"/>
        <v>#DIV/0!</v>
      </c>
      <c r="J76" s="10">
        <f t="shared" si="15"/>
        <v>0</v>
      </c>
      <c r="K76" s="17" t="e">
        <f t="shared" si="12"/>
        <v>#DIV/0!</v>
      </c>
      <c r="L76" s="14">
        <f>'[1]2024_60-69 ΕΞΟΔΑ+ΟΜ 2'!L32</f>
        <v>2944.73</v>
      </c>
      <c r="M76" s="15">
        <f t="shared" si="13"/>
        <v>5.070787450983634E-2</v>
      </c>
      <c r="N76" s="10" t="e">
        <f>L76+#REF!</f>
        <v>#REF!</v>
      </c>
      <c r="O76" s="15" t="e">
        <f t="shared" si="14"/>
        <v>#REF!</v>
      </c>
      <c r="P76" s="10"/>
      <c r="Q76" s="15"/>
    </row>
    <row r="77" spans="1:17" ht="28.5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2'!L33</f>
        <v>0</v>
      </c>
      <c r="E77" s="15">
        <f t="shared" si="9"/>
        <v>0</v>
      </c>
      <c r="F77" s="10" t="e">
        <f>D77+#REF!</f>
        <v>#REF!</v>
      </c>
      <c r="G77" s="15" t="e">
        <f t="shared" si="10"/>
        <v>#REF!</v>
      </c>
      <c r="H77" s="14"/>
      <c r="I77" s="16" t="e">
        <f t="shared" si="11"/>
        <v>#DIV/0!</v>
      </c>
      <c r="J77" s="10">
        <f t="shared" si="15"/>
        <v>0</v>
      </c>
      <c r="K77" s="17" t="e">
        <f t="shared" si="12"/>
        <v>#DIV/0!</v>
      </c>
      <c r="L77" s="14">
        <f>'[1]2024_60-69 ΕΞΟΔΑ+ΟΜ 2'!L33</f>
        <v>0</v>
      </c>
      <c r="M77" s="15">
        <f t="shared" si="13"/>
        <v>0</v>
      </c>
      <c r="N77" s="10" t="e">
        <f>L77+#REF!</f>
        <v>#REF!</v>
      </c>
      <c r="O77" s="15" t="e">
        <f t="shared" si="14"/>
        <v>#REF!</v>
      </c>
      <c r="P77" s="10"/>
      <c r="Q77" s="15"/>
    </row>
    <row r="78" spans="1:17" ht="28.5" customHeight="1" x14ac:dyDescent="0.25">
      <c r="A78" s="60">
        <v>77</v>
      </c>
      <c r="B78" s="60"/>
      <c r="C78" s="75" t="s">
        <v>163</v>
      </c>
      <c r="D78" s="7">
        <f>'[1]2025_60-69 ΕΞΟΔΑ+ΟΜ 2'!L3</f>
        <v>7839.9766666666674</v>
      </c>
      <c r="E78" s="21"/>
      <c r="F78" s="7">
        <f>'[1]2025_60-69 ΕΞΟΔΑ+ΟΜ 2'!Y3</f>
        <v>255784.15</v>
      </c>
      <c r="G78" s="21"/>
      <c r="H78" s="7">
        <f>SUM(H44:H75)</f>
        <v>0</v>
      </c>
      <c r="I78" s="21"/>
      <c r="J78" s="7">
        <f>SUM(J44:J77)</f>
        <v>0</v>
      </c>
      <c r="K78" s="21"/>
      <c r="L78" s="7">
        <f>SUM(L44:L77)</f>
        <v>58072.439999999995</v>
      </c>
      <c r="M78" s="21"/>
      <c r="N78" s="7" t="e">
        <f>SUM(N44:N77)</f>
        <v>#REF!</v>
      </c>
      <c r="O78" s="21"/>
      <c r="P78" s="7">
        <f>SUM(P44:P77)</f>
        <v>0</v>
      </c>
      <c r="Q78" s="21"/>
    </row>
    <row r="79" spans="1:17" ht="33" customHeight="1" x14ac:dyDescent="0.25">
      <c r="A79" s="60">
        <v>78</v>
      </c>
      <c r="B79" s="60"/>
      <c r="C79" s="22" t="s">
        <v>18</v>
      </c>
      <c r="D79" s="7">
        <f>D43-D78</f>
        <v>0</v>
      </c>
      <c r="E79" s="21"/>
      <c r="F79" s="7" t="e">
        <f>F43-F78</f>
        <v>#REF!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0</v>
      </c>
      <c r="M79" s="21"/>
      <c r="N79" s="7" t="e">
        <f>N43-N78</f>
        <v>#REF!</v>
      </c>
      <c r="O79" s="21"/>
      <c r="P79" s="7">
        <f>P43-P78</f>
        <v>0</v>
      </c>
      <c r="Q79" s="21"/>
    </row>
    <row r="80" spans="1:17" ht="27" customHeight="1" x14ac:dyDescent="0.25">
      <c r="A80" s="76">
        <v>79</v>
      </c>
      <c r="B80" s="76"/>
      <c r="C80" s="13" t="s">
        <v>32</v>
      </c>
      <c r="D80" s="23">
        <f>D38-D78</f>
        <v>-7839.9766666666674</v>
      </c>
      <c r="E80" s="24"/>
      <c r="F80" s="23" t="e">
        <f>F38-F78</f>
        <v>#VALUE!</v>
      </c>
      <c r="G80" s="24"/>
      <c r="H80" s="25">
        <f>H38-H78</f>
        <v>0</v>
      </c>
      <c r="I80" s="24"/>
      <c r="J80" s="25" t="e">
        <f>J38-J78</f>
        <v>#REF!</v>
      </c>
      <c r="K80" s="24"/>
      <c r="L80" s="77">
        <f>L38-L78</f>
        <v>19084.276902654899</v>
      </c>
      <c r="M80" s="24"/>
      <c r="N80" s="23" t="e">
        <f>N38-N78</f>
        <v>#REF!</v>
      </c>
      <c r="O80" s="24"/>
      <c r="P80" s="23">
        <f>P38-P78</f>
        <v>0</v>
      </c>
      <c r="Q80" s="24"/>
    </row>
    <row r="81" spans="1:17" ht="30.75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</row>
    <row r="82" spans="1:17" ht="24.75" customHeight="1" x14ac:dyDescent="0.25">
      <c r="A82" s="19">
        <v>81</v>
      </c>
      <c r="B82" s="19"/>
      <c r="C82" s="5" t="s">
        <v>3</v>
      </c>
      <c r="D82" s="180" t="str">
        <f>[1]ΑΝΤΙΣΤΟΙΧΙΣΗ!$F$114</f>
        <v xml:space="preserve">ΣΕΠΤΕΜΒΡΙΟΣ ΤΡΕΧΟΝ ΕΤΟΣ </v>
      </c>
      <c r="E82" s="180"/>
      <c r="F82" s="180"/>
      <c r="G82" s="61">
        <f>[1]ΑΝΤΙΣΤΟΙΧΙΣΗ!$D$34</f>
        <v>2025</v>
      </c>
      <c r="H82" s="180" t="str">
        <f>[1]ΑΝΤΙΣΤΟΙΧΙΣΗ!$F$114</f>
        <v xml:space="preserve">ΣΕΠΤΕΜΒΡΙΟΣ ΤΡΕΧΟΝ ΕΤΟΣ </v>
      </c>
      <c r="I82" s="180"/>
      <c r="J82" s="180"/>
      <c r="K82" s="61">
        <f>[1]ΑΝΤΙΣΤΟΙΧΙΣΗ!$D$34</f>
        <v>2025</v>
      </c>
      <c r="L82" s="180" t="str">
        <f>[1]ΑΝΤΙΣΤΟΙΧΙΣΗ!$F$128</f>
        <v>ΣΕΠΤΕΜΒΡΙΟΣ ΠΡΟΗΓΟΥΜΕΝΟΥ ΕΤΟΥΣ</v>
      </c>
      <c r="M82" s="180"/>
      <c r="N82" s="180"/>
      <c r="O82" s="61">
        <f>[1]ΑΝΤΙΣΤΟΙΧΙΣΗ!$D$33</f>
        <v>2024</v>
      </c>
      <c r="P82" s="180"/>
      <c r="Q82" s="180"/>
    </row>
    <row r="83" spans="1:17" ht="15" customHeight="1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</row>
    <row r="84" spans="1:17" ht="15" customHeight="1" x14ac:dyDescent="0.25">
      <c r="A84" s="19">
        <v>83</v>
      </c>
      <c r="B84" s="19" t="s">
        <v>2</v>
      </c>
      <c r="C84" s="75" t="s">
        <v>165</v>
      </c>
      <c r="D84" s="7">
        <f ca="1">SUM(D47:D110)</f>
        <v>0</v>
      </c>
      <c r="E84" s="8"/>
      <c r="F84" s="7" t="e">
        <f>SUM(F47:F110)</f>
        <v>#REF!</v>
      </c>
      <c r="G84" s="8"/>
      <c r="H84" s="7">
        <f ca="1">SUM(H47:H110)</f>
        <v>0</v>
      </c>
      <c r="I84" s="8"/>
      <c r="J84" s="7" t="e">
        <f>SUM(J47:J110)</f>
        <v>#REF!</v>
      </c>
      <c r="K84" s="8"/>
      <c r="L84" s="7">
        <f ca="1">SUM(L47:L110)</f>
        <v>7836.51</v>
      </c>
      <c r="M84" s="8"/>
      <c r="N84" s="7" t="e">
        <f>SUM(N47:N110)</f>
        <v>#REF!</v>
      </c>
      <c r="O84" s="8"/>
      <c r="P84" s="7">
        <f ca="1">SUM(P47:P110)</f>
        <v>0</v>
      </c>
      <c r="Q84" s="8"/>
    </row>
    <row r="85" spans="1:17" ht="41.25" customHeight="1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2'!L39</f>
        <v>0</v>
      </c>
      <c r="E85" s="15" t="e">
        <f t="shared" ref="E85:E105" ca="1" si="17">D85/$D$84</f>
        <v>#DIV/0!</v>
      </c>
      <c r="F85" s="79" t="e">
        <f>D85+#REF!</f>
        <v>#REF!</v>
      </c>
      <c r="G85" s="15" t="e">
        <f t="shared" ref="G85:G105" si="18">F85/$F$84</f>
        <v>#REF!</v>
      </c>
      <c r="H85" s="14"/>
      <c r="I85" s="26" t="e">
        <f t="shared" ref="I85:I105" ca="1" si="19">H85/$H$84</f>
        <v>#DIV/0!</v>
      </c>
      <c r="J85" s="27"/>
      <c r="K85" s="27" t="e">
        <f t="shared" ref="K85:K105" si="20">J85/$J$84</f>
        <v>#REF!</v>
      </c>
      <c r="L85" s="79">
        <f>'[1]2024_60-69 ΕΞΟΔΑ+ΟΜ 2'!L37</f>
        <v>2091.4</v>
      </c>
      <c r="M85" s="15">
        <f t="shared" ref="M85:M105" ca="1" si="21">L85/$L$84</f>
        <v>0.26687900608816933</v>
      </c>
      <c r="N85" s="10" t="e">
        <f>L85+#REF!</f>
        <v>#REF!</v>
      </c>
      <c r="O85" s="15" t="e">
        <f t="shared" ref="O85:O105" si="22">N85/$N$84</f>
        <v>#REF!</v>
      </c>
      <c r="P85" s="27"/>
      <c r="Q85" s="28" t="e">
        <f t="shared" ref="Q85:Q106" ca="1" si="23">SUM(D85:P85)</f>
        <v>#DIV/0!</v>
      </c>
    </row>
    <row r="86" spans="1:17" ht="41.25" customHeight="1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2'!L40</f>
        <v>0</v>
      </c>
      <c r="E86" s="15" t="e">
        <f t="shared" ca="1" si="17"/>
        <v>#DIV/0!</v>
      </c>
      <c r="F86" s="79" t="e">
        <f>D86+#REF!</f>
        <v>#REF!</v>
      </c>
      <c r="G86" s="15" t="e">
        <f t="shared" si="18"/>
        <v>#REF!</v>
      </c>
      <c r="H86" s="14"/>
      <c r="I86" s="26" t="e">
        <f t="shared" ca="1" si="19"/>
        <v>#DIV/0!</v>
      </c>
      <c r="J86" s="27"/>
      <c r="K86" s="27" t="e">
        <f t="shared" si="20"/>
        <v>#REF!</v>
      </c>
      <c r="L86" s="79">
        <f>'[1]2024_60-69 ΕΞΟΔΑ+ΟΜ 2'!L38</f>
        <v>0</v>
      </c>
      <c r="M86" s="15">
        <f t="shared" ca="1" si="21"/>
        <v>0</v>
      </c>
      <c r="N86" s="10" t="e">
        <f>L86+#REF!</f>
        <v>#REF!</v>
      </c>
      <c r="O86" s="15" t="e">
        <f t="shared" si="22"/>
        <v>#REF!</v>
      </c>
      <c r="P86" s="27"/>
      <c r="Q86" s="28" t="e">
        <f t="shared" ca="1" si="23"/>
        <v>#DIV/0!</v>
      </c>
    </row>
    <row r="87" spans="1:17" ht="41.25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2'!L43</f>
        <v>0</v>
      </c>
      <c r="E87" s="15" t="e">
        <f t="shared" ca="1" si="17"/>
        <v>#DIV/0!</v>
      </c>
      <c r="F87" s="79" t="e">
        <f>D87+#REF!</f>
        <v>#REF!</v>
      </c>
      <c r="G87" s="15" t="e">
        <f t="shared" si="18"/>
        <v>#REF!</v>
      </c>
      <c r="H87" s="14"/>
      <c r="I87" s="26" t="e">
        <f t="shared" ca="1" si="19"/>
        <v>#DIV/0!</v>
      </c>
      <c r="J87" s="27"/>
      <c r="K87" s="27" t="e">
        <f t="shared" si="20"/>
        <v>#REF!</v>
      </c>
      <c r="L87" s="79">
        <f>'[1]2024_60-69 ΕΞΟΔΑ+ΟΜ 2'!L41</f>
        <v>326.89999999999998</v>
      </c>
      <c r="M87" s="15">
        <f t="shared" ca="1" si="21"/>
        <v>4.1714998130545355E-2</v>
      </c>
      <c r="N87" s="10" t="e">
        <f>L87+#REF!</f>
        <v>#REF!</v>
      </c>
      <c r="O87" s="15" t="e">
        <f t="shared" si="22"/>
        <v>#REF!</v>
      </c>
      <c r="P87" s="27"/>
      <c r="Q87" s="28" t="e">
        <f t="shared" ca="1" si="23"/>
        <v>#DIV/0!</v>
      </c>
    </row>
    <row r="88" spans="1:17" ht="41.25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2'!L44</f>
        <v>0</v>
      </c>
      <c r="E88" s="15" t="e">
        <f t="shared" ca="1" si="17"/>
        <v>#DIV/0!</v>
      </c>
      <c r="F88" s="79" t="e">
        <f>D88+#REF!</f>
        <v>#REF!</v>
      </c>
      <c r="G88" s="15" t="e">
        <f t="shared" si="18"/>
        <v>#REF!</v>
      </c>
      <c r="H88" s="14"/>
      <c r="I88" s="26" t="e">
        <f t="shared" ca="1" si="19"/>
        <v>#DIV/0!</v>
      </c>
      <c r="J88" s="27"/>
      <c r="K88" s="27" t="e">
        <f t="shared" si="20"/>
        <v>#REF!</v>
      </c>
      <c r="L88" s="79">
        <f>'[1]2024_60-69 ΕΞΟΔΑ+ΟΜ 2'!L42</f>
        <v>0</v>
      </c>
      <c r="M88" s="15">
        <f t="shared" ca="1" si="21"/>
        <v>0</v>
      </c>
      <c r="N88" s="10" t="e">
        <f>L88+#REF!</f>
        <v>#REF!</v>
      </c>
      <c r="O88" s="15" t="e">
        <f t="shared" si="22"/>
        <v>#REF!</v>
      </c>
      <c r="P88" s="27"/>
      <c r="Q88" s="28" t="e">
        <f t="shared" ca="1" si="23"/>
        <v>#DIV/0!</v>
      </c>
    </row>
    <row r="89" spans="1:17" ht="28.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2'!L45</f>
        <v>0</v>
      </c>
      <c r="E89" s="15" t="e">
        <f t="shared" ca="1" si="17"/>
        <v>#DIV/0!</v>
      </c>
      <c r="F89" s="79" t="e">
        <f>D89+#REF!</f>
        <v>#REF!</v>
      </c>
      <c r="G89" s="15" t="e">
        <f t="shared" si="18"/>
        <v>#REF!</v>
      </c>
      <c r="H89" s="80"/>
      <c r="I89" s="26" t="e">
        <f t="shared" ca="1" si="19"/>
        <v>#DIV/0!</v>
      </c>
      <c r="J89" s="80"/>
      <c r="K89" s="27" t="e">
        <f t="shared" si="20"/>
        <v>#REF!</v>
      </c>
      <c r="L89" s="79">
        <f>'[1]2024_60-69 ΕΞΟΔΑ+ΟΜ 2'!L43</f>
        <v>0</v>
      </c>
      <c r="M89" s="15">
        <f t="shared" ca="1" si="21"/>
        <v>0</v>
      </c>
      <c r="N89" s="10" t="e">
        <f>L89+#REF!</f>
        <v>#REF!</v>
      </c>
      <c r="O89" s="15" t="e">
        <f t="shared" si="22"/>
        <v>#REF!</v>
      </c>
      <c r="P89" s="80"/>
      <c r="Q89" s="28" t="e">
        <f t="shared" ca="1" si="23"/>
        <v>#DIV/0!</v>
      </c>
    </row>
    <row r="90" spans="1:17" ht="42.75" customHeight="1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2'!L46</f>
        <v>0</v>
      </c>
      <c r="E90" s="15" t="e">
        <f t="shared" ca="1" si="17"/>
        <v>#DIV/0!</v>
      </c>
      <c r="F90" s="79" t="e">
        <f>D90+#REF!</f>
        <v>#REF!</v>
      </c>
      <c r="G90" s="15" t="e">
        <f t="shared" si="18"/>
        <v>#REF!</v>
      </c>
      <c r="H90" s="80"/>
      <c r="I90" s="26" t="e">
        <f t="shared" ca="1" si="19"/>
        <v>#DIV/0!</v>
      </c>
      <c r="J90" s="80"/>
      <c r="K90" s="27" t="e">
        <f t="shared" si="20"/>
        <v>#REF!</v>
      </c>
      <c r="L90" s="79">
        <f>'[1]2024_60-69 ΕΞΟΔΑ+ΟΜ 2'!L44</f>
        <v>0</v>
      </c>
      <c r="M90" s="15">
        <f t="shared" ca="1" si="21"/>
        <v>0</v>
      </c>
      <c r="N90" s="10" t="e">
        <f>L90+#REF!</f>
        <v>#REF!</v>
      </c>
      <c r="O90" s="15" t="e">
        <f t="shared" si="22"/>
        <v>#REF!</v>
      </c>
      <c r="P90" s="80"/>
      <c r="Q90" s="28" t="e">
        <f t="shared" ca="1" si="23"/>
        <v>#DIV/0!</v>
      </c>
    </row>
    <row r="91" spans="1:17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2'!L47</f>
        <v>0</v>
      </c>
      <c r="E91" s="15" t="e">
        <f t="shared" ca="1" si="17"/>
        <v>#DIV/0!</v>
      </c>
      <c r="F91" s="79" t="e">
        <f>D91+#REF!</f>
        <v>#REF!</v>
      </c>
      <c r="G91" s="15" t="e">
        <f t="shared" si="18"/>
        <v>#REF!</v>
      </c>
      <c r="H91" s="80"/>
      <c r="I91" s="26" t="e">
        <f t="shared" ca="1" si="19"/>
        <v>#DIV/0!</v>
      </c>
      <c r="J91" s="80"/>
      <c r="K91" s="27" t="e">
        <f t="shared" si="20"/>
        <v>#REF!</v>
      </c>
      <c r="L91" s="79">
        <f>'[1]2024_60-69 ΕΞΟΔΑ+ΟΜ 2'!L45</f>
        <v>0</v>
      </c>
      <c r="M91" s="15">
        <f t="shared" ca="1" si="21"/>
        <v>0</v>
      </c>
      <c r="N91" s="10" t="e">
        <f>L91+#REF!</f>
        <v>#REF!</v>
      </c>
      <c r="O91" s="15" t="e">
        <f t="shared" si="22"/>
        <v>#REF!</v>
      </c>
      <c r="P91" s="80"/>
      <c r="Q91" s="28" t="e">
        <f t="shared" ca="1" si="23"/>
        <v>#DIV/0!</v>
      </c>
    </row>
    <row r="92" spans="1:17" ht="15" customHeight="1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2'!L48</f>
        <v>0</v>
      </c>
      <c r="E92" s="15" t="e">
        <f t="shared" ca="1" si="17"/>
        <v>#DIV/0!</v>
      </c>
      <c r="F92" s="79" t="e">
        <f>D92+#REF!</f>
        <v>#REF!</v>
      </c>
      <c r="G92" s="15" t="e">
        <f t="shared" si="18"/>
        <v>#REF!</v>
      </c>
      <c r="H92" s="14"/>
      <c r="I92" s="26" t="e">
        <f t="shared" ca="1" si="19"/>
        <v>#DIV/0!</v>
      </c>
      <c r="J92" s="27"/>
      <c r="K92" s="27" t="e">
        <f t="shared" si="20"/>
        <v>#REF!</v>
      </c>
      <c r="L92" s="79">
        <f>'[1]2024_60-69 ΕΞΟΔΑ+ΟΜ 2'!L46</f>
        <v>0</v>
      </c>
      <c r="M92" s="15">
        <f t="shared" ca="1" si="21"/>
        <v>0</v>
      </c>
      <c r="N92" s="10" t="e">
        <f>L92+#REF!</f>
        <v>#REF!</v>
      </c>
      <c r="O92" s="15" t="e">
        <f t="shared" si="22"/>
        <v>#REF!</v>
      </c>
      <c r="P92" s="27"/>
      <c r="Q92" s="28" t="e">
        <f t="shared" ca="1" si="23"/>
        <v>#DIV/0!</v>
      </c>
    </row>
    <row r="93" spans="1:17" ht="15" customHeight="1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2'!L49</f>
        <v>0</v>
      </c>
      <c r="E93" s="15" t="e">
        <f t="shared" ca="1" si="17"/>
        <v>#DIV/0!</v>
      </c>
      <c r="F93" s="79" t="e">
        <f>D93+#REF!</f>
        <v>#REF!</v>
      </c>
      <c r="G93" s="15" t="e">
        <f t="shared" si="18"/>
        <v>#REF!</v>
      </c>
      <c r="H93" s="14"/>
      <c r="I93" s="26" t="e">
        <f t="shared" ca="1" si="19"/>
        <v>#DIV/0!</v>
      </c>
      <c r="J93" s="27"/>
      <c r="K93" s="27" t="e">
        <f t="shared" si="20"/>
        <v>#REF!</v>
      </c>
      <c r="L93" s="79">
        <f>'[1]2024_60-69 ΕΞΟΔΑ+ΟΜ 2'!L47</f>
        <v>0</v>
      </c>
      <c r="M93" s="15">
        <f t="shared" ca="1" si="21"/>
        <v>0</v>
      </c>
      <c r="N93" s="10" t="e">
        <f>L93+#REF!</f>
        <v>#REF!</v>
      </c>
      <c r="O93" s="15" t="e">
        <f t="shared" si="22"/>
        <v>#REF!</v>
      </c>
      <c r="P93" s="27"/>
      <c r="Q93" s="28" t="e">
        <f t="shared" ca="1" si="23"/>
        <v>#DIV/0!</v>
      </c>
    </row>
    <row r="94" spans="1:17" ht="1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2'!L50</f>
        <v>0</v>
      </c>
      <c r="E94" s="15" t="e">
        <f t="shared" ca="1" si="17"/>
        <v>#DIV/0!</v>
      </c>
      <c r="F94" s="79" t="e">
        <f>D94+#REF!</f>
        <v>#REF!</v>
      </c>
      <c r="G94" s="15" t="e">
        <f t="shared" si="18"/>
        <v>#REF!</v>
      </c>
      <c r="H94" s="81"/>
      <c r="I94" s="26" t="e">
        <f t="shared" ca="1" si="19"/>
        <v>#DIV/0!</v>
      </c>
      <c r="J94" s="81"/>
      <c r="K94" s="27" t="e">
        <f t="shared" si="20"/>
        <v>#REF!</v>
      </c>
      <c r="L94" s="79">
        <f>'[1]2024_60-69 ΕΞΟΔΑ+ΟΜ 2'!L48</f>
        <v>0</v>
      </c>
      <c r="M94" s="15">
        <f t="shared" ca="1" si="21"/>
        <v>0</v>
      </c>
      <c r="N94" s="10" t="e">
        <f>L94+#REF!</f>
        <v>#REF!</v>
      </c>
      <c r="O94" s="15" t="e">
        <f t="shared" si="22"/>
        <v>#REF!</v>
      </c>
      <c r="P94" s="81"/>
      <c r="Q94" s="28" t="e">
        <f t="shared" ca="1" si="23"/>
        <v>#DIV/0!</v>
      </c>
    </row>
    <row r="95" spans="1:17" ht="28.5" customHeight="1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2'!L51</f>
        <v>0</v>
      </c>
      <c r="E95" s="15" t="e">
        <f t="shared" ca="1" si="17"/>
        <v>#DIV/0!</v>
      </c>
      <c r="F95" s="79" t="e">
        <f>D95+#REF!</f>
        <v>#REF!</v>
      </c>
      <c r="G95" s="15" t="e">
        <f t="shared" si="18"/>
        <v>#REF!</v>
      </c>
      <c r="H95" s="14"/>
      <c r="I95" s="26" t="e">
        <f t="shared" ca="1" si="19"/>
        <v>#DIV/0!</v>
      </c>
      <c r="J95" s="27"/>
      <c r="K95" s="27" t="e">
        <f t="shared" si="20"/>
        <v>#REF!</v>
      </c>
      <c r="L95" s="79">
        <f>'[1]2024_60-69 ΕΞΟΔΑ+ΟΜ 2'!L49</f>
        <v>0</v>
      </c>
      <c r="M95" s="15">
        <f t="shared" ca="1" si="21"/>
        <v>0</v>
      </c>
      <c r="N95" s="10" t="e">
        <f>L95+#REF!</f>
        <v>#REF!</v>
      </c>
      <c r="O95" s="15" t="e">
        <f t="shared" si="22"/>
        <v>#REF!</v>
      </c>
      <c r="P95" s="27"/>
      <c r="Q95" s="28" t="e">
        <f t="shared" ca="1" si="23"/>
        <v>#DIV/0!</v>
      </c>
    </row>
    <row r="96" spans="1:17" ht="15" customHeight="1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2'!L52</f>
        <v>0</v>
      </c>
      <c r="E96" s="15" t="e">
        <f t="shared" ca="1" si="17"/>
        <v>#DIV/0!</v>
      </c>
      <c r="F96" s="79" t="e">
        <f>D96+#REF!</f>
        <v>#REF!</v>
      </c>
      <c r="G96" s="15" t="e">
        <f t="shared" si="18"/>
        <v>#REF!</v>
      </c>
      <c r="H96" s="14"/>
      <c r="I96" s="26" t="e">
        <f t="shared" ca="1" si="19"/>
        <v>#DIV/0!</v>
      </c>
      <c r="J96" s="27"/>
      <c r="K96" s="27" t="e">
        <f t="shared" si="20"/>
        <v>#REF!</v>
      </c>
      <c r="L96" s="79">
        <f>'[1]2024_60-69 ΕΞΟΔΑ+ΟΜ 2'!L50</f>
        <v>57.97</v>
      </c>
      <c r="M96" s="15">
        <f t="shared" ca="1" si="21"/>
        <v>7.3974256397299305E-3</v>
      </c>
      <c r="N96" s="10" t="e">
        <f>L96+#REF!</f>
        <v>#REF!</v>
      </c>
      <c r="O96" s="15" t="e">
        <f t="shared" si="22"/>
        <v>#REF!</v>
      </c>
      <c r="P96" s="27"/>
      <c r="Q96" s="28" t="e">
        <f t="shared" ca="1" si="23"/>
        <v>#DIV/0!</v>
      </c>
    </row>
    <row r="97" spans="1:17" ht="15" customHeight="1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2'!L53</f>
        <v>0</v>
      </c>
      <c r="E97" s="15" t="e">
        <f t="shared" ca="1" si="17"/>
        <v>#DIV/0!</v>
      </c>
      <c r="F97" s="79" t="e">
        <f>D97+#REF!</f>
        <v>#REF!</v>
      </c>
      <c r="G97" s="15" t="e">
        <f t="shared" si="18"/>
        <v>#REF!</v>
      </c>
      <c r="H97" s="14"/>
      <c r="I97" s="26" t="e">
        <f t="shared" ca="1" si="19"/>
        <v>#DIV/0!</v>
      </c>
      <c r="J97" s="27"/>
      <c r="K97" s="27" t="e">
        <f t="shared" si="20"/>
        <v>#REF!</v>
      </c>
      <c r="L97" s="79">
        <f>'[1]2024_60-69 ΕΞΟΔΑ+ΟΜ 2'!L51</f>
        <v>0</v>
      </c>
      <c r="M97" s="15">
        <f t="shared" ca="1" si="21"/>
        <v>0</v>
      </c>
      <c r="N97" s="10" t="e">
        <f>L97+#REF!</f>
        <v>#REF!</v>
      </c>
      <c r="O97" s="15" t="e">
        <f t="shared" si="22"/>
        <v>#REF!</v>
      </c>
      <c r="P97" s="27"/>
      <c r="Q97" s="28" t="e">
        <f t="shared" ca="1" si="23"/>
        <v>#DIV/0!</v>
      </c>
    </row>
    <row r="98" spans="1:17" ht="15" customHeight="1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2'!L54</f>
        <v>0</v>
      </c>
      <c r="E98" s="15" t="e">
        <f t="shared" ca="1" si="17"/>
        <v>#DIV/0!</v>
      </c>
      <c r="F98" s="79" t="e">
        <f>D98+#REF!</f>
        <v>#REF!</v>
      </c>
      <c r="G98" s="15" t="e">
        <f t="shared" si="18"/>
        <v>#REF!</v>
      </c>
      <c r="H98" s="14"/>
      <c r="I98" s="26" t="e">
        <f t="shared" ca="1" si="19"/>
        <v>#DIV/0!</v>
      </c>
      <c r="J98" s="27"/>
      <c r="K98" s="27" t="e">
        <f t="shared" si="20"/>
        <v>#REF!</v>
      </c>
      <c r="L98" s="79">
        <f>'[1]2024_60-69 ΕΞΟΔΑ+ΟΜ 2'!L52</f>
        <v>0</v>
      </c>
      <c r="M98" s="15">
        <f t="shared" ca="1" si="21"/>
        <v>0</v>
      </c>
      <c r="N98" s="10" t="e">
        <f>L98+#REF!</f>
        <v>#REF!</v>
      </c>
      <c r="O98" s="15" t="e">
        <f t="shared" si="22"/>
        <v>#REF!</v>
      </c>
      <c r="P98" s="27"/>
      <c r="Q98" s="28" t="e">
        <f t="shared" ca="1" si="23"/>
        <v>#DIV/0!</v>
      </c>
    </row>
    <row r="99" spans="1:17" ht="1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2'!L55</f>
        <v>0</v>
      </c>
      <c r="E99" s="15" t="e">
        <f t="shared" ca="1" si="17"/>
        <v>#DIV/0!</v>
      </c>
      <c r="F99" s="79" t="e">
        <f>D99+#REF!</f>
        <v>#REF!</v>
      </c>
      <c r="G99" s="15" t="e">
        <f t="shared" si="18"/>
        <v>#REF!</v>
      </c>
      <c r="H99" s="14"/>
      <c r="I99" s="26" t="e">
        <f t="shared" ca="1" si="19"/>
        <v>#DIV/0!</v>
      </c>
      <c r="J99" s="27"/>
      <c r="K99" s="27" t="e">
        <f t="shared" si="20"/>
        <v>#REF!</v>
      </c>
      <c r="L99" s="79">
        <f>'[1]2024_60-69 ΕΞΟΔΑ+ΟΜ 2'!L53</f>
        <v>0</v>
      </c>
      <c r="M99" s="15">
        <f t="shared" ca="1" si="21"/>
        <v>0</v>
      </c>
      <c r="N99" s="10" t="e">
        <f>L99+#REF!</f>
        <v>#REF!</v>
      </c>
      <c r="O99" s="15" t="e">
        <f t="shared" si="22"/>
        <v>#REF!</v>
      </c>
      <c r="P99" s="27"/>
      <c r="Q99" s="28" t="e">
        <f t="shared" ca="1" si="23"/>
        <v>#DIV/0!</v>
      </c>
    </row>
    <row r="100" spans="1:17" ht="15" customHeight="1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2'!L56</f>
        <v>0</v>
      </c>
      <c r="E100" s="15" t="e">
        <f t="shared" ca="1" si="17"/>
        <v>#DIV/0!</v>
      </c>
      <c r="F100" s="79" t="e">
        <f>D100+#REF!</f>
        <v>#REF!</v>
      </c>
      <c r="G100" s="15" t="e">
        <f t="shared" si="18"/>
        <v>#REF!</v>
      </c>
      <c r="H100" s="14"/>
      <c r="I100" s="26" t="e">
        <f t="shared" ca="1" si="19"/>
        <v>#DIV/0!</v>
      </c>
      <c r="J100" s="27"/>
      <c r="K100" s="27" t="e">
        <f t="shared" si="20"/>
        <v>#REF!</v>
      </c>
      <c r="L100" s="79">
        <f>'[1]2024_60-69 ΕΞΟΔΑ+ΟΜ 2'!L54</f>
        <v>128.84</v>
      </c>
      <c r="M100" s="15">
        <f t="shared" ca="1" si="21"/>
        <v>1.6440992227407355E-2</v>
      </c>
      <c r="N100" s="10" t="e">
        <f>L100+#REF!</f>
        <v>#REF!</v>
      </c>
      <c r="O100" s="15" t="e">
        <f t="shared" si="22"/>
        <v>#REF!</v>
      </c>
      <c r="P100" s="27"/>
      <c r="Q100" s="28" t="e">
        <f t="shared" ca="1" si="23"/>
        <v>#DIV/0!</v>
      </c>
    </row>
    <row r="101" spans="1:17" ht="25.5" customHeight="1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2'!L57</f>
        <v>0</v>
      </c>
      <c r="E101" s="15" t="e">
        <f t="shared" ca="1" si="17"/>
        <v>#DIV/0!</v>
      </c>
      <c r="F101" s="79" t="e">
        <f>D101+#REF!</f>
        <v>#REF!</v>
      </c>
      <c r="G101" s="15" t="e">
        <f t="shared" si="18"/>
        <v>#REF!</v>
      </c>
      <c r="H101" s="14"/>
      <c r="I101" s="26" t="e">
        <f t="shared" ca="1" si="19"/>
        <v>#DIV/0!</v>
      </c>
      <c r="J101" s="27"/>
      <c r="K101" s="27" t="e">
        <f t="shared" si="20"/>
        <v>#REF!</v>
      </c>
      <c r="L101" s="79">
        <f>'[1]2024_60-69 ΕΞΟΔΑ+ΟΜ 2'!L55</f>
        <v>0</v>
      </c>
      <c r="M101" s="15">
        <f t="shared" ca="1" si="21"/>
        <v>0</v>
      </c>
      <c r="N101" s="10" t="e">
        <f>L101+#REF!</f>
        <v>#REF!</v>
      </c>
      <c r="O101" s="15" t="e">
        <f t="shared" si="22"/>
        <v>#REF!</v>
      </c>
      <c r="P101" s="27"/>
      <c r="Q101" s="28" t="e">
        <f t="shared" ca="1" si="23"/>
        <v>#DIV/0!</v>
      </c>
    </row>
    <row r="102" spans="1:17" ht="24" customHeight="1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2'!L58</f>
        <v>0</v>
      </c>
      <c r="E102" s="15" t="e">
        <f t="shared" ca="1" si="17"/>
        <v>#DIV/0!</v>
      </c>
      <c r="F102" s="79" t="e">
        <f>D102+#REF!</f>
        <v>#REF!</v>
      </c>
      <c r="G102" s="15" t="e">
        <f t="shared" si="18"/>
        <v>#REF!</v>
      </c>
      <c r="H102" s="14"/>
      <c r="I102" s="26" t="e">
        <f t="shared" ca="1" si="19"/>
        <v>#DIV/0!</v>
      </c>
      <c r="J102" s="27"/>
      <c r="K102" s="27" t="e">
        <f t="shared" si="20"/>
        <v>#REF!</v>
      </c>
      <c r="L102" s="79">
        <f>'[1]2024_60-69 ΕΞΟΔΑ+ΟΜ 2'!L56</f>
        <v>0</v>
      </c>
      <c r="M102" s="15">
        <f t="shared" ca="1" si="21"/>
        <v>0</v>
      </c>
      <c r="N102" s="10" t="e">
        <f>L102+#REF!</f>
        <v>#REF!</v>
      </c>
      <c r="O102" s="15" t="e">
        <f t="shared" si="22"/>
        <v>#REF!</v>
      </c>
      <c r="P102" s="27"/>
      <c r="Q102" s="28" t="e">
        <f t="shared" ca="1" si="23"/>
        <v>#DIV/0!</v>
      </c>
    </row>
    <row r="103" spans="1:17" ht="15.75" hidden="1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2'!L59</f>
        <v>0</v>
      </c>
      <c r="E103" s="15" t="e">
        <f t="shared" ca="1" si="17"/>
        <v>#DIV/0!</v>
      </c>
      <c r="F103" s="79" t="e">
        <f>D103+#REF!</f>
        <v>#REF!</v>
      </c>
      <c r="G103" s="15" t="e">
        <f t="shared" si="18"/>
        <v>#REF!</v>
      </c>
      <c r="H103" s="14"/>
      <c r="I103" s="26" t="e">
        <f t="shared" ca="1" si="19"/>
        <v>#DIV/0!</v>
      </c>
      <c r="J103" s="27"/>
      <c r="K103" s="27" t="e">
        <f t="shared" si="20"/>
        <v>#REF!</v>
      </c>
      <c r="L103" s="79">
        <f>'[1]2024_60-69 ΕΞΟΔΑ+ΟΜ 2'!L57</f>
        <v>1000</v>
      </c>
      <c r="M103" s="15">
        <f t="shared" ca="1" si="21"/>
        <v>0.12760782542228619</v>
      </c>
      <c r="N103" s="10" t="e">
        <f>L103+#REF!</f>
        <v>#REF!</v>
      </c>
      <c r="O103" s="15" t="e">
        <f t="shared" si="22"/>
        <v>#REF!</v>
      </c>
      <c r="P103" s="27"/>
      <c r="Q103" s="28" t="e">
        <f t="shared" ca="1" si="23"/>
        <v>#DIV/0!</v>
      </c>
    </row>
    <row r="104" spans="1:17" ht="15.75" hidden="1" customHeight="1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2'!L60</f>
        <v>0</v>
      </c>
      <c r="E104" s="15" t="e">
        <f t="shared" ca="1" si="17"/>
        <v>#DIV/0!</v>
      </c>
      <c r="F104" s="79" t="e">
        <f>D104+#REF!</f>
        <v>#REF!</v>
      </c>
      <c r="G104" s="15" t="e">
        <f t="shared" si="18"/>
        <v>#REF!</v>
      </c>
      <c r="H104" s="14"/>
      <c r="I104" s="26" t="e">
        <f t="shared" ca="1" si="19"/>
        <v>#DIV/0!</v>
      </c>
      <c r="J104" s="27"/>
      <c r="K104" s="27" t="e">
        <f t="shared" si="20"/>
        <v>#REF!</v>
      </c>
      <c r="L104" s="79">
        <f>'[1]2024_60-69 ΕΞΟΔΑ+ΟΜ 2'!L58</f>
        <v>0</v>
      </c>
      <c r="M104" s="15">
        <f t="shared" ca="1" si="21"/>
        <v>0</v>
      </c>
      <c r="N104" s="10" t="e">
        <f>L104+#REF!</f>
        <v>#REF!</v>
      </c>
      <c r="O104" s="15" t="e">
        <f t="shared" si="22"/>
        <v>#REF!</v>
      </c>
      <c r="P104" s="27"/>
      <c r="Q104" s="28" t="e">
        <f t="shared" ca="1" si="23"/>
        <v>#DIV/0!</v>
      </c>
    </row>
    <row r="105" spans="1:17" ht="31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2'!L61</f>
        <v>0</v>
      </c>
      <c r="E105" s="15" t="e">
        <f t="shared" ca="1" si="17"/>
        <v>#DIV/0!</v>
      </c>
      <c r="F105" s="79" t="e">
        <f>D105+#REF!</f>
        <v>#REF!</v>
      </c>
      <c r="G105" s="15" t="e">
        <f t="shared" si="18"/>
        <v>#REF!</v>
      </c>
      <c r="H105" s="14"/>
      <c r="I105" s="26" t="e">
        <f t="shared" ca="1" si="19"/>
        <v>#DIV/0!</v>
      </c>
      <c r="J105" s="27"/>
      <c r="K105" s="27" t="e">
        <f t="shared" si="20"/>
        <v>#REF!</v>
      </c>
      <c r="L105" s="79">
        <f>'[1]2024_60-69 ΕΞΟΔΑ+ΟΜ 2'!L59</f>
        <v>0</v>
      </c>
      <c r="M105" s="15">
        <f t="shared" ca="1" si="21"/>
        <v>0</v>
      </c>
      <c r="N105" s="10" t="e">
        <f>L105+#REF!</f>
        <v>#REF!</v>
      </c>
      <c r="O105" s="15" t="e">
        <f t="shared" si="22"/>
        <v>#REF!</v>
      </c>
      <c r="P105" s="27"/>
      <c r="Q105" s="28" t="e">
        <f t="shared" ca="1" si="23"/>
        <v>#DIV/0!</v>
      </c>
    </row>
    <row r="106" spans="1:17" ht="45" customHeight="1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>
        <f t="shared" si="23"/>
        <v>0</v>
      </c>
    </row>
    <row r="107" spans="1:17" ht="30" customHeight="1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26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/>
      <c r="B111" s="60"/>
      <c r="C111" s="20" t="s">
        <v>41</v>
      </c>
      <c r="D111" s="7">
        <f>'[1]2025_60-69 ΕΞΟΔΑ+ΟΜ 2'!L36</f>
        <v>0</v>
      </c>
      <c r="E111" s="8"/>
      <c r="F111" s="7"/>
      <c r="G111" s="8"/>
      <c r="H111" s="7">
        <f ca="1">SUM(H47:H110)</f>
        <v>0</v>
      </c>
      <c r="I111" s="8"/>
      <c r="J111" s="7" t="e">
        <f>SUM(J47:J110)</f>
        <v>#REF!</v>
      </c>
      <c r="K111" s="8"/>
      <c r="L111" s="7">
        <f ca="1">SUM(L47:L110)</f>
        <v>7836.51</v>
      </c>
      <c r="M111" s="8"/>
      <c r="N111" s="7" t="e">
        <f>SUM(N47:N110)</f>
        <v>#REF!</v>
      </c>
      <c r="O111" s="8"/>
      <c r="P111" s="7">
        <f ca="1">SUM(P47:P110)</f>
        <v>0</v>
      </c>
      <c r="Q111" s="8"/>
    </row>
    <row r="112" spans="1:17" ht="15" customHeight="1" x14ac:dyDescent="0.25">
      <c r="A112" s="60"/>
      <c r="B112" s="60"/>
      <c r="C112" s="22" t="s">
        <v>18</v>
      </c>
      <c r="D112" s="7">
        <f ca="1">D84-D111</f>
        <v>0</v>
      </c>
      <c r="E112" s="8"/>
      <c r="F112" s="7" t="e">
        <f>F84-F111</f>
        <v>#REF!</v>
      </c>
      <c r="G112" s="8"/>
      <c r="H112" s="7">
        <f ca="1">H84-H111</f>
        <v>0</v>
      </c>
      <c r="I112" s="8"/>
      <c r="J112" s="7" t="e">
        <f>J84-J111</f>
        <v>#REF!</v>
      </c>
      <c r="K112" s="8"/>
      <c r="L112" s="7">
        <f ca="1">L84-L111</f>
        <v>0</v>
      </c>
      <c r="M112" s="8"/>
      <c r="N112" s="7" t="e">
        <f>N84-N111</f>
        <v>#REF!</v>
      </c>
      <c r="O112" s="8"/>
      <c r="P112" s="7">
        <f ca="1">P84-P111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</row>
    <row r="114" spans="1:17" ht="15" customHeight="1" x14ac:dyDescent="0.25">
      <c r="A114" s="60"/>
      <c r="B114" s="19"/>
      <c r="C114" s="5" t="s">
        <v>161</v>
      </c>
      <c r="D114" s="180" t="str">
        <f>[1]ΑΝΤΙΣΤΟΙΧΙΣΗ!$F$114</f>
        <v xml:space="preserve">ΣΕΠΤΕΜΒΡΙΟΣ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[1]ΑΝΤΙΣΤΟΙΧΙΣΗ!$F$114</f>
        <v xml:space="preserve">ΣΕΠΤΕΜΒΡΙΟΣ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[1]ΑΝΤΙΣΤΟΙΧΙΣΗ!$F$128</f>
        <v>ΣΕΠΤΕΜΒΡΙΟΣ ΠΡΟΗΓΟΥΜΕΝΟΥ ΕΤΟΥΣ</v>
      </c>
      <c r="M114" s="180"/>
      <c r="N114" s="180"/>
      <c r="O114" s="61">
        <f>[1]ΑΝΤΙΣΤΟΙΧΙΣΗ!$D$33</f>
        <v>2024</v>
      </c>
      <c r="P114" s="180"/>
      <c r="Q114" s="180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/>
      <c r="B116" s="19" t="s">
        <v>2</v>
      </c>
      <c r="C116" s="6" t="s">
        <v>167</v>
      </c>
      <c r="D116" s="7">
        <f>SUM(D117:D156)</f>
        <v>777.67000000000007</v>
      </c>
      <c r="E116" s="8"/>
      <c r="F116" s="7" t="e">
        <f>SUM(F117:F156)</f>
        <v>#REF!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10605.939999999999</v>
      </c>
      <c r="M116" s="8"/>
      <c r="N116" s="7" t="e">
        <f>SUM(N117:N156)</f>
        <v>#REF!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59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2'!L74</f>
        <v>0</v>
      </c>
      <c r="E117" s="15">
        <f>D117/$D$116</f>
        <v>0</v>
      </c>
      <c r="F117" s="10" t="e">
        <f>D117+#REF!</f>
        <v>#REF!</v>
      </c>
      <c r="G117" s="15" t="e">
        <f>F117/$F$116</f>
        <v>#REF!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2'!L66</f>
        <v>1079</v>
      </c>
      <c r="M117" s="15">
        <f>L117/$L$116</f>
        <v>0.10173544259160434</v>
      </c>
      <c r="N117" s="10" t="e">
        <f>L117+#REF!</f>
        <v>#REF!</v>
      </c>
      <c r="O117" s="15" t="e">
        <f>N117/$N$116</f>
        <v>#REF!</v>
      </c>
      <c r="P117" s="10"/>
      <c r="Q117" s="30" t="e">
        <f t="shared" ref="Q117:Q153" si="24">SUM(D117:P117)</f>
        <v>#REF!</v>
      </c>
    </row>
    <row r="118" spans="1:17" ht="15" customHeight="1" x14ac:dyDescent="0.25">
      <c r="A118" s="67">
        <v>60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2'!L75</f>
        <v>0</v>
      </c>
      <c r="E118" s="15">
        <f t="shared" ref="E118:E153" si="25">D118/$D$116</f>
        <v>0</v>
      </c>
      <c r="F118" s="10" t="e">
        <f>D118+#REF!</f>
        <v>#REF!</v>
      </c>
      <c r="G118" s="15" t="e">
        <f t="shared" ref="G118:G153" si="26">F118/$F$116</f>
        <v>#REF!</v>
      </c>
      <c r="H118" s="14"/>
      <c r="I118" s="29" t="e">
        <f t="shared" ref="I118:I153" si="27">H118/$H$116</f>
        <v>#DIV/0!</v>
      </c>
      <c r="J118" s="10"/>
      <c r="K118" s="10" t="e">
        <f t="shared" ref="K118:K153" si="28">J118/$J$116</f>
        <v>#DIV/0!</v>
      </c>
      <c r="L118" s="14">
        <f>'[1]2024_60-69 ΕΞΟΔΑ+ΟΜ 2'!L67</f>
        <v>240.51</v>
      </c>
      <c r="M118" s="15">
        <f t="shared" ref="M118:M153" si="29">L118/$L$116</f>
        <v>2.2676915011776422E-2</v>
      </c>
      <c r="N118" s="10" t="e">
        <f>L118+#REF!</f>
        <v>#REF!</v>
      </c>
      <c r="O118" s="15" t="e">
        <f t="shared" ref="O118:O153" si="30">N118/$N$116</f>
        <v>#REF!</v>
      </c>
      <c r="P118" s="10"/>
      <c r="Q118" s="30" t="e">
        <f t="shared" si="24"/>
        <v>#REF!</v>
      </c>
    </row>
    <row r="119" spans="1:17" ht="28.5" customHeight="1" x14ac:dyDescent="0.25">
      <c r="A119" s="67">
        <v>61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2'!L76</f>
        <v>0</v>
      </c>
      <c r="E119" s="15">
        <f t="shared" si="25"/>
        <v>0</v>
      </c>
      <c r="F119" s="10" t="e">
        <f>D119+#REF!</f>
        <v>#REF!</v>
      </c>
      <c r="G119" s="15" t="e">
        <f t="shared" si="26"/>
        <v>#REF!</v>
      </c>
      <c r="H119" s="14"/>
      <c r="I119" s="29" t="e">
        <f t="shared" si="27"/>
        <v>#DIV/0!</v>
      </c>
      <c r="J119" s="10"/>
      <c r="K119" s="10" t="e">
        <f t="shared" si="28"/>
        <v>#DIV/0!</v>
      </c>
      <c r="L119" s="14">
        <f>'[1]2024_60-69 ΕΞΟΔΑ+ΟΜ 2'!L68</f>
        <v>875.5</v>
      </c>
      <c r="M119" s="15">
        <f t="shared" si="29"/>
        <v>8.2548081546755886E-2</v>
      </c>
      <c r="N119" s="10" t="e">
        <f>L119+#REF!</f>
        <v>#REF!</v>
      </c>
      <c r="O119" s="15" t="e">
        <f t="shared" si="30"/>
        <v>#REF!</v>
      </c>
      <c r="P119" s="10"/>
      <c r="Q119" s="30" t="e">
        <f t="shared" si="24"/>
        <v>#REF!</v>
      </c>
    </row>
    <row r="120" spans="1:17" ht="28.5" customHeight="1" x14ac:dyDescent="0.25">
      <c r="A120" s="67">
        <v>62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2'!L77</f>
        <v>0</v>
      </c>
      <c r="E120" s="15">
        <f t="shared" si="25"/>
        <v>0</v>
      </c>
      <c r="F120" s="10" t="e">
        <f>D120+#REF!</f>
        <v>#REF!</v>
      </c>
      <c r="G120" s="15" t="e">
        <f t="shared" si="26"/>
        <v>#REF!</v>
      </c>
      <c r="H120" s="14"/>
      <c r="I120" s="29" t="e">
        <f t="shared" si="27"/>
        <v>#DIV/0!</v>
      </c>
      <c r="J120" s="10"/>
      <c r="K120" s="10" t="e">
        <f t="shared" si="28"/>
        <v>#DIV/0!</v>
      </c>
      <c r="L120" s="14">
        <f>'[1]2024_60-69 ΕΞΟΔΑ+ΟΜ 2'!L69</f>
        <v>0</v>
      </c>
      <c r="M120" s="15">
        <f t="shared" si="29"/>
        <v>0</v>
      </c>
      <c r="N120" s="10" t="e">
        <f>L120+#REF!</f>
        <v>#REF!</v>
      </c>
      <c r="O120" s="15" t="e">
        <f t="shared" si="30"/>
        <v>#REF!</v>
      </c>
      <c r="P120" s="10"/>
      <c r="Q120" s="30" t="e">
        <f t="shared" si="24"/>
        <v>#REF!</v>
      </c>
    </row>
    <row r="121" spans="1:17" ht="28.5" customHeight="1" x14ac:dyDescent="0.25">
      <c r="A121" s="67">
        <v>63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2'!L78</f>
        <v>0</v>
      </c>
      <c r="E121" s="15">
        <f t="shared" si="25"/>
        <v>0</v>
      </c>
      <c r="F121" s="10" t="e">
        <f>D121+#REF!</f>
        <v>#REF!</v>
      </c>
      <c r="G121" s="15" t="e">
        <f t="shared" si="26"/>
        <v>#REF!</v>
      </c>
      <c r="H121" s="14"/>
      <c r="I121" s="29" t="e">
        <f t="shared" si="27"/>
        <v>#DIV/0!</v>
      </c>
      <c r="J121" s="10"/>
      <c r="K121" s="10" t="e">
        <f t="shared" si="28"/>
        <v>#DIV/0!</v>
      </c>
      <c r="L121" s="14">
        <f>'[1]2024_60-69 ΕΞΟΔΑ+ΟΜ 2'!L70</f>
        <v>241.31</v>
      </c>
      <c r="M121" s="15">
        <f t="shared" si="29"/>
        <v>2.2752344440945361E-2</v>
      </c>
      <c r="N121" s="10" t="e">
        <f>L121+#REF!</f>
        <v>#REF!</v>
      </c>
      <c r="O121" s="15" t="e">
        <f t="shared" si="30"/>
        <v>#REF!</v>
      </c>
      <c r="P121" s="10"/>
      <c r="Q121" s="30" t="e">
        <f t="shared" si="24"/>
        <v>#REF!</v>
      </c>
    </row>
    <row r="122" spans="1:17" ht="15" customHeight="1" x14ac:dyDescent="0.25">
      <c r="A122" s="67">
        <v>64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2'!L79</f>
        <v>0</v>
      </c>
      <c r="E122" s="15">
        <f t="shared" si="25"/>
        <v>0</v>
      </c>
      <c r="F122" s="10" t="e">
        <f>D122+#REF!</f>
        <v>#REF!</v>
      </c>
      <c r="G122" s="15" t="e">
        <f t="shared" si="26"/>
        <v>#REF!</v>
      </c>
      <c r="H122" s="14"/>
      <c r="I122" s="29" t="e">
        <f t="shared" si="27"/>
        <v>#DIV/0!</v>
      </c>
      <c r="J122" s="10"/>
      <c r="K122" s="10" t="e">
        <f t="shared" si="28"/>
        <v>#DIV/0!</v>
      </c>
      <c r="L122" s="14">
        <f>'[1]2024_60-69 ΕΞΟΔΑ+ΟΜ 2'!L71</f>
        <v>965.25</v>
      </c>
      <c r="M122" s="15">
        <f t="shared" si="29"/>
        <v>9.1010320631646047E-2</v>
      </c>
      <c r="N122" s="10" t="e">
        <f>L122+#REF!</f>
        <v>#REF!</v>
      </c>
      <c r="O122" s="15" t="e">
        <f t="shared" si="30"/>
        <v>#REF!</v>
      </c>
      <c r="P122" s="10"/>
      <c r="Q122" s="30" t="e">
        <f t="shared" si="24"/>
        <v>#REF!</v>
      </c>
    </row>
    <row r="123" spans="1:17" ht="15" customHeight="1" x14ac:dyDescent="0.25">
      <c r="A123" s="67">
        <v>65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2'!L80</f>
        <v>0</v>
      </c>
      <c r="E123" s="15">
        <f t="shared" si="25"/>
        <v>0</v>
      </c>
      <c r="F123" s="10" t="e">
        <f>D123+#REF!</f>
        <v>#REF!</v>
      </c>
      <c r="G123" s="15" t="e">
        <f t="shared" si="26"/>
        <v>#REF!</v>
      </c>
      <c r="H123" s="14"/>
      <c r="I123" s="29" t="e">
        <f t="shared" si="27"/>
        <v>#DIV/0!</v>
      </c>
      <c r="J123" s="10"/>
      <c r="K123" s="10" t="e">
        <f t="shared" si="28"/>
        <v>#DIV/0!</v>
      </c>
      <c r="L123" s="14">
        <f>'[1]2024_60-69 ΕΞΟΔΑ+ΟΜ 2'!L72</f>
        <v>31.52</v>
      </c>
      <c r="M123" s="15">
        <f t="shared" si="29"/>
        <v>2.9719195092561342E-3</v>
      </c>
      <c r="N123" s="10" t="e">
        <f>L123+#REF!</f>
        <v>#REF!</v>
      </c>
      <c r="O123" s="15" t="e">
        <f t="shared" si="30"/>
        <v>#REF!</v>
      </c>
      <c r="P123" s="10"/>
      <c r="Q123" s="30" t="e">
        <f t="shared" si="24"/>
        <v>#REF!</v>
      </c>
    </row>
    <row r="124" spans="1:17" ht="28.5" customHeight="1" x14ac:dyDescent="0.25">
      <c r="A124" s="67">
        <v>66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2'!L81</f>
        <v>0</v>
      </c>
      <c r="E124" s="15">
        <f t="shared" si="25"/>
        <v>0</v>
      </c>
      <c r="F124" s="10" t="e">
        <f>D124+#REF!</f>
        <v>#REF!</v>
      </c>
      <c r="G124" s="15" t="e">
        <f t="shared" si="26"/>
        <v>#REF!</v>
      </c>
      <c r="H124" s="14"/>
      <c r="I124" s="29" t="e">
        <f t="shared" si="27"/>
        <v>#DIV/0!</v>
      </c>
      <c r="J124" s="10"/>
      <c r="K124" s="10" t="e">
        <f t="shared" si="28"/>
        <v>#DIV/0!</v>
      </c>
      <c r="L124" s="14">
        <f>'[1]2024_60-69 ΕΞΟΔΑ+ΟΜ 2'!L73</f>
        <v>25.56</v>
      </c>
      <c r="M124" s="15">
        <f t="shared" si="29"/>
        <v>2.4099702619475505E-3</v>
      </c>
      <c r="N124" s="10" t="e">
        <f>L124+#REF!</f>
        <v>#REF!</v>
      </c>
      <c r="O124" s="15" t="e">
        <f t="shared" si="30"/>
        <v>#REF!</v>
      </c>
      <c r="P124" s="10"/>
      <c r="Q124" s="30" t="e">
        <f t="shared" si="24"/>
        <v>#REF!</v>
      </c>
    </row>
    <row r="125" spans="1:17" ht="15" customHeight="1" x14ac:dyDescent="0.25">
      <c r="A125" s="67">
        <v>67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2'!L82</f>
        <v>0</v>
      </c>
      <c r="E125" s="15">
        <f t="shared" si="25"/>
        <v>0</v>
      </c>
      <c r="F125" s="10" t="e">
        <f>D125+#REF!</f>
        <v>#REF!</v>
      </c>
      <c r="G125" s="15" t="e">
        <f t="shared" si="26"/>
        <v>#REF!</v>
      </c>
      <c r="H125" s="14"/>
      <c r="I125" s="29" t="e">
        <f t="shared" si="27"/>
        <v>#DIV/0!</v>
      </c>
      <c r="J125" s="10"/>
      <c r="K125" s="10" t="e">
        <f t="shared" si="28"/>
        <v>#DIV/0!</v>
      </c>
      <c r="L125" s="14">
        <f>'[1]2024_60-69 ΕΞΟΔΑ+ΟΜ 2'!L74</f>
        <v>0</v>
      </c>
      <c r="M125" s="15">
        <f t="shared" si="29"/>
        <v>0</v>
      </c>
      <c r="N125" s="10" t="e">
        <f>L125+#REF!</f>
        <v>#REF!</v>
      </c>
      <c r="O125" s="15" t="e">
        <f t="shared" si="30"/>
        <v>#REF!</v>
      </c>
      <c r="P125" s="10"/>
      <c r="Q125" s="30" t="e">
        <f t="shared" si="24"/>
        <v>#REF!</v>
      </c>
    </row>
    <row r="126" spans="1:17" ht="28.5" customHeight="1" x14ac:dyDescent="0.25">
      <c r="A126" s="67">
        <v>68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2'!L83</f>
        <v>0</v>
      </c>
      <c r="E126" s="15">
        <f t="shared" si="25"/>
        <v>0</v>
      </c>
      <c r="F126" s="10" t="e">
        <f>D126+#REF!</f>
        <v>#REF!</v>
      </c>
      <c r="G126" s="15" t="e">
        <f t="shared" si="26"/>
        <v>#REF!</v>
      </c>
      <c r="H126" s="14"/>
      <c r="I126" s="29" t="e">
        <f t="shared" si="27"/>
        <v>#DIV/0!</v>
      </c>
      <c r="J126" s="10"/>
      <c r="K126" s="10" t="e">
        <f t="shared" si="28"/>
        <v>#DIV/0!</v>
      </c>
      <c r="L126" s="14">
        <f>'[1]2024_60-69 ΕΞΟΔΑ+ΟΜ 2'!L75</f>
        <v>34.75</v>
      </c>
      <c r="M126" s="15">
        <f t="shared" si="29"/>
        <v>3.2764658295257191E-3</v>
      </c>
      <c r="N126" s="10" t="e">
        <f>L126+#REF!</f>
        <v>#REF!</v>
      </c>
      <c r="O126" s="15" t="e">
        <f t="shared" si="30"/>
        <v>#REF!</v>
      </c>
      <c r="P126" s="10"/>
      <c r="Q126" s="30" t="e">
        <f t="shared" si="24"/>
        <v>#REF!</v>
      </c>
    </row>
    <row r="127" spans="1:17" ht="15" customHeight="1" x14ac:dyDescent="0.25">
      <c r="A127" s="67">
        <v>69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2'!L84</f>
        <v>0</v>
      </c>
      <c r="E127" s="15">
        <f t="shared" si="25"/>
        <v>0</v>
      </c>
      <c r="F127" s="10" t="e">
        <f>D127+#REF!</f>
        <v>#REF!</v>
      </c>
      <c r="G127" s="15" t="e">
        <f t="shared" si="26"/>
        <v>#REF!</v>
      </c>
      <c r="H127" s="14"/>
      <c r="I127" s="29" t="e">
        <f t="shared" si="27"/>
        <v>#DIV/0!</v>
      </c>
      <c r="J127" s="10"/>
      <c r="K127" s="10" t="e">
        <f t="shared" si="28"/>
        <v>#DIV/0!</v>
      </c>
      <c r="L127" s="14">
        <f>'[1]2024_60-69 ΕΞΟΔΑ+ΟΜ 2'!L76</f>
        <v>0</v>
      </c>
      <c r="M127" s="15">
        <f t="shared" si="29"/>
        <v>0</v>
      </c>
      <c r="N127" s="10" t="e">
        <f>L127+#REF!</f>
        <v>#REF!</v>
      </c>
      <c r="O127" s="15" t="e">
        <f t="shared" si="30"/>
        <v>#REF!</v>
      </c>
      <c r="P127" s="10"/>
      <c r="Q127" s="30" t="e">
        <f t="shared" si="24"/>
        <v>#REF!</v>
      </c>
    </row>
    <row r="128" spans="1:17" ht="15" customHeight="1" x14ac:dyDescent="0.25">
      <c r="A128" s="67">
        <v>70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2'!L85</f>
        <v>0</v>
      </c>
      <c r="E128" s="15">
        <f t="shared" si="25"/>
        <v>0</v>
      </c>
      <c r="F128" s="10" t="e">
        <f>D128+#REF!</f>
        <v>#REF!</v>
      </c>
      <c r="G128" s="15" t="e">
        <f t="shared" si="26"/>
        <v>#REF!</v>
      </c>
      <c r="H128" s="14"/>
      <c r="I128" s="29" t="e">
        <f t="shared" si="27"/>
        <v>#DIV/0!</v>
      </c>
      <c r="J128" s="10"/>
      <c r="K128" s="10" t="e">
        <f t="shared" si="28"/>
        <v>#DIV/0!</v>
      </c>
      <c r="L128" s="14">
        <f>'[1]2024_60-69 ΕΞΟΔΑ+ΟΜ 2'!L77</f>
        <v>0</v>
      </c>
      <c r="M128" s="15">
        <f t="shared" si="29"/>
        <v>0</v>
      </c>
      <c r="N128" s="10" t="e">
        <f>L128+#REF!</f>
        <v>#REF!</v>
      </c>
      <c r="O128" s="15" t="e">
        <f t="shared" si="30"/>
        <v>#REF!</v>
      </c>
      <c r="P128" s="10"/>
      <c r="Q128" s="30" t="e">
        <f t="shared" si="24"/>
        <v>#REF!</v>
      </c>
    </row>
    <row r="129" spans="1:17" ht="15" customHeight="1" x14ac:dyDescent="0.25">
      <c r="A129" s="67">
        <v>71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2'!L86</f>
        <v>0</v>
      </c>
      <c r="E129" s="15">
        <f t="shared" si="25"/>
        <v>0</v>
      </c>
      <c r="F129" s="10" t="e">
        <f>D129+#REF!</f>
        <v>#REF!</v>
      </c>
      <c r="G129" s="15" t="e">
        <f t="shared" si="26"/>
        <v>#REF!</v>
      </c>
      <c r="H129" s="14"/>
      <c r="I129" s="29" t="e">
        <f t="shared" si="27"/>
        <v>#DIV/0!</v>
      </c>
      <c r="J129" s="10"/>
      <c r="K129" s="10" t="e">
        <f t="shared" si="28"/>
        <v>#DIV/0!</v>
      </c>
      <c r="L129" s="14">
        <f>'[1]2024_60-69 ΕΞΟΔΑ+ΟΜ 2'!L78</f>
        <v>0</v>
      </c>
      <c r="M129" s="15">
        <f t="shared" si="29"/>
        <v>0</v>
      </c>
      <c r="N129" s="10" t="e">
        <f>L129+#REF!</f>
        <v>#REF!</v>
      </c>
      <c r="O129" s="15" t="e">
        <f t="shared" si="30"/>
        <v>#REF!</v>
      </c>
      <c r="P129" s="10"/>
      <c r="Q129" s="30" t="e">
        <f t="shared" si="24"/>
        <v>#REF!</v>
      </c>
    </row>
    <row r="130" spans="1:17" ht="15" customHeight="1" x14ac:dyDescent="0.25">
      <c r="A130" s="67">
        <v>72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2'!L87</f>
        <v>0</v>
      </c>
      <c r="E130" s="15">
        <f t="shared" si="25"/>
        <v>0</v>
      </c>
      <c r="F130" s="10" t="e">
        <f>D130+#REF!</f>
        <v>#REF!</v>
      </c>
      <c r="G130" s="15" t="e">
        <f t="shared" si="26"/>
        <v>#REF!</v>
      </c>
      <c r="H130" s="14"/>
      <c r="I130" s="29" t="e">
        <f t="shared" si="27"/>
        <v>#DIV/0!</v>
      </c>
      <c r="J130" s="10"/>
      <c r="K130" s="10" t="e">
        <f t="shared" si="28"/>
        <v>#DIV/0!</v>
      </c>
      <c r="L130" s="14">
        <f>'[1]2024_60-69 ΕΞΟΔΑ+ΟΜ 2'!L79</f>
        <v>32</v>
      </c>
      <c r="M130" s="15">
        <f t="shared" si="29"/>
        <v>3.0171771667574965E-3</v>
      </c>
      <c r="N130" s="10" t="e">
        <f>L130+#REF!</f>
        <v>#REF!</v>
      </c>
      <c r="O130" s="15" t="e">
        <f t="shared" si="30"/>
        <v>#REF!</v>
      </c>
      <c r="P130" s="10"/>
      <c r="Q130" s="30" t="e">
        <f t="shared" si="24"/>
        <v>#REF!</v>
      </c>
    </row>
    <row r="131" spans="1:17" ht="15" customHeight="1" x14ac:dyDescent="0.25">
      <c r="A131" s="67">
        <v>73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2'!L88</f>
        <v>0</v>
      </c>
      <c r="E131" s="15">
        <f t="shared" si="25"/>
        <v>0</v>
      </c>
      <c r="F131" s="10" t="e">
        <f>D131+#REF!</f>
        <v>#REF!</v>
      </c>
      <c r="G131" s="15" t="e">
        <f t="shared" si="26"/>
        <v>#REF!</v>
      </c>
      <c r="H131" s="14"/>
      <c r="I131" s="29" t="e">
        <f t="shared" si="27"/>
        <v>#DIV/0!</v>
      </c>
      <c r="J131" s="10"/>
      <c r="K131" s="10" t="e">
        <f t="shared" si="28"/>
        <v>#DIV/0!</v>
      </c>
      <c r="L131" s="14">
        <f>'[1]2024_60-69 ΕΞΟΔΑ+ΟΜ 2'!L80</f>
        <v>271.26</v>
      </c>
      <c r="M131" s="15">
        <f t="shared" si="29"/>
        <v>2.5576233695457452E-2</v>
      </c>
      <c r="N131" s="10" t="e">
        <f>L131+#REF!</f>
        <v>#REF!</v>
      </c>
      <c r="O131" s="15" t="e">
        <f t="shared" si="30"/>
        <v>#REF!</v>
      </c>
      <c r="P131" s="10"/>
      <c r="Q131" s="30" t="e">
        <f t="shared" si="24"/>
        <v>#REF!</v>
      </c>
    </row>
    <row r="132" spans="1:17" ht="15" customHeight="1" x14ac:dyDescent="0.25">
      <c r="A132" s="67">
        <v>74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2'!L89</f>
        <v>0</v>
      </c>
      <c r="E132" s="15">
        <f t="shared" si="25"/>
        <v>0</v>
      </c>
      <c r="F132" s="10" t="e">
        <f>D132+#REF!</f>
        <v>#REF!</v>
      </c>
      <c r="G132" s="15" t="e">
        <f t="shared" si="26"/>
        <v>#REF!</v>
      </c>
      <c r="H132" s="14"/>
      <c r="I132" s="29" t="e">
        <f t="shared" si="27"/>
        <v>#DIV/0!</v>
      </c>
      <c r="J132" s="10"/>
      <c r="K132" s="10" t="e">
        <f t="shared" si="28"/>
        <v>#DIV/0!</v>
      </c>
      <c r="L132" s="14">
        <f>'[1]2024_60-69 ΕΞΟΔΑ+ΟΜ 2'!L81</f>
        <v>12.73</v>
      </c>
      <c r="M132" s="15">
        <f t="shared" si="29"/>
        <v>1.2002707916507166E-3</v>
      </c>
      <c r="N132" s="10" t="e">
        <f>L132+#REF!</f>
        <v>#REF!</v>
      </c>
      <c r="O132" s="15" t="e">
        <f t="shared" si="30"/>
        <v>#REF!</v>
      </c>
      <c r="P132" s="10"/>
      <c r="Q132" s="30" t="e">
        <f t="shared" si="24"/>
        <v>#REF!</v>
      </c>
    </row>
    <row r="133" spans="1:17" ht="57" customHeight="1" x14ac:dyDescent="0.25">
      <c r="A133" s="67">
        <v>75</v>
      </c>
      <c r="B133" s="67">
        <v>17</v>
      </c>
      <c r="C133" s="71">
        <f>[1]ΑΝΤΙΣΤΟΙΧΙΣΗ!O203</f>
        <v>0</v>
      </c>
      <c r="D133" s="14">
        <f>'[1]2025_60-69 ΕΞΟΔΑ+ΟΜ 2'!L90</f>
        <v>0</v>
      </c>
      <c r="E133" s="15">
        <f t="shared" si="25"/>
        <v>0</v>
      </c>
      <c r="F133" s="10" t="e">
        <f>D133+#REF!</f>
        <v>#REF!</v>
      </c>
      <c r="G133" s="15" t="e">
        <f t="shared" si="26"/>
        <v>#REF!</v>
      </c>
      <c r="H133" s="14"/>
      <c r="I133" s="29" t="e">
        <f t="shared" si="27"/>
        <v>#DIV/0!</v>
      </c>
      <c r="J133" s="10"/>
      <c r="K133" s="10" t="e">
        <f t="shared" si="28"/>
        <v>#DIV/0!</v>
      </c>
      <c r="L133" s="14">
        <f>'[1]2024_60-69 ΕΞΟΔΑ+ΟΜ 2'!L82</f>
        <v>4.4400000000000004</v>
      </c>
      <c r="M133" s="15">
        <f t="shared" si="29"/>
        <v>4.186333318876027E-4</v>
      </c>
      <c r="N133" s="10" t="e">
        <f>L133+#REF!</f>
        <v>#REF!</v>
      </c>
      <c r="O133" s="15" t="e">
        <f t="shared" si="30"/>
        <v>#REF!</v>
      </c>
      <c r="P133" s="10"/>
      <c r="Q133" s="30" t="e">
        <f t="shared" si="24"/>
        <v>#REF!</v>
      </c>
    </row>
    <row r="134" spans="1:17" ht="57" customHeight="1" x14ac:dyDescent="0.25">
      <c r="A134" s="67">
        <v>76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2'!L91</f>
        <v>0</v>
      </c>
      <c r="E134" s="15">
        <f t="shared" si="25"/>
        <v>0</v>
      </c>
      <c r="F134" s="10" t="e">
        <f>D134+#REF!</f>
        <v>#REF!</v>
      </c>
      <c r="G134" s="15" t="e">
        <f t="shared" si="26"/>
        <v>#REF!</v>
      </c>
      <c r="H134" s="14"/>
      <c r="I134" s="29" t="e">
        <f t="shared" si="27"/>
        <v>#DIV/0!</v>
      </c>
      <c r="J134" s="10"/>
      <c r="K134" s="10" t="e">
        <f t="shared" si="28"/>
        <v>#DIV/0!</v>
      </c>
      <c r="L134" s="14">
        <f>'[1]2024_60-69 ΕΞΟΔΑ+ΟΜ 2'!L83</f>
        <v>0.27</v>
      </c>
      <c r="M134" s="15">
        <f t="shared" si="29"/>
        <v>2.5457432344516379E-5</v>
      </c>
      <c r="N134" s="10" t="e">
        <f>L134+#REF!</f>
        <v>#REF!</v>
      </c>
      <c r="O134" s="15" t="e">
        <f t="shared" si="30"/>
        <v>#REF!</v>
      </c>
      <c r="P134" s="10"/>
      <c r="Q134" s="30" t="e">
        <f t="shared" si="24"/>
        <v>#REF!</v>
      </c>
    </row>
    <row r="135" spans="1:17" ht="15" customHeight="1" x14ac:dyDescent="0.25">
      <c r="A135" s="67">
        <v>77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2'!L92</f>
        <v>0</v>
      </c>
      <c r="E135" s="15">
        <f t="shared" si="25"/>
        <v>0</v>
      </c>
      <c r="F135" s="10" t="e">
        <f>D135+#REF!</f>
        <v>#REF!</v>
      </c>
      <c r="G135" s="15" t="e">
        <f t="shared" si="26"/>
        <v>#REF!</v>
      </c>
      <c r="H135" s="14"/>
      <c r="I135" s="29" t="e">
        <f t="shared" si="27"/>
        <v>#DIV/0!</v>
      </c>
      <c r="J135" s="10"/>
      <c r="K135" s="10" t="e">
        <f t="shared" si="28"/>
        <v>#DIV/0!</v>
      </c>
      <c r="L135" s="14">
        <f>'[1]2024_60-69 ΕΞΟΔΑ+ΟΜ 2'!L84</f>
        <v>337.7</v>
      </c>
      <c r="M135" s="15">
        <f t="shared" si="29"/>
        <v>3.1840647787937708E-2</v>
      </c>
      <c r="N135" s="10" t="e">
        <f>L135+#REF!</f>
        <v>#REF!</v>
      </c>
      <c r="O135" s="15" t="e">
        <f t="shared" si="30"/>
        <v>#REF!</v>
      </c>
      <c r="P135" s="10"/>
      <c r="Q135" s="30" t="e">
        <f t="shared" si="24"/>
        <v>#REF!</v>
      </c>
    </row>
    <row r="136" spans="1:17" ht="15" customHeight="1" x14ac:dyDescent="0.25">
      <c r="A136" s="67">
        <v>78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2'!L93</f>
        <v>0</v>
      </c>
      <c r="E136" s="15">
        <f t="shared" si="25"/>
        <v>0</v>
      </c>
      <c r="F136" s="10" t="e">
        <f>D136+#REF!</f>
        <v>#REF!</v>
      </c>
      <c r="G136" s="15" t="e">
        <f t="shared" si="26"/>
        <v>#REF!</v>
      </c>
      <c r="H136" s="14"/>
      <c r="I136" s="29" t="e">
        <f t="shared" si="27"/>
        <v>#DIV/0!</v>
      </c>
      <c r="J136" s="10"/>
      <c r="K136" s="10" t="e">
        <f t="shared" si="28"/>
        <v>#DIV/0!</v>
      </c>
      <c r="L136" s="14">
        <f>'[1]2024_60-69 ΕΞΟΔΑ+ΟΜ 2'!L85</f>
        <v>0</v>
      </c>
      <c r="M136" s="15">
        <f t="shared" si="29"/>
        <v>0</v>
      </c>
      <c r="N136" s="10" t="e">
        <f>L136+#REF!</f>
        <v>#REF!</v>
      </c>
      <c r="O136" s="15" t="e">
        <f t="shared" si="30"/>
        <v>#REF!</v>
      </c>
      <c r="P136" s="10"/>
      <c r="Q136" s="30" t="e">
        <f t="shared" si="24"/>
        <v>#REF!</v>
      </c>
    </row>
    <row r="137" spans="1:17" ht="15" customHeight="1" x14ac:dyDescent="0.25">
      <c r="A137" s="67">
        <v>79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2'!L94</f>
        <v>0</v>
      </c>
      <c r="E137" s="15">
        <f t="shared" si="25"/>
        <v>0</v>
      </c>
      <c r="F137" s="10" t="e">
        <f>D137+#REF!</f>
        <v>#REF!</v>
      </c>
      <c r="G137" s="15" t="e">
        <f t="shared" si="26"/>
        <v>#REF!</v>
      </c>
      <c r="H137" s="14"/>
      <c r="I137" s="29" t="e">
        <f t="shared" si="27"/>
        <v>#DIV/0!</v>
      </c>
      <c r="J137" s="10"/>
      <c r="K137" s="10" t="e">
        <f t="shared" si="28"/>
        <v>#DIV/0!</v>
      </c>
      <c r="L137" s="14">
        <f>'[1]2024_60-69 ΕΞΟΔΑ+ΟΜ 2'!L86</f>
        <v>45.42</v>
      </c>
      <c r="M137" s="15">
        <f t="shared" si="29"/>
        <v>4.2825058410664221E-3</v>
      </c>
      <c r="N137" s="10" t="e">
        <f>L137+#REF!</f>
        <v>#REF!</v>
      </c>
      <c r="O137" s="15" t="e">
        <f t="shared" si="30"/>
        <v>#REF!</v>
      </c>
      <c r="P137" s="10"/>
      <c r="Q137" s="30" t="e">
        <f t="shared" si="24"/>
        <v>#REF!</v>
      </c>
    </row>
    <row r="138" spans="1:17" ht="15" customHeight="1" x14ac:dyDescent="0.25">
      <c r="A138" s="67">
        <v>80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2'!L95</f>
        <v>0</v>
      </c>
      <c r="E138" s="15">
        <f t="shared" si="25"/>
        <v>0</v>
      </c>
      <c r="F138" s="10" t="e">
        <f>D138+#REF!</f>
        <v>#REF!</v>
      </c>
      <c r="G138" s="15" t="e">
        <f t="shared" si="26"/>
        <v>#REF!</v>
      </c>
      <c r="H138" s="14"/>
      <c r="I138" s="29" t="e">
        <f t="shared" si="27"/>
        <v>#DIV/0!</v>
      </c>
      <c r="J138" s="10"/>
      <c r="K138" s="10" t="e">
        <f t="shared" si="28"/>
        <v>#DIV/0!</v>
      </c>
      <c r="L138" s="14">
        <f>'[1]2024_60-69 ΕΞΟΔΑ+ΟΜ 2'!L87</f>
        <v>0</v>
      </c>
      <c r="M138" s="15">
        <f t="shared" si="29"/>
        <v>0</v>
      </c>
      <c r="N138" s="10" t="e">
        <f>L138+#REF!</f>
        <v>#REF!</v>
      </c>
      <c r="O138" s="15" t="e">
        <f t="shared" si="30"/>
        <v>#REF!</v>
      </c>
      <c r="P138" s="10"/>
      <c r="Q138" s="30" t="e">
        <f t="shared" si="24"/>
        <v>#REF!</v>
      </c>
    </row>
    <row r="139" spans="1:17" ht="15" customHeight="1" x14ac:dyDescent="0.25">
      <c r="A139" s="67">
        <v>81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2'!L96</f>
        <v>0</v>
      </c>
      <c r="E139" s="15">
        <f t="shared" si="25"/>
        <v>0</v>
      </c>
      <c r="F139" s="10" t="e">
        <f>D139+#REF!</f>
        <v>#REF!</v>
      </c>
      <c r="G139" s="15" t="e">
        <f t="shared" si="26"/>
        <v>#REF!</v>
      </c>
      <c r="H139" s="14"/>
      <c r="I139" s="29" t="e">
        <f t="shared" si="27"/>
        <v>#DIV/0!</v>
      </c>
      <c r="J139" s="10"/>
      <c r="K139" s="10" t="e">
        <f t="shared" si="28"/>
        <v>#DIV/0!</v>
      </c>
      <c r="L139" s="14">
        <f>'[1]2024_60-69 ΕΞΟΔΑ+ΟΜ 2'!L88</f>
        <v>0</v>
      </c>
      <c r="M139" s="15">
        <f t="shared" si="29"/>
        <v>0</v>
      </c>
      <c r="N139" s="10" t="e">
        <f>L139+#REF!</f>
        <v>#REF!</v>
      </c>
      <c r="O139" s="15" t="e">
        <f t="shared" si="30"/>
        <v>#REF!</v>
      </c>
      <c r="P139" s="10"/>
      <c r="Q139" s="30" t="e">
        <f t="shared" si="24"/>
        <v>#REF!</v>
      </c>
    </row>
    <row r="140" spans="1:17" ht="15" customHeight="1" x14ac:dyDescent="0.25">
      <c r="A140" s="67">
        <v>82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2'!L97</f>
        <v>0</v>
      </c>
      <c r="E140" s="15">
        <f t="shared" si="25"/>
        <v>0</v>
      </c>
      <c r="F140" s="10" t="e">
        <f>D140+#REF!</f>
        <v>#REF!</v>
      </c>
      <c r="G140" s="15" t="e">
        <f t="shared" si="26"/>
        <v>#REF!</v>
      </c>
      <c r="H140" s="14"/>
      <c r="I140" s="29" t="e">
        <f t="shared" si="27"/>
        <v>#DIV/0!</v>
      </c>
      <c r="J140" s="10"/>
      <c r="K140" s="10" t="e">
        <f t="shared" si="28"/>
        <v>#DIV/0!</v>
      </c>
      <c r="L140" s="14">
        <f>'[1]2024_60-69 ΕΞΟΔΑ+ΟΜ 2'!L89</f>
        <v>0</v>
      </c>
      <c r="M140" s="15">
        <f t="shared" si="29"/>
        <v>0</v>
      </c>
      <c r="N140" s="10" t="e">
        <f>L140+#REF!</f>
        <v>#REF!</v>
      </c>
      <c r="O140" s="15" t="e">
        <f t="shared" si="30"/>
        <v>#REF!</v>
      </c>
      <c r="P140" s="10"/>
      <c r="Q140" s="30" t="e">
        <f t="shared" si="24"/>
        <v>#REF!</v>
      </c>
    </row>
    <row r="141" spans="1:17" ht="15" customHeight="1" x14ac:dyDescent="0.25">
      <c r="A141" s="67">
        <v>83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2'!L98</f>
        <v>0</v>
      </c>
      <c r="E141" s="15">
        <f t="shared" si="25"/>
        <v>0</v>
      </c>
      <c r="F141" s="10" t="e">
        <f>D141+#REF!</f>
        <v>#REF!</v>
      </c>
      <c r="G141" s="15" t="e">
        <f t="shared" si="26"/>
        <v>#REF!</v>
      </c>
      <c r="H141" s="14"/>
      <c r="I141" s="29" t="e">
        <f t="shared" si="27"/>
        <v>#DIV/0!</v>
      </c>
      <c r="J141" s="10"/>
      <c r="K141" s="10" t="e">
        <f t="shared" si="28"/>
        <v>#DIV/0!</v>
      </c>
      <c r="L141" s="14">
        <f>'[1]2024_60-69 ΕΞΟΔΑ+ΟΜ 2'!L90</f>
        <v>0</v>
      </c>
      <c r="M141" s="15">
        <f t="shared" si="29"/>
        <v>0</v>
      </c>
      <c r="N141" s="10" t="e">
        <f>L141+#REF!</f>
        <v>#REF!</v>
      </c>
      <c r="O141" s="15" t="e">
        <f t="shared" si="30"/>
        <v>#REF!</v>
      </c>
      <c r="P141" s="10"/>
      <c r="Q141" s="30" t="e">
        <f t="shared" si="24"/>
        <v>#REF!</v>
      </c>
    </row>
    <row r="142" spans="1:17" ht="15" customHeight="1" x14ac:dyDescent="0.25">
      <c r="A142" s="67">
        <v>84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2'!L99</f>
        <v>0</v>
      </c>
      <c r="E142" s="15">
        <f t="shared" si="25"/>
        <v>0</v>
      </c>
      <c r="F142" s="10" t="e">
        <f>D142+#REF!</f>
        <v>#REF!</v>
      </c>
      <c r="G142" s="15" t="e">
        <f t="shared" si="26"/>
        <v>#REF!</v>
      </c>
      <c r="H142" s="14"/>
      <c r="I142" s="29" t="e">
        <f t="shared" si="27"/>
        <v>#DIV/0!</v>
      </c>
      <c r="J142" s="10"/>
      <c r="K142" s="10" t="e">
        <f t="shared" si="28"/>
        <v>#DIV/0!</v>
      </c>
      <c r="L142" s="14">
        <f>'[1]2024_60-69 ΕΞΟΔΑ+ΟΜ 2'!L91</f>
        <v>900</v>
      </c>
      <c r="M142" s="15">
        <f t="shared" si="29"/>
        <v>8.4858107815054595E-2</v>
      </c>
      <c r="N142" s="10" t="e">
        <f>L142+#REF!</f>
        <v>#REF!</v>
      </c>
      <c r="O142" s="15" t="e">
        <f t="shared" si="30"/>
        <v>#REF!</v>
      </c>
      <c r="P142" s="10"/>
      <c r="Q142" s="30" t="e">
        <f t="shared" si="24"/>
        <v>#REF!</v>
      </c>
    </row>
    <row r="143" spans="1:17" ht="42.75" customHeight="1" x14ac:dyDescent="0.25">
      <c r="A143" s="67">
        <v>85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2'!L100</f>
        <v>0</v>
      </c>
      <c r="E143" s="15">
        <f t="shared" si="25"/>
        <v>0</v>
      </c>
      <c r="F143" s="10" t="e">
        <f>D143+#REF!</f>
        <v>#REF!</v>
      </c>
      <c r="G143" s="15" t="e">
        <f t="shared" si="26"/>
        <v>#REF!</v>
      </c>
      <c r="H143" s="14"/>
      <c r="I143" s="29" t="e">
        <f t="shared" si="27"/>
        <v>#DIV/0!</v>
      </c>
      <c r="J143" s="10"/>
      <c r="K143" s="10" t="e">
        <f t="shared" si="28"/>
        <v>#DIV/0!</v>
      </c>
      <c r="L143" s="14">
        <f>'[1]2024_60-69 ΕΞΟΔΑ+ΟΜ 2'!L92</f>
        <v>34.44</v>
      </c>
      <c r="M143" s="15">
        <f t="shared" si="29"/>
        <v>3.2472369257227555E-3</v>
      </c>
      <c r="N143" s="10" t="e">
        <f>L143+#REF!</f>
        <v>#REF!</v>
      </c>
      <c r="O143" s="15" t="e">
        <f t="shared" si="30"/>
        <v>#REF!</v>
      </c>
      <c r="P143" s="10"/>
      <c r="Q143" s="30" t="e">
        <f t="shared" si="24"/>
        <v>#REF!</v>
      </c>
    </row>
    <row r="144" spans="1:17" ht="15" customHeight="1" x14ac:dyDescent="0.25">
      <c r="A144" s="67">
        <v>86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2'!L101</f>
        <v>0</v>
      </c>
      <c r="E144" s="15">
        <f t="shared" si="25"/>
        <v>0</v>
      </c>
      <c r="F144" s="10" t="e">
        <f>D144+#REF!</f>
        <v>#REF!</v>
      </c>
      <c r="G144" s="15" t="e">
        <f t="shared" si="26"/>
        <v>#REF!</v>
      </c>
      <c r="H144" s="14"/>
      <c r="I144" s="29" t="e">
        <f t="shared" si="27"/>
        <v>#DIV/0!</v>
      </c>
      <c r="J144" s="10"/>
      <c r="K144" s="10" t="e">
        <f t="shared" si="28"/>
        <v>#DIV/0!</v>
      </c>
      <c r="L144" s="14">
        <f>'[1]2024_60-69 ΕΞΟΔΑ+ΟΜ 2'!L93</f>
        <v>0</v>
      </c>
      <c r="M144" s="15">
        <f t="shared" si="29"/>
        <v>0</v>
      </c>
      <c r="N144" s="10" t="e">
        <f>L144+#REF!</f>
        <v>#REF!</v>
      </c>
      <c r="O144" s="15" t="e">
        <f t="shared" si="30"/>
        <v>#REF!</v>
      </c>
      <c r="P144" s="10"/>
      <c r="Q144" s="30" t="e">
        <f t="shared" si="24"/>
        <v>#REF!</v>
      </c>
    </row>
    <row r="145" spans="1:17" ht="15" customHeight="1" x14ac:dyDescent="0.25">
      <c r="A145" s="67">
        <v>87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2'!L102</f>
        <v>0</v>
      </c>
      <c r="E145" s="15">
        <f t="shared" si="25"/>
        <v>0</v>
      </c>
      <c r="F145" s="10" t="e">
        <f>D145+#REF!</f>
        <v>#REF!</v>
      </c>
      <c r="G145" s="15" t="e">
        <f t="shared" si="26"/>
        <v>#REF!</v>
      </c>
      <c r="H145" s="14"/>
      <c r="I145" s="29" t="e">
        <f t="shared" si="27"/>
        <v>#DIV/0!</v>
      </c>
      <c r="J145" s="10"/>
      <c r="K145" s="10" t="e">
        <f t="shared" si="28"/>
        <v>#DIV/0!</v>
      </c>
      <c r="L145" s="14">
        <f>'[1]2024_60-69 ΕΞΟΔΑ+ΟΜ 2'!L94</f>
        <v>74.19</v>
      </c>
      <c r="M145" s="15">
        <f t="shared" si="29"/>
        <v>6.9951366875543337E-3</v>
      </c>
      <c r="N145" s="10" t="e">
        <f>L145+#REF!</f>
        <v>#REF!</v>
      </c>
      <c r="O145" s="15" t="e">
        <f t="shared" si="30"/>
        <v>#REF!</v>
      </c>
      <c r="P145" s="10"/>
      <c r="Q145" s="30" t="e">
        <f t="shared" si="24"/>
        <v>#REF!</v>
      </c>
    </row>
    <row r="146" spans="1:17" ht="15" customHeight="1" x14ac:dyDescent="0.25">
      <c r="A146" s="67">
        <v>88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2'!L103</f>
        <v>0</v>
      </c>
      <c r="E146" s="15">
        <f t="shared" si="25"/>
        <v>0</v>
      </c>
      <c r="F146" s="10" t="e">
        <f>D146+#REF!</f>
        <v>#REF!</v>
      </c>
      <c r="G146" s="15" t="e">
        <f t="shared" si="26"/>
        <v>#REF!</v>
      </c>
      <c r="H146" s="14"/>
      <c r="I146" s="29" t="e">
        <f t="shared" si="27"/>
        <v>#DIV/0!</v>
      </c>
      <c r="J146" s="10"/>
      <c r="K146" s="10" t="e">
        <f t="shared" si="28"/>
        <v>#DIV/0!</v>
      </c>
      <c r="L146" s="14">
        <f>'[1]2024_60-69 ΕΞΟΔΑ+ΟΜ 2'!L95</f>
        <v>0</v>
      </c>
      <c r="M146" s="15">
        <f t="shared" si="29"/>
        <v>0</v>
      </c>
      <c r="N146" s="10" t="e">
        <f>L146+#REF!</f>
        <v>#REF!</v>
      </c>
      <c r="O146" s="15" t="e">
        <f t="shared" si="30"/>
        <v>#REF!</v>
      </c>
      <c r="P146" s="10"/>
      <c r="Q146" s="30" t="e">
        <f t="shared" si="24"/>
        <v>#REF!</v>
      </c>
    </row>
    <row r="147" spans="1:17" ht="15" customHeight="1" x14ac:dyDescent="0.25">
      <c r="A147" s="67">
        <v>89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2'!L104</f>
        <v>0</v>
      </c>
      <c r="E147" s="15">
        <f t="shared" si="25"/>
        <v>0</v>
      </c>
      <c r="F147" s="10" t="e">
        <f>D147+#REF!</f>
        <v>#REF!</v>
      </c>
      <c r="G147" s="15" t="e">
        <f t="shared" si="26"/>
        <v>#REF!</v>
      </c>
      <c r="H147" s="14"/>
      <c r="I147" s="29" t="e">
        <f t="shared" si="27"/>
        <v>#DIV/0!</v>
      </c>
      <c r="J147" s="10"/>
      <c r="K147" s="10" t="e">
        <f t="shared" si="28"/>
        <v>#DIV/0!</v>
      </c>
      <c r="L147" s="14">
        <f>'[1]2024_60-69 ΕΞΟΔΑ+ΟΜ 2'!L96</f>
        <v>0</v>
      </c>
      <c r="M147" s="15">
        <f t="shared" si="29"/>
        <v>0</v>
      </c>
      <c r="N147" s="10" t="e">
        <f>L147+#REF!</f>
        <v>#REF!</v>
      </c>
      <c r="O147" s="15" t="e">
        <f t="shared" si="30"/>
        <v>#REF!</v>
      </c>
      <c r="P147" s="10"/>
      <c r="Q147" s="30" t="e">
        <f t="shared" si="24"/>
        <v>#REF!</v>
      </c>
    </row>
    <row r="148" spans="1:17" ht="30" customHeight="1" x14ac:dyDescent="0.25">
      <c r="A148" s="67">
        <v>90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2'!L105</f>
        <v>0</v>
      </c>
      <c r="E148" s="15">
        <f t="shared" si="25"/>
        <v>0</v>
      </c>
      <c r="F148" s="10" t="e">
        <f>D148+#REF!</f>
        <v>#REF!</v>
      </c>
      <c r="G148" s="15" t="e">
        <f t="shared" si="26"/>
        <v>#REF!</v>
      </c>
      <c r="H148" s="14"/>
      <c r="I148" s="29" t="e">
        <f t="shared" si="27"/>
        <v>#DIV/0!</v>
      </c>
      <c r="J148" s="10"/>
      <c r="K148" s="10" t="e">
        <f t="shared" si="28"/>
        <v>#DIV/0!</v>
      </c>
      <c r="L148" s="14">
        <f>'[1]2024_60-69 ΕΞΟΔΑ+ΟΜ 2'!L97</f>
        <v>92.44</v>
      </c>
      <c r="M148" s="15">
        <f t="shared" si="29"/>
        <v>8.7158705404707174E-3</v>
      </c>
      <c r="N148" s="10" t="e">
        <f>L148+#REF!</f>
        <v>#REF!</v>
      </c>
      <c r="O148" s="15" t="e">
        <f t="shared" si="30"/>
        <v>#REF!</v>
      </c>
      <c r="P148" s="10"/>
      <c r="Q148" s="30" t="e">
        <f t="shared" si="24"/>
        <v>#REF!</v>
      </c>
    </row>
    <row r="149" spans="1:17" ht="30" customHeight="1" x14ac:dyDescent="0.25">
      <c r="A149" s="67">
        <v>91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2'!L106</f>
        <v>777.67000000000007</v>
      </c>
      <c r="E149" s="15">
        <f t="shared" si="25"/>
        <v>1</v>
      </c>
      <c r="F149" s="10" t="e">
        <f>D149+#REF!</f>
        <v>#REF!</v>
      </c>
      <c r="G149" s="15" t="e">
        <f t="shared" si="26"/>
        <v>#REF!</v>
      </c>
      <c r="H149" s="14"/>
      <c r="I149" s="29" t="e">
        <f t="shared" si="27"/>
        <v>#DIV/0!</v>
      </c>
      <c r="J149" s="10"/>
      <c r="K149" s="10" t="e">
        <f t="shared" si="28"/>
        <v>#DIV/0!</v>
      </c>
      <c r="L149" s="14">
        <f>'[1]2024_60-69 ΕΞΟΔΑ+ΟΜ 2'!L98</f>
        <v>0</v>
      </c>
      <c r="M149" s="15">
        <f t="shared" si="29"/>
        <v>0</v>
      </c>
      <c r="N149" s="10" t="e">
        <f>L149+#REF!</f>
        <v>#REF!</v>
      </c>
      <c r="O149" s="15" t="e">
        <f t="shared" si="30"/>
        <v>#REF!</v>
      </c>
      <c r="P149" s="10"/>
      <c r="Q149" s="30" t="e">
        <f t="shared" si="24"/>
        <v>#REF!</v>
      </c>
    </row>
    <row r="150" spans="1:17" ht="30" customHeight="1" x14ac:dyDescent="0.25">
      <c r="A150" s="67">
        <v>92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2'!L107</f>
        <v>0</v>
      </c>
      <c r="E150" s="15">
        <f t="shared" si="25"/>
        <v>0</v>
      </c>
      <c r="F150" s="10" t="e">
        <f>D150+#REF!</f>
        <v>#REF!</v>
      </c>
      <c r="G150" s="15" t="e">
        <f t="shared" si="26"/>
        <v>#REF!</v>
      </c>
      <c r="H150" s="14"/>
      <c r="I150" s="29" t="e">
        <f t="shared" si="27"/>
        <v>#DIV/0!</v>
      </c>
      <c r="J150" s="10"/>
      <c r="K150" s="10" t="e">
        <f t="shared" si="28"/>
        <v>#DIV/0!</v>
      </c>
      <c r="L150" s="14">
        <f>'[1]2024_60-69 ΕΞΟΔΑ+ΟΜ 2'!L99</f>
        <v>0</v>
      </c>
      <c r="M150" s="15">
        <f t="shared" si="29"/>
        <v>0</v>
      </c>
      <c r="N150" s="10" t="e">
        <f>L150+#REF!</f>
        <v>#REF!</v>
      </c>
      <c r="O150" s="15" t="e">
        <f t="shared" si="30"/>
        <v>#REF!</v>
      </c>
      <c r="P150" s="10"/>
      <c r="Q150" s="30" t="e">
        <f t="shared" si="24"/>
        <v>#REF!</v>
      </c>
    </row>
    <row r="151" spans="1:17" ht="15" x14ac:dyDescent="0.25">
      <c r="A151" s="67">
        <v>93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2'!L108</f>
        <v>0</v>
      </c>
      <c r="E151" s="15">
        <f t="shared" si="25"/>
        <v>0</v>
      </c>
      <c r="F151" s="10" t="e">
        <f>D151+#REF!</f>
        <v>#REF!</v>
      </c>
      <c r="G151" s="15" t="e">
        <f t="shared" si="26"/>
        <v>#REF!</v>
      </c>
      <c r="H151" s="14"/>
      <c r="I151" s="29" t="e">
        <f t="shared" si="27"/>
        <v>#DIV/0!</v>
      </c>
      <c r="J151" s="10"/>
      <c r="K151" s="10" t="e">
        <f t="shared" si="28"/>
        <v>#DIV/0!</v>
      </c>
      <c r="L151" s="14">
        <f>'[1]2024_60-69 ΕΞΟΔΑ+ΟΜ 2'!L100</f>
        <v>578.87</v>
      </c>
      <c r="M151" s="15">
        <f t="shared" si="29"/>
        <v>5.45797920787785E-2</v>
      </c>
      <c r="N151" s="10" t="e">
        <f>L151+#REF!</f>
        <v>#REF!</v>
      </c>
      <c r="O151" s="15" t="e">
        <f t="shared" si="30"/>
        <v>#REF!</v>
      </c>
      <c r="P151" s="10"/>
      <c r="Q151" s="30" t="e">
        <f t="shared" si="24"/>
        <v>#REF!</v>
      </c>
    </row>
    <row r="152" spans="1:17" ht="15" x14ac:dyDescent="0.25">
      <c r="A152" s="67">
        <v>94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2'!L109</f>
        <v>0</v>
      </c>
      <c r="E152" s="15">
        <f t="shared" si="25"/>
        <v>0</v>
      </c>
      <c r="F152" s="10" t="e">
        <f>D152+#REF!</f>
        <v>#REF!</v>
      </c>
      <c r="G152" s="15" t="e">
        <f t="shared" si="26"/>
        <v>#REF!</v>
      </c>
      <c r="H152" s="14"/>
      <c r="I152" s="29" t="e">
        <f t="shared" si="27"/>
        <v>#DIV/0!</v>
      </c>
      <c r="J152" s="10"/>
      <c r="K152" s="10" t="e">
        <f t="shared" si="28"/>
        <v>#DIV/0!</v>
      </c>
      <c r="L152" s="14">
        <f>'[1]2024_60-69 ΕΞΟΔΑ+ΟΜ 2'!L101</f>
        <v>0</v>
      </c>
      <c r="M152" s="15">
        <f t="shared" si="29"/>
        <v>0</v>
      </c>
      <c r="N152" s="10" t="e">
        <f>L152+#REF!</f>
        <v>#REF!</v>
      </c>
      <c r="O152" s="15" t="e">
        <f t="shared" si="30"/>
        <v>#REF!</v>
      </c>
      <c r="P152" s="10"/>
      <c r="Q152" s="30" t="e">
        <f t="shared" si="24"/>
        <v>#REF!</v>
      </c>
    </row>
    <row r="153" spans="1:17" ht="42.75" x14ac:dyDescent="0.25">
      <c r="A153" s="67">
        <v>95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2'!L110</f>
        <v>0</v>
      </c>
      <c r="E153" s="15">
        <f t="shared" si="25"/>
        <v>0</v>
      </c>
      <c r="F153" s="10" t="e">
        <f>D153+#REF!</f>
        <v>#REF!</v>
      </c>
      <c r="G153" s="15" t="e">
        <f t="shared" si="26"/>
        <v>#REF!</v>
      </c>
      <c r="H153" s="14"/>
      <c r="I153" s="29" t="e">
        <f t="shared" si="27"/>
        <v>#DIV/0!</v>
      </c>
      <c r="J153" s="10"/>
      <c r="K153" s="10" t="e">
        <f t="shared" si="28"/>
        <v>#DIV/0!</v>
      </c>
      <c r="L153" s="14">
        <f>'[1]2024_60-69 ΕΞΟΔΑ+ΟΜ 2'!L102</f>
        <v>4728.78</v>
      </c>
      <c r="M153" s="15">
        <f t="shared" si="29"/>
        <v>0.44586147008185983</v>
      </c>
      <c r="N153" s="10" t="e">
        <f>L153+#REF!</f>
        <v>#REF!</v>
      </c>
      <c r="O153" s="15" t="e">
        <f t="shared" si="30"/>
        <v>#REF!</v>
      </c>
      <c r="P153" s="10"/>
      <c r="Q153" s="30" t="e">
        <f t="shared" si="24"/>
        <v>#REF!</v>
      </c>
    </row>
    <row r="154" spans="1:17" ht="15" x14ac:dyDescent="0.25">
      <c r="A154" s="67">
        <v>96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97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98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2'!L73</f>
        <v>0</v>
      </c>
      <c r="E157" s="8"/>
      <c r="F157" s="7">
        <f>'[1]2025_60-69 ΕΞΟΔΑ+ΟΜ 2'!Y73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10605.939999999999</v>
      </c>
      <c r="M157" s="8"/>
      <c r="N157" s="7" t="e">
        <f>SUM(N117:N156)</f>
        <v>#REF!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 t="e">
        <f>F116-F157</f>
        <v>#REF!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 t="e">
        <f>N116-N157</f>
        <v>#REF!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D7-D78-D111-D157</f>
        <v>-7839.9766666666674</v>
      </c>
      <c r="E159" s="4"/>
      <c r="F159" s="31" t="e">
        <f>F7-F78-F111-F157</f>
        <v>#REF!</v>
      </c>
      <c r="G159" s="4"/>
      <c r="H159" s="31">
        <f ca="1">H7-H78-H111-H157</f>
        <v>0</v>
      </c>
      <c r="I159" s="4"/>
      <c r="J159" s="31" t="e">
        <f>J7-J78-J111-J157</f>
        <v>#REF!</v>
      </c>
      <c r="K159" s="4"/>
      <c r="L159" s="31">
        <f ca="1">L7-L78-L111-L157</f>
        <v>4873.2269026548947</v>
      </c>
      <c r="M159" s="4"/>
      <c r="N159" s="31" t="e">
        <f>N7-N78-N111-N157</f>
        <v>#REF!</v>
      </c>
      <c r="O159" s="4"/>
      <c r="P159" s="31"/>
      <c r="Q159" s="4"/>
    </row>
    <row r="160" spans="1:17" ht="15" x14ac:dyDescent="0.25">
      <c r="A160" s="57"/>
      <c r="B160" s="58"/>
      <c r="C160" s="58"/>
      <c r="D160" s="182"/>
      <c r="E160" s="182"/>
      <c r="F160" s="182"/>
      <c r="G160" s="182"/>
      <c r="H160" s="182"/>
      <c r="I160" s="182"/>
      <c r="J160" s="182"/>
      <c r="K160" s="182"/>
      <c r="L160" s="182"/>
      <c r="M160" s="182"/>
      <c r="N160" s="182"/>
      <c r="O160" s="182"/>
      <c r="P160" s="183"/>
      <c r="Q160" s="183"/>
    </row>
  </sheetData>
  <mergeCells count="37">
    <mergeCell ref="D82:F82"/>
    <mergeCell ref="H82:J82"/>
    <mergeCell ref="L82:N82"/>
    <mergeCell ref="P82:Q82"/>
    <mergeCell ref="D160:G160"/>
    <mergeCell ref="H160:K160"/>
    <mergeCell ref="L160:O160"/>
    <mergeCell ref="P160:Q160"/>
    <mergeCell ref="D113:G113"/>
    <mergeCell ref="H113:K113"/>
    <mergeCell ref="L113:O113"/>
    <mergeCell ref="P113:Q113"/>
    <mergeCell ref="D114:F114"/>
    <mergeCell ref="H114:J114"/>
    <mergeCell ref="L114:N114"/>
    <mergeCell ref="P114:Q114"/>
    <mergeCell ref="D41:F41"/>
    <mergeCell ref="H41:J41"/>
    <mergeCell ref="L41:N41"/>
    <mergeCell ref="P41:Q41"/>
    <mergeCell ref="D81:G81"/>
    <mergeCell ref="H81:K81"/>
    <mergeCell ref="L81:O81"/>
    <mergeCell ref="P81:Q81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59"/>
  <sheetViews>
    <sheetView topLeftCell="A89" workbookViewId="0">
      <selection activeCell="B85" sqref="B85:B109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</row>
    <row r="2" spans="1:17" ht="41.25" customHeight="1" x14ac:dyDescent="0.25">
      <c r="A2" s="57"/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>
        <f>[1]ΑΝΤΙΣΤΟΙΧΙΣΗ!$D$34</f>
        <v>2025</v>
      </c>
      <c r="H2" s="182" t="str">
        <f>[1]ΑΝΤΙΣΤΟΙΧΙΣΗ!$F$35</f>
        <v>ΠΡΟΥΠΟΛΟΓΙΣΜΟΣ ΤΡΕΧΟΝΤΟΣ ΕΤΟΥΣ</v>
      </c>
      <c r="I2" s="182"/>
      <c r="J2" s="182"/>
      <c r="K2" s="182">
        <f>[1]ΑΝΤΙΣΤΟΙΧΙΣΗ!$D$34</f>
        <v>2025</v>
      </c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</row>
    <row r="3" spans="1:17" ht="16.5" customHeight="1" x14ac:dyDescent="0.25">
      <c r="A3" s="59" t="s">
        <v>1</v>
      </c>
      <c r="B3" s="60"/>
      <c r="C3" s="5" t="s">
        <v>161</v>
      </c>
      <c r="D3" s="180" t="str">
        <f>[1]ΑΝΤΙΣΤΟΙΧΙΣΗ!$F$115</f>
        <v xml:space="preserve">ΟΚΤΩΒΡΙΟΣ ΤΡΕΧΟΝ ΕΤΟΣ </v>
      </c>
      <c r="E3" s="180"/>
      <c r="F3" s="180"/>
      <c r="G3" s="61">
        <f>[1]ΑΝΤΙΣΤΟΙΧΙΣΗ!$D$34</f>
        <v>2025</v>
      </c>
      <c r="H3" s="180" t="str">
        <f>[1]ΑΝΤΙΣΤΟΙΧΙΣΗ!$F$115</f>
        <v xml:space="preserve">ΟΚΤΩΒΡΙΟΣ ΤΡΕΧΟΝ ΕΤΟΣ </v>
      </c>
      <c r="I3" s="180"/>
      <c r="J3" s="180"/>
      <c r="K3" s="61">
        <f>[1]ΑΝΤΙΣΤΟΙΧΙΣΗ!$D$34</f>
        <v>2025</v>
      </c>
      <c r="L3" s="180" t="str">
        <f>[1]ΑΝΤΙΣΤΟΙΧΙΣΗ!$F$129</f>
        <v>ΟΚΤΩΒΡΙΟΣ ΠΡΟΗΓΟΥΜΕΝΟΥ ΕΤΟΥΣ</v>
      </c>
      <c r="M3" s="180"/>
      <c r="N3" s="180"/>
      <c r="O3" s="61">
        <f>[1]ΑΝΤΙΣΤΟΙΧΙΣΗ!$D$33</f>
        <v>2024</v>
      </c>
      <c r="P3" s="180"/>
      <c r="Q3" s="180"/>
    </row>
    <row r="4" spans="1:17" ht="78.75" customHeight="1" x14ac:dyDescent="0.25">
      <c r="A4" s="62"/>
      <c r="B4" s="62"/>
      <c r="C4" s="62"/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/>
      <c r="B5" s="65"/>
      <c r="C5" s="2" t="s">
        <v>14</v>
      </c>
      <c r="D5" s="3">
        <f ca="1">D7-D6</f>
        <v>-8617.6466666666674</v>
      </c>
      <c r="E5" s="4"/>
      <c r="F5" s="3" t="e">
        <f>F7-F6</f>
        <v>#REF!</v>
      </c>
      <c r="G5" s="4"/>
      <c r="H5" s="3">
        <f ca="1">H159-H6</f>
        <v>0</v>
      </c>
      <c r="I5" s="4"/>
      <c r="J5" s="3" t="e">
        <f>J159-J6</f>
        <v>#REF!</v>
      </c>
      <c r="K5" s="4"/>
      <c r="L5" s="3">
        <f ca="1">L7-L6</f>
        <v>10329.989999999991</v>
      </c>
      <c r="M5" s="4"/>
      <c r="N5" s="3" t="e">
        <f>N7-N6</f>
        <v>#REF!</v>
      </c>
      <c r="O5" s="4"/>
      <c r="P5" s="3">
        <f ca="1">P159-P6</f>
        <v>0</v>
      </c>
      <c r="Q5" s="4"/>
    </row>
    <row r="6" spans="1:17" ht="25.5" customHeight="1" x14ac:dyDescent="0.25">
      <c r="A6" s="64"/>
      <c r="B6" s="65"/>
      <c r="C6" s="2" t="s">
        <v>15</v>
      </c>
      <c r="D6" s="3">
        <f ca="1">D43+D84+D116</f>
        <v>8617.6466666666674</v>
      </c>
      <c r="E6" s="4"/>
      <c r="F6" s="3">
        <f>F78+F111+F157</f>
        <v>309921.46666666656</v>
      </c>
      <c r="G6" s="4"/>
      <c r="H6" s="3">
        <f ca="1">H38-H43-H84</f>
        <v>0</v>
      </c>
      <c r="I6" s="4"/>
      <c r="J6" s="66" t="e">
        <f>J38-J43-J84</f>
        <v>#REF!</v>
      </c>
      <c r="K6" s="4"/>
      <c r="L6" s="3">
        <f ca="1">L43+L84+L116</f>
        <v>66765.61</v>
      </c>
      <c r="M6" s="4"/>
      <c r="N6" s="66" t="e">
        <f>N78+N111+N157</f>
        <v>#REF!</v>
      </c>
      <c r="O6" s="4"/>
      <c r="P6" s="3">
        <f ca="1">P38-P43-P84</f>
        <v>0</v>
      </c>
      <c r="Q6" s="4"/>
    </row>
    <row r="7" spans="1:17" ht="15.75" customHeight="1" x14ac:dyDescent="0.25">
      <c r="A7" s="19"/>
      <c r="B7" s="19"/>
      <c r="C7" s="6" t="s">
        <v>16</v>
      </c>
      <c r="D7" s="7">
        <f>SUM(D8:D37)</f>
        <v>0</v>
      </c>
      <c r="E7" s="8"/>
      <c r="F7" s="7" t="e">
        <f>SUM(F8:F37)</f>
        <v>#REF!</v>
      </c>
      <c r="G7" s="8"/>
      <c r="H7" s="7">
        <f>SUM(H8:H37)</f>
        <v>0</v>
      </c>
      <c r="I7" s="8"/>
      <c r="J7" s="7" t="e">
        <f>SUM(J8:J37)</f>
        <v>#REF!</v>
      </c>
      <c r="K7" s="8"/>
      <c r="L7" s="7">
        <f>SUM(L8:L37)</f>
        <v>77095.599999999991</v>
      </c>
      <c r="M7" s="8"/>
      <c r="N7" s="7" t="e">
        <f>SUM(N8:N37)</f>
        <v>#REF!</v>
      </c>
      <c r="O7" s="8"/>
      <c r="P7" s="7" t="e">
        <f>SUM(P8:P37)</f>
        <v>#REF!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'[1]2025_ΕΣΟΔΑ'!L2</f>
        <v>0</v>
      </c>
      <c r="E8" s="11" t="e">
        <f>D8/$D$7</f>
        <v>#DIV/0!</v>
      </c>
      <c r="F8" s="12" t="e">
        <f>D8+#REF!</f>
        <v>#REF!</v>
      </c>
      <c r="G8" s="11" t="e">
        <f>F8/$F$7</f>
        <v>#REF!</v>
      </c>
      <c r="H8" s="12"/>
      <c r="I8" s="11" t="e">
        <f>H8/$H$7</f>
        <v>#DIV/0!</v>
      </c>
      <c r="J8" s="12" t="e">
        <f>H8+#REF!</f>
        <v>#REF!</v>
      </c>
      <c r="K8" s="11" t="e">
        <f>J8/$J$7</f>
        <v>#REF!</v>
      </c>
      <c r="L8" s="68">
        <f>'[1]2024_60-69 ΕΞΟΔΑ+ΟΜ 2'!L114</f>
        <v>69039.8</v>
      </c>
      <c r="M8" s="11">
        <f>L8/$L$7</f>
        <v>0.89550895252128537</v>
      </c>
      <c r="N8" s="12" t="e">
        <f>L8+#REF!</f>
        <v>#REF!</v>
      </c>
      <c r="O8" s="11" t="e">
        <f>N8/$N$7</f>
        <v>#REF!</v>
      </c>
      <c r="P8" s="12" t="e">
        <f t="shared" ref="P8:P37" si="0">F8-N8</f>
        <v>#REF!</v>
      </c>
      <c r="Q8" s="11" t="e">
        <f t="shared" ref="Q8:Q37" si="1">N8/F8</f>
        <v>#REF!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'[1]2025_ΕΣΟΔΑ'!L3</f>
        <v>0</v>
      </c>
      <c r="E9" s="11" t="e">
        <f t="shared" ref="E9:E37" si="2">D9/$D$7</f>
        <v>#DIV/0!</v>
      </c>
      <c r="F9" s="12" t="e">
        <f>D9+#REF!</f>
        <v>#REF!</v>
      </c>
      <c r="G9" s="11" t="e">
        <f t="shared" ref="G9:G37" si="3">F9/$F$7</f>
        <v>#REF!</v>
      </c>
      <c r="H9" s="12"/>
      <c r="I9" s="11" t="e">
        <f t="shared" ref="I9:I37" si="4">H9/$H$7</f>
        <v>#DIV/0!</v>
      </c>
      <c r="J9" s="12" t="e">
        <f>H9+#REF!</f>
        <v>#REF!</v>
      </c>
      <c r="K9" s="11" t="e">
        <f t="shared" ref="K9:K37" si="5">J9/$J$7</f>
        <v>#REF!</v>
      </c>
      <c r="L9" s="68">
        <f>'[1]2024_60-69 ΕΞΟΔΑ+ΟΜ 2'!L115</f>
        <v>0</v>
      </c>
      <c r="M9" s="11">
        <f t="shared" ref="M9:M28" si="6">L9/$L$7</f>
        <v>0</v>
      </c>
      <c r="N9" s="12" t="e">
        <f>L9+#REF!</f>
        <v>#REF!</v>
      </c>
      <c r="O9" s="11" t="e">
        <f t="shared" ref="O9:O37" si="7">N9/$N$7</f>
        <v>#REF!</v>
      </c>
      <c r="P9" s="12" t="e">
        <f t="shared" si="0"/>
        <v>#REF!</v>
      </c>
      <c r="Q9" s="11" t="e">
        <f t="shared" si="1"/>
        <v>#REF!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'[1]2025_ΕΣΟΔΑ'!L4</f>
        <v>0</v>
      </c>
      <c r="E10" s="11" t="e">
        <f t="shared" si="2"/>
        <v>#DIV/0!</v>
      </c>
      <c r="F10" s="12" t="e">
        <f>D10+#REF!</f>
        <v>#REF!</v>
      </c>
      <c r="G10" s="11" t="e">
        <f t="shared" si="3"/>
        <v>#REF!</v>
      </c>
      <c r="H10" s="12"/>
      <c r="I10" s="11" t="e">
        <f t="shared" si="4"/>
        <v>#DIV/0!</v>
      </c>
      <c r="J10" s="12" t="e">
        <f>H10+#REF!</f>
        <v>#REF!</v>
      </c>
      <c r="K10" s="11" t="e">
        <f t="shared" si="5"/>
        <v>#REF!</v>
      </c>
      <c r="L10" s="68">
        <f>'[1]2024_60-69 ΕΞΟΔΑ+ΟΜ 2'!L116</f>
        <v>0</v>
      </c>
      <c r="M10" s="11">
        <f t="shared" si="6"/>
        <v>0</v>
      </c>
      <c r="N10" s="12" t="e">
        <f>L10+#REF!</f>
        <v>#REF!</v>
      </c>
      <c r="O10" s="11" t="e">
        <f t="shared" si="7"/>
        <v>#REF!</v>
      </c>
      <c r="P10" s="12" t="e">
        <f t="shared" si="0"/>
        <v>#REF!</v>
      </c>
      <c r="Q10" s="11" t="e">
        <f t="shared" si="1"/>
        <v>#REF!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'[1]2025_ΕΣΟΔΑ'!L5</f>
        <v>0</v>
      </c>
      <c r="E11" s="11" t="e">
        <f t="shared" si="2"/>
        <v>#DIV/0!</v>
      </c>
      <c r="F11" s="12" t="e">
        <f>D11+#REF!</f>
        <v>#REF!</v>
      </c>
      <c r="G11" s="11" t="e">
        <f t="shared" si="3"/>
        <v>#REF!</v>
      </c>
      <c r="H11" s="12"/>
      <c r="I11" s="11" t="e">
        <f t="shared" si="4"/>
        <v>#DIV/0!</v>
      </c>
      <c r="J11" s="12" t="e">
        <f>H11+#REF!</f>
        <v>#REF!</v>
      </c>
      <c r="K11" s="11" t="e">
        <f t="shared" si="5"/>
        <v>#REF!</v>
      </c>
      <c r="L11" s="68">
        <f>'[1]2024_60-69 ΕΞΟΔΑ+ΟΜ 2'!L117</f>
        <v>4419.47</v>
      </c>
      <c r="M11" s="11">
        <f t="shared" si="6"/>
        <v>5.7324542516045025E-2</v>
      </c>
      <c r="N11" s="12" t="e">
        <f>L11+#REF!</f>
        <v>#REF!</v>
      </c>
      <c r="O11" s="11" t="e">
        <f t="shared" si="7"/>
        <v>#REF!</v>
      </c>
      <c r="P11" s="12" t="e">
        <f t="shared" si="0"/>
        <v>#REF!</v>
      </c>
      <c r="Q11" s="11" t="e">
        <f t="shared" si="1"/>
        <v>#REF!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'[1]2025_ΕΣΟΔΑ'!L6</f>
        <v>0</v>
      </c>
      <c r="E12" s="11" t="e">
        <f t="shared" si="2"/>
        <v>#DIV/0!</v>
      </c>
      <c r="F12" s="12" t="e">
        <f>D12+#REF!</f>
        <v>#REF!</v>
      </c>
      <c r="G12" s="11" t="e">
        <f t="shared" si="3"/>
        <v>#REF!</v>
      </c>
      <c r="H12" s="12"/>
      <c r="I12" s="11" t="e">
        <f t="shared" si="4"/>
        <v>#DIV/0!</v>
      </c>
      <c r="J12" s="12" t="e">
        <f>H12+#REF!</f>
        <v>#REF!</v>
      </c>
      <c r="K12" s="11" t="e">
        <f t="shared" si="5"/>
        <v>#REF!</v>
      </c>
      <c r="L12" s="68">
        <f>'[1]2024_60-69 ΕΞΟΔΑ+ΟΜ 2'!L118</f>
        <v>0</v>
      </c>
      <c r="M12" s="11">
        <f t="shared" si="6"/>
        <v>0</v>
      </c>
      <c r="N12" s="12" t="e">
        <f>L12+#REF!</f>
        <v>#REF!</v>
      </c>
      <c r="O12" s="11" t="e">
        <f t="shared" si="7"/>
        <v>#REF!</v>
      </c>
      <c r="P12" s="12" t="e">
        <f t="shared" si="0"/>
        <v>#REF!</v>
      </c>
      <c r="Q12" s="11" t="e">
        <f t="shared" si="1"/>
        <v>#REF!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'[1]2025_ΕΣΟΔΑ'!L7</f>
        <v>0</v>
      </c>
      <c r="E13" s="11" t="e">
        <f t="shared" si="2"/>
        <v>#DIV/0!</v>
      </c>
      <c r="F13" s="12" t="e">
        <f>D13+#REF!</f>
        <v>#REF!</v>
      </c>
      <c r="G13" s="11" t="e">
        <f t="shared" si="3"/>
        <v>#REF!</v>
      </c>
      <c r="H13" s="12"/>
      <c r="I13" s="11" t="e">
        <f t="shared" si="4"/>
        <v>#DIV/0!</v>
      </c>
      <c r="J13" s="12" t="e">
        <f>H13+#REF!</f>
        <v>#REF!</v>
      </c>
      <c r="K13" s="11" t="e">
        <f t="shared" si="5"/>
        <v>#REF!</v>
      </c>
      <c r="L13" s="68">
        <f>'[1]2024_60-69 ΕΞΟΔΑ+ΟΜ 2'!L119</f>
        <v>2140.0100000000002</v>
      </c>
      <c r="M13" s="11">
        <f t="shared" si="6"/>
        <v>2.7757874638760196E-2</v>
      </c>
      <c r="N13" s="12" t="e">
        <f>L13+#REF!</f>
        <v>#REF!</v>
      </c>
      <c r="O13" s="11" t="e">
        <f t="shared" si="7"/>
        <v>#REF!</v>
      </c>
      <c r="P13" s="12" t="e">
        <f t="shared" si="0"/>
        <v>#REF!</v>
      </c>
      <c r="Q13" s="11" t="e">
        <f t="shared" si="1"/>
        <v>#REF!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'[1]2025_ΕΣΟΔΑ'!L8</f>
        <v>0</v>
      </c>
      <c r="E14" s="11" t="e">
        <f t="shared" si="2"/>
        <v>#DIV/0!</v>
      </c>
      <c r="F14" s="12" t="e">
        <f>D14+#REF!</f>
        <v>#REF!</v>
      </c>
      <c r="G14" s="11" t="e">
        <f t="shared" si="3"/>
        <v>#REF!</v>
      </c>
      <c r="H14" s="12"/>
      <c r="I14" s="11" t="e">
        <f t="shared" si="4"/>
        <v>#DIV/0!</v>
      </c>
      <c r="J14" s="12" t="e">
        <f>H14+#REF!</f>
        <v>#REF!</v>
      </c>
      <c r="K14" s="11" t="e">
        <f t="shared" si="5"/>
        <v>#REF!</v>
      </c>
      <c r="L14" s="68">
        <f>'[1]2024_60-69 ΕΞΟΔΑ+ΟΜ 2'!L120</f>
        <v>100</v>
      </c>
      <c r="M14" s="11">
        <f t="shared" si="6"/>
        <v>1.2970908845640998E-3</v>
      </c>
      <c r="N14" s="12" t="e">
        <f>L14+#REF!</f>
        <v>#REF!</v>
      </c>
      <c r="O14" s="11" t="e">
        <f t="shared" si="7"/>
        <v>#REF!</v>
      </c>
      <c r="P14" s="12" t="e">
        <f t="shared" si="0"/>
        <v>#REF!</v>
      </c>
      <c r="Q14" s="11" t="e">
        <f t="shared" si="1"/>
        <v>#REF!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'[1]2025_ΕΣΟΔΑ'!L9</f>
        <v>0</v>
      </c>
      <c r="E15" s="11" t="e">
        <f t="shared" si="2"/>
        <v>#DIV/0!</v>
      </c>
      <c r="F15" s="12" t="e">
        <f>D15+#REF!</f>
        <v>#REF!</v>
      </c>
      <c r="G15" s="11" t="e">
        <f t="shared" si="3"/>
        <v>#REF!</v>
      </c>
      <c r="H15" s="12"/>
      <c r="I15" s="11" t="e">
        <f t="shared" si="4"/>
        <v>#DIV/0!</v>
      </c>
      <c r="J15" s="12" t="e">
        <f>H15+#REF!</f>
        <v>#REF!</v>
      </c>
      <c r="K15" s="11" t="e">
        <f t="shared" si="5"/>
        <v>#REF!</v>
      </c>
      <c r="L15" s="68">
        <f>'[1]2024_60-69 ΕΞΟΔΑ+ΟΜ 2'!L121</f>
        <v>912.88</v>
      </c>
      <c r="M15" s="11">
        <f t="shared" si="6"/>
        <v>1.1840883267008754E-2</v>
      </c>
      <c r="N15" s="12" t="e">
        <f>L15+#REF!</f>
        <v>#REF!</v>
      </c>
      <c r="O15" s="11" t="e">
        <f t="shared" si="7"/>
        <v>#REF!</v>
      </c>
      <c r="P15" s="12" t="e">
        <f t="shared" si="0"/>
        <v>#REF!</v>
      </c>
      <c r="Q15" s="11" t="e">
        <f t="shared" si="1"/>
        <v>#REF!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'[1]2025_ΕΣΟΔΑ'!L10</f>
        <v>0</v>
      </c>
      <c r="E16" s="11" t="e">
        <f t="shared" si="2"/>
        <v>#DIV/0!</v>
      </c>
      <c r="F16" s="12" t="e">
        <f>D16+#REF!</f>
        <v>#REF!</v>
      </c>
      <c r="G16" s="11" t="e">
        <f t="shared" si="3"/>
        <v>#REF!</v>
      </c>
      <c r="H16" s="12"/>
      <c r="I16" s="11" t="e">
        <f t="shared" si="4"/>
        <v>#DIV/0!</v>
      </c>
      <c r="J16" s="12" t="e">
        <f>H16+#REF!</f>
        <v>#REF!</v>
      </c>
      <c r="K16" s="11" t="e">
        <f t="shared" si="5"/>
        <v>#REF!</v>
      </c>
      <c r="L16" s="68">
        <f>'[1]2024_60-69 ΕΞΟΔΑ+ΟΜ 2'!L122</f>
        <v>0</v>
      </c>
      <c r="M16" s="11">
        <f t="shared" si="6"/>
        <v>0</v>
      </c>
      <c r="N16" s="12" t="e">
        <f>L16+#REF!</f>
        <v>#REF!</v>
      </c>
      <c r="O16" s="11" t="e">
        <f t="shared" si="7"/>
        <v>#REF!</v>
      </c>
      <c r="P16" s="12" t="e">
        <f t="shared" si="0"/>
        <v>#REF!</v>
      </c>
      <c r="Q16" s="11" t="e">
        <f t="shared" si="1"/>
        <v>#REF!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'[1]2025_ΕΣΟΔΑ'!L11</f>
        <v>0</v>
      </c>
      <c r="E17" s="11" t="e">
        <f t="shared" si="2"/>
        <v>#DIV/0!</v>
      </c>
      <c r="F17" s="12" t="e">
        <f>D17+#REF!</f>
        <v>#REF!</v>
      </c>
      <c r="G17" s="11" t="e">
        <f t="shared" si="3"/>
        <v>#REF!</v>
      </c>
      <c r="H17" s="12"/>
      <c r="I17" s="11" t="e">
        <f t="shared" si="4"/>
        <v>#DIV/0!</v>
      </c>
      <c r="J17" s="12" t="e">
        <f>H17+#REF!</f>
        <v>#REF!</v>
      </c>
      <c r="K17" s="11" t="e">
        <f t="shared" si="5"/>
        <v>#REF!</v>
      </c>
      <c r="L17" s="68">
        <f>'[1]2024_60-69 ΕΞΟΔΑ+ΟΜ 2'!L123</f>
        <v>0</v>
      </c>
      <c r="M17" s="11">
        <f t="shared" si="6"/>
        <v>0</v>
      </c>
      <c r="N17" s="12" t="e">
        <f>L17+#REF!</f>
        <v>#REF!</v>
      </c>
      <c r="O17" s="11" t="e">
        <f t="shared" si="7"/>
        <v>#REF!</v>
      </c>
      <c r="P17" s="12" t="e">
        <f t="shared" si="0"/>
        <v>#REF!</v>
      </c>
      <c r="Q17" s="11" t="e">
        <f t="shared" si="1"/>
        <v>#REF!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'[1]2025_ΕΣΟΔΑ'!L12</f>
        <v>0</v>
      </c>
      <c r="E18" s="11" t="e">
        <f t="shared" si="2"/>
        <v>#DIV/0!</v>
      </c>
      <c r="F18" s="12" t="e">
        <f>D18+#REF!</f>
        <v>#REF!</v>
      </c>
      <c r="G18" s="11" t="e">
        <f t="shared" si="3"/>
        <v>#REF!</v>
      </c>
      <c r="H18" s="12"/>
      <c r="I18" s="11" t="e">
        <f t="shared" si="4"/>
        <v>#DIV/0!</v>
      </c>
      <c r="J18" s="12" t="e">
        <f>H18+#REF!</f>
        <v>#REF!</v>
      </c>
      <c r="K18" s="11" t="e">
        <f t="shared" si="5"/>
        <v>#REF!</v>
      </c>
      <c r="L18" s="68">
        <f>'[1]2024_60-69 ΕΞΟΔΑ+ΟΜ 2'!L124</f>
        <v>112.9</v>
      </c>
      <c r="M18" s="11">
        <f t="shared" si="6"/>
        <v>1.4644156086728688E-3</v>
      </c>
      <c r="N18" s="12" t="e">
        <f>L18+#REF!</f>
        <v>#REF!</v>
      </c>
      <c r="O18" s="11" t="e">
        <f t="shared" si="7"/>
        <v>#REF!</v>
      </c>
      <c r="P18" s="12" t="e">
        <f t="shared" si="0"/>
        <v>#REF!</v>
      </c>
      <c r="Q18" s="11" t="e">
        <f t="shared" si="1"/>
        <v>#REF!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'[1]2025_ΕΣΟΔΑ'!L13</f>
        <v>0</v>
      </c>
      <c r="E19" s="11" t="e">
        <f t="shared" si="2"/>
        <v>#DIV/0!</v>
      </c>
      <c r="F19" s="12" t="e">
        <f>D19+#REF!</f>
        <v>#REF!</v>
      </c>
      <c r="G19" s="11" t="e">
        <f t="shared" si="3"/>
        <v>#REF!</v>
      </c>
      <c r="H19" s="12"/>
      <c r="I19" s="11" t="e">
        <f t="shared" si="4"/>
        <v>#DIV/0!</v>
      </c>
      <c r="J19" s="12" t="e">
        <f>H19+#REF!</f>
        <v>#REF!</v>
      </c>
      <c r="K19" s="11" t="e">
        <f t="shared" si="5"/>
        <v>#REF!</v>
      </c>
      <c r="L19" s="68">
        <f>'[1]2024_60-69 ΕΞΟΔΑ+ΟΜ 2'!L125</f>
        <v>0</v>
      </c>
      <c r="M19" s="11">
        <f t="shared" si="6"/>
        <v>0</v>
      </c>
      <c r="N19" s="12" t="e">
        <f>L19+#REF!</f>
        <v>#REF!</v>
      </c>
      <c r="O19" s="11" t="e">
        <f t="shared" si="7"/>
        <v>#REF!</v>
      </c>
      <c r="P19" s="12" t="e">
        <f t="shared" si="0"/>
        <v>#REF!</v>
      </c>
      <c r="Q19" s="11" t="e">
        <f t="shared" si="1"/>
        <v>#REF!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'[1]2025_ΕΣΟΔΑ'!L14</f>
        <v>0</v>
      </c>
      <c r="E20" s="11" t="e">
        <f t="shared" si="2"/>
        <v>#DIV/0!</v>
      </c>
      <c r="F20" s="12" t="e">
        <f>D20+#REF!</f>
        <v>#REF!</v>
      </c>
      <c r="G20" s="11" t="e">
        <f t="shared" si="3"/>
        <v>#REF!</v>
      </c>
      <c r="H20" s="12"/>
      <c r="I20" s="11" t="e">
        <f t="shared" si="4"/>
        <v>#DIV/0!</v>
      </c>
      <c r="J20" s="12" t="e">
        <f>H20+#REF!</f>
        <v>#REF!</v>
      </c>
      <c r="K20" s="11" t="e">
        <f t="shared" si="5"/>
        <v>#REF!</v>
      </c>
      <c r="L20" s="68">
        <f>'[1]2024_60-69 ΕΞΟΔΑ+ΟΜ 2'!L126</f>
        <v>0</v>
      </c>
      <c r="M20" s="11">
        <f t="shared" si="6"/>
        <v>0</v>
      </c>
      <c r="N20" s="12" t="e">
        <f>L20+#REF!</f>
        <v>#REF!</v>
      </c>
      <c r="O20" s="11" t="e">
        <f t="shared" si="7"/>
        <v>#REF!</v>
      </c>
      <c r="P20" s="12" t="e">
        <f t="shared" si="0"/>
        <v>#REF!</v>
      </c>
      <c r="Q20" s="11" t="e">
        <f t="shared" si="1"/>
        <v>#REF!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'[1]2025_ΕΣΟΔΑ'!L15</f>
        <v>0</v>
      </c>
      <c r="E21" s="11" t="e">
        <f t="shared" si="2"/>
        <v>#DIV/0!</v>
      </c>
      <c r="F21" s="12" t="e">
        <f>D21+#REF!</f>
        <v>#REF!</v>
      </c>
      <c r="G21" s="11" t="e">
        <f t="shared" si="3"/>
        <v>#REF!</v>
      </c>
      <c r="H21" s="12"/>
      <c r="I21" s="11" t="e">
        <f t="shared" si="4"/>
        <v>#DIV/0!</v>
      </c>
      <c r="J21" s="12" t="e">
        <f>H21+#REF!</f>
        <v>#REF!</v>
      </c>
      <c r="K21" s="11" t="e">
        <f t="shared" si="5"/>
        <v>#REF!</v>
      </c>
      <c r="L21" s="68">
        <f>'[1]2024_60-69 ΕΞΟΔΑ+ΟΜ 2'!L127</f>
        <v>345.13</v>
      </c>
      <c r="M21" s="11">
        <f t="shared" si="6"/>
        <v>4.4766497698960775E-3</v>
      </c>
      <c r="N21" s="12" t="e">
        <f>L21+#REF!</f>
        <v>#REF!</v>
      </c>
      <c r="O21" s="11" t="e">
        <f t="shared" si="7"/>
        <v>#REF!</v>
      </c>
      <c r="P21" s="12" t="e">
        <f t="shared" si="0"/>
        <v>#REF!</v>
      </c>
      <c r="Q21" s="11" t="e">
        <f t="shared" si="1"/>
        <v>#REF!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'[1]2025_ΕΣΟΔΑ'!L16</f>
        <v>0</v>
      </c>
      <c r="E22" s="11" t="e">
        <f t="shared" si="2"/>
        <v>#DIV/0!</v>
      </c>
      <c r="F22" s="12" t="e">
        <f>D22+#REF!</f>
        <v>#REF!</v>
      </c>
      <c r="G22" s="11" t="e">
        <f t="shared" si="3"/>
        <v>#REF!</v>
      </c>
      <c r="H22" s="12"/>
      <c r="I22" s="11" t="e">
        <f t="shared" si="4"/>
        <v>#DIV/0!</v>
      </c>
      <c r="J22" s="12" t="e">
        <f>H22+#REF!</f>
        <v>#REF!</v>
      </c>
      <c r="K22" s="11" t="e">
        <f t="shared" si="5"/>
        <v>#REF!</v>
      </c>
      <c r="L22" s="68">
        <f>'[1]2024_60-69 ΕΞΟΔΑ+ΟΜ 2'!L128</f>
        <v>0</v>
      </c>
      <c r="M22" s="11">
        <f t="shared" si="6"/>
        <v>0</v>
      </c>
      <c r="N22" s="12" t="e">
        <f>L22+#REF!</f>
        <v>#REF!</v>
      </c>
      <c r="O22" s="11" t="e">
        <f t="shared" si="7"/>
        <v>#REF!</v>
      </c>
      <c r="P22" s="12" t="e">
        <f t="shared" si="0"/>
        <v>#REF!</v>
      </c>
      <c r="Q22" s="11" t="e">
        <f t="shared" si="1"/>
        <v>#REF!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'[1]2025_ΕΣΟΔΑ'!L17</f>
        <v>0</v>
      </c>
      <c r="E23" s="11" t="e">
        <f t="shared" si="2"/>
        <v>#DIV/0!</v>
      </c>
      <c r="F23" s="12" t="e">
        <f>D23+#REF!</f>
        <v>#REF!</v>
      </c>
      <c r="G23" s="11" t="e">
        <f t="shared" si="3"/>
        <v>#REF!</v>
      </c>
      <c r="H23" s="12"/>
      <c r="I23" s="11" t="e">
        <f t="shared" si="4"/>
        <v>#DIV/0!</v>
      </c>
      <c r="J23" s="12" t="e">
        <f>H23+#REF!</f>
        <v>#REF!</v>
      </c>
      <c r="K23" s="11" t="e">
        <f t="shared" si="5"/>
        <v>#REF!</v>
      </c>
      <c r="L23" s="68">
        <f>'[1]2024_60-69 ΕΞΟΔΑ+ΟΜ 2'!L129</f>
        <v>0</v>
      </c>
      <c r="M23" s="11">
        <f t="shared" si="6"/>
        <v>0</v>
      </c>
      <c r="N23" s="12" t="e">
        <f>L23+#REF!</f>
        <v>#REF!</v>
      </c>
      <c r="O23" s="11" t="e">
        <f t="shared" si="7"/>
        <v>#REF!</v>
      </c>
      <c r="P23" s="12" t="e">
        <f t="shared" si="0"/>
        <v>#REF!</v>
      </c>
      <c r="Q23" s="11" t="e">
        <f t="shared" si="1"/>
        <v>#REF!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'[1]2025_ΕΣΟΔΑ'!L18</f>
        <v>0</v>
      </c>
      <c r="E24" s="11" t="e">
        <f>D24/$D$7</f>
        <v>#DIV/0!</v>
      </c>
      <c r="F24" s="12">
        <f>D24+'[1]2025 Σεπτέμβριος'!F24</f>
        <v>0</v>
      </c>
      <c r="G24" s="11" t="e">
        <f>F24/$F$7</f>
        <v>#REF!</v>
      </c>
      <c r="H24" s="12">
        <f>[1]ΠΡΟΥΠΟΛΟΓΙΣΜΟΣ_ΕΣΟΔΑ!E225</f>
        <v>0</v>
      </c>
      <c r="I24" s="11" t="e">
        <f>H24/$H$7</f>
        <v>#DIV/0!</v>
      </c>
      <c r="J24" s="12">
        <f>H24+'[1]2025 Σεπτέμβριος'!J24</f>
        <v>0</v>
      </c>
      <c r="K24" s="11" t="e">
        <f>J24/$J$7</f>
        <v>#REF!</v>
      </c>
      <c r="L24" s="68">
        <f>'[1]2024_60-69 ΕΞΟΔΑ+ΟΜ 2'!L130</f>
        <v>91.95</v>
      </c>
      <c r="M24" s="11">
        <f>L24/$L$7</f>
        <v>1.1926750683566897E-3</v>
      </c>
      <c r="N24" s="12">
        <f>L24+'[1]2025 Σεπτέμβριος'!N24</f>
        <v>91.95</v>
      </c>
      <c r="O24" s="11" t="e">
        <f>N24/$N$7</f>
        <v>#REF!</v>
      </c>
      <c r="P24" s="12">
        <f>F24-N24</f>
        <v>-91.95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'[1]2025_ΕΣΟΔΑ'!L19</f>
        <v>0</v>
      </c>
      <c r="E25" s="11" t="e">
        <f t="shared" si="2"/>
        <v>#DIV/0!</v>
      </c>
      <c r="F25" s="12" t="e">
        <f>D25+#REF!</f>
        <v>#REF!</v>
      </c>
      <c r="G25" s="11" t="e">
        <f t="shared" si="3"/>
        <v>#REF!</v>
      </c>
      <c r="H25" s="12"/>
      <c r="I25" s="11" t="e">
        <f t="shared" si="4"/>
        <v>#DIV/0!</v>
      </c>
      <c r="J25" s="12" t="e">
        <f>H25+#REF!</f>
        <v>#REF!</v>
      </c>
      <c r="K25" s="11" t="e">
        <f t="shared" si="5"/>
        <v>#REF!</v>
      </c>
      <c r="L25" s="68">
        <f>'[1]2024_60-69 ΕΞΟΔΑ+ΟΜ 2'!L131</f>
        <v>0</v>
      </c>
      <c r="M25" s="11">
        <f t="shared" si="6"/>
        <v>0</v>
      </c>
      <c r="N25" s="12" t="e">
        <f>L25+#REF!</f>
        <v>#REF!</v>
      </c>
      <c r="O25" s="11" t="e">
        <f t="shared" si="7"/>
        <v>#REF!</v>
      </c>
      <c r="P25" s="12" t="e">
        <f t="shared" si="0"/>
        <v>#REF!</v>
      </c>
      <c r="Q25" s="11" t="e">
        <f t="shared" si="1"/>
        <v>#REF!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'[1]2025_ΕΣΟΔΑ'!L20</f>
        <v>0</v>
      </c>
      <c r="E26" s="11" t="e">
        <f t="shared" si="2"/>
        <v>#DIV/0!</v>
      </c>
      <c r="F26" s="12" t="e">
        <f>D26+#REF!</f>
        <v>#REF!</v>
      </c>
      <c r="G26" s="11" t="e">
        <f t="shared" si="3"/>
        <v>#REF!</v>
      </c>
      <c r="H26" s="12"/>
      <c r="I26" s="11" t="e">
        <f t="shared" si="4"/>
        <v>#DIV/0!</v>
      </c>
      <c r="J26" s="12" t="e">
        <f>H26+#REF!</f>
        <v>#REF!</v>
      </c>
      <c r="K26" s="11" t="e">
        <f t="shared" si="5"/>
        <v>#REF!</v>
      </c>
      <c r="L26" s="68">
        <f>'[1]2024_60-69 ΕΞΟΔΑ+ΟΜ 2'!L132</f>
        <v>112.9</v>
      </c>
      <c r="M26" s="11">
        <f t="shared" si="6"/>
        <v>1.4644156086728688E-3</v>
      </c>
      <c r="N26" s="12" t="e">
        <f>L26+#REF!</f>
        <v>#REF!</v>
      </c>
      <c r="O26" s="11" t="e">
        <f t="shared" si="7"/>
        <v>#REF!</v>
      </c>
      <c r="P26" s="12" t="e">
        <f t="shared" si="0"/>
        <v>#REF!</v>
      </c>
      <c r="Q26" s="11" t="e">
        <f t="shared" si="1"/>
        <v>#REF!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'[1]2025_ΕΣΟΔΑ'!L21</f>
        <v>0</v>
      </c>
      <c r="E27" s="11" t="e">
        <f t="shared" si="2"/>
        <v>#DIV/0!</v>
      </c>
      <c r="F27" s="12" t="e">
        <f>D27+#REF!</f>
        <v>#REF!</v>
      </c>
      <c r="G27" s="11" t="e">
        <f t="shared" si="3"/>
        <v>#REF!</v>
      </c>
      <c r="H27" s="12"/>
      <c r="I27" s="11" t="e">
        <f t="shared" si="4"/>
        <v>#DIV/0!</v>
      </c>
      <c r="J27" s="12" t="e">
        <f>H27+#REF!</f>
        <v>#REF!</v>
      </c>
      <c r="K27" s="11" t="e">
        <f t="shared" si="5"/>
        <v>#REF!</v>
      </c>
      <c r="L27" s="68">
        <f>'[1]2024_60-69 ΕΞΟΔΑ+ΟΜ 2'!L133</f>
        <v>110.88999999999999</v>
      </c>
      <c r="M27" s="11">
        <f t="shared" si="6"/>
        <v>1.4383440818931301E-3</v>
      </c>
      <c r="N27" s="12" t="e">
        <f>L27+#REF!</f>
        <v>#REF!</v>
      </c>
      <c r="O27" s="11" t="e">
        <f t="shared" si="7"/>
        <v>#REF!</v>
      </c>
      <c r="P27" s="12" t="e">
        <f t="shared" si="0"/>
        <v>#REF!</v>
      </c>
      <c r="Q27" s="11" t="e">
        <f t="shared" si="1"/>
        <v>#REF!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'[1]2025_ΕΣΟΔΑ'!L22</f>
        <v>0</v>
      </c>
      <c r="E28" s="11" t="e">
        <f t="shared" si="2"/>
        <v>#DIV/0!</v>
      </c>
      <c r="F28" s="12" t="e">
        <f>D28+#REF!</f>
        <v>#REF!</v>
      </c>
      <c r="G28" s="11" t="e">
        <f t="shared" si="3"/>
        <v>#REF!</v>
      </c>
      <c r="H28" s="12"/>
      <c r="I28" s="11" t="e">
        <f t="shared" si="4"/>
        <v>#DIV/0!</v>
      </c>
      <c r="J28" s="12" t="e">
        <f>H28+#REF!</f>
        <v>#REF!</v>
      </c>
      <c r="K28" s="11" t="e">
        <f t="shared" si="5"/>
        <v>#REF!</v>
      </c>
      <c r="L28" s="68">
        <f>'[1]2024_60-69 ΕΞΟΔΑ+ΟΜ 2'!L134</f>
        <v>0</v>
      </c>
      <c r="M28" s="11">
        <f t="shared" si="6"/>
        <v>0</v>
      </c>
      <c r="N28" s="12" t="e">
        <f>L28+#REF!</f>
        <v>#REF!</v>
      </c>
      <c r="O28" s="11" t="e">
        <f t="shared" si="7"/>
        <v>#REF!</v>
      </c>
      <c r="P28" s="12" t="e">
        <f t="shared" si="0"/>
        <v>#REF!</v>
      </c>
      <c r="Q28" s="11" t="e">
        <f t="shared" si="1"/>
        <v>#REF!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'[1]2025_ΕΣΟΔΑ'!L23</f>
        <v>0</v>
      </c>
      <c r="E29" s="11" t="e">
        <f t="shared" si="2"/>
        <v>#DIV/0!</v>
      </c>
      <c r="F29" s="12" t="e">
        <f>D29+#REF!</f>
        <v>#REF!</v>
      </c>
      <c r="G29" s="11" t="e">
        <f t="shared" si="3"/>
        <v>#REF!</v>
      </c>
      <c r="H29" s="12"/>
      <c r="I29" s="11" t="e">
        <f t="shared" si="4"/>
        <v>#DIV/0!</v>
      </c>
      <c r="J29" s="12" t="e">
        <f>H29+#REF!</f>
        <v>#REF!</v>
      </c>
      <c r="K29" s="11" t="e">
        <f t="shared" si="5"/>
        <v>#REF!</v>
      </c>
      <c r="L29" s="68">
        <f>'[1]2024_60-69 ΕΞΟΔΑ+ΟΜ 2'!L135</f>
        <v>76.400000000000006</v>
      </c>
      <c r="M29" s="11">
        <f>L29/$L$7</f>
        <v>9.9097743580697241E-4</v>
      </c>
      <c r="N29" s="12" t="e">
        <f>L29+#REF!</f>
        <v>#REF!</v>
      </c>
      <c r="O29" s="11" t="e">
        <f t="shared" si="7"/>
        <v>#REF!</v>
      </c>
      <c r="P29" s="12" t="e">
        <f t="shared" si="0"/>
        <v>#REF!</v>
      </c>
      <c r="Q29" s="11" t="e">
        <f t="shared" si="1"/>
        <v>#REF!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'[1]2025_ΕΣΟΔΑ'!L24</f>
        <v>0</v>
      </c>
      <c r="E30" s="11" t="e">
        <f t="shared" si="2"/>
        <v>#DIV/0!</v>
      </c>
      <c r="F30" s="12" t="e">
        <f>D30+#REF!</f>
        <v>#REF!</v>
      </c>
      <c r="G30" s="11" t="e">
        <f t="shared" si="3"/>
        <v>#REF!</v>
      </c>
      <c r="H30" s="12"/>
      <c r="I30" s="11" t="e">
        <f t="shared" si="4"/>
        <v>#DIV/0!</v>
      </c>
      <c r="J30" s="12" t="e">
        <f>H30+#REF!</f>
        <v>#REF!</v>
      </c>
      <c r="K30" s="11" t="e">
        <f t="shared" si="5"/>
        <v>#REF!</v>
      </c>
      <c r="L30" s="68">
        <f>'[1]2024_60-69 ΕΞΟΔΑ+ΟΜ 2'!L136</f>
        <v>-366.73</v>
      </c>
      <c r="M30" s="11">
        <f>L30/$L$7</f>
        <v>-4.756821400961923E-3</v>
      </c>
      <c r="N30" s="12" t="e">
        <f>L30+#REF!</f>
        <v>#REF!</v>
      </c>
      <c r="O30" s="11" t="e">
        <f t="shared" si="7"/>
        <v>#REF!</v>
      </c>
      <c r="P30" s="12" t="e">
        <f t="shared" si="0"/>
        <v>#REF!</v>
      </c>
      <c r="Q30" s="11" t="e">
        <f t="shared" si="1"/>
        <v>#REF!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'[1]2025_ΕΣΟΔΑ'!L25</f>
        <v>0</v>
      </c>
      <c r="E31" s="11" t="e">
        <f t="shared" si="2"/>
        <v>#DIV/0!</v>
      </c>
      <c r="F31" s="12" t="e">
        <f>D31+#REF!</f>
        <v>#REF!</v>
      </c>
      <c r="G31" s="11" t="e">
        <f t="shared" si="3"/>
        <v>#REF!</v>
      </c>
      <c r="H31" s="12"/>
      <c r="I31" s="11" t="e">
        <f t="shared" si="4"/>
        <v>#DIV/0!</v>
      </c>
      <c r="J31" s="12" t="e">
        <f>H31+#REF!</f>
        <v>#REF!</v>
      </c>
      <c r="K31" s="11" t="e">
        <f t="shared" si="5"/>
        <v>#REF!</v>
      </c>
      <c r="L31" s="68">
        <f>'[1]2024_60-69 ΕΞΟΔΑ+ΟΜ 2'!L137</f>
        <v>0</v>
      </c>
      <c r="M31" s="11">
        <f t="shared" ref="M31:M37" si="8">L31/$L$7</f>
        <v>0</v>
      </c>
      <c r="N31" s="12" t="e">
        <f>L31+#REF!</f>
        <v>#REF!</v>
      </c>
      <c r="O31" s="11" t="e">
        <f t="shared" si="7"/>
        <v>#REF!</v>
      </c>
      <c r="P31" s="12" t="e">
        <f t="shared" si="0"/>
        <v>#REF!</v>
      </c>
      <c r="Q31" s="11" t="e">
        <f t="shared" si="1"/>
        <v>#REF!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'[1]2025_ΕΣΟΔΑ'!L26</f>
        <v>0</v>
      </c>
      <c r="E32" s="11" t="e">
        <f t="shared" si="2"/>
        <v>#DIV/0!</v>
      </c>
      <c r="F32" s="12" t="e">
        <f>D32+#REF!</f>
        <v>#REF!</v>
      </c>
      <c r="G32" s="11" t="e">
        <f t="shared" si="3"/>
        <v>#REF!</v>
      </c>
      <c r="H32" s="12"/>
      <c r="I32" s="11" t="e">
        <f t="shared" si="4"/>
        <v>#DIV/0!</v>
      </c>
      <c r="J32" s="12" t="e">
        <f>H32+#REF!</f>
        <v>#REF!</v>
      </c>
      <c r="K32" s="11" t="e">
        <f t="shared" si="5"/>
        <v>#REF!</v>
      </c>
      <c r="L32" s="68">
        <f>'[1]2024_60-69 ΕΞΟΔΑ+ΟΜ 2'!L138</f>
        <v>0</v>
      </c>
      <c r="M32" s="11">
        <f t="shared" si="8"/>
        <v>0</v>
      </c>
      <c r="N32" s="12" t="e">
        <f>L32+#REF!</f>
        <v>#REF!</v>
      </c>
      <c r="O32" s="11" t="e">
        <f t="shared" si="7"/>
        <v>#REF!</v>
      </c>
      <c r="P32" s="12" t="e">
        <f t="shared" si="0"/>
        <v>#REF!</v>
      </c>
      <c r="Q32" s="11" t="e">
        <f t="shared" si="1"/>
        <v>#REF!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'[1]2025_ΕΣΟΔΑ'!L27</f>
        <v>0</v>
      </c>
      <c r="E33" s="11" t="e">
        <f t="shared" si="2"/>
        <v>#DIV/0!</v>
      </c>
      <c r="F33" s="12" t="e">
        <f>D33+#REF!</f>
        <v>#REF!</v>
      </c>
      <c r="G33" s="11" t="e">
        <f t="shared" si="3"/>
        <v>#REF!</v>
      </c>
      <c r="H33" s="12"/>
      <c r="I33" s="11" t="e">
        <f t="shared" si="4"/>
        <v>#DIV/0!</v>
      </c>
      <c r="J33" s="12" t="e">
        <f>H33+#REF!</f>
        <v>#REF!</v>
      </c>
      <c r="K33" s="11" t="e">
        <f t="shared" si="5"/>
        <v>#REF!</v>
      </c>
      <c r="L33" s="68">
        <f>'[1]2024_60-69 ΕΞΟΔΑ+ΟΜ 2'!L139</f>
        <v>0</v>
      </c>
      <c r="M33" s="11">
        <f t="shared" si="8"/>
        <v>0</v>
      </c>
      <c r="N33" s="12" t="e">
        <f>L33+#REF!</f>
        <v>#REF!</v>
      </c>
      <c r="O33" s="11" t="e">
        <f t="shared" si="7"/>
        <v>#REF!</v>
      </c>
      <c r="P33" s="12" t="e">
        <f t="shared" si="0"/>
        <v>#REF!</v>
      </c>
      <c r="Q33" s="11" t="e">
        <f t="shared" si="1"/>
        <v>#REF!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'[1]2025_ΕΣΟΔΑ'!L28</f>
        <v>0</v>
      </c>
      <c r="E34" s="11" t="e">
        <f t="shared" si="2"/>
        <v>#DIV/0!</v>
      </c>
      <c r="F34" s="12" t="e">
        <f>D34+#REF!</f>
        <v>#REF!</v>
      </c>
      <c r="G34" s="11" t="e">
        <f t="shared" si="3"/>
        <v>#REF!</v>
      </c>
      <c r="H34" s="12"/>
      <c r="I34" s="11" t="e">
        <f t="shared" si="4"/>
        <v>#DIV/0!</v>
      </c>
      <c r="J34" s="12" t="e">
        <f>H34+#REF!</f>
        <v>#REF!</v>
      </c>
      <c r="K34" s="11" t="e">
        <f t="shared" si="5"/>
        <v>#REF!</v>
      </c>
      <c r="L34" s="68">
        <f>'[1]2024_60-69 ΕΞΟΔΑ+ΟΜ 2'!L140</f>
        <v>0</v>
      </c>
      <c r="M34" s="11">
        <f t="shared" si="8"/>
        <v>0</v>
      </c>
      <c r="N34" s="12" t="e">
        <f>L34+#REF!</f>
        <v>#REF!</v>
      </c>
      <c r="O34" s="11" t="e">
        <f t="shared" si="7"/>
        <v>#REF!</v>
      </c>
      <c r="P34" s="12" t="e">
        <f t="shared" si="0"/>
        <v>#REF!</v>
      </c>
      <c r="Q34" s="11" t="e">
        <f t="shared" si="1"/>
        <v>#REF!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'[1]2025_ΕΣΟΔΑ'!L29</f>
        <v>0</v>
      </c>
      <c r="E35" s="11" t="e">
        <f t="shared" si="2"/>
        <v>#DIV/0!</v>
      </c>
      <c r="F35" s="12" t="e">
        <f>D35+#REF!</f>
        <v>#REF!</v>
      </c>
      <c r="G35" s="11" t="e">
        <f t="shared" si="3"/>
        <v>#REF!</v>
      </c>
      <c r="H35" s="12"/>
      <c r="I35" s="11" t="e">
        <f t="shared" si="4"/>
        <v>#DIV/0!</v>
      </c>
      <c r="J35" s="12" t="e">
        <f>H35+#REF!</f>
        <v>#REF!</v>
      </c>
      <c r="K35" s="11" t="e">
        <f t="shared" si="5"/>
        <v>#REF!</v>
      </c>
      <c r="L35" s="68">
        <f>'[1]2024_60-69 ΕΞΟΔΑ+ΟΜ 2'!L141</f>
        <v>0</v>
      </c>
      <c r="M35" s="11">
        <f t="shared" si="8"/>
        <v>0</v>
      </c>
      <c r="N35" s="12" t="e">
        <f>L35+#REF!</f>
        <v>#REF!</v>
      </c>
      <c r="O35" s="11" t="e">
        <f t="shared" si="7"/>
        <v>#REF!</v>
      </c>
      <c r="P35" s="12" t="e">
        <f t="shared" si="0"/>
        <v>#REF!</v>
      </c>
      <c r="Q35" s="11" t="e">
        <f t="shared" si="1"/>
        <v>#REF!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'[1]2025_ΕΣΟΔΑ'!L30</f>
        <v>0</v>
      </c>
      <c r="E36" s="11" t="e">
        <f t="shared" si="2"/>
        <v>#DIV/0!</v>
      </c>
      <c r="F36" s="12" t="e">
        <f>D36+#REF!</f>
        <v>#REF!</v>
      </c>
      <c r="G36" s="11" t="e">
        <f t="shared" si="3"/>
        <v>#REF!</v>
      </c>
      <c r="H36" s="12"/>
      <c r="I36" s="11" t="e">
        <f t="shared" si="4"/>
        <v>#DIV/0!</v>
      </c>
      <c r="J36" s="12" t="e">
        <f>H36+#REF!</f>
        <v>#REF!</v>
      </c>
      <c r="K36" s="11" t="e">
        <f t="shared" si="5"/>
        <v>#REF!</v>
      </c>
      <c r="L36" s="68">
        <f>'[1]2024_60-69 ΕΞΟΔΑ+ΟΜ 2'!L142</f>
        <v>0</v>
      </c>
      <c r="M36" s="11">
        <f t="shared" si="8"/>
        <v>0</v>
      </c>
      <c r="N36" s="12" t="e">
        <f>L36+#REF!</f>
        <v>#REF!</v>
      </c>
      <c r="O36" s="11" t="e">
        <f t="shared" si="7"/>
        <v>#REF!</v>
      </c>
      <c r="P36" s="12" t="e">
        <f t="shared" si="0"/>
        <v>#REF!</v>
      </c>
      <c r="Q36" s="11" t="e">
        <f t="shared" si="1"/>
        <v>#REF!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'[1]2025_ΕΣΟΔΑ'!L31</f>
        <v>0</v>
      </c>
      <c r="E37" s="11" t="e">
        <f t="shared" si="2"/>
        <v>#DIV/0!</v>
      </c>
      <c r="F37" s="12" t="e">
        <f>D37+#REF!</f>
        <v>#REF!</v>
      </c>
      <c r="G37" s="11" t="e">
        <f t="shared" si="3"/>
        <v>#REF!</v>
      </c>
      <c r="H37" s="12"/>
      <c r="I37" s="11" t="e">
        <f t="shared" si="4"/>
        <v>#DIV/0!</v>
      </c>
      <c r="J37" s="12" t="e">
        <f>H37+#REF!</f>
        <v>#REF!</v>
      </c>
      <c r="K37" s="11" t="e">
        <f t="shared" si="5"/>
        <v>#REF!</v>
      </c>
      <c r="L37" s="68">
        <f>'[1]2024_60-69 ΕΞΟΔΑ+ΟΜ 2'!L143</f>
        <v>0</v>
      </c>
      <c r="M37" s="11">
        <f t="shared" si="8"/>
        <v>0</v>
      </c>
      <c r="N37" s="12" t="e">
        <f>L37+#REF!</f>
        <v>#REF!</v>
      </c>
      <c r="O37" s="11" t="e">
        <f t="shared" si="7"/>
        <v>#REF!</v>
      </c>
      <c r="P37" s="12" t="e">
        <f t="shared" si="0"/>
        <v>#REF!</v>
      </c>
      <c r="Q37" s="11" t="e">
        <f t="shared" si="1"/>
        <v>#REF!</v>
      </c>
    </row>
    <row r="38" spans="1:17" ht="28.5" customHeight="1" x14ac:dyDescent="0.25">
      <c r="A38" s="60"/>
      <c r="B38" s="60"/>
      <c r="C38" s="6" t="s">
        <v>17</v>
      </c>
      <c r="D38" s="7">
        <f>'[1]2025_ΕΣΟΔΑ'!L32</f>
        <v>0</v>
      </c>
      <c r="E38" s="8"/>
      <c r="F38" s="7" t="str">
        <f>'[1]2025_ΕΣΟΔΑ'!L34</f>
        <v>Οκτώβριος</v>
      </c>
      <c r="G38" s="8"/>
      <c r="H38" s="7">
        <f>SUM(H8:H31)</f>
        <v>0</v>
      </c>
      <c r="I38" s="8"/>
      <c r="J38" s="7" t="e">
        <f>SUM(J8:J31)</f>
        <v>#REF!</v>
      </c>
      <c r="K38" s="8"/>
      <c r="L38" s="7">
        <f>SUM(L8:L31)</f>
        <v>77095.599999999991</v>
      </c>
      <c r="M38" s="8"/>
      <c r="N38" s="7" t="e">
        <f>SUM(N8:N31)</f>
        <v>#REF!</v>
      </c>
      <c r="O38" s="8"/>
      <c r="P38" s="7"/>
      <c r="Q38" s="8"/>
    </row>
    <row r="39" spans="1:17" ht="28.5" customHeight="1" x14ac:dyDescent="0.25">
      <c r="A39" s="60"/>
      <c r="B39" s="60"/>
      <c r="C39" s="6" t="s">
        <v>18</v>
      </c>
      <c r="D39" s="7">
        <f>D7-D38</f>
        <v>0</v>
      </c>
      <c r="E39" s="8"/>
      <c r="F39" s="7" t="e">
        <f>F7-F38</f>
        <v>#REF!</v>
      </c>
      <c r="G39" s="8"/>
      <c r="H39" s="7">
        <f>H7-H38</f>
        <v>0</v>
      </c>
      <c r="I39" s="8"/>
      <c r="J39" s="7" t="e">
        <f>J7-J38</f>
        <v>#REF!</v>
      </c>
      <c r="K39" s="8"/>
      <c r="L39" s="7">
        <f>L7-L38</f>
        <v>0</v>
      </c>
      <c r="M39" s="8"/>
      <c r="N39" s="7" t="e">
        <f>N7-N38</f>
        <v>#REF!</v>
      </c>
      <c r="O39" s="8"/>
      <c r="P39" s="7"/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</row>
    <row r="41" spans="1:17" ht="28.5" customHeight="1" x14ac:dyDescent="0.25">
      <c r="A41" s="60">
        <v>39</v>
      </c>
      <c r="B41" s="60"/>
      <c r="C41" s="5" t="s">
        <v>161</v>
      </c>
      <c r="D41" s="180" t="str">
        <f>[1]ΑΝΤΙΣΤΟΙΧΙΣΗ!$F$115</f>
        <v xml:space="preserve">ΟΚΤΩΒΡΙΟΣ ΤΡΕΧΟΝ ΕΤΟΣ </v>
      </c>
      <c r="E41" s="180"/>
      <c r="F41" s="180"/>
      <c r="G41" s="61">
        <f>[1]ΑΝΤΙΣΤΟΙΧΙΣΗ!$D$34</f>
        <v>2025</v>
      </c>
      <c r="H41" s="180" t="str">
        <f>[1]ΑΝΤΙΣΤΟΙΧΙΣΗ!$F$115</f>
        <v xml:space="preserve">ΟΚΤΩΒΡΙΟΣ ΤΡΕΧΟΝ ΕΤΟΣ </v>
      </c>
      <c r="I41" s="180"/>
      <c r="J41" s="180"/>
      <c r="K41" s="61">
        <f>[1]ΑΝΤΙΣΤΟΙΧΙΣΗ!$D$34</f>
        <v>2025</v>
      </c>
      <c r="L41" s="180" t="str">
        <f>[1]ΑΝΤΙΣΤΟΙΧΙΣΗ!$F$129</f>
        <v>ΟΚΤΩΒΡΙΟΣ ΠΡΟΗΓΟΥΜΕΝΟΥ ΕΤΟΥΣ</v>
      </c>
      <c r="M41" s="180"/>
      <c r="N41" s="180"/>
      <c r="O41" s="61">
        <f>[1]ΑΝΤΙΣΤΟΙΧΙΣΗ!$D$33</f>
        <v>2024</v>
      </c>
      <c r="P41" s="180"/>
      <c r="Q41" s="180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30</v>
      </c>
      <c r="C43" s="6" t="s">
        <v>31</v>
      </c>
      <c r="D43" s="7">
        <f>SUM(D44:D77)</f>
        <v>7839.9766666666674</v>
      </c>
      <c r="E43" s="8"/>
      <c r="F43" s="7" t="e">
        <f>SUM(F44:F77)</f>
        <v>#REF!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55351.58</v>
      </c>
      <c r="M43" s="8"/>
      <c r="N43" s="7" t="e">
        <f>SUM(N44:N77)</f>
        <v>#REF!</v>
      </c>
      <c r="O43" s="8"/>
      <c r="P43" s="7">
        <f>SUM(P44:P77)</f>
        <v>0</v>
      </c>
      <c r="Q43" s="8"/>
    </row>
    <row r="44" spans="1:17" ht="24.7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2'!M4</f>
        <v>0</v>
      </c>
      <c r="E44" s="15">
        <f>D44/$D$43</f>
        <v>0</v>
      </c>
      <c r="F44" s="10" t="e">
        <f>D44+#REF!</f>
        <v>#REF!</v>
      </c>
      <c r="G44" s="15" t="e">
        <f>F44/$F$43</f>
        <v>#REF!</v>
      </c>
      <c r="H44" s="14"/>
      <c r="I44" s="16" t="e">
        <f>H44/$H$43</f>
        <v>#DIV/0!</v>
      </c>
      <c r="J44" s="10">
        <f>H44</f>
        <v>0</v>
      </c>
      <c r="K44" s="17" t="e">
        <f>J44/$J$43</f>
        <v>#DIV/0!</v>
      </c>
      <c r="L44" s="14">
        <f>'[1]2024_60-69 ΕΞΟΔΑ+ΟΜ 2'!M4</f>
        <v>5747.8799999999992</v>
      </c>
      <c r="M44" s="15">
        <f>L44/$L$43</f>
        <v>0.10384310619498123</v>
      </c>
      <c r="N44" s="10" t="e">
        <f>L44+#REF!</f>
        <v>#REF!</v>
      </c>
      <c r="O44" s="15" t="e">
        <f>N44/$N$43</f>
        <v>#REF!</v>
      </c>
      <c r="P44" s="10"/>
      <c r="Q44" s="15"/>
    </row>
    <row r="45" spans="1:17" ht="24.7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2'!M5</f>
        <v>0</v>
      </c>
      <c r="E45" s="15">
        <f t="shared" ref="E45:E77" si="9">D45/$D$43</f>
        <v>0</v>
      </c>
      <c r="F45" s="10" t="e">
        <f>D45+#REF!</f>
        <v>#REF!</v>
      </c>
      <c r="G45" s="15" t="e">
        <f t="shared" ref="G45:G77" si="10">F45/$F$43</f>
        <v>#REF!</v>
      </c>
      <c r="H45" s="14"/>
      <c r="I45" s="16" t="e">
        <f t="shared" ref="I45:I77" si="11">H45/$H$43</f>
        <v>#DIV/0!</v>
      </c>
      <c r="J45" s="10">
        <f>H45</f>
        <v>0</v>
      </c>
      <c r="K45" s="17" t="e">
        <f t="shared" ref="K45:K77" si="12">J45/$J$43</f>
        <v>#DIV/0!</v>
      </c>
      <c r="L45" s="14">
        <f>'[1]2024_60-69 ΕΞΟΔΑ+ΟΜ 2'!M5</f>
        <v>4986.0600000000004</v>
      </c>
      <c r="M45" s="15">
        <f t="shared" ref="M45:M77" si="13">L45/$L$43</f>
        <v>9.0079813439833165E-2</v>
      </c>
      <c r="N45" s="10" t="e">
        <f>L45+#REF!</f>
        <v>#REF!</v>
      </c>
      <c r="O45" s="15" t="e">
        <f t="shared" ref="O45:O77" si="14">N45/$N$43</f>
        <v>#REF!</v>
      </c>
      <c r="P45" s="10"/>
      <c r="Q45" s="15" t="e">
        <f>N45/F45</f>
        <v>#REF!</v>
      </c>
    </row>
    <row r="46" spans="1:17" ht="24.7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2'!M6</f>
        <v>0</v>
      </c>
      <c r="E46" s="15">
        <f t="shared" si="9"/>
        <v>0</v>
      </c>
      <c r="F46" s="10" t="e">
        <f>D46+#REF!</f>
        <v>#REF!</v>
      </c>
      <c r="G46" s="15" t="e">
        <f t="shared" si="10"/>
        <v>#REF!</v>
      </c>
      <c r="H46" s="14"/>
      <c r="I46" s="16" t="e">
        <f t="shared" si="11"/>
        <v>#DIV/0!</v>
      </c>
      <c r="J46" s="10">
        <f t="shared" ref="J46:J77" si="15">H46</f>
        <v>0</v>
      </c>
      <c r="K46" s="17" t="e">
        <f t="shared" si="12"/>
        <v>#DIV/0!</v>
      </c>
      <c r="L46" s="14">
        <f>'[1]2024_60-69 ΕΞΟΔΑ+ΟΜ 2'!M6</f>
        <v>2330.9</v>
      </c>
      <c r="M46" s="15">
        <f t="shared" si="13"/>
        <v>4.2110812374280916E-2</v>
      </c>
      <c r="N46" s="10" t="e">
        <f>L46+#REF!</f>
        <v>#REF!</v>
      </c>
      <c r="O46" s="15" t="e">
        <f t="shared" si="14"/>
        <v>#REF!</v>
      </c>
      <c r="P46" s="10"/>
      <c r="Q46" s="15" t="e">
        <f t="shared" ref="Q46:Q77" si="16">N46/F46</f>
        <v>#REF!</v>
      </c>
    </row>
    <row r="47" spans="1:17" ht="43.5" customHeight="1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2'!M37</f>
        <v>0</v>
      </c>
      <c r="E47" s="15" t="e">
        <f ca="1">D47/$D$84</f>
        <v>#DIV/0!</v>
      </c>
      <c r="F47" s="79" t="e">
        <f>D47+#REF!</f>
        <v>#REF!</v>
      </c>
      <c r="G47" s="15" t="e">
        <f>F47/$F$84</f>
        <v>#REF!</v>
      </c>
      <c r="H47" s="14"/>
      <c r="I47" s="26" t="e">
        <f ca="1">H47/$H$84</f>
        <v>#DIV/0!</v>
      </c>
      <c r="J47" s="27"/>
      <c r="K47" s="27" t="e">
        <f>J47/$J$84</f>
        <v>#REF!</v>
      </c>
      <c r="L47" s="79">
        <f>'[1]2024_60-69 ΕΞΟΔΑ+ΟΜ 2'!M35</f>
        <v>1739.82</v>
      </c>
      <c r="M47" s="15">
        <f ca="1">L47/$L$84</f>
        <v>0.2231992117943481</v>
      </c>
      <c r="N47" s="10" t="e">
        <f>L47+#REF!</f>
        <v>#REF!</v>
      </c>
      <c r="O47" s="15" t="e">
        <f>N47/$N$84</f>
        <v>#REF!</v>
      </c>
      <c r="P47" s="27"/>
      <c r="Q47" s="28" t="e">
        <f ca="1">SUM(Q48:Q106)</f>
        <v>#DIV/0!</v>
      </c>
    </row>
    <row r="48" spans="1:17" ht="43.5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2'!M38</f>
        <v>0</v>
      </c>
      <c r="E48" s="15" t="e">
        <f ca="1">D48/$D$84</f>
        <v>#DIV/0!</v>
      </c>
      <c r="F48" s="79" t="e">
        <f>D48+#REF!</f>
        <v>#REF!</v>
      </c>
      <c r="G48" s="15" t="e">
        <f>F48/$F$84</f>
        <v>#REF!</v>
      </c>
      <c r="H48" s="14"/>
      <c r="I48" s="26" t="e">
        <f ca="1">H48/$H$84</f>
        <v>#DIV/0!</v>
      </c>
      <c r="J48" s="27"/>
      <c r="K48" s="27" t="e">
        <f>J48/$J$84</f>
        <v>#REF!</v>
      </c>
      <c r="L48" s="79">
        <f>'[1]2024_60-69 ΕΞΟΔΑ+ΟΜ 2'!M36</f>
        <v>1756.78</v>
      </c>
      <c r="M48" s="15">
        <f ca="1">L48/$L$84</f>
        <v>0.22537498781257537</v>
      </c>
      <c r="N48" s="10" t="e">
        <f>L48+#REF!</f>
        <v>#REF!</v>
      </c>
      <c r="O48" s="15" t="e">
        <f>N48/$N$84</f>
        <v>#REF!</v>
      </c>
      <c r="P48" s="27"/>
      <c r="Q48" s="28" t="e">
        <f ca="1">SUM(D48:P48)</f>
        <v>#DIV/0!</v>
      </c>
    </row>
    <row r="49" spans="1:17" ht="24.75" customHeight="1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2'!M7</f>
        <v>0</v>
      </c>
      <c r="E49" s="15">
        <f t="shared" si="9"/>
        <v>0</v>
      </c>
      <c r="F49" s="10" t="e">
        <f>D49+#REF!</f>
        <v>#REF!</v>
      </c>
      <c r="G49" s="15" t="e">
        <f t="shared" si="10"/>
        <v>#REF!</v>
      </c>
      <c r="H49" s="14"/>
      <c r="I49" s="16" t="e">
        <f t="shared" si="11"/>
        <v>#DIV/0!</v>
      </c>
      <c r="J49" s="10">
        <f t="shared" si="15"/>
        <v>0</v>
      </c>
      <c r="K49" s="17" t="e">
        <f t="shared" si="12"/>
        <v>#DIV/0!</v>
      </c>
      <c r="L49" s="14">
        <f>'[1]2024_60-69 ΕΞΟΔΑ+ΟΜ 2'!M7</f>
        <v>1326.72</v>
      </c>
      <c r="M49" s="15">
        <f t="shared" si="13"/>
        <v>2.3968963487582467E-2</v>
      </c>
      <c r="N49" s="10" t="e">
        <f>L49+#REF!</f>
        <v>#REF!</v>
      </c>
      <c r="O49" s="15" t="e">
        <f t="shared" si="14"/>
        <v>#REF!</v>
      </c>
      <c r="P49" s="10"/>
      <c r="Q49" s="15" t="e">
        <f t="shared" si="16"/>
        <v>#REF!</v>
      </c>
    </row>
    <row r="50" spans="1:17" ht="24.75" customHeight="1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2'!M8</f>
        <v>0</v>
      </c>
      <c r="E50" s="15">
        <f t="shared" si="9"/>
        <v>0</v>
      </c>
      <c r="F50" s="10" t="e">
        <f>D50+#REF!</f>
        <v>#REF!</v>
      </c>
      <c r="G50" s="15" t="e">
        <f t="shared" si="10"/>
        <v>#REF!</v>
      </c>
      <c r="H50" s="14"/>
      <c r="I50" s="16" t="e">
        <f t="shared" si="11"/>
        <v>#DIV/0!</v>
      </c>
      <c r="J50" s="10">
        <f t="shared" si="15"/>
        <v>0</v>
      </c>
      <c r="K50" s="17" t="e">
        <f t="shared" si="12"/>
        <v>#DIV/0!</v>
      </c>
      <c r="L50" s="14">
        <f>'[1]2024_60-69 ΕΞΟΔΑ+ΟΜ 2'!M8</f>
        <v>1008.2</v>
      </c>
      <c r="M50" s="15">
        <f t="shared" si="13"/>
        <v>1.8214475539812956E-2</v>
      </c>
      <c r="N50" s="10" t="e">
        <f>L50+#REF!</f>
        <v>#REF!</v>
      </c>
      <c r="O50" s="15" t="e">
        <f t="shared" si="14"/>
        <v>#REF!</v>
      </c>
      <c r="P50" s="10"/>
      <c r="Q50" s="15" t="e">
        <f t="shared" si="16"/>
        <v>#REF!</v>
      </c>
    </row>
    <row r="51" spans="1:17" ht="24.75" customHeight="1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2'!M9</f>
        <v>0</v>
      </c>
      <c r="E51" s="15">
        <f t="shared" si="9"/>
        <v>0</v>
      </c>
      <c r="F51" s="10" t="e">
        <f>D51+#REF!</f>
        <v>#REF!</v>
      </c>
      <c r="G51" s="15" t="e">
        <f t="shared" si="10"/>
        <v>#REF!</v>
      </c>
      <c r="H51" s="14"/>
      <c r="I51" s="16" t="e">
        <f t="shared" si="11"/>
        <v>#DIV/0!</v>
      </c>
      <c r="J51" s="10">
        <f t="shared" si="15"/>
        <v>0</v>
      </c>
      <c r="K51" s="17" t="e">
        <f t="shared" si="12"/>
        <v>#DIV/0!</v>
      </c>
      <c r="L51" s="14">
        <f>'[1]2024_60-69 ΕΞΟΔΑ+ΟΜ 2'!M9</f>
        <v>589.86</v>
      </c>
      <c r="M51" s="15">
        <f t="shared" si="13"/>
        <v>1.0656606369682672E-2</v>
      </c>
      <c r="N51" s="10" t="e">
        <f>L51+#REF!</f>
        <v>#REF!</v>
      </c>
      <c r="O51" s="15" t="e">
        <f t="shared" si="14"/>
        <v>#REF!</v>
      </c>
      <c r="P51" s="10"/>
      <c r="Q51" s="15" t="e">
        <f t="shared" si="16"/>
        <v>#REF!</v>
      </c>
    </row>
    <row r="52" spans="1:17" ht="43.5" customHeight="1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2'!M41</f>
        <v>0</v>
      </c>
      <c r="E52" s="15" t="e">
        <f ca="1">D52/$D$84</f>
        <v>#DIV/0!</v>
      </c>
      <c r="F52" s="79" t="e">
        <f>D52+#REF!</f>
        <v>#REF!</v>
      </c>
      <c r="G52" s="15" t="e">
        <f>F52/$F$84</f>
        <v>#REF!</v>
      </c>
      <c r="H52" s="14"/>
      <c r="I52" s="26" t="e">
        <f ca="1">H52/$H$84</f>
        <v>#DIV/0!</v>
      </c>
      <c r="J52" s="27"/>
      <c r="K52" s="27" t="e">
        <f>J52/$J$84</f>
        <v>#REF!</v>
      </c>
      <c r="L52" s="79">
        <f>'[1]2024_60-69 ΕΞΟΔΑ+ΟΜ 2'!M39</f>
        <v>365.52</v>
      </c>
      <c r="M52" s="15">
        <f ca="1">L52/$L$84</f>
        <v>4.6892078430567599E-2</v>
      </c>
      <c r="N52" s="10" t="e">
        <f>L52+#REF!</f>
        <v>#REF!</v>
      </c>
      <c r="O52" s="15" t="e">
        <f>N52/$N$84</f>
        <v>#REF!</v>
      </c>
      <c r="P52" s="27"/>
      <c r="Q52" s="28" t="e">
        <f ca="1">SUM(D52:P52)</f>
        <v>#DIV/0!</v>
      </c>
    </row>
    <row r="53" spans="1:17" ht="43.5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2'!M42</f>
        <v>0</v>
      </c>
      <c r="E53" s="15" t="e">
        <f ca="1">D53/$D$84</f>
        <v>#DIV/0!</v>
      </c>
      <c r="F53" s="79" t="e">
        <f>D53+#REF!</f>
        <v>#REF!</v>
      </c>
      <c r="G53" s="15" t="e">
        <f>F53/$F$84</f>
        <v>#REF!</v>
      </c>
      <c r="H53" s="14"/>
      <c r="I53" s="26" t="e">
        <f ca="1">H53/$H$84</f>
        <v>#DIV/0!</v>
      </c>
      <c r="J53" s="27"/>
      <c r="K53" s="27" t="e">
        <f>J53/$J$84</f>
        <v>#REF!</v>
      </c>
      <c r="L53" s="79">
        <f>'[1]2024_60-69 ΕΞΟΔΑ+ΟΜ 2'!M40</f>
        <v>369.3</v>
      </c>
      <c r="M53" s="15">
        <f ca="1">L53/$L$84</f>
        <v>4.7377009642177212E-2</v>
      </c>
      <c r="N53" s="10" t="e">
        <f>L53+#REF!</f>
        <v>#REF!</v>
      </c>
      <c r="O53" s="15" t="e">
        <f>N53/$N$84</f>
        <v>#REF!</v>
      </c>
      <c r="P53" s="27"/>
      <c r="Q53" s="28" t="e">
        <f ca="1">SUM(D53:P53)</f>
        <v>#DIV/0!</v>
      </c>
    </row>
    <row r="54" spans="1:17" ht="24.75" customHeight="1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2'!M10</f>
        <v>0</v>
      </c>
      <c r="E54" s="15">
        <f t="shared" si="9"/>
        <v>0</v>
      </c>
      <c r="F54" s="10" t="e">
        <f>D54+#REF!</f>
        <v>#REF!</v>
      </c>
      <c r="G54" s="15" t="e">
        <f t="shared" si="10"/>
        <v>#REF!</v>
      </c>
      <c r="H54" s="14"/>
      <c r="I54" s="16" t="e">
        <f t="shared" si="11"/>
        <v>#DIV/0!</v>
      </c>
      <c r="J54" s="10">
        <f t="shared" si="15"/>
        <v>0</v>
      </c>
      <c r="K54" s="17" t="e">
        <f t="shared" si="12"/>
        <v>#DIV/0!</v>
      </c>
      <c r="L54" s="14">
        <f>'[1]2024_60-69 ΕΞΟΔΑ+ΟΜ 2'!M10</f>
        <v>9331.11</v>
      </c>
      <c r="M54" s="15">
        <f t="shared" si="13"/>
        <v>0.1685789276475938</v>
      </c>
      <c r="N54" s="10" t="e">
        <f>L54+#REF!</f>
        <v>#REF!</v>
      </c>
      <c r="O54" s="15" t="e">
        <f t="shared" si="14"/>
        <v>#REF!</v>
      </c>
      <c r="P54" s="10"/>
      <c r="Q54" s="15" t="e">
        <f t="shared" si="16"/>
        <v>#REF!</v>
      </c>
    </row>
    <row r="55" spans="1:17" ht="24.75" customHeight="1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2'!M11</f>
        <v>0</v>
      </c>
      <c r="E55" s="15">
        <f t="shared" si="9"/>
        <v>0</v>
      </c>
      <c r="F55" s="10" t="e">
        <f>D55+#REF!</f>
        <v>#REF!</v>
      </c>
      <c r="G55" s="15" t="e">
        <f t="shared" si="10"/>
        <v>#REF!</v>
      </c>
      <c r="H55" s="14"/>
      <c r="I55" s="16" t="e">
        <f t="shared" si="11"/>
        <v>#DIV/0!</v>
      </c>
      <c r="J55" s="10">
        <f t="shared" si="15"/>
        <v>0</v>
      </c>
      <c r="K55" s="17" t="e">
        <f t="shared" si="12"/>
        <v>#DIV/0!</v>
      </c>
      <c r="L55" s="14">
        <f>'[1]2024_60-69 ΕΞΟΔΑ+ΟΜ 2'!M11</f>
        <v>0</v>
      </c>
      <c r="M55" s="15">
        <f t="shared" si="13"/>
        <v>0</v>
      </c>
      <c r="N55" s="10" t="e">
        <f>L55+#REF!</f>
        <v>#REF!</v>
      </c>
      <c r="O55" s="15" t="e">
        <f t="shared" si="14"/>
        <v>#REF!</v>
      </c>
      <c r="P55" s="10"/>
      <c r="Q55" s="15" t="e">
        <f t="shared" si="16"/>
        <v>#REF!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2'!M12</f>
        <v>0</v>
      </c>
      <c r="E56" s="15">
        <f t="shared" si="9"/>
        <v>0</v>
      </c>
      <c r="F56" s="10" t="e">
        <f>D56+#REF!</f>
        <v>#REF!</v>
      </c>
      <c r="G56" s="15" t="e">
        <f t="shared" si="10"/>
        <v>#REF!</v>
      </c>
      <c r="H56" s="14"/>
      <c r="I56" s="16" t="e">
        <f t="shared" si="11"/>
        <v>#DIV/0!</v>
      </c>
      <c r="J56" s="10">
        <f t="shared" si="15"/>
        <v>0</v>
      </c>
      <c r="K56" s="17" t="e">
        <f t="shared" si="12"/>
        <v>#DIV/0!</v>
      </c>
      <c r="L56" s="14">
        <f>'[1]2024_60-69 ΕΞΟΔΑ+ΟΜ 2'!M12</f>
        <v>328.35</v>
      </c>
      <c r="M56" s="15">
        <f t="shared" si="13"/>
        <v>5.9320799875992704E-3</v>
      </c>
      <c r="N56" s="10" t="e">
        <f>L56+#REF!</f>
        <v>#REF!</v>
      </c>
      <c r="O56" s="15" t="e">
        <f t="shared" si="14"/>
        <v>#REF!</v>
      </c>
      <c r="P56" s="10"/>
      <c r="Q56" s="15" t="e">
        <f t="shared" si="16"/>
        <v>#REF!</v>
      </c>
    </row>
    <row r="57" spans="1:17" ht="15" customHeight="1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2'!M13</f>
        <v>0</v>
      </c>
      <c r="E57" s="15">
        <f t="shared" si="9"/>
        <v>0</v>
      </c>
      <c r="F57" s="10" t="e">
        <f>D57+#REF!</f>
        <v>#REF!</v>
      </c>
      <c r="G57" s="15" t="e">
        <f t="shared" si="10"/>
        <v>#REF!</v>
      </c>
      <c r="H57" s="14"/>
      <c r="I57" s="16" t="e">
        <f t="shared" si="11"/>
        <v>#DIV/0!</v>
      </c>
      <c r="J57" s="10">
        <f t="shared" si="15"/>
        <v>0</v>
      </c>
      <c r="K57" s="17" t="e">
        <f t="shared" si="12"/>
        <v>#DIV/0!</v>
      </c>
      <c r="L57" s="14">
        <f>'[1]2024_60-69 ΕΞΟΔΑ+ΟΜ 2'!M13</f>
        <v>225.26</v>
      </c>
      <c r="M57" s="15">
        <f t="shared" si="13"/>
        <v>4.0696218608393831E-3</v>
      </c>
      <c r="N57" s="10" t="e">
        <f>L57+#REF!</f>
        <v>#REF!</v>
      </c>
      <c r="O57" s="15" t="e">
        <f t="shared" si="14"/>
        <v>#REF!</v>
      </c>
      <c r="P57" s="10"/>
      <c r="Q57" s="15" t="e">
        <f t="shared" si="16"/>
        <v>#REF!</v>
      </c>
    </row>
    <row r="58" spans="1:17" ht="15" customHeight="1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2'!M14</f>
        <v>0</v>
      </c>
      <c r="E58" s="15">
        <f t="shared" si="9"/>
        <v>0</v>
      </c>
      <c r="F58" s="10" t="e">
        <f>D58+#REF!</f>
        <v>#REF!</v>
      </c>
      <c r="G58" s="15" t="e">
        <f t="shared" si="10"/>
        <v>#REF!</v>
      </c>
      <c r="H58" s="14"/>
      <c r="I58" s="16" t="e">
        <f t="shared" si="11"/>
        <v>#DIV/0!</v>
      </c>
      <c r="J58" s="10">
        <f t="shared" si="15"/>
        <v>0</v>
      </c>
      <c r="K58" s="17" t="e">
        <f t="shared" si="12"/>
        <v>#DIV/0!</v>
      </c>
      <c r="L58" s="14">
        <f>'[1]2024_60-69 ΕΞΟΔΑ+ΟΜ 2'!M14</f>
        <v>2132</v>
      </c>
      <c r="M58" s="15">
        <f t="shared" si="13"/>
        <v>3.8517419014958559E-2</v>
      </c>
      <c r="N58" s="10" t="e">
        <f>L58+#REF!</f>
        <v>#REF!</v>
      </c>
      <c r="O58" s="15" t="e">
        <f t="shared" si="14"/>
        <v>#REF!</v>
      </c>
      <c r="P58" s="10"/>
      <c r="Q58" s="15" t="e">
        <f t="shared" si="16"/>
        <v>#REF!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2'!M15</f>
        <v>0</v>
      </c>
      <c r="E59" s="15">
        <f t="shared" si="9"/>
        <v>0</v>
      </c>
      <c r="F59" s="10" t="e">
        <f>D59+#REF!</f>
        <v>#REF!</v>
      </c>
      <c r="G59" s="15" t="e">
        <f t="shared" si="10"/>
        <v>#REF!</v>
      </c>
      <c r="H59" s="14"/>
      <c r="I59" s="16" t="e">
        <f t="shared" si="11"/>
        <v>#DIV/0!</v>
      </c>
      <c r="J59" s="10">
        <f t="shared" si="15"/>
        <v>0</v>
      </c>
      <c r="K59" s="17" t="e">
        <f t="shared" si="12"/>
        <v>#DIV/0!</v>
      </c>
      <c r="L59" s="14">
        <f>'[1]2024_60-69 ΕΞΟΔΑ+ΟΜ 2'!M15</f>
        <v>0</v>
      </c>
      <c r="M59" s="15">
        <f t="shared" si="13"/>
        <v>0</v>
      </c>
      <c r="N59" s="10" t="e">
        <f>L59+#REF!</f>
        <v>#REF!</v>
      </c>
      <c r="O59" s="15" t="e">
        <f t="shared" si="14"/>
        <v>#REF!</v>
      </c>
      <c r="P59" s="10"/>
      <c r="Q59" s="15" t="e">
        <f t="shared" si="16"/>
        <v>#REF!</v>
      </c>
    </row>
    <row r="60" spans="1:17" ht="15" customHeight="1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2'!M16</f>
        <v>0</v>
      </c>
      <c r="E60" s="15">
        <f t="shared" si="9"/>
        <v>0</v>
      </c>
      <c r="F60" s="10" t="e">
        <f>D60+#REF!</f>
        <v>#REF!</v>
      </c>
      <c r="G60" s="15" t="e">
        <f t="shared" si="10"/>
        <v>#REF!</v>
      </c>
      <c r="H60" s="14"/>
      <c r="I60" s="16" t="e">
        <f t="shared" si="11"/>
        <v>#DIV/0!</v>
      </c>
      <c r="J60" s="10"/>
      <c r="K60" s="17" t="e">
        <f t="shared" si="12"/>
        <v>#DIV/0!</v>
      </c>
      <c r="L60" s="14">
        <f>'[1]2024_60-69 ΕΞΟΔΑ+ΟΜ 2'!M16</f>
        <v>360.39</v>
      </c>
      <c r="M60" s="15">
        <f t="shared" si="13"/>
        <v>6.5109252527208797E-3</v>
      </c>
      <c r="N60" s="10" t="e">
        <f>L60+#REF!</f>
        <v>#REF!</v>
      </c>
      <c r="O60" s="15" t="e">
        <f t="shared" si="14"/>
        <v>#REF!</v>
      </c>
      <c r="P60" s="10"/>
      <c r="Q60" s="15"/>
    </row>
    <row r="61" spans="1:17" ht="42.75" customHeight="1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2'!M17</f>
        <v>0</v>
      </c>
      <c r="E61" s="15">
        <f t="shared" si="9"/>
        <v>0</v>
      </c>
      <c r="F61" s="10" t="e">
        <f>D61+#REF!</f>
        <v>#REF!</v>
      </c>
      <c r="G61" s="15" t="e">
        <f t="shared" si="10"/>
        <v>#REF!</v>
      </c>
      <c r="H61" s="14"/>
      <c r="I61" s="16" t="e">
        <f t="shared" si="11"/>
        <v>#DIV/0!</v>
      </c>
      <c r="J61" s="10">
        <f t="shared" si="15"/>
        <v>0</v>
      </c>
      <c r="K61" s="17" t="e">
        <f t="shared" si="12"/>
        <v>#DIV/0!</v>
      </c>
      <c r="L61" s="14">
        <f>'[1]2024_60-69 ΕΞΟΔΑ+ΟΜ 2'!M17</f>
        <v>95.350000000000009</v>
      </c>
      <c r="M61" s="15">
        <f t="shared" si="13"/>
        <v>1.7226247200170259E-3</v>
      </c>
      <c r="N61" s="10" t="e">
        <f>L61+#REF!</f>
        <v>#REF!</v>
      </c>
      <c r="O61" s="15" t="e">
        <f t="shared" si="14"/>
        <v>#REF!</v>
      </c>
      <c r="P61" s="10"/>
      <c r="Q61" s="15" t="e">
        <f t="shared" si="16"/>
        <v>#REF!</v>
      </c>
    </row>
    <row r="62" spans="1:17" ht="42.75" customHeight="1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2'!M18</f>
        <v>0</v>
      </c>
      <c r="E62" s="15">
        <f t="shared" si="9"/>
        <v>0</v>
      </c>
      <c r="F62" s="10" t="e">
        <f>D62+#REF!</f>
        <v>#REF!</v>
      </c>
      <c r="G62" s="15" t="e">
        <f t="shared" si="10"/>
        <v>#REF!</v>
      </c>
      <c r="H62" s="14"/>
      <c r="I62" s="16" t="e">
        <f t="shared" si="11"/>
        <v>#DIV/0!</v>
      </c>
      <c r="J62" s="10">
        <f t="shared" si="15"/>
        <v>0</v>
      </c>
      <c r="K62" s="17" t="e">
        <f t="shared" si="12"/>
        <v>#DIV/0!</v>
      </c>
      <c r="L62" s="14">
        <f>'[1]2024_60-69 ΕΞΟΔΑ+ΟΜ 2'!M18</f>
        <v>0</v>
      </c>
      <c r="M62" s="15">
        <f t="shared" si="13"/>
        <v>0</v>
      </c>
      <c r="N62" s="10" t="e">
        <f>L62+#REF!</f>
        <v>#REF!</v>
      </c>
      <c r="O62" s="15" t="e">
        <f t="shared" si="14"/>
        <v>#REF!</v>
      </c>
      <c r="P62" s="10"/>
      <c r="Q62" s="15" t="e">
        <f t="shared" si="16"/>
        <v>#REF!</v>
      </c>
    </row>
    <row r="63" spans="1:17" ht="15" customHeight="1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2'!M19</f>
        <v>0</v>
      </c>
      <c r="E63" s="15">
        <f t="shared" si="9"/>
        <v>0</v>
      </c>
      <c r="F63" s="10" t="e">
        <f>D63+#REF!</f>
        <v>#REF!</v>
      </c>
      <c r="G63" s="15" t="e">
        <f t="shared" si="10"/>
        <v>#REF!</v>
      </c>
      <c r="H63" s="14"/>
      <c r="I63" s="16" t="e">
        <f t="shared" si="11"/>
        <v>#DIV/0!</v>
      </c>
      <c r="J63" s="10">
        <f t="shared" si="15"/>
        <v>0</v>
      </c>
      <c r="K63" s="17" t="e">
        <f t="shared" si="12"/>
        <v>#DIV/0!</v>
      </c>
      <c r="L63" s="14">
        <f>'[1]2024_60-69 ΕΞΟΔΑ+ΟΜ 2'!M19</f>
        <v>56.519999999999982</v>
      </c>
      <c r="M63" s="15">
        <f t="shared" si="13"/>
        <v>1.021109063192053E-3</v>
      </c>
      <c r="N63" s="10" t="e">
        <f>L63+#REF!</f>
        <v>#REF!</v>
      </c>
      <c r="O63" s="15" t="e">
        <f t="shared" si="14"/>
        <v>#REF!</v>
      </c>
      <c r="P63" s="10"/>
      <c r="Q63" s="15" t="e">
        <f t="shared" si="16"/>
        <v>#REF!</v>
      </c>
    </row>
    <row r="64" spans="1:17" ht="42.75" customHeight="1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2'!M20</f>
        <v>0</v>
      </c>
      <c r="E64" s="15">
        <f t="shared" si="9"/>
        <v>0</v>
      </c>
      <c r="F64" s="10" t="e">
        <f>D64+#REF!</f>
        <v>#REF!</v>
      </c>
      <c r="G64" s="15" t="e">
        <f t="shared" si="10"/>
        <v>#REF!</v>
      </c>
      <c r="H64" s="14"/>
      <c r="I64" s="16" t="e">
        <f t="shared" si="11"/>
        <v>#DIV/0!</v>
      </c>
      <c r="J64" s="10">
        <f t="shared" si="15"/>
        <v>0</v>
      </c>
      <c r="K64" s="17" t="e">
        <f t="shared" si="12"/>
        <v>#DIV/0!</v>
      </c>
      <c r="L64" s="14">
        <f>'[1]2024_60-69 ΕΞΟΔΑ+ΟΜ 2'!M20</f>
        <v>0</v>
      </c>
      <c r="M64" s="15">
        <f t="shared" si="13"/>
        <v>0</v>
      </c>
      <c r="N64" s="10" t="e">
        <f>L64+#REF!</f>
        <v>#REF!</v>
      </c>
      <c r="O64" s="15" t="e">
        <f t="shared" si="14"/>
        <v>#REF!</v>
      </c>
      <c r="P64" s="10"/>
      <c r="Q64" s="15" t="e">
        <f t="shared" si="16"/>
        <v>#REF!</v>
      </c>
    </row>
    <row r="65" spans="1:17" ht="28.5" customHeight="1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2'!M21</f>
        <v>0</v>
      </c>
      <c r="E65" s="15">
        <f t="shared" si="9"/>
        <v>0</v>
      </c>
      <c r="F65" s="10" t="e">
        <f>D65+#REF!</f>
        <v>#REF!</v>
      </c>
      <c r="G65" s="15" t="e">
        <f t="shared" si="10"/>
        <v>#REF!</v>
      </c>
      <c r="H65" s="14"/>
      <c r="I65" s="16" t="e">
        <f t="shared" si="11"/>
        <v>#DIV/0!</v>
      </c>
      <c r="J65" s="10">
        <f t="shared" si="15"/>
        <v>0</v>
      </c>
      <c r="K65" s="17" t="e">
        <f t="shared" si="12"/>
        <v>#DIV/0!</v>
      </c>
      <c r="L65" s="14">
        <f>'[1]2024_60-69 ΕΞΟΔΑ+ΟΜ 2'!M21</f>
        <v>0</v>
      </c>
      <c r="M65" s="15">
        <f t="shared" si="13"/>
        <v>0</v>
      </c>
      <c r="N65" s="10" t="e">
        <f>L65+#REF!</f>
        <v>#REF!</v>
      </c>
      <c r="O65" s="15" t="e">
        <f t="shared" si="14"/>
        <v>#REF!</v>
      </c>
      <c r="P65" s="10"/>
      <c r="Q65" s="15" t="e">
        <f t="shared" si="16"/>
        <v>#REF!</v>
      </c>
    </row>
    <row r="66" spans="1:17" ht="15" customHeight="1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2'!M22</f>
        <v>0</v>
      </c>
      <c r="E66" s="15">
        <f t="shared" si="9"/>
        <v>0</v>
      </c>
      <c r="F66" s="10" t="e">
        <f>D66+#REF!</f>
        <v>#REF!</v>
      </c>
      <c r="G66" s="15" t="e">
        <f t="shared" si="10"/>
        <v>#REF!</v>
      </c>
      <c r="H66" s="14"/>
      <c r="I66" s="16" t="e">
        <f t="shared" si="11"/>
        <v>#DIV/0!</v>
      </c>
      <c r="J66" s="10">
        <f t="shared" si="15"/>
        <v>0</v>
      </c>
      <c r="K66" s="17" t="e">
        <f t="shared" si="12"/>
        <v>#DIV/0!</v>
      </c>
      <c r="L66" s="14">
        <f>'[1]2024_60-69 ΕΞΟΔΑ+ΟΜ 2'!M22</f>
        <v>0</v>
      </c>
      <c r="M66" s="15">
        <f t="shared" si="13"/>
        <v>0</v>
      </c>
      <c r="N66" s="10" t="e">
        <f>L66+#REF!</f>
        <v>#REF!</v>
      </c>
      <c r="O66" s="15" t="e">
        <f t="shared" si="14"/>
        <v>#REF!</v>
      </c>
      <c r="P66" s="10"/>
      <c r="Q66" s="15" t="e">
        <f t="shared" si="16"/>
        <v>#REF!</v>
      </c>
    </row>
    <row r="67" spans="1:17" ht="22.5" customHeight="1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2'!M23</f>
        <v>0</v>
      </c>
      <c r="E67" s="15">
        <f t="shared" si="9"/>
        <v>0</v>
      </c>
      <c r="F67" s="10" t="e">
        <f>D67+#REF!</f>
        <v>#REF!</v>
      </c>
      <c r="G67" s="15" t="e">
        <f t="shared" si="10"/>
        <v>#REF!</v>
      </c>
      <c r="H67" s="14"/>
      <c r="I67" s="16" t="e">
        <f t="shared" si="11"/>
        <v>#DIV/0!</v>
      </c>
      <c r="J67" s="10">
        <f t="shared" si="15"/>
        <v>0</v>
      </c>
      <c r="K67" s="17" t="e">
        <f t="shared" si="12"/>
        <v>#DIV/0!</v>
      </c>
      <c r="L67" s="14">
        <f>'[1]2024_60-69 ΕΞΟΔΑ+ΟΜ 2'!M23</f>
        <v>0</v>
      </c>
      <c r="M67" s="15">
        <f t="shared" si="13"/>
        <v>0</v>
      </c>
      <c r="N67" s="10" t="e">
        <f>L67+#REF!</f>
        <v>#REF!</v>
      </c>
      <c r="O67" s="15" t="e">
        <f t="shared" si="14"/>
        <v>#REF!</v>
      </c>
      <c r="P67" s="10"/>
      <c r="Q67" s="15" t="e">
        <f t="shared" si="16"/>
        <v>#REF!</v>
      </c>
    </row>
    <row r="68" spans="1:17" ht="36" customHeight="1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2'!M24</f>
        <v>0</v>
      </c>
      <c r="E68" s="15">
        <f t="shared" si="9"/>
        <v>0</v>
      </c>
      <c r="F68" s="10" t="e">
        <f>D68+#REF!</f>
        <v>#REF!</v>
      </c>
      <c r="G68" s="15" t="e">
        <f t="shared" si="10"/>
        <v>#REF!</v>
      </c>
      <c r="H68" s="14"/>
      <c r="I68" s="16" t="e">
        <f t="shared" si="11"/>
        <v>#DIV/0!</v>
      </c>
      <c r="J68" s="10">
        <f t="shared" si="15"/>
        <v>0</v>
      </c>
      <c r="K68" s="17" t="e">
        <f t="shared" si="12"/>
        <v>#DIV/0!</v>
      </c>
      <c r="L68" s="14">
        <f>'[1]2024_60-69 ΕΞΟΔΑ+ΟΜ 2'!M24</f>
        <v>8393.18</v>
      </c>
      <c r="M68" s="15">
        <f t="shared" si="13"/>
        <v>0.15163397323075511</v>
      </c>
      <c r="N68" s="10" t="e">
        <f>L68+#REF!</f>
        <v>#REF!</v>
      </c>
      <c r="O68" s="15" t="e">
        <f t="shared" si="14"/>
        <v>#REF!</v>
      </c>
      <c r="P68" s="10"/>
      <c r="Q68" s="15" t="e">
        <f t="shared" si="16"/>
        <v>#REF!</v>
      </c>
    </row>
    <row r="69" spans="1:17" ht="36" customHeight="1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2'!M25</f>
        <v>0</v>
      </c>
      <c r="E69" s="15">
        <f t="shared" si="9"/>
        <v>0</v>
      </c>
      <c r="F69" s="10" t="e">
        <f>D69+#REF!</f>
        <v>#REF!</v>
      </c>
      <c r="G69" s="15" t="e">
        <f t="shared" si="10"/>
        <v>#REF!</v>
      </c>
      <c r="H69" s="14"/>
      <c r="I69" s="16" t="e">
        <f t="shared" si="11"/>
        <v>#DIV/0!</v>
      </c>
      <c r="J69" s="10">
        <f t="shared" si="15"/>
        <v>0</v>
      </c>
      <c r="K69" s="17" t="e">
        <f t="shared" si="12"/>
        <v>#DIV/0!</v>
      </c>
      <c r="L69" s="14">
        <f>'[1]2024_60-69 ΕΞΟΔΑ+ΟΜ 2'!M25</f>
        <v>793.61</v>
      </c>
      <c r="M69" s="15">
        <f t="shared" si="13"/>
        <v>1.433762143736457E-2</v>
      </c>
      <c r="N69" s="10" t="e">
        <f>L69+#REF!</f>
        <v>#REF!</v>
      </c>
      <c r="O69" s="15" t="e">
        <f t="shared" si="14"/>
        <v>#REF!</v>
      </c>
      <c r="P69" s="10"/>
      <c r="Q69" s="15" t="e">
        <f t="shared" si="16"/>
        <v>#REF!</v>
      </c>
    </row>
    <row r="70" spans="1:17" ht="36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2'!M26</f>
        <v>0</v>
      </c>
      <c r="E70" s="15">
        <f t="shared" si="9"/>
        <v>0</v>
      </c>
      <c r="F70" s="10" t="e">
        <f>D70+#REF!</f>
        <v>#REF!</v>
      </c>
      <c r="G70" s="15" t="e">
        <f t="shared" si="10"/>
        <v>#REF!</v>
      </c>
      <c r="H70" s="14"/>
      <c r="I70" s="16" t="e">
        <f t="shared" si="11"/>
        <v>#DIV/0!</v>
      </c>
      <c r="J70" s="10">
        <f t="shared" si="15"/>
        <v>0</v>
      </c>
      <c r="K70" s="17" t="e">
        <f t="shared" si="12"/>
        <v>#DIV/0!</v>
      </c>
      <c r="L70" s="14">
        <f>'[1]2024_60-69 ΕΞΟΔΑ+ΟΜ 2'!M26</f>
        <v>0</v>
      </c>
      <c r="M70" s="15">
        <f t="shared" si="13"/>
        <v>0</v>
      </c>
      <c r="N70" s="10" t="e">
        <f>L70+#REF!</f>
        <v>#REF!</v>
      </c>
      <c r="O70" s="15" t="e">
        <f t="shared" si="14"/>
        <v>#REF!</v>
      </c>
      <c r="P70" s="10"/>
      <c r="Q70" s="15" t="e">
        <f t="shared" si="16"/>
        <v>#REF!</v>
      </c>
    </row>
    <row r="71" spans="1:17" ht="15.75" customHeight="1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2'!M27</f>
        <v>0</v>
      </c>
      <c r="E71" s="15">
        <f t="shared" si="9"/>
        <v>0</v>
      </c>
      <c r="F71" s="10" t="e">
        <f>D71+#REF!</f>
        <v>#REF!</v>
      </c>
      <c r="G71" s="15" t="e">
        <f t="shared" si="10"/>
        <v>#REF!</v>
      </c>
      <c r="H71" s="14"/>
      <c r="I71" s="16" t="e">
        <f t="shared" si="11"/>
        <v>#DIV/0!</v>
      </c>
      <c r="J71" s="10">
        <f t="shared" si="15"/>
        <v>0</v>
      </c>
      <c r="K71" s="17" t="e">
        <f t="shared" si="12"/>
        <v>#DIV/0!</v>
      </c>
      <c r="L71" s="14">
        <f>'[1]2024_60-69 ΕΞΟΔΑ+ΟΜ 2'!M27</f>
        <v>206.81</v>
      </c>
      <c r="M71" s="15">
        <f t="shared" si="13"/>
        <v>3.7362980424407036E-3</v>
      </c>
      <c r="N71" s="10" t="e">
        <f>L71+#REF!</f>
        <v>#REF!</v>
      </c>
      <c r="O71" s="15" t="e">
        <f t="shared" si="14"/>
        <v>#REF!</v>
      </c>
      <c r="P71" s="10"/>
      <c r="Q71" s="15" t="e">
        <f t="shared" si="16"/>
        <v>#REF!</v>
      </c>
    </row>
    <row r="72" spans="1:17" ht="27.7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2'!M28</f>
        <v>0</v>
      </c>
      <c r="E72" s="15">
        <f t="shared" si="9"/>
        <v>0</v>
      </c>
      <c r="F72" s="10" t="e">
        <f>D72+#REF!</f>
        <v>#REF!</v>
      </c>
      <c r="G72" s="15" t="e">
        <f t="shared" si="10"/>
        <v>#REF!</v>
      </c>
      <c r="H72" s="14"/>
      <c r="I72" s="16" t="e">
        <f t="shared" si="11"/>
        <v>#DIV/0!</v>
      </c>
      <c r="J72" s="10">
        <f t="shared" si="15"/>
        <v>0</v>
      </c>
      <c r="K72" s="17" t="e">
        <f t="shared" si="12"/>
        <v>#DIV/0!</v>
      </c>
      <c r="L72" s="14">
        <f>'[1]2024_60-69 ΕΞΟΔΑ+ΟΜ 2'!M28</f>
        <v>2034.47</v>
      </c>
      <c r="M72" s="15">
        <f t="shared" si="13"/>
        <v>3.6755409692008793E-2</v>
      </c>
      <c r="N72" s="10" t="e">
        <f>L72+#REF!</f>
        <v>#REF!</v>
      </c>
      <c r="O72" s="15" t="e">
        <f t="shared" si="14"/>
        <v>#REF!</v>
      </c>
      <c r="P72" s="10"/>
      <c r="Q72" s="15" t="e">
        <f t="shared" si="16"/>
        <v>#REF!</v>
      </c>
    </row>
    <row r="73" spans="1:17" ht="78.75" customHeight="1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2'!M29</f>
        <v>0</v>
      </c>
      <c r="E73" s="15">
        <f t="shared" si="9"/>
        <v>0</v>
      </c>
      <c r="F73" s="10" t="e">
        <f>D73+#REF!</f>
        <v>#REF!</v>
      </c>
      <c r="G73" s="15" t="e">
        <f t="shared" si="10"/>
        <v>#REF!</v>
      </c>
      <c r="H73" s="14"/>
      <c r="I73" s="16" t="e">
        <f t="shared" si="11"/>
        <v>#DIV/0!</v>
      </c>
      <c r="J73" s="10">
        <f t="shared" si="15"/>
        <v>0</v>
      </c>
      <c r="K73" s="17" t="e">
        <f t="shared" si="12"/>
        <v>#DIV/0!</v>
      </c>
      <c r="L73" s="14">
        <f>'[1]2024_60-69 ΕΞΟΔΑ+ΟΜ 2'!M29</f>
        <v>0</v>
      </c>
      <c r="M73" s="15">
        <f t="shared" si="13"/>
        <v>0</v>
      </c>
      <c r="N73" s="10" t="e">
        <f>L73+#REF!</f>
        <v>#REF!</v>
      </c>
      <c r="O73" s="15" t="e">
        <f t="shared" si="14"/>
        <v>#REF!</v>
      </c>
      <c r="P73" s="10"/>
      <c r="Q73" s="15" t="e">
        <f t="shared" si="16"/>
        <v>#REF!</v>
      </c>
    </row>
    <row r="74" spans="1:17" ht="30" customHeight="1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v>0</v>
      </c>
      <c r="E74" s="15">
        <f t="shared" si="9"/>
        <v>0</v>
      </c>
      <c r="F74" s="10" t="e">
        <f>D74+#REF!</f>
        <v>#REF!</v>
      </c>
      <c r="G74" s="15" t="e">
        <f t="shared" si="10"/>
        <v>#REF!</v>
      </c>
      <c r="H74" s="14"/>
      <c r="I74" s="16" t="e">
        <f t="shared" si="11"/>
        <v>#DIV/0!</v>
      </c>
      <c r="J74" s="10">
        <f t="shared" si="15"/>
        <v>0</v>
      </c>
      <c r="K74" s="17" t="e">
        <f t="shared" si="12"/>
        <v>#DIV/0!</v>
      </c>
      <c r="L74" s="14">
        <f>'[1]2024_60-69 ΕΞΟΔΑ+ΟΜ 2'!M30</f>
        <v>366.73</v>
      </c>
      <c r="M74" s="15">
        <f t="shared" si="13"/>
        <v>6.6254657951950067E-3</v>
      </c>
      <c r="N74" s="10" t="e">
        <f>L74+#REF!</f>
        <v>#REF!</v>
      </c>
      <c r="O74" s="15" t="e">
        <f t="shared" si="14"/>
        <v>#REF!</v>
      </c>
      <c r="P74" s="10"/>
      <c r="Q74" s="15" t="e">
        <f t="shared" si="16"/>
        <v>#REF!</v>
      </c>
    </row>
    <row r="75" spans="1:17" ht="33.75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2'!M31</f>
        <v>7839.9766666666674</v>
      </c>
      <c r="E75" s="15">
        <f t="shared" si="9"/>
        <v>1</v>
      </c>
      <c r="F75" s="10" t="e">
        <f>D75+#REF!</f>
        <v>#REF!</v>
      </c>
      <c r="G75" s="15" t="e">
        <f t="shared" si="10"/>
        <v>#REF!</v>
      </c>
      <c r="H75" s="14"/>
      <c r="I75" s="16" t="e">
        <f t="shared" si="11"/>
        <v>#DIV/0!</v>
      </c>
      <c r="J75" s="10">
        <f t="shared" si="15"/>
        <v>0</v>
      </c>
      <c r="K75" s="17" t="e">
        <f t="shared" si="12"/>
        <v>#DIV/0!</v>
      </c>
      <c r="L75" s="14">
        <f>'[1]2024_60-69 ΕΞΟΔΑ+ΟΜ 2'!M31</f>
        <v>7839.98</v>
      </c>
      <c r="M75" s="15">
        <f t="shared" si="13"/>
        <v>0.14163967857828086</v>
      </c>
      <c r="N75" s="10" t="e">
        <f>L75+#REF!</f>
        <v>#REF!</v>
      </c>
      <c r="O75" s="15" t="e">
        <f t="shared" si="14"/>
        <v>#REF!</v>
      </c>
      <c r="P75" s="10"/>
      <c r="Q75" s="15" t="e">
        <f t="shared" si="16"/>
        <v>#REF!</v>
      </c>
    </row>
    <row r="76" spans="1:17" ht="28.5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2'!M32</f>
        <v>0</v>
      </c>
      <c r="E76" s="15">
        <f t="shared" si="9"/>
        <v>0</v>
      </c>
      <c r="F76" s="10" t="e">
        <f>D76+#REF!</f>
        <v>#REF!</v>
      </c>
      <c r="G76" s="15" t="e">
        <f t="shared" si="10"/>
        <v>#REF!</v>
      </c>
      <c r="H76" s="14"/>
      <c r="I76" s="16" t="e">
        <f t="shared" si="11"/>
        <v>#DIV/0!</v>
      </c>
      <c r="J76" s="10">
        <f t="shared" si="15"/>
        <v>0</v>
      </c>
      <c r="K76" s="17" t="e">
        <f t="shared" si="12"/>
        <v>#DIV/0!</v>
      </c>
      <c r="L76" s="14">
        <f>'[1]2024_60-69 ΕΞΟΔΑ+ΟΜ 2'!M32</f>
        <v>2966.78</v>
      </c>
      <c r="M76" s="15">
        <f t="shared" si="13"/>
        <v>5.3598831325140137E-2</v>
      </c>
      <c r="N76" s="10" t="e">
        <f>L76+#REF!</f>
        <v>#REF!</v>
      </c>
      <c r="O76" s="15" t="e">
        <f t="shared" si="14"/>
        <v>#REF!</v>
      </c>
      <c r="P76" s="10"/>
      <c r="Q76" s="15" t="e">
        <f t="shared" si="16"/>
        <v>#REF!</v>
      </c>
    </row>
    <row r="77" spans="1:17" ht="28.5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2'!M33</f>
        <v>0</v>
      </c>
      <c r="E77" s="15">
        <f t="shared" si="9"/>
        <v>0</v>
      </c>
      <c r="F77" s="10" t="e">
        <f>D77+#REF!</f>
        <v>#REF!</v>
      </c>
      <c r="G77" s="15" t="e">
        <f t="shared" si="10"/>
        <v>#REF!</v>
      </c>
      <c r="H77" s="14"/>
      <c r="I77" s="16" t="e">
        <f t="shared" si="11"/>
        <v>#DIV/0!</v>
      </c>
      <c r="J77" s="10">
        <f t="shared" si="15"/>
        <v>0</v>
      </c>
      <c r="K77" s="17" t="e">
        <f t="shared" si="12"/>
        <v>#DIV/0!</v>
      </c>
      <c r="L77" s="14">
        <f>'[1]2024_60-69 ΕΞΟΔΑ+ΟΜ 2'!M33</f>
        <v>0</v>
      </c>
      <c r="M77" s="15">
        <f t="shared" si="13"/>
        <v>0</v>
      </c>
      <c r="N77" s="10" t="e">
        <f>L77+#REF!</f>
        <v>#REF!</v>
      </c>
      <c r="O77" s="15" t="e">
        <f t="shared" si="14"/>
        <v>#REF!</v>
      </c>
      <c r="P77" s="10"/>
      <c r="Q77" s="15" t="e">
        <f t="shared" si="16"/>
        <v>#REF!</v>
      </c>
    </row>
    <row r="78" spans="1:17" ht="28.5" customHeight="1" x14ac:dyDescent="0.25">
      <c r="A78" s="60">
        <v>77</v>
      </c>
      <c r="B78" s="60"/>
      <c r="C78" s="75" t="s">
        <v>163</v>
      </c>
      <c r="D78" s="7">
        <f>'[1]2025_60-69 ΕΞΟΔΑ+ΟΜ 2'!M3</f>
        <v>7839.9766666666674</v>
      </c>
      <c r="E78" s="21"/>
      <c r="F78" s="7">
        <f>'[1]2025_60-69 ΕΞΟΔΑ+ΟΜ 2'!Z3</f>
        <v>263624.12666666659</v>
      </c>
      <c r="G78" s="21"/>
      <c r="H78" s="7">
        <f>SUM(H44:H75)</f>
        <v>0</v>
      </c>
      <c r="I78" s="21"/>
      <c r="J78" s="7">
        <f>SUM(J44:J75)</f>
        <v>0</v>
      </c>
      <c r="K78" s="21"/>
      <c r="L78" s="7">
        <f>SUM(L44:L75)</f>
        <v>52384.800000000003</v>
      </c>
      <c r="M78" s="21"/>
      <c r="N78" s="7" t="e">
        <f>SUM(N44:N75)</f>
        <v>#REF!</v>
      </c>
      <c r="O78" s="21"/>
      <c r="P78" s="7">
        <f>SUM(P44:P75)</f>
        <v>0</v>
      </c>
      <c r="Q78" s="21"/>
    </row>
    <row r="79" spans="1:17" ht="33" customHeight="1" x14ac:dyDescent="0.25">
      <c r="A79" s="60">
        <v>78</v>
      </c>
      <c r="B79" s="60"/>
      <c r="C79" s="22" t="s">
        <v>18</v>
      </c>
      <c r="D79" s="7">
        <f>D43-D78</f>
        <v>0</v>
      </c>
      <c r="E79" s="21"/>
      <c r="F79" s="7" t="e">
        <f>F43-F78</f>
        <v>#REF!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2966.7799999999988</v>
      </c>
      <c r="M79" s="21"/>
      <c r="N79" s="7" t="e">
        <f>N43-N78</f>
        <v>#REF!</v>
      </c>
      <c r="O79" s="21"/>
      <c r="P79" s="7">
        <f>P43-P78</f>
        <v>0</v>
      </c>
      <c r="Q79" s="21"/>
    </row>
    <row r="80" spans="1:17" ht="27" customHeight="1" x14ac:dyDescent="0.25">
      <c r="A80" s="76">
        <v>79</v>
      </c>
      <c r="B80" s="76">
        <v>28</v>
      </c>
      <c r="C80" s="13" t="s">
        <v>32</v>
      </c>
      <c r="D80" s="23">
        <f>D38-D78</f>
        <v>-7839.9766666666674</v>
      </c>
      <c r="E80" s="24"/>
      <c r="F80" s="23" t="e">
        <f>F38-F78</f>
        <v>#VALUE!</v>
      </c>
      <c r="G80" s="24"/>
      <c r="H80" s="25">
        <f>H38-H78</f>
        <v>0</v>
      </c>
      <c r="I80" s="24" t="e">
        <f t="shared" ref="I80" si="17">H80/$I$39</f>
        <v>#DIV/0!</v>
      </c>
      <c r="J80" s="25" t="e">
        <f>J38-J78</f>
        <v>#REF!</v>
      </c>
      <c r="K80" s="24"/>
      <c r="L80" s="77">
        <f>L38-L78</f>
        <v>24710.799999999988</v>
      </c>
      <c r="M80" s="24"/>
      <c r="N80" s="23" t="e">
        <f>N38-N78</f>
        <v>#REF!</v>
      </c>
      <c r="O80" s="24"/>
      <c r="P80" s="23">
        <f>P38-P78</f>
        <v>0</v>
      </c>
      <c r="Q80" s="24"/>
    </row>
    <row r="81" spans="1:17" ht="30.75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</row>
    <row r="82" spans="1:17" ht="24.75" customHeight="1" x14ac:dyDescent="0.25">
      <c r="A82" s="19">
        <v>81</v>
      </c>
      <c r="B82" s="19"/>
      <c r="C82" s="5" t="s">
        <v>3</v>
      </c>
      <c r="D82" s="180" t="str">
        <f>[1]ΑΝΤΙΣΤΟΙΧΙΣΗ!$F$115</f>
        <v xml:space="preserve">ΟΚΤΩΒΡΙΟΣ ΤΡΕΧΟΝ ΕΤΟΣ </v>
      </c>
      <c r="E82" s="180"/>
      <c r="F82" s="180"/>
      <c r="G82" s="61">
        <f>[1]ΑΝΤΙΣΤΟΙΧΙΣΗ!$D$34</f>
        <v>2025</v>
      </c>
      <c r="H82" s="180" t="str">
        <f>[1]ΑΝΤΙΣΤΟΙΧΙΣΗ!$F$115</f>
        <v xml:space="preserve">ΟΚΤΩΒΡΙΟΣ ΤΡΕΧΟΝ ΕΤΟΣ </v>
      </c>
      <c r="I82" s="180"/>
      <c r="J82" s="180"/>
      <c r="K82" s="61">
        <f>[1]ΑΝΤΙΣΤΟΙΧΙΣΗ!$D$34</f>
        <v>2025</v>
      </c>
      <c r="L82" s="180" t="str">
        <f>[1]ΑΝΤΙΣΤΟΙΧΙΣΗ!$F$129</f>
        <v>ΟΚΤΩΒΡΙΟΣ ΠΡΟΗΓΟΥΜΕΝΟΥ ΕΤΟΥΣ</v>
      </c>
      <c r="M82" s="180"/>
      <c r="N82" s="180"/>
      <c r="O82" s="61">
        <f>[1]ΑΝΤΙΣΤΟΙΧΙΣΗ!$D$33</f>
        <v>2024</v>
      </c>
      <c r="P82" s="180"/>
      <c r="Q82" s="180"/>
    </row>
    <row r="83" spans="1:17" ht="15" customHeight="1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</row>
    <row r="84" spans="1:17" ht="15" customHeight="1" x14ac:dyDescent="0.25">
      <c r="A84" s="19">
        <v>83</v>
      </c>
      <c r="B84" s="19" t="s">
        <v>2</v>
      </c>
      <c r="C84" s="75" t="s">
        <v>165</v>
      </c>
      <c r="D84" s="7">
        <f ca="1">SUM(D47:D110)</f>
        <v>0</v>
      </c>
      <c r="E84" s="8"/>
      <c r="F84" s="7" t="e">
        <f>SUM(F47:F110)</f>
        <v>#REF!</v>
      </c>
      <c r="G84" s="8"/>
      <c r="H84" s="7">
        <f ca="1">SUM(H47:H110)</f>
        <v>0</v>
      </c>
      <c r="I84" s="8"/>
      <c r="J84" s="7" t="e">
        <f>SUM(J47:J110)</f>
        <v>#REF!</v>
      </c>
      <c r="K84" s="8"/>
      <c r="L84" s="7">
        <f ca="1">SUM(L47:L110)</f>
        <v>7794.92</v>
      </c>
      <c r="M84" s="8"/>
      <c r="N84" s="7" t="e">
        <f>SUM(N47:N110)</f>
        <v>#REF!</v>
      </c>
      <c r="O84" s="8"/>
      <c r="P84" s="7">
        <f ca="1">SUM(P47:P110)</f>
        <v>0</v>
      </c>
      <c r="Q84" s="8"/>
    </row>
    <row r="85" spans="1:17" ht="43.5" customHeight="1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2'!M39</f>
        <v>0</v>
      </c>
      <c r="E85" s="15" t="e">
        <f t="shared" ref="E85:E105" ca="1" si="18">D85/$D$84</f>
        <v>#DIV/0!</v>
      </c>
      <c r="F85" s="79" t="e">
        <f>D85+#REF!</f>
        <v>#REF!</v>
      </c>
      <c r="G85" s="15" t="e">
        <f t="shared" ref="G85:G105" si="19">F85/$F$84</f>
        <v>#REF!</v>
      </c>
      <c r="H85" s="14"/>
      <c r="I85" s="26" t="e">
        <f t="shared" ref="I85:I105" ca="1" si="20">H85/$H$84</f>
        <v>#DIV/0!</v>
      </c>
      <c r="J85" s="27"/>
      <c r="K85" s="27" t="e">
        <f t="shared" ref="K85:K105" si="21">J85/$J$84</f>
        <v>#REF!</v>
      </c>
      <c r="L85" s="79">
        <f>'[1]2024_60-69 ΕΞΟΔΑ+ΟΜ 2'!M37</f>
        <v>2091.4</v>
      </c>
      <c r="M85" s="15">
        <f t="shared" ref="M85:M105" ca="1" si="22">L85/$L$84</f>
        <v>0.26830294602125487</v>
      </c>
      <c r="N85" s="10" t="e">
        <f>L85+#REF!</f>
        <v>#REF!</v>
      </c>
      <c r="O85" s="15" t="e">
        <f t="shared" ref="O85:O105" si="23">N85/$N$84</f>
        <v>#REF!</v>
      </c>
      <c r="P85" s="27"/>
      <c r="Q85" s="28" t="e">
        <f t="shared" ref="Q85:Q105" ca="1" si="24">SUM(D85:P85)</f>
        <v>#DIV/0!</v>
      </c>
    </row>
    <row r="86" spans="1:17" ht="43.5" customHeight="1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2'!M40</f>
        <v>0</v>
      </c>
      <c r="E86" s="15" t="e">
        <f t="shared" ca="1" si="18"/>
        <v>#DIV/0!</v>
      </c>
      <c r="F86" s="79" t="e">
        <f>D86+#REF!</f>
        <v>#REF!</v>
      </c>
      <c r="G86" s="15" t="e">
        <f t="shared" si="19"/>
        <v>#REF!</v>
      </c>
      <c r="H86" s="14"/>
      <c r="I86" s="26" t="e">
        <f t="shared" ca="1" si="20"/>
        <v>#DIV/0!</v>
      </c>
      <c r="J86" s="27"/>
      <c r="K86" s="27" t="e">
        <f t="shared" si="21"/>
        <v>#REF!</v>
      </c>
      <c r="L86" s="79">
        <f>'[1]2024_60-69 ΕΞΟΔΑ+ΟΜ 2'!M38</f>
        <v>0</v>
      </c>
      <c r="M86" s="15">
        <f t="shared" ca="1" si="22"/>
        <v>0</v>
      </c>
      <c r="N86" s="10" t="e">
        <f>L86+#REF!</f>
        <v>#REF!</v>
      </c>
      <c r="O86" s="15" t="e">
        <f t="shared" si="23"/>
        <v>#REF!</v>
      </c>
      <c r="P86" s="27"/>
      <c r="Q86" s="28" t="e">
        <f t="shared" ca="1" si="24"/>
        <v>#DIV/0!</v>
      </c>
    </row>
    <row r="87" spans="1:17" ht="43.5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2'!M43</f>
        <v>0</v>
      </c>
      <c r="E87" s="15" t="e">
        <f t="shared" ca="1" si="18"/>
        <v>#DIV/0!</v>
      </c>
      <c r="F87" s="79" t="e">
        <f>D87+#REF!</f>
        <v>#REF!</v>
      </c>
      <c r="G87" s="15" t="e">
        <f t="shared" si="19"/>
        <v>#REF!</v>
      </c>
      <c r="H87" s="14"/>
      <c r="I87" s="26" t="e">
        <f t="shared" ca="1" si="20"/>
        <v>#DIV/0!</v>
      </c>
      <c r="J87" s="27"/>
      <c r="K87" s="27" t="e">
        <f t="shared" si="21"/>
        <v>#REF!</v>
      </c>
      <c r="L87" s="79">
        <f>'[1]2024_60-69 ΕΞΟΔΑ+ΟΜ 2'!M41</f>
        <v>326.89999999999998</v>
      </c>
      <c r="M87" s="15">
        <f t="shared" ca="1" si="22"/>
        <v>4.1937569596609069E-2</v>
      </c>
      <c r="N87" s="10" t="e">
        <f>L87+#REF!</f>
        <v>#REF!</v>
      </c>
      <c r="O87" s="15" t="e">
        <f t="shared" si="23"/>
        <v>#REF!</v>
      </c>
      <c r="P87" s="27"/>
      <c r="Q87" s="28" t="e">
        <f t="shared" ca="1" si="24"/>
        <v>#DIV/0!</v>
      </c>
    </row>
    <row r="88" spans="1:17" ht="43.5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2'!M44</f>
        <v>0</v>
      </c>
      <c r="E88" s="15" t="e">
        <f t="shared" ca="1" si="18"/>
        <v>#DIV/0!</v>
      </c>
      <c r="F88" s="79" t="e">
        <f>D88+#REF!</f>
        <v>#REF!</v>
      </c>
      <c r="G88" s="15" t="e">
        <f t="shared" si="19"/>
        <v>#REF!</v>
      </c>
      <c r="H88" s="14"/>
      <c r="I88" s="26" t="e">
        <f t="shared" ca="1" si="20"/>
        <v>#DIV/0!</v>
      </c>
      <c r="J88" s="27"/>
      <c r="K88" s="27" t="e">
        <f t="shared" si="21"/>
        <v>#REF!</v>
      </c>
      <c r="L88" s="79">
        <f>'[1]2024_60-69 ΕΞΟΔΑ+ΟΜ 2'!M42</f>
        <v>0</v>
      </c>
      <c r="M88" s="15">
        <f t="shared" ca="1" si="22"/>
        <v>0</v>
      </c>
      <c r="N88" s="10" t="e">
        <f>L88+#REF!</f>
        <v>#REF!</v>
      </c>
      <c r="O88" s="15" t="e">
        <f t="shared" si="23"/>
        <v>#REF!</v>
      </c>
      <c r="P88" s="27"/>
      <c r="Q88" s="28" t="e">
        <f t="shared" ca="1" si="24"/>
        <v>#DIV/0!</v>
      </c>
    </row>
    <row r="89" spans="1:17" ht="43.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2'!M45</f>
        <v>0</v>
      </c>
      <c r="E89" s="15" t="e">
        <f t="shared" ca="1" si="18"/>
        <v>#DIV/0!</v>
      </c>
      <c r="F89" s="79" t="e">
        <f>D89+#REF!</f>
        <v>#REF!</v>
      </c>
      <c r="G89" s="15" t="e">
        <f t="shared" si="19"/>
        <v>#REF!</v>
      </c>
      <c r="H89" s="80"/>
      <c r="I89" s="26" t="e">
        <f t="shared" ca="1" si="20"/>
        <v>#DIV/0!</v>
      </c>
      <c r="J89" s="80"/>
      <c r="K89" s="27" t="e">
        <f t="shared" si="21"/>
        <v>#REF!</v>
      </c>
      <c r="L89" s="79">
        <f>'[1]2024_60-69 ΕΞΟΔΑ+ΟΜ 2'!M43</f>
        <v>0</v>
      </c>
      <c r="M89" s="15">
        <f t="shared" ca="1" si="22"/>
        <v>0</v>
      </c>
      <c r="N89" s="10" t="e">
        <f>L89+#REF!</f>
        <v>#REF!</v>
      </c>
      <c r="O89" s="15" t="e">
        <f t="shared" si="23"/>
        <v>#REF!</v>
      </c>
      <c r="P89" s="80"/>
      <c r="Q89" s="28" t="e">
        <f t="shared" ca="1" si="24"/>
        <v>#DIV/0!</v>
      </c>
    </row>
    <row r="90" spans="1:17" ht="42.75" customHeight="1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2'!M46</f>
        <v>0</v>
      </c>
      <c r="E90" s="15" t="e">
        <f t="shared" ca="1" si="18"/>
        <v>#DIV/0!</v>
      </c>
      <c r="F90" s="79" t="e">
        <f>D90+#REF!</f>
        <v>#REF!</v>
      </c>
      <c r="G90" s="15" t="e">
        <f t="shared" si="19"/>
        <v>#REF!</v>
      </c>
      <c r="H90" s="80"/>
      <c r="I90" s="26" t="e">
        <f t="shared" ca="1" si="20"/>
        <v>#DIV/0!</v>
      </c>
      <c r="J90" s="80"/>
      <c r="K90" s="27" t="e">
        <f t="shared" si="21"/>
        <v>#REF!</v>
      </c>
      <c r="L90" s="79">
        <f>'[1]2024_60-69 ΕΞΟΔΑ+ΟΜ 2'!M44</f>
        <v>0</v>
      </c>
      <c r="M90" s="15">
        <f t="shared" ca="1" si="22"/>
        <v>0</v>
      </c>
      <c r="N90" s="10" t="e">
        <f>L90+#REF!</f>
        <v>#REF!</v>
      </c>
      <c r="O90" s="15" t="e">
        <f t="shared" si="23"/>
        <v>#REF!</v>
      </c>
      <c r="P90" s="80"/>
      <c r="Q90" s="28" t="e">
        <f t="shared" ca="1" si="24"/>
        <v>#DIV/0!</v>
      </c>
    </row>
    <row r="91" spans="1:17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2'!M47</f>
        <v>0</v>
      </c>
      <c r="E91" s="15" t="e">
        <f t="shared" ca="1" si="18"/>
        <v>#DIV/0!</v>
      </c>
      <c r="F91" s="79" t="e">
        <f>D91+#REF!</f>
        <v>#REF!</v>
      </c>
      <c r="G91" s="15" t="e">
        <f t="shared" si="19"/>
        <v>#REF!</v>
      </c>
      <c r="H91" s="80"/>
      <c r="I91" s="26" t="e">
        <f t="shared" ca="1" si="20"/>
        <v>#DIV/0!</v>
      </c>
      <c r="J91" s="80"/>
      <c r="K91" s="27" t="e">
        <f t="shared" si="21"/>
        <v>#REF!</v>
      </c>
      <c r="L91" s="79">
        <f>'[1]2024_60-69 ΕΞΟΔΑ+ΟΜ 2'!M45</f>
        <v>0</v>
      </c>
      <c r="M91" s="15">
        <f t="shared" ca="1" si="22"/>
        <v>0</v>
      </c>
      <c r="N91" s="10" t="e">
        <f>L91+#REF!</f>
        <v>#REF!</v>
      </c>
      <c r="O91" s="15" t="e">
        <f t="shared" si="23"/>
        <v>#REF!</v>
      </c>
      <c r="P91" s="80"/>
      <c r="Q91" s="28" t="e">
        <f t="shared" ca="1" si="24"/>
        <v>#DIV/0!</v>
      </c>
    </row>
    <row r="92" spans="1:17" ht="15" customHeight="1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2'!M48</f>
        <v>0</v>
      </c>
      <c r="E92" s="15" t="e">
        <f t="shared" ca="1" si="18"/>
        <v>#DIV/0!</v>
      </c>
      <c r="F92" s="79" t="e">
        <f>D92+#REF!</f>
        <v>#REF!</v>
      </c>
      <c r="G92" s="15" t="e">
        <f t="shared" si="19"/>
        <v>#REF!</v>
      </c>
      <c r="H92" s="14"/>
      <c r="I92" s="26" t="e">
        <f t="shared" ca="1" si="20"/>
        <v>#DIV/0!</v>
      </c>
      <c r="J92" s="27"/>
      <c r="K92" s="27" t="e">
        <f t="shared" si="21"/>
        <v>#REF!</v>
      </c>
      <c r="L92" s="79">
        <f>'[1]2024_60-69 ΕΞΟΔΑ+ΟΜ 2'!M46</f>
        <v>0</v>
      </c>
      <c r="M92" s="15">
        <f t="shared" ca="1" si="22"/>
        <v>0</v>
      </c>
      <c r="N92" s="10" t="e">
        <f>L92+#REF!</f>
        <v>#REF!</v>
      </c>
      <c r="O92" s="15" t="e">
        <f t="shared" si="23"/>
        <v>#REF!</v>
      </c>
      <c r="P92" s="27"/>
      <c r="Q92" s="28" t="e">
        <f t="shared" ca="1" si="24"/>
        <v>#DIV/0!</v>
      </c>
    </row>
    <row r="93" spans="1:17" ht="15" customHeight="1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2'!M49</f>
        <v>0</v>
      </c>
      <c r="E93" s="15" t="e">
        <f t="shared" ca="1" si="18"/>
        <v>#DIV/0!</v>
      </c>
      <c r="F93" s="79" t="e">
        <f>D93+#REF!</f>
        <v>#REF!</v>
      </c>
      <c r="G93" s="15" t="e">
        <f t="shared" si="19"/>
        <v>#REF!</v>
      </c>
      <c r="H93" s="14"/>
      <c r="I93" s="26" t="e">
        <f t="shared" ca="1" si="20"/>
        <v>#DIV/0!</v>
      </c>
      <c r="J93" s="27"/>
      <c r="K93" s="27" t="e">
        <f t="shared" si="21"/>
        <v>#REF!</v>
      </c>
      <c r="L93" s="79">
        <f>'[1]2024_60-69 ΕΞΟΔΑ+ΟΜ 2'!M47</f>
        <v>0</v>
      </c>
      <c r="M93" s="15">
        <f t="shared" ca="1" si="22"/>
        <v>0</v>
      </c>
      <c r="N93" s="10" t="e">
        <f>L93+#REF!</f>
        <v>#REF!</v>
      </c>
      <c r="O93" s="15" t="e">
        <f t="shared" si="23"/>
        <v>#REF!</v>
      </c>
      <c r="P93" s="27"/>
      <c r="Q93" s="28" t="e">
        <f t="shared" ca="1" si="24"/>
        <v>#DIV/0!</v>
      </c>
    </row>
    <row r="94" spans="1:17" ht="1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2'!M50</f>
        <v>0</v>
      </c>
      <c r="E94" s="15" t="e">
        <f t="shared" ca="1" si="18"/>
        <v>#DIV/0!</v>
      </c>
      <c r="F94" s="79" t="e">
        <f>D94+#REF!</f>
        <v>#REF!</v>
      </c>
      <c r="G94" s="15" t="e">
        <f t="shared" si="19"/>
        <v>#REF!</v>
      </c>
      <c r="H94" s="81"/>
      <c r="I94" s="26" t="e">
        <f t="shared" ca="1" si="20"/>
        <v>#DIV/0!</v>
      </c>
      <c r="J94" s="81"/>
      <c r="K94" s="27" t="e">
        <f t="shared" si="21"/>
        <v>#REF!</v>
      </c>
      <c r="L94" s="79">
        <f>'[1]2024_60-69 ΕΞΟΔΑ+ΟΜ 2'!M48</f>
        <v>0</v>
      </c>
      <c r="M94" s="15">
        <f t="shared" ca="1" si="22"/>
        <v>0</v>
      </c>
      <c r="N94" s="10" t="e">
        <f>L94+#REF!</f>
        <v>#REF!</v>
      </c>
      <c r="O94" s="15" t="e">
        <f t="shared" si="23"/>
        <v>#REF!</v>
      </c>
      <c r="P94" s="81"/>
      <c r="Q94" s="28" t="e">
        <f t="shared" ca="1" si="24"/>
        <v>#DIV/0!</v>
      </c>
    </row>
    <row r="95" spans="1:17" ht="28.5" customHeight="1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2'!M51</f>
        <v>0</v>
      </c>
      <c r="E95" s="15" t="e">
        <f t="shared" ca="1" si="18"/>
        <v>#DIV/0!</v>
      </c>
      <c r="F95" s="79" t="e">
        <f>D95+#REF!</f>
        <v>#REF!</v>
      </c>
      <c r="G95" s="15" t="e">
        <f t="shared" si="19"/>
        <v>#REF!</v>
      </c>
      <c r="H95" s="14"/>
      <c r="I95" s="26" t="e">
        <f t="shared" ca="1" si="20"/>
        <v>#DIV/0!</v>
      </c>
      <c r="J95" s="27"/>
      <c r="K95" s="27" t="e">
        <f t="shared" si="21"/>
        <v>#REF!</v>
      </c>
      <c r="L95" s="79">
        <f>'[1]2024_60-69 ΕΞΟΔΑ+ΟΜ 2'!M49</f>
        <v>0</v>
      </c>
      <c r="M95" s="15">
        <f t="shared" ca="1" si="22"/>
        <v>0</v>
      </c>
      <c r="N95" s="10" t="e">
        <f>L95+#REF!</f>
        <v>#REF!</v>
      </c>
      <c r="O95" s="15" t="e">
        <f t="shared" si="23"/>
        <v>#REF!</v>
      </c>
      <c r="P95" s="27"/>
      <c r="Q95" s="28" t="e">
        <f t="shared" ca="1" si="24"/>
        <v>#DIV/0!</v>
      </c>
    </row>
    <row r="96" spans="1:17" ht="15" customHeight="1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2'!M52</f>
        <v>0</v>
      </c>
      <c r="E96" s="15" t="e">
        <f t="shared" ca="1" si="18"/>
        <v>#DIV/0!</v>
      </c>
      <c r="F96" s="79" t="e">
        <f>D96+#REF!</f>
        <v>#REF!</v>
      </c>
      <c r="G96" s="15" t="e">
        <f t="shared" si="19"/>
        <v>#REF!</v>
      </c>
      <c r="H96" s="14"/>
      <c r="I96" s="26" t="e">
        <f t="shared" ca="1" si="20"/>
        <v>#DIV/0!</v>
      </c>
      <c r="J96" s="27"/>
      <c r="K96" s="27" t="e">
        <f t="shared" si="21"/>
        <v>#REF!</v>
      </c>
      <c r="L96" s="79">
        <f>'[1]2024_60-69 ΕΞΟΔΑ+ΟΜ 2'!M50</f>
        <v>15.63</v>
      </c>
      <c r="M96" s="15">
        <f t="shared" ca="1" si="22"/>
        <v>2.0051520734016516E-3</v>
      </c>
      <c r="N96" s="10" t="e">
        <f>L96+#REF!</f>
        <v>#REF!</v>
      </c>
      <c r="O96" s="15" t="e">
        <f t="shared" si="23"/>
        <v>#REF!</v>
      </c>
      <c r="P96" s="27"/>
      <c r="Q96" s="28" t="e">
        <f t="shared" ca="1" si="24"/>
        <v>#DIV/0!</v>
      </c>
    </row>
    <row r="97" spans="1:17" ht="15" customHeight="1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2'!M53</f>
        <v>0</v>
      </c>
      <c r="E97" s="15" t="e">
        <f t="shared" ca="1" si="18"/>
        <v>#DIV/0!</v>
      </c>
      <c r="F97" s="79" t="e">
        <f>D97+#REF!</f>
        <v>#REF!</v>
      </c>
      <c r="G97" s="15" t="e">
        <f t="shared" si="19"/>
        <v>#REF!</v>
      </c>
      <c r="H97" s="14"/>
      <c r="I97" s="26" t="e">
        <f t="shared" ca="1" si="20"/>
        <v>#DIV/0!</v>
      </c>
      <c r="J97" s="27"/>
      <c r="K97" s="27" t="e">
        <f t="shared" si="21"/>
        <v>#REF!</v>
      </c>
      <c r="L97" s="79">
        <f>'[1]2024_60-69 ΕΞΟΔΑ+ΟΜ 2'!M51</f>
        <v>0</v>
      </c>
      <c r="M97" s="15">
        <f t="shared" ca="1" si="22"/>
        <v>0</v>
      </c>
      <c r="N97" s="10" t="e">
        <f>L97+#REF!</f>
        <v>#REF!</v>
      </c>
      <c r="O97" s="15" t="e">
        <f t="shared" si="23"/>
        <v>#REF!</v>
      </c>
      <c r="P97" s="27"/>
      <c r="Q97" s="28" t="e">
        <f t="shared" ca="1" si="24"/>
        <v>#DIV/0!</v>
      </c>
    </row>
    <row r="98" spans="1:17" ht="15" customHeight="1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2'!M54</f>
        <v>0</v>
      </c>
      <c r="E98" s="15" t="e">
        <f t="shared" ca="1" si="18"/>
        <v>#DIV/0!</v>
      </c>
      <c r="F98" s="79" t="e">
        <f>D98+#REF!</f>
        <v>#REF!</v>
      </c>
      <c r="G98" s="15" t="e">
        <f t="shared" si="19"/>
        <v>#REF!</v>
      </c>
      <c r="H98" s="14"/>
      <c r="I98" s="26" t="e">
        <f t="shared" ca="1" si="20"/>
        <v>#DIV/0!</v>
      </c>
      <c r="J98" s="27"/>
      <c r="K98" s="27" t="e">
        <f t="shared" si="21"/>
        <v>#REF!</v>
      </c>
      <c r="L98" s="79">
        <f>'[1]2024_60-69 ΕΞΟΔΑ+ΟΜ 2'!M52</f>
        <v>0</v>
      </c>
      <c r="M98" s="15">
        <f t="shared" ca="1" si="22"/>
        <v>0</v>
      </c>
      <c r="N98" s="10" t="e">
        <f>L98+#REF!</f>
        <v>#REF!</v>
      </c>
      <c r="O98" s="15" t="e">
        <f t="shared" si="23"/>
        <v>#REF!</v>
      </c>
      <c r="P98" s="27"/>
      <c r="Q98" s="28" t="e">
        <f t="shared" ca="1" si="24"/>
        <v>#DIV/0!</v>
      </c>
    </row>
    <row r="99" spans="1:17" ht="1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2'!M55</f>
        <v>0</v>
      </c>
      <c r="E99" s="15" t="e">
        <f t="shared" ca="1" si="18"/>
        <v>#DIV/0!</v>
      </c>
      <c r="F99" s="79" t="e">
        <f>D99+#REF!</f>
        <v>#REF!</v>
      </c>
      <c r="G99" s="15" t="e">
        <f t="shared" si="19"/>
        <v>#REF!</v>
      </c>
      <c r="H99" s="14"/>
      <c r="I99" s="26" t="e">
        <f t="shared" ca="1" si="20"/>
        <v>#DIV/0!</v>
      </c>
      <c r="J99" s="27"/>
      <c r="K99" s="27" t="e">
        <f t="shared" si="21"/>
        <v>#REF!</v>
      </c>
      <c r="L99" s="79">
        <f>'[1]2024_60-69 ΕΞΟΔΑ+ΟΜ 2'!M53</f>
        <v>0</v>
      </c>
      <c r="M99" s="15">
        <f t="shared" ca="1" si="22"/>
        <v>0</v>
      </c>
      <c r="N99" s="10" t="e">
        <f>L99+#REF!</f>
        <v>#REF!</v>
      </c>
      <c r="O99" s="15" t="e">
        <f t="shared" si="23"/>
        <v>#REF!</v>
      </c>
      <c r="P99" s="27"/>
      <c r="Q99" s="28" t="e">
        <f t="shared" ca="1" si="24"/>
        <v>#DIV/0!</v>
      </c>
    </row>
    <row r="100" spans="1:17" ht="15" customHeight="1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2'!M56</f>
        <v>0</v>
      </c>
      <c r="E100" s="15" t="e">
        <f t="shared" ca="1" si="18"/>
        <v>#DIV/0!</v>
      </c>
      <c r="F100" s="79" t="e">
        <f>D100+#REF!</f>
        <v>#REF!</v>
      </c>
      <c r="G100" s="15" t="e">
        <f t="shared" si="19"/>
        <v>#REF!</v>
      </c>
      <c r="H100" s="14"/>
      <c r="I100" s="26" t="e">
        <f t="shared" ca="1" si="20"/>
        <v>#DIV/0!</v>
      </c>
      <c r="J100" s="27"/>
      <c r="K100" s="27" t="e">
        <f t="shared" si="21"/>
        <v>#REF!</v>
      </c>
      <c r="L100" s="79">
        <f>'[1]2024_60-69 ΕΞΟΔΑ+ΟΜ 2'!M54</f>
        <v>129.57</v>
      </c>
      <c r="M100" s="15">
        <f t="shared" ca="1" si="22"/>
        <v>1.6622364309062825E-2</v>
      </c>
      <c r="N100" s="10" t="e">
        <f>L100+#REF!</f>
        <v>#REF!</v>
      </c>
      <c r="O100" s="15" t="e">
        <f t="shared" si="23"/>
        <v>#REF!</v>
      </c>
      <c r="P100" s="27"/>
      <c r="Q100" s="28" t="e">
        <f t="shared" ca="1" si="24"/>
        <v>#DIV/0!</v>
      </c>
    </row>
    <row r="101" spans="1:17" ht="25.5" customHeight="1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2'!M57</f>
        <v>0</v>
      </c>
      <c r="E101" s="15" t="e">
        <f t="shared" ca="1" si="18"/>
        <v>#DIV/0!</v>
      </c>
      <c r="F101" s="79" t="e">
        <f>D101+#REF!</f>
        <v>#REF!</v>
      </c>
      <c r="G101" s="15" t="e">
        <f t="shared" si="19"/>
        <v>#REF!</v>
      </c>
      <c r="H101" s="14"/>
      <c r="I101" s="26" t="e">
        <f t="shared" ca="1" si="20"/>
        <v>#DIV/0!</v>
      </c>
      <c r="J101" s="27"/>
      <c r="K101" s="27" t="e">
        <f t="shared" si="21"/>
        <v>#REF!</v>
      </c>
      <c r="L101" s="79">
        <f>'[1]2024_60-69 ΕΞΟΔΑ+ΟΜ 2'!M55</f>
        <v>0</v>
      </c>
      <c r="M101" s="15">
        <f t="shared" ca="1" si="22"/>
        <v>0</v>
      </c>
      <c r="N101" s="10" t="e">
        <f>L101+#REF!</f>
        <v>#REF!</v>
      </c>
      <c r="O101" s="15" t="e">
        <f t="shared" si="23"/>
        <v>#REF!</v>
      </c>
      <c r="P101" s="27"/>
      <c r="Q101" s="28" t="e">
        <f t="shared" ca="1" si="24"/>
        <v>#DIV/0!</v>
      </c>
    </row>
    <row r="102" spans="1:17" ht="24" customHeight="1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2'!M58</f>
        <v>0</v>
      </c>
      <c r="E102" s="15" t="e">
        <f t="shared" ca="1" si="18"/>
        <v>#DIV/0!</v>
      </c>
      <c r="F102" s="79" t="e">
        <f>D102+#REF!</f>
        <v>#REF!</v>
      </c>
      <c r="G102" s="15" t="e">
        <f t="shared" si="19"/>
        <v>#REF!</v>
      </c>
      <c r="H102" s="14"/>
      <c r="I102" s="26" t="e">
        <f t="shared" ca="1" si="20"/>
        <v>#DIV/0!</v>
      </c>
      <c r="J102" s="27"/>
      <c r="K102" s="27" t="e">
        <f t="shared" si="21"/>
        <v>#REF!</v>
      </c>
      <c r="L102" s="79">
        <f>'[1]2024_60-69 ΕΞΟΔΑ+ΟΜ 2'!M56</f>
        <v>0</v>
      </c>
      <c r="M102" s="15">
        <f t="shared" ca="1" si="22"/>
        <v>0</v>
      </c>
      <c r="N102" s="10" t="e">
        <f>L102+#REF!</f>
        <v>#REF!</v>
      </c>
      <c r="O102" s="15" t="e">
        <f t="shared" si="23"/>
        <v>#REF!</v>
      </c>
      <c r="P102" s="27"/>
      <c r="Q102" s="28" t="e">
        <f t="shared" ca="1" si="24"/>
        <v>#DIV/0!</v>
      </c>
    </row>
    <row r="103" spans="1:17" ht="15.75" hidden="1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2'!M59</f>
        <v>0</v>
      </c>
      <c r="E103" s="15" t="e">
        <f t="shared" ca="1" si="18"/>
        <v>#DIV/0!</v>
      </c>
      <c r="F103" s="79" t="e">
        <f>D103+#REF!</f>
        <v>#REF!</v>
      </c>
      <c r="G103" s="15" t="e">
        <f t="shared" si="19"/>
        <v>#REF!</v>
      </c>
      <c r="H103" s="14"/>
      <c r="I103" s="26" t="e">
        <f t="shared" ca="1" si="20"/>
        <v>#DIV/0!</v>
      </c>
      <c r="J103" s="27"/>
      <c r="K103" s="27" t="e">
        <f t="shared" si="21"/>
        <v>#REF!</v>
      </c>
      <c r="L103" s="79">
        <f>'[1]2024_60-69 ΕΞΟΔΑ+ΟΜ 2'!M57</f>
        <v>1000</v>
      </c>
      <c r="M103" s="15">
        <f t="shared" ca="1" si="22"/>
        <v>0.12828868032000329</v>
      </c>
      <c r="N103" s="10" t="e">
        <f>L103+#REF!</f>
        <v>#REF!</v>
      </c>
      <c r="O103" s="15" t="e">
        <f t="shared" si="23"/>
        <v>#REF!</v>
      </c>
      <c r="P103" s="27"/>
      <c r="Q103" s="28" t="e">
        <f t="shared" ca="1" si="24"/>
        <v>#DIV/0!</v>
      </c>
    </row>
    <row r="104" spans="1:17" ht="15.75" hidden="1" customHeight="1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2'!M60</f>
        <v>0</v>
      </c>
      <c r="E104" s="15" t="e">
        <f t="shared" ca="1" si="18"/>
        <v>#DIV/0!</v>
      </c>
      <c r="F104" s="79" t="e">
        <f>D104+#REF!</f>
        <v>#REF!</v>
      </c>
      <c r="G104" s="15" t="e">
        <f t="shared" si="19"/>
        <v>#REF!</v>
      </c>
      <c r="H104" s="14"/>
      <c r="I104" s="26" t="e">
        <f t="shared" ca="1" si="20"/>
        <v>#DIV/0!</v>
      </c>
      <c r="J104" s="27"/>
      <c r="K104" s="27" t="e">
        <f t="shared" si="21"/>
        <v>#REF!</v>
      </c>
      <c r="L104" s="79">
        <f>'[1]2024_60-69 ΕΞΟΔΑ+ΟΜ 2'!M58</f>
        <v>0</v>
      </c>
      <c r="M104" s="15">
        <f t="shared" ca="1" si="22"/>
        <v>0</v>
      </c>
      <c r="N104" s="10" t="e">
        <f>L104+#REF!</f>
        <v>#REF!</v>
      </c>
      <c r="O104" s="15" t="e">
        <f t="shared" si="23"/>
        <v>#REF!</v>
      </c>
      <c r="P104" s="27"/>
      <c r="Q104" s="28" t="e">
        <f t="shared" ca="1" si="24"/>
        <v>#DIV/0!</v>
      </c>
    </row>
    <row r="105" spans="1:17" ht="31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2'!M61</f>
        <v>0</v>
      </c>
      <c r="E105" s="15" t="e">
        <f t="shared" ca="1" si="18"/>
        <v>#DIV/0!</v>
      </c>
      <c r="F105" s="79" t="e">
        <f>D105+#REF!</f>
        <v>#REF!</v>
      </c>
      <c r="G105" s="15" t="e">
        <f t="shared" si="19"/>
        <v>#REF!</v>
      </c>
      <c r="H105" s="14"/>
      <c r="I105" s="26" t="e">
        <f t="shared" ca="1" si="20"/>
        <v>#DIV/0!</v>
      </c>
      <c r="J105" s="27"/>
      <c r="K105" s="27" t="e">
        <f t="shared" si="21"/>
        <v>#REF!</v>
      </c>
      <c r="L105" s="79">
        <f>'[1]2024_60-69 ΕΞΟΔΑ+ΟΜ 2'!M59</f>
        <v>0</v>
      </c>
      <c r="M105" s="15">
        <f t="shared" ca="1" si="22"/>
        <v>0</v>
      </c>
      <c r="N105" s="10" t="e">
        <f>L105+#REF!</f>
        <v>#REF!</v>
      </c>
      <c r="O105" s="15" t="e">
        <f t="shared" si="23"/>
        <v>#REF!</v>
      </c>
      <c r="P105" s="27"/>
      <c r="Q105" s="28" t="e">
        <f t="shared" ca="1" si="24"/>
        <v>#DIV/0!</v>
      </c>
    </row>
    <row r="106" spans="1:17" ht="45" customHeight="1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/>
      <c r="B111" s="60"/>
      <c r="C111" s="20" t="s">
        <v>41</v>
      </c>
      <c r="D111" s="7">
        <f>'[1]2025_60-69 ΕΞΟΔΑ+ΟΜ 2'!M36</f>
        <v>0</v>
      </c>
      <c r="E111" s="8"/>
      <c r="F111" s="7">
        <f>'[1]2025_60-69 ΕΞΟΔΑ+ΟΜ 2'!Z36</f>
        <v>46297.34</v>
      </c>
      <c r="G111" s="8"/>
      <c r="H111" s="7">
        <f ca="1">SUM(H47:H110)</f>
        <v>0</v>
      </c>
      <c r="I111" s="8"/>
      <c r="J111" s="7" t="e">
        <f>SUM(J47:J110)</f>
        <v>#REF!</v>
      </c>
      <c r="K111" s="8"/>
      <c r="L111" s="7">
        <f ca="1">SUM(L47:L110)</f>
        <v>7794.92</v>
      </c>
      <c r="M111" s="8"/>
      <c r="N111" s="7" t="e">
        <f>SUM(N47:N110)</f>
        <v>#REF!</v>
      </c>
      <c r="O111" s="8"/>
      <c r="P111" s="7">
        <f ca="1">SUM(P47:P110)</f>
        <v>0</v>
      </c>
      <c r="Q111" s="8"/>
    </row>
    <row r="112" spans="1:17" ht="15" customHeight="1" x14ac:dyDescent="0.25">
      <c r="A112" s="60"/>
      <c r="B112" s="60"/>
      <c r="C112" s="22" t="s">
        <v>18</v>
      </c>
      <c r="D112" s="7">
        <f ca="1">D84-D111</f>
        <v>0</v>
      </c>
      <c r="E112" s="8"/>
      <c r="F112" s="7" t="e">
        <f>F84-F111</f>
        <v>#REF!</v>
      </c>
      <c r="G112" s="8"/>
      <c r="H112" s="7">
        <f ca="1">H84-H111</f>
        <v>0</v>
      </c>
      <c r="I112" s="8"/>
      <c r="J112" s="7" t="e">
        <f>J84-J111</f>
        <v>#REF!</v>
      </c>
      <c r="K112" s="8"/>
      <c r="L112" s="7">
        <f ca="1">L84-L111</f>
        <v>0</v>
      </c>
      <c r="M112" s="8"/>
      <c r="N112" s="7" t="e">
        <f>N84-N111</f>
        <v>#REF!</v>
      </c>
      <c r="O112" s="8"/>
      <c r="P112" s="7">
        <f ca="1">P84-P111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</row>
    <row r="114" spans="1:17" ht="15" customHeight="1" x14ac:dyDescent="0.25">
      <c r="A114" s="60"/>
      <c r="B114" s="19"/>
      <c r="C114" s="5" t="s">
        <v>161</v>
      </c>
      <c r="D114" s="180" t="str">
        <f>[1]ΑΝΤΙΣΤΟΙΧΙΣΗ!$F$115</f>
        <v xml:space="preserve">ΟΚΤΩΒΡΙΟΣ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[1]ΑΝΤΙΣΤΟΙΧΙΣΗ!$F$115</f>
        <v xml:space="preserve">ΟΚΤΩΒΡΙΟΣ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[1]ΑΝΤΙΣΤΟΙΧΙΣΗ!$F$129</f>
        <v>ΟΚΤΩΒΡΙΟΣ ΠΡΟΗΓΟΥΜΕΝΟΥ ΕΤΟΥΣ</v>
      </c>
      <c r="M114" s="180"/>
      <c r="N114" s="180"/>
      <c r="O114" s="61">
        <f>[1]ΑΝΤΙΣΤΟΙΧΙΣΗ!$D$33</f>
        <v>2024</v>
      </c>
      <c r="P114" s="180"/>
      <c r="Q114" s="180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/>
      <c r="B116" s="19" t="s">
        <v>2</v>
      </c>
      <c r="C116" s="6" t="s">
        <v>167</v>
      </c>
      <c r="D116" s="7">
        <f>SUM(D117:D156)</f>
        <v>777.67000000000007</v>
      </c>
      <c r="E116" s="8"/>
      <c r="F116" s="7" t="e">
        <f>SUM(F117:F156)</f>
        <v>#REF!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7850.5300000000016</v>
      </c>
      <c r="M116" s="8"/>
      <c r="N116" s="7" t="e">
        <f>SUM(N117:N156)</f>
        <v>#REF!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59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2'!M74</f>
        <v>0</v>
      </c>
      <c r="E117" s="15">
        <f>D117/$D$116</f>
        <v>0</v>
      </c>
      <c r="F117" s="10" t="e">
        <f>D117+#REF!</f>
        <v>#REF!</v>
      </c>
      <c r="G117" s="15" t="e">
        <f>F117/$F$116</f>
        <v>#REF!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2'!M66</f>
        <v>1079</v>
      </c>
      <c r="M117" s="15">
        <f>L117/$L$116</f>
        <v>0.13744294971167548</v>
      </c>
      <c r="N117" s="10" t="e">
        <f>L117+#REF!</f>
        <v>#REF!</v>
      </c>
      <c r="O117" s="15" t="e">
        <f>N117/$N$116</f>
        <v>#REF!</v>
      </c>
      <c r="P117" s="10"/>
      <c r="Q117" s="30" t="e">
        <f t="shared" ref="Q117:Q153" si="25">SUM(D117:P117)</f>
        <v>#REF!</v>
      </c>
    </row>
    <row r="118" spans="1:17" ht="15" customHeight="1" x14ac:dyDescent="0.25">
      <c r="A118" s="67">
        <v>60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2'!M75</f>
        <v>0</v>
      </c>
      <c r="E118" s="15">
        <f t="shared" ref="E118:E153" si="26">D118/$D$116</f>
        <v>0</v>
      </c>
      <c r="F118" s="10" t="e">
        <f>D118+#REF!</f>
        <v>#REF!</v>
      </c>
      <c r="G118" s="15" t="e">
        <f t="shared" ref="G118:G153" si="27">F118/$F$116</f>
        <v>#REF!</v>
      </c>
      <c r="H118" s="14"/>
      <c r="I118" s="29" t="e">
        <f t="shared" ref="I118:I153" si="28">H118/$H$116</f>
        <v>#DIV/0!</v>
      </c>
      <c r="J118" s="10"/>
      <c r="K118" s="10" t="e">
        <f t="shared" ref="K118:K153" si="29">J118/$J$116</f>
        <v>#DIV/0!</v>
      </c>
      <c r="L118" s="14">
        <f>'[1]2024_60-69 ΕΞΟΔΑ+ΟΜ 2'!M67</f>
        <v>240.51</v>
      </c>
      <c r="M118" s="15">
        <f t="shared" ref="M118:M153" si="30">L118/$L$116</f>
        <v>3.0636148132673839E-2</v>
      </c>
      <c r="N118" s="10" t="e">
        <f>L118+#REF!</f>
        <v>#REF!</v>
      </c>
      <c r="O118" s="15" t="e">
        <f t="shared" ref="O118:O153" si="31">N118/$N$116</f>
        <v>#REF!</v>
      </c>
      <c r="P118" s="10"/>
      <c r="Q118" s="30" t="e">
        <f t="shared" si="25"/>
        <v>#REF!</v>
      </c>
    </row>
    <row r="119" spans="1:17" ht="28.5" customHeight="1" x14ac:dyDescent="0.25">
      <c r="A119" s="67">
        <v>61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2'!M76</f>
        <v>0</v>
      </c>
      <c r="E119" s="15">
        <f t="shared" si="26"/>
        <v>0</v>
      </c>
      <c r="F119" s="10" t="e">
        <f>D119+#REF!</f>
        <v>#REF!</v>
      </c>
      <c r="G119" s="15" t="e">
        <f t="shared" si="27"/>
        <v>#REF!</v>
      </c>
      <c r="H119" s="14"/>
      <c r="I119" s="29" t="e">
        <f t="shared" si="28"/>
        <v>#DIV/0!</v>
      </c>
      <c r="J119" s="10"/>
      <c r="K119" s="10" t="e">
        <f t="shared" si="29"/>
        <v>#DIV/0!</v>
      </c>
      <c r="L119" s="14">
        <f>'[1]2024_60-69 ΕΞΟΔΑ+ΟΜ 2'!M68</f>
        <v>875.5</v>
      </c>
      <c r="M119" s="15">
        <f t="shared" si="30"/>
        <v>0.11152113296809257</v>
      </c>
      <c r="N119" s="10" t="e">
        <f>L119+#REF!</f>
        <v>#REF!</v>
      </c>
      <c r="O119" s="15" t="e">
        <f t="shared" si="31"/>
        <v>#REF!</v>
      </c>
      <c r="P119" s="10"/>
      <c r="Q119" s="30" t="e">
        <f t="shared" si="25"/>
        <v>#REF!</v>
      </c>
    </row>
    <row r="120" spans="1:17" ht="28.5" customHeight="1" x14ac:dyDescent="0.25">
      <c r="A120" s="67">
        <v>62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2'!M77</f>
        <v>0</v>
      </c>
      <c r="E120" s="15">
        <f t="shared" si="26"/>
        <v>0</v>
      </c>
      <c r="F120" s="10" t="e">
        <f>D120+#REF!</f>
        <v>#REF!</v>
      </c>
      <c r="G120" s="15" t="e">
        <f t="shared" si="27"/>
        <v>#REF!</v>
      </c>
      <c r="H120" s="14"/>
      <c r="I120" s="29" t="e">
        <f t="shared" si="28"/>
        <v>#DIV/0!</v>
      </c>
      <c r="J120" s="10"/>
      <c r="K120" s="10" t="e">
        <f t="shared" si="29"/>
        <v>#DIV/0!</v>
      </c>
      <c r="L120" s="14">
        <f>'[1]2024_60-69 ΕΞΟΔΑ+ΟΜ 2'!M69</f>
        <v>0</v>
      </c>
      <c r="M120" s="15">
        <f t="shared" si="30"/>
        <v>0</v>
      </c>
      <c r="N120" s="10" t="e">
        <f>L120+#REF!</f>
        <v>#REF!</v>
      </c>
      <c r="O120" s="15" t="e">
        <f t="shared" si="31"/>
        <v>#REF!</v>
      </c>
      <c r="P120" s="10"/>
      <c r="Q120" s="30" t="e">
        <f t="shared" si="25"/>
        <v>#REF!</v>
      </c>
    </row>
    <row r="121" spans="1:17" ht="28.5" customHeight="1" x14ac:dyDescent="0.25">
      <c r="A121" s="67">
        <v>63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2'!M78</f>
        <v>0</v>
      </c>
      <c r="E121" s="15">
        <f t="shared" si="26"/>
        <v>0</v>
      </c>
      <c r="F121" s="10" t="e">
        <f>D121+#REF!</f>
        <v>#REF!</v>
      </c>
      <c r="G121" s="15" t="e">
        <f t="shared" si="27"/>
        <v>#REF!</v>
      </c>
      <c r="H121" s="14"/>
      <c r="I121" s="29" t="e">
        <f t="shared" si="28"/>
        <v>#DIV/0!</v>
      </c>
      <c r="J121" s="10"/>
      <c r="K121" s="10" t="e">
        <f t="shared" si="29"/>
        <v>#DIV/0!</v>
      </c>
      <c r="L121" s="14">
        <f>'[1]2024_60-69 ΕΞΟΔΑ+ΟΜ 2'!M70</f>
        <v>241.31</v>
      </c>
      <c r="M121" s="15">
        <f t="shared" si="30"/>
        <v>3.0738052080560161E-2</v>
      </c>
      <c r="N121" s="10" t="e">
        <f>L121+#REF!</f>
        <v>#REF!</v>
      </c>
      <c r="O121" s="15" t="e">
        <f t="shared" si="31"/>
        <v>#REF!</v>
      </c>
      <c r="P121" s="10"/>
      <c r="Q121" s="30" t="e">
        <f t="shared" si="25"/>
        <v>#REF!</v>
      </c>
    </row>
    <row r="122" spans="1:17" ht="15" customHeight="1" x14ac:dyDescent="0.25">
      <c r="A122" s="67">
        <v>64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2'!M79</f>
        <v>0</v>
      </c>
      <c r="E122" s="15">
        <f t="shared" si="26"/>
        <v>0</v>
      </c>
      <c r="F122" s="10" t="e">
        <f>D122+#REF!</f>
        <v>#REF!</v>
      </c>
      <c r="G122" s="15" t="e">
        <f t="shared" si="27"/>
        <v>#REF!</v>
      </c>
      <c r="H122" s="14"/>
      <c r="I122" s="29" t="e">
        <f t="shared" si="28"/>
        <v>#DIV/0!</v>
      </c>
      <c r="J122" s="10"/>
      <c r="K122" s="10" t="e">
        <f t="shared" si="29"/>
        <v>#DIV/0!</v>
      </c>
      <c r="L122" s="14">
        <f>'[1]2024_60-69 ΕΞΟΔΑ+ΟΜ 2'!M71</f>
        <v>965.25</v>
      </c>
      <c r="M122" s="15">
        <f t="shared" si="30"/>
        <v>0.12295348212158921</v>
      </c>
      <c r="N122" s="10" t="e">
        <f>L122+#REF!</f>
        <v>#REF!</v>
      </c>
      <c r="O122" s="15" t="e">
        <f t="shared" si="31"/>
        <v>#REF!</v>
      </c>
      <c r="P122" s="10"/>
      <c r="Q122" s="30" t="e">
        <f t="shared" si="25"/>
        <v>#REF!</v>
      </c>
    </row>
    <row r="123" spans="1:17" ht="15" customHeight="1" x14ac:dyDescent="0.25">
      <c r="A123" s="67">
        <v>65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2'!M80</f>
        <v>0</v>
      </c>
      <c r="E123" s="15">
        <f t="shared" si="26"/>
        <v>0</v>
      </c>
      <c r="F123" s="10" t="e">
        <f>D123+#REF!</f>
        <v>#REF!</v>
      </c>
      <c r="G123" s="15" t="e">
        <f t="shared" si="27"/>
        <v>#REF!</v>
      </c>
      <c r="H123" s="14"/>
      <c r="I123" s="29" t="e">
        <f t="shared" si="28"/>
        <v>#DIV/0!</v>
      </c>
      <c r="J123" s="10"/>
      <c r="K123" s="10" t="e">
        <f t="shared" si="29"/>
        <v>#DIV/0!</v>
      </c>
      <c r="L123" s="14">
        <f>'[1]2024_60-69 ΕΞΟΔΑ+ΟΜ 2'!M72</f>
        <v>31.52</v>
      </c>
      <c r="M123" s="15">
        <f t="shared" si="30"/>
        <v>4.0150155467210489E-3</v>
      </c>
      <c r="N123" s="10" t="e">
        <f>L123+#REF!</f>
        <v>#REF!</v>
      </c>
      <c r="O123" s="15" t="e">
        <f t="shared" si="31"/>
        <v>#REF!</v>
      </c>
      <c r="P123" s="10"/>
      <c r="Q123" s="30" t="e">
        <f t="shared" si="25"/>
        <v>#REF!</v>
      </c>
    </row>
    <row r="124" spans="1:17" ht="28.5" customHeight="1" x14ac:dyDescent="0.25">
      <c r="A124" s="67">
        <v>66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2'!M81</f>
        <v>0</v>
      </c>
      <c r="E124" s="15">
        <f t="shared" si="26"/>
        <v>0</v>
      </c>
      <c r="F124" s="10" t="e">
        <f>D124+#REF!</f>
        <v>#REF!</v>
      </c>
      <c r="G124" s="15" t="e">
        <f t="shared" si="27"/>
        <v>#REF!</v>
      </c>
      <c r="H124" s="14"/>
      <c r="I124" s="29" t="e">
        <f t="shared" si="28"/>
        <v>#DIV/0!</v>
      </c>
      <c r="J124" s="10"/>
      <c r="K124" s="10" t="e">
        <f t="shared" si="29"/>
        <v>#DIV/0!</v>
      </c>
      <c r="L124" s="14">
        <f>'[1]2024_60-69 ΕΞΟΔΑ+ΟΜ 2'!M73</f>
        <v>8.69</v>
      </c>
      <c r="M124" s="15">
        <f t="shared" si="30"/>
        <v>1.1069316339151621E-3</v>
      </c>
      <c r="N124" s="10" t="e">
        <f>L124+#REF!</f>
        <v>#REF!</v>
      </c>
      <c r="O124" s="15" t="e">
        <f t="shared" si="31"/>
        <v>#REF!</v>
      </c>
      <c r="P124" s="10"/>
      <c r="Q124" s="30" t="e">
        <f t="shared" si="25"/>
        <v>#REF!</v>
      </c>
    </row>
    <row r="125" spans="1:17" ht="15" customHeight="1" x14ac:dyDescent="0.25">
      <c r="A125" s="67">
        <v>67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2'!M82</f>
        <v>0</v>
      </c>
      <c r="E125" s="15">
        <f t="shared" si="26"/>
        <v>0</v>
      </c>
      <c r="F125" s="10" t="e">
        <f>D125+#REF!</f>
        <v>#REF!</v>
      </c>
      <c r="G125" s="15" t="e">
        <f t="shared" si="27"/>
        <v>#REF!</v>
      </c>
      <c r="H125" s="14"/>
      <c r="I125" s="29" t="e">
        <f t="shared" si="28"/>
        <v>#DIV/0!</v>
      </c>
      <c r="J125" s="10"/>
      <c r="K125" s="10" t="e">
        <f t="shared" si="29"/>
        <v>#DIV/0!</v>
      </c>
      <c r="L125" s="14">
        <f>'[1]2024_60-69 ΕΞΟΔΑ+ΟΜ 2'!M74</f>
        <v>0</v>
      </c>
      <c r="M125" s="15">
        <f t="shared" si="30"/>
        <v>0</v>
      </c>
      <c r="N125" s="10" t="e">
        <f>L125+#REF!</f>
        <v>#REF!</v>
      </c>
      <c r="O125" s="15" t="e">
        <f t="shared" si="31"/>
        <v>#REF!</v>
      </c>
      <c r="P125" s="10"/>
      <c r="Q125" s="30" t="e">
        <f t="shared" si="25"/>
        <v>#REF!</v>
      </c>
    </row>
    <row r="126" spans="1:17" ht="28.5" customHeight="1" x14ac:dyDescent="0.25">
      <c r="A126" s="67">
        <v>68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2'!M83</f>
        <v>0</v>
      </c>
      <c r="E126" s="15">
        <f t="shared" si="26"/>
        <v>0</v>
      </c>
      <c r="F126" s="10" t="e">
        <f>D126+#REF!</f>
        <v>#REF!</v>
      </c>
      <c r="G126" s="15" t="e">
        <f t="shared" si="27"/>
        <v>#REF!</v>
      </c>
      <c r="H126" s="14"/>
      <c r="I126" s="29" t="e">
        <f t="shared" si="28"/>
        <v>#DIV/0!</v>
      </c>
      <c r="J126" s="10"/>
      <c r="K126" s="10" t="e">
        <f t="shared" si="29"/>
        <v>#DIV/0!</v>
      </c>
      <c r="L126" s="14">
        <f>'[1]2024_60-69 ΕΞΟΔΑ+ΟΜ 2'!M75</f>
        <v>34.75</v>
      </c>
      <c r="M126" s="15">
        <f t="shared" si="30"/>
        <v>4.4264527363120695E-3</v>
      </c>
      <c r="N126" s="10" t="e">
        <f>L126+#REF!</f>
        <v>#REF!</v>
      </c>
      <c r="O126" s="15" t="e">
        <f t="shared" si="31"/>
        <v>#REF!</v>
      </c>
      <c r="P126" s="10"/>
      <c r="Q126" s="30" t="e">
        <f t="shared" si="25"/>
        <v>#REF!</v>
      </c>
    </row>
    <row r="127" spans="1:17" ht="15" customHeight="1" x14ac:dyDescent="0.25">
      <c r="A127" s="67">
        <v>69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2'!M84</f>
        <v>0</v>
      </c>
      <c r="E127" s="15">
        <f t="shared" si="26"/>
        <v>0</v>
      </c>
      <c r="F127" s="10" t="e">
        <f>D127+#REF!</f>
        <v>#REF!</v>
      </c>
      <c r="G127" s="15" t="e">
        <f t="shared" si="27"/>
        <v>#REF!</v>
      </c>
      <c r="H127" s="14"/>
      <c r="I127" s="29" t="e">
        <f t="shared" si="28"/>
        <v>#DIV/0!</v>
      </c>
      <c r="J127" s="10"/>
      <c r="K127" s="10" t="e">
        <f t="shared" si="29"/>
        <v>#DIV/0!</v>
      </c>
      <c r="L127" s="14">
        <f>'[1]2024_60-69 ΕΞΟΔΑ+ΟΜ 2'!M76</f>
        <v>0</v>
      </c>
      <c r="M127" s="15">
        <f t="shared" si="30"/>
        <v>0</v>
      </c>
      <c r="N127" s="10" t="e">
        <f>L127+#REF!</f>
        <v>#REF!</v>
      </c>
      <c r="O127" s="15" t="e">
        <f t="shared" si="31"/>
        <v>#REF!</v>
      </c>
      <c r="P127" s="10"/>
      <c r="Q127" s="30" t="e">
        <f t="shared" si="25"/>
        <v>#REF!</v>
      </c>
    </row>
    <row r="128" spans="1:17" ht="15" customHeight="1" x14ac:dyDescent="0.25">
      <c r="A128" s="67">
        <v>70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2'!M85</f>
        <v>0</v>
      </c>
      <c r="E128" s="15">
        <f t="shared" si="26"/>
        <v>0</v>
      </c>
      <c r="F128" s="10" t="e">
        <f>D128+#REF!</f>
        <v>#REF!</v>
      </c>
      <c r="G128" s="15" t="e">
        <f t="shared" si="27"/>
        <v>#REF!</v>
      </c>
      <c r="H128" s="14"/>
      <c r="I128" s="29" t="e">
        <f t="shared" si="28"/>
        <v>#DIV/0!</v>
      </c>
      <c r="J128" s="10"/>
      <c r="K128" s="10" t="e">
        <f t="shared" si="29"/>
        <v>#DIV/0!</v>
      </c>
      <c r="L128" s="14">
        <f>'[1]2024_60-69 ΕΞΟΔΑ+ΟΜ 2'!M77</f>
        <v>0</v>
      </c>
      <c r="M128" s="15">
        <f t="shared" si="30"/>
        <v>0</v>
      </c>
      <c r="N128" s="10" t="e">
        <f>L128+#REF!</f>
        <v>#REF!</v>
      </c>
      <c r="O128" s="15" t="e">
        <f t="shared" si="31"/>
        <v>#REF!</v>
      </c>
      <c r="P128" s="10"/>
      <c r="Q128" s="30" t="e">
        <f t="shared" si="25"/>
        <v>#REF!</v>
      </c>
    </row>
    <row r="129" spans="1:17" ht="15" customHeight="1" x14ac:dyDescent="0.25">
      <c r="A129" s="67">
        <v>71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2'!M86</f>
        <v>0</v>
      </c>
      <c r="E129" s="15">
        <f t="shared" si="26"/>
        <v>0</v>
      </c>
      <c r="F129" s="10" t="e">
        <f>D129+#REF!</f>
        <v>#REF!</v>
      </c>
      <c r="G129" s="15" t="e">
        <f t="shared" si="27"/>
        <v>#REF!</v>
      </c>
      <c r="H129" s="14"/>
      <c r="I129" s="29" t="e">
        <f t="shared" si="28"/>
        <v>#DIV/0!</v>
      </c>
      <c r="J129" s="10"/>
      <c r="K129" s="10" t="e">
        <f t="shared" si="29"/>
        <v>#DIV/0!</v>
      </c>
      <c r="L129" s="14">
        <f>'[1]2024_60-69 ΕΞΟΔΑ+ΟΜ 2'!M78</f>
        <v>0</v>
      </c>
      <c r="M129" s="15">
        <f t="shared" si="30"/>
        <v>0</v>
      </c>
      <c r="N129" s="10" t="e">
        <f>L129+#REF!</f>
        <v>#REF!</v>
      </c>
      <c r="O129" s="15" t="e">
        <f t="shared" si="31"/>
        <v>#REF!</v>
      </c>
      <c r="P129" s="10"/>
      <c r="Q129" s="30" t="e">
        <f t="shared" si="25"/>
        <v>#REF!</v>
      </c>
    </row>
    <row r="130" spans="1:17" ht="15" customHeight="1" x14ac:dyDescent="0.25">
      <c r="A130" s="67">
        <v>72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2'!M87</f>
        <v>0</v>
      </c>
      <c r="E130" s="15">
        <f t="shared" si="26"/>
        <v>0</v>
      </c>
      <c r="F130" s="10" t="e">
        <f>D130+#REF!</f>
        <v>#REF!</v>
      </c>
      <c r="G130" s="15" t="e">
        <f t="shared" si="27"/>
        <v>#REF!</v>
      </c>
      <c r="H130" s="14"/>
      <c r="I130" s="29" t="e">
        <f t="shared" si="28"/>
        <v>#DIV/0!</v>
      </c>
      <c r="J130" s="10"/>
      <c r="K130" s="10" t="e">
        <f t="shared" si="29"/>
        <v>#DIV/0!</v>
      </c>
      <c r="L130" s="14">
        <f>'[1]2024_60-69 ΕΞΟΔΑ+ΟΜ 2'!M79</f>
        <v>31</v>
      </c>
      <c r="M130" s="15">
        <f t="shared" si="30"/>
        <v>3.94877798059494E-3</v>
      </c>
      <c r="N130" s="10" t="e">
        <f>L130+#REF!</f>
        <v>#REF!</v>
      </c>
      <c r="O130" s="15" t="e">
        <f t="shared" si="31"/>
        <v>#REF!</v>
      </c>
      <c r="P130" s="10"/>
      <c r="Q130" s="30" t="e">
        <f t="shared" si="25"/>
        <v>#REF!</v>
      </c>
    </row>
    <row r="131" spans="1:17" ht="15" customHeight="1" x14ac:dyDescent="0.25">
      <c r="A131" s="67">
        <v>73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2'!M88</f>
        <v>0</v>
      </c>
      <c r="E131" s="15">
        <f t="shared" si="26"/>
        <v>0</v>
      </c>
      <c r="F131" s="10" t="e">
        <f>D131+#REF!</f>
        <v>#REF!</v>
      </c>
      <c r="G131" s="15" t="e">
        <f t="shared" si="27"/>
        <v>#REF!</v>
      </c>
      <c r="H131" s="14"/>
      <c r="I131" s="29" t="e">
        <f t="shared" si="28"/>
        <v>#DIV/0!</v>
      </c>
      <c r="J131" s="10"/>
      <c r="K131" s="10" t="e">
        <f t="shared" si="29"/>
        <v>#DIV/0!</v>
      </c>
      <c r="L131" s="14">
        <f>'[1]2024_60-69 ΕΞΟΔΑ+ΟΜ 2'!M80</f>
        <v>54.38</v>
      </c>
      <c r="M131" s="15">
        <f t="shared" si="30"/>
        <v>6.9269208575726722E-3</v>
      </c>
      <c r="N131" s="10" t="e">
        <f>L131+#REF!</f>
        <v>#REF!</v>
      </c>
      <c r="O131" s="15" t="e">
        <f t="shared" si="31"/>
        <v>#REF!</v>
      </c>
      <c r="P131" s="10"/>
      <c r="Q131" s="30" t="e">
        <f t="shared" si="25"/>
        <v>#REF!</v>
      </c>
    </row>
    <row r="132" spans="1:17" ht="15" customHeight="1" x14ac:dyDescent="0.25">
      <c r="A132" s="67">
        <v>74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2'!M89</f>
        <v>0</v>
      </c>
      <c r="E132" s="15">
        <f t="shared" si="26"/>
        <v>0</v>
      </c>
      <c r="F132" s="10" t="e">
        <f>D132+#REF!</f>
        <v>#REF!</v>
      </c>
      <c r="G132" s="15" t="e">
        <f t="shared" si="27"/>
        <v>#REF!</v>
      </c>
      <c r="H132" s="14"/>
      <c r="I132" s="29" t="e">
        <f t="shared" si="28"/>
        <v>#DIV/0!</v>
      </c>
      <c r="J132" s="10"/>
      <c r="K132" s="10" t="e">
        <f t="shared" si="29"/>
        <v>#DIV/0!</v>
      </c>
      <c r="L132" s="14">
        <f>'[1]2024_60-69 ΕΞΟΔΑ+ΟΜ 2'!M81</f>
        <v>23.77</v>
      </c>
      <c r="M132" s="15">
        <f t="shared" si="30"/>
        <v>3.0278210515723137E-3</v>
      </c>
      <c r="N132" s="10" t="e">
        <f>L132+#REF!</f>
        <v>#REF!</v>
      </c>
      <c r="O132" s="15" t="e">
        <f t="shared" si="31"/>
        <v>#REF!</v>
      </c>
      <c r="P132" s="10"/>
      <c r="Q132" s="30" t="e">
        <f t="shared" si="25"/>
        <v>#REF!</v>
      </c>
    </row>
    <row r="133" spans="1:17" ht="57" customHeight="1" x14ac:dyDescent="0.25">
      <c r="A133" s="67">
        <v>75</v>
      </c>
      <c r="B133" s="67">
        <v>17</v>
      </c>
      <c r="C133" s="71">
        <f>[1]ΑΝΤΙΣΤΟΙΧΙΣΗ!O203</f>
        <v>0</v>
      </c>
      <c r="D133" s="14">
        <f>'[1]2025_60-69 ΕΞΟΔΑ+ΟΜ 2'!M90</f>
        <v>0</v>
      </c>
      <c r="E133" s="15">
        <f t="shared" si="26"/>
        <v>0</v>
      </c>
      <c r="F133" s="10" t="e">
        <f>D133+#REF!</f>
        <v>#REF!</v>
      </c>
      <c r="G133" s="15" t="e">
        <f t="shared" si="27"/>
        <v>#REF!</v>
      </c>
      <c r="H133" s="14"/>
      <c r="I133" s="29" t="e">
        <f t="shared" si="28"/>
        <v>#DIV/0!</v>
      </c>
      <c r="J133" s="10"/>
      <c r="K133" s="10" t="e">
        <f t="shared" si="29"/>
        <v>#DIV/0!</v>
      </c>
      <c r="L133" s="14">
        <f>'[1]2024_60-69 ΕΞΟΔΑ+ΟΜ 2'!M82</f>
        <v>0</v>
      </c>
      <c r="M133" s="15">
        <f t="shared" si="30"/>
        <v>0</v>
      </c>
      <c r="N133" s="10" t="e">
        <f>L133+#REF!</f>
        <v>#REF!</v>
      </c>
      <c r="O133" s="15" t="e">
        <f t="shared" si="31"/>
        <v>#REF!</v>
      </c>
      <c r="P133" s="10"/>
      <c r="Q133" s="30" t="e">
        <f t="shared" si="25"/>
        <v>#REF!</v>
      </c>
    </row>
    <row r="134" spans="1:17" ht="57" customHeight="1" x14ac:dyDescent="0.25">
      <c r="A134" s="67">
        <v>76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2'!M91</f>
        <v>0</v>
      </c>
      <c r="E134" s="15">
        <f t="shared" si="26"/>
        <v>0</v>
      </c>
      <c r="F134" s="10" t="e">
        <f>D134+#REF!</f>
        <v>#REF!</v>
      </c>
      <c r="G134" s="15" t="e">
        <f t="shared" si="27"/>
        <v>#REF!</v>
      </c>
      <c r="H134" s="14"/>
      <c r="I134" s="29" t="e">
        <f t="shared" si="28"/>
        <v>#DIV/0!</v>
      </c>
      <c r="J134" s="10"/>
      <c r="K134" s="10" t="e">
        <f t="shared" si="29"/>
        <v>#DIV/0!</v>
      </c>
      <c r="L134" s="14">
        <f>'[1]2024_60-69 ΕΞΟΔΑ+ΟΜ 2'!M83</f>
        <v>17.010000000000002</v>
      </c>
      <c r="M134" s="15">
        <f t="shared" si="30"/>
        <v>2.1667326919329009E-3</v>
      </c>
      <c r="N134" s="10" t="e">
        <f>L134+#REF!</f>
        <v>#REF!</v>
      </c>
      <c r="O134" s="15" t="e">
        <f t="shared" si="31"/>
        <v>#REF!</v>
      </c>
      <c r="P134" s="10"/>
      <c r="Q134" s="30" t="e">
        <f t="shared" si="25"/>
        <v>#REF!</v>
      </c>
    </row>
    <row r="135" spans="1:17" ht="15" customHeight="1" x14ac:dyDescent="0.25">
      <c r="A135" s="67">
        <v>77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2'!M92</f>
        <v>0</v>
      </c>
      <c r="E135" s="15">
        <f t="shared" si="26"/>
        <v>0</v>
      </c>
      <c r="F135" s="10" t="e">
        <f>D135+#REF!</f>
        <v>#REF!</v>
      </c>
      <c r="G135" s="15" t="e">
        <f t="shared" si="27"/>
        <v>#REF!</v>
      </c>
      <c r="H135" s="14"/>
      <c r="I135" s="29" t="e">
        <f t="shared" si="28"/>
        <v>#DIV/0!</v>
      </c>
      <c r="J135" s="10"/>
      <c r="K135" s="10" t="e">
        <f t="shared" si="29"/>
        <v>#DIV/0!</v>
      </c>
      <c r="L135" s="14">
        <f>'[1]2024_60-69 ΕΞΟΔΑ+ΟΜ 2'!M84</f>
        <v>323.31</v>
      </c>
      <c r="M135" s="15">
        <f t="shared" si="30"/>
        <v>4.1183206738908067E-2</v>
      </c>
      <c r="N135" s="10" t="e">
        <f>L135+#REF!</f>
        <v>#REF!</v>
      </c>
      <c r="O135" s="15" t="e">
        <f t="shared" si="31"/>
        <v>#REF!</v>
      </c>
      <c r="P135" s="10"/>
      <c r="Q135" s="30" t="e">
        <f t="shared" si="25"/>
        <v>#REF!</v>
      </c>
    </row>
    <row r="136" spans="1:17" ht="15" customHeight="1" x14ac:dyDescent="0.25">
      <c r="A136" s="67">
        <v>78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2'!M93</f>
        <v>0</v>
      </c>
      <c r="E136" s="15">
        <f t="shared" si="26"/>
        <v>0</v>
      </c>
      <c r="F136" s="10" t="e">
        <f>D136+#REF!</f>
        <v>#REF!</v>
      </c>
      <c r="G136" s="15" t="e">
        <f t="shared" si="27"/>
        <v>#REF!</v>
      </c>
      <c r="H136" s="14"/>
      <c r="I136" s="29" t="e">
        <f t="shared" si="28"/>
        <v>#DIV/0!</v>
      </c>
      <c r="J136" s="10"/>
      <c r="K136" s="10" t="e">
        <f t="shared" si="29"/>
        <v>#DIV/0!</v>
      </c>
      <c r="L136" s="14">
        <f>'[1]2024_60-69 ΕΞΟΔΑ+ΟΜ 2'!M85</f>
        <v>0</v>
      </c>
      <c r="M136" s="15">
        <f t="shared" si="30"/>
        <v>0</v>
      </c>
      <c r="N136" s="10" t="e">
        <f>L136+#REF!</f>
        <v>#REF!</v>
      </c>
      <c r="O136" s="15" t="e">
        <f t="shared" si="31"/>
        <v>#REF!</v>
      </c>
      <c r="P136" s="10"/>
      <c r="Q136" s="30" t="e">
        <f t="shared" si="25"/>
        <v>#REF!</v>
      </c>
    </row>
    <row r="137" spans="1:17" ht="15" customHeight="1" x14ac:dyDescent="0.25">
      <c r="A137" s="67">
        <v>79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2'!M94</f>
        <v>0</v>
      </c>
      <c r="E137" s="15">
        <f t="shared" si="26"/>
        <v>0</v>
      </c>
      <c r="F137" s="10" t="e">
        <f>D137+#REF!</f>
        <v>#REF!</v>
      </c>
      <c r="G137" s="15" t="e">
        <f t="shared" si="27"/>
        <v>#REF!</v>
      </c>
      <c r="H137" s="14"/>
      <c r="I137" s="29" t="e">
        <f t="shared" si="28"/>
        <v>#DIV/0!</v>
      </c>
      <c r="J137" s="10"/>
      <c r="K137" s="10" t="e">
        <f t="shared" si="29"/>
        <v>#DIV/0!</v>
      </c>
      <c r="L137" s="14">
        <f>'[1]2024_60-69 ΕΞΟΔΑ+ΟΜ 2'!M86</f>
        <v>29.3</v>
      </c>
      <c r="M137" s="15">
        <f t="shared" si="30"/>
        <v>3.7322320913365076E-3</v>
      </c>
      <c r="N137" s="10" t="e">
        <f>L137+#REF!</f>
        <v>#REF!</v>
      </c>
      <c r="O137" s="15" t="e">
        <f t="shared" si="31"/>
        <v>#REF!</v>
      </c>
      <c r="P137" s="10"/>
      <c r="Q137" s="30" t="e">
        <f t="shared" si="25"/>
        <v>#REF!</v>
      </c>
    </row>
    <row r="138" spans="1:17" ht="15" customHeight="1" x14ac:dyDescent="0.25">
      <c r="A138" s="67">
        <v>80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2'!M95</f>
        <v>0</v>
      </c>
      <c r="E138" s="15">
        <f t="shared" si="26"/>
        <v>0</v>
      </c>
      <c r="F138" s="10" t="e">
        <f>D138+#REF!</f>
        <v>#REF!</v>
      </c>
      <c r="G138" s="15" t="e">
        <f t="shared" si="27"/>
        <v>#REF!</v>
      </c>
      <c r="H138" s="14"/>
      <c r="I138" s="29" t="e">
        <f t="shared" si="28"/>
        <v>#DIV/0!</v>
      </c>
      <c r="J138" s="10"/>
      <c r="K138" s="10" t="e">
        <f t="shared" si="29"/>
        <v>#DIV/0!</v>
      </c>
      <c r="L138" s="14">
        <f>'[1]2024_60-69 ΕΞΟΔΑ+ΟΜ 2'!M87</f>
        <v>0</v>
      </c>
      <c r="M138" s="15">
        <f t="shared" si="30"/>
        <v>0</v>
      </c>
      <c r="N138" s="10" t="e">
        <f>L138+#REF!</f>
        <v>#REF!</v>
      </c>
      <c r="O138" s="15" t="e">
        <f t="shared" si="31"/>
        <v>#REF!</v>
      </c>
      <c r="P138" s="10"/>
      <c r="Q138" s="30" t="e">
        <f t="shared" si="25"/>
        <v>#REF!</v>
      </c>
    </row>
    <row r="139" spans="1:17" ht="15" customHeight="1" x14ac:dyDescent="0.25">
      <c r="A139" s="67">
        <v>81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2'!M96</f>
        <v>0</v>
      </c>
      <c r="E139" s="15">
        <f t="shared" si="26"/>
        <v>0</v>
      </c>
      <c r="F139" s="10" t="e">
        <f>D139+#REF!</f>
        <v>#REF!</v>
      </c>
      <c r="G139" s="15" t="e">
        <f t="shared" si="27"/>
        <v>#REF!</v>
      </c>
      <c r="H139" s="14"/>
      <c r="I139" s="29" t="e">
        <f t="shared" si="28"/>
        <v>#DIV/0!</v>
      </c>
      <c r="J139" s="10"/>
      <c r="K139" s="10" t="e">
        <f t="shared" si="29"/>
        <v>#DIV/0!</v>
      </c>
      <c r="L139" s="14">
        <f>'[1]2024_60-69 ΕΞΟΔΑ+ΟΜ 2'!M88</f>
        <v>0</v>
      </c>
      <c r="M139" s="15">
        <f t="shared" si="30"/>
        <v>0</v>
      </c>
      <c r="N139" s="10" t="e">
        <f>L139+#REF!</f>
        <v>#REF!</v>
      </c>
      <c r="O139" s="15" t="e">
        <f t="shared" si="31"/>
        <v>#REF!</v>
      </c>
      <c r="P139" s="10"/>
      <c r="Q139" s="30" t="e">
        <f t="shared" si="25"/>
        <v>#REF!</v>
      </c>
    </row>
    <row r="140" spans="1:17" ht="15" customHeight="1" x14ac:dyDescent="0.25">
      <c r="A140" s="67">
        <v>82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2'!M97</f>
        <v>0</v>
      </c>
      <c r="E140" s="15">
        <f t="shared" si="26"/>
        <v>0</v>
      </c>
      <c r="F140" s="10" t="e">
        <f>D140+#REF!</f>
        <v>#REF!</v>
      </c>
      <c r="G140" s="15" t="e">
        <f t="shared" si="27"/>
        <v>#REF!</v>
      </c>
      <c r="H140" s="14"/>
      <c r="I140" s="29" t="e">
        <f t="shared" si="28"/>
        <v>#DIV/0!</v>
      </c>
      <c r="J140" s="10"/>
      <c r="K140" s="10" t="e">
        <f t="shared" si="29"/>
        <v>#DIV/0!</v>
      </c>
      <c r="L140" s="14">
        <f>'[1]2024_60-69 ΕΞΟΔΑ+ΟΜ 2'!M89</f>
        <v>0</v>
      </c>
      <c r="M140" s="15">
        <f t="shared" si="30"/>
        <v>0</v>
      </c>
      <c r="N140" s="10" t="e">
        <f>L140+#REF!</f>
        <v>#REF!</v>
      </c>
      <c r="O140" s="15" t="e">
        <f t="shared" si="31"/>
        <v>#REF!</v>
      </c>
      <c r="P140" s="10"/>
      <c r="Q140" s="30" t="e">
        <f t="shared" si="25"/>
        <v>#REF!</v>
      </c>
    </row>
    <row r="141" spans="1:17" ht="15" customHeight="1" x14ac:dyDescent="0.25">
      <c r="A141" s="67">
        <v>83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2'!M98</f>
        <v>0</v>
      </c>
      <c r="E141" s="15">
        <f t="shared" si="26"/>
        <v>0</v>
      </c>
      <c r="F141" s="10" t="e">
        <f>D141+#REF!</f>
        <v>#REF!</v>
      </c>
      <c r="G141" s="15" t="e">
        <f t="shared" si="27"/>
        <v>#REF!</v>
      </c>
      <c r="H141" s="14"/>
      <c r="I141" s="29" t="e">
        <f t="shared" si="28"/>
        <v>#DIV/0!</v>
      </c>
      <c r="J141" s="10"/>
      <c r="K141" s="10" t="e">
        <f t="shared" si="29"/>
        <v>#DIV/0!</v>
      </c>
      <c r="L141" s="14">
        <f>'[1]2024_60-69 ΕΞΟΔΑ+ΟΜ 2'!M90</f>
        <v>13.39</v>
      </c>
      <c r="M141" s="15">
        <f t="shared" si="30"/>
        <v>1.7056173277472983E-3</v>
      </c>
      <c r="N141" s="10" t="e">
        <f>L141+#REF!</f>
        <v>#REF!</v>
      </c>
      <c r="O141" s="15" t="e">
        <f t="shared" si="31"/>
        <v>#REF!</v>
      </c>
      <c r="P141" s="10"/>
      <c r="Q141" s="30" t="e">
        <f t="shared" si="25"/>
        <v>#REF!</v>
      </c>
    </row>
    <row r="142" spans="1:17" ht="15" customHeight="1" x14ac:dyDescent="0.25">
      <c r="A142" s="67">
        <v>84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2'!M99</f>
        <v>0</v>
      </c>
      <c r="E142" s="15">
        <f t="shared" si="26"/>
        <v>0</v>
      </c>
      <c r="F142" s="10" t="e">
        <f>D142+#REF!</f>
        <v>#REF!</v>
      </c>
      <c r="G142" s="15" t="e">
        <f t="shared" si="27"/>
        <v>#REF!</v>
      </c>
      <c r="H142" s="14"/>
      <c r="I142" s="29" t="e">
        <f t="shared" si="28"/>
        <v>#DIV/0!</v>
      </c>
      <c r="J142" s="10"/>
      <c r="K142" s="10" t="e">
        <f t="shared" si="29"/>
        <v>#DIV/0!</v>
      </c>
      <c r="L142" s="14">
        <f>'[1]2024_60-69 ΕΞΟΔΑ+ΟΜ 2'!M91</f>
        <v>900</v>
      </c>
      <c r="M142" s="15">
        <f t="shared" si="30"/>
        <v>0.11464194137211116</v>
      </c>
      <c r="N142" s="10" t="e">
        <f>L142+#REF!</f>
        <v>#REF!</v>
      </c>
      <c r="O142" s="15" t="e">
        <f t="shared" si="31"/>
        <v>#REF!</v>
      </c>
      <c r="P142" s="10"/>
      <c r="Q142" s="30" t="e">
        <f t="shared" si="25"/>
        <v>#REF!</v>
      </c>
    </row>
    <row r="143" spans="1:17" ht="42.75" customHeight="1" x14ac:dyDescent="0.25">
      <c r="A143" s="67">
        <v>85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2'!M100</f>
        <v>0</v>
      </c>
      <c r="E143" s="15">
        <f t="shared" si="26"/>
        <v>0</v>
      </c>
      <c r="F143" s="10" t="e">
        <f>D143+#REF!</f>
        <v>#REF!</v>
      </c>
      <c r="G143" s="15" t="e">
        <f t="shared" si="27"/>
        <v>#REF!</v>
      </c>
      <c r="H143" s="14"/>
      <c r="I143" s="29" t="e">
        <f t="shared" si="28"/>
        <v>#DIV/0!</v>
      </c>
      <c r="J143" s="10"/>
      <c r="K143" s="10" t="e">
        <f t="shared" si="29"/>
        <v>#DIV/0!</v>
      </c>
      <c r="L143" s="14">
        <f>'[1]2024_60-69 ΕΞΟΔΑ+ΟΜ 2'!M92</f>
        <v>28.84</v>
      </c>
      <c r="M143" s="15">
        <f t="shared" si="30"/>
        <v>3.6736373213018731E-3</v>
      </c>
      <c r="N143" s="10" t="e">
        <f>L143+#REF!</f>
        <v>#REF!</v>
      </c>
      <c r="O143" s="15" t="e">
        <f t="shared" si="31"/>
        <v>#REF!</v>
      </c>
      <c r="P143" s="10"/>
      <c r="Q143" s="30" t="e">
        <f t="shared" si="25"/>
        <v>#REF!</v>
      </c>
    </row>
    <row r="144" spans="1:17" ht="15" customHeight="1" x14ac:dyDescent="0.25">
      <c r="A144" s="67">
        <v>86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2'!M101</f>
        <v>0</v>
      </c>
      <c r="E144" s="15">
        <f t="shared" si="26"/>
        <v>0</v>
      </c>
      <c r="F144" s="10" t="e">
        <f>D144+#REF!</f>
        <v>#REF!</v>
      </c>
      <c r="G144" s="15" t="e">
        <f t="shared" si="27"/>
        <v>#REF!</v>
      </c>
      <c r="H144" s="14"/>
      <c r="I144" s="29" t="e">
        <f t="shared" si="28"/>
        <v>#DIV/0!</v>
      </c>
      <c r="J144" s="10"/>
      <c r="K144" s="10" t="e">
        <f t="shared" si="29"/>
        <v>#DIV/0!</v>
      </c>
      <c r="L144" s="14">
        <f>'[1]2024_60-69 ΕΞΟΔΑ+ΟΜ 2'!M93</f>
        <v>286.47000000000003</v>
      </c>
      <c r="M144" s="15">
        <f t="shared" si="30"/>
        <v>3.6490529938742987E-2</v>
      </c>
      <c r="N144" s="10" t="e">
        <f>L144+#REF!</f>
        <v>#REF!</v>
      </c>
      <c r="O144" s="15" t="e">
        <f t="shared" si="31"/>
        <v>#REF!</v>
      </c>
      <c r="P144" s="10"/>
      <c r="Q144" s="30" t="e">
        <f t="shared" si="25"/>
        <v>#REF!</v>
      </c>
    </row>
    <row r="145" spans="1:17" ht="15" customHeight="1" x14ac:dyDescent="0.25">
      <c r="A145" s="67">
        <v>87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2'!M102</f>
        <v>0</v>
      </c>
      <c r="E145" s="15">
        <f t="shared" si="26"/>
        <v>0</v>
      </c>
      <c r="F145" s="10" t="e">
        <f>D145+#REF!</f>
        <v>#REF!</v>
      </c>
      <c r="G145" s="15" t="e">
        <f t="shared" si="27"/>
        <v>#REF!</v>
      </c>
      <c r="H145" s="14"/>
      <c r="I145" s="29" t="e">
        <f t="shared" si="28"/>
        <v>#DIV/0!</v>
      </c>
      <c r="J145" s="10"/>
      <c r="K145" s="10" t="e">
        <f t="shared" si="29"/>
        <v>#DIV/0!</v>
      </c>
      <c r="L145" s="14">
        <f>'[1]2024_60-69 ΕΞΟΔΑ+ΟΜ 2'!M94</f>
        <v>99.76</v>
      </c>
      <c r="M145" s="15">
        <f t="shared" si="30"/>
        <v>1.2707422301424234E-2</v>
      </c>
      <c r="N145" s="10" t="e">
        <f>L145+#REF!</f>
        <v>#REF!</v>
      </c>
      <c r="O145" s="15" t="e">
        <f t="shared" si="31"/>
        <v>#REF!</v>
      </c>
      <c r="P145" s="10"/>
      <c r="Q145" s="30" t="e">
        <f t="shared" si="25"/>
        <v>#REF!</v>
      </c>
    </row>
    <row r="146" spans="1:17" ht="15" customHeight="1" x14ac:dyDescent="0.25">
      <c r="A146" s="67">
        <v>88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2'!M103</f>
        <v>0</v>
      </c>
      <c r="E146" s="15">
        <f t="shared" si="26"/>
        <v>0</v>
      </c>
      <c r="F146" s="10" t="e">
        <f>D146+#REF!</f>
        <v>#REF!</v>
      </c>
      <c r="G146" s="15" t="e">
        <f t="shared" si="27"/>
        <v>#REF!</v>
      </c>
      <c r="H146" s="14"/>
      <c r="I146" s="29" t="e">
        <f t="shared" si="28"/>
        <v>#DIV/0!</v>
      </c>
      <c r="J146" s="10"/>
      <c r="K146" s="10" t="e">
        <f t="shared" si="29"/>
        <v>#DIV/0!</v>
      </c>
      <c r="L146" s="14">
        <f>'[1]2024_60-69 ΕΞΟΔΑ+ΟΜ 2'!M95</f>
        <v>1530.96</v>
      </c>
      <c r="M146" s="15">
        <f t="shared" si="30"/>
        <v>0.19501358507005256</v>
      </c>
      <c r="N146" s="10" t="e">
        <f>L146+#REF!</f>
        <v>#REF!</v>
      </c>
      <c r="O146" s="15" t="e">
        <f t="shared" si="31"/>
        <v>#REF!</v>
      </c>
      <c r="P146" s="10"/>
      <c r="Q146" s="30" t="e">
        <f t="shared" si="25"/>
        <v>#REF!</v>
      </c>
    </row>
    <row r="147" spans="1:17" ht="15" customHeight="1" x14ac:dyDescent="0.25">
      <c r="A147" s="67">
        <v>89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2'!M104</f>
        <v>0</v>
      </c>
      <c r="E147" s="15">
        <f t="shared" si="26"/>
        <v>0</v>
      </c>
      <c r="F147" s="10" t="e">
        <f>D147+#REF!</f>
        <v>#REF!</v>
      </c>
      <c r="G147" s="15" t="e">
        <f t="shared" si="27"/>
        <v>#REF!</v>
      </c>
      <c r="H147" s="14"/>
      <c r="I147" s="29" t="e">
        <f t="shared" si="28"/>
        <v>#DIV/0!</v>
      </c>
      <c r="J147" s="10"/>
      <c r="K147" s="10" t="e">
        <f t="shared" si="29"/>
        <v>#DIV/0!</v>
      </c>
      <c r="L147" s="14">
        <f>'[1]2024_60-69 ΕΞΟΔΑ+ΟΜ 2'!M96</f>
        <v>0</v>
      </c>
      <c r="M147" s="15">
        <f t="shared" si="30"/>
        <v>0</v>
      </c>
      <c r="N147" s="10" t="e">
        <f>L147+#REF!</f>
        <v>#REF!</v>
      </c>
      <c r="O147" s="15" t="e">
        <f t="shared" si="31"/>
        <v>#REF!</v>
      </c>
      <c r="P147" s="10"/>
      <c r="Q147" s="30" t="e">
        <f t="shared" si="25"/>
        <v>#REF!</v>
      </c>
    </row>
    <row r="148" spans="1:17" ht="30" customHeight="1" x14ac:dyDescent="0.25">
      <c r="A148" s="67">
        <v>90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2'!M105</f>
        <v>0</v>
      </c>
      <c r="E148" s="15">
        <f t="shared" si="26"/>
        <v>0</v>
      </c>
      <c r="F148" s="10" t="e">
        <f>D148+#REF!</f>
        <v>#REF!</v>
      </c>
      <c r="G148" s="15" t="e">
        <f t="shared" si="27"/>
        <v>#REF!</v>
      </c>
      <c r="H148" s="14"/>
      <c r="I148" s="29" t="e">
        <f t="shared" si="28"/>
        <v>#DIV/0!</v>
      </c>
      <c r="J148" s="10"/>
      <c r="K148" s="10" t="e">
        <f t="shared" si="29"/>
        <v>#DIV/0!</v>
      </c>
      <c r="L148" s="14">
        <f>'[1]2024_60-69 ΕΞΟΔΑ+ΟΜ 2'!M97</f>
        <v>211.88</v>
      </c>
      <c r="M148" s="15">
        <f t="shared" si="30"/>
        <v>2.6989260597692126E-2</v>
      </c>
      <c r="N148" s="10" t="e">
        <f>L148+#REF!</f>
        <v>#REF!</v>
      </c>
      <c r="O148" s="15" t="e">
        <f t="shared" si="31"/>
        <v>#REF!</v>
      </c>
      <c r="P148" s="10"/>
      <c r="Q148" s="30" t="e">
        <f t="shared" si="25"/>
        <v>#REF!</v>
      </c>
    </row>
    <row r="149" spans="1:17" ht="30" customHeight="1" x14ac:dyDescent="0.25">
      <c r="A149" s="67">
        <v>91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2'!M106</f>
        <v>777.67000000000007</v>
      </c>
      <c r="E149" s="15">
        <f t="shared" si="26"/>
        <v>1</v>
      </c>
      <c r="F149" s="10" t="e">
        <f>D149+#REF!</f>
        <v>#REF!</v>
      </c>
      <c r="G149" s="15" t="e">
        <f t="shared" si="27"/>
        <v>#REF!</v>
      </c>
      <c r="H149" s="14"/>
      <c r="I149" s="29" t="e">
        <f t="shared" si="28"/>
        <v>#DIV/0!</v>
      </c>
      <c r="J149" s="10"/>
      <c r="K149" s="10" t="e">
        <f t="shared" si="29"/>
        <v>#DIV/0!</v>
      </c>
      <c r="L149" s="14">
        <f>'[1]2024_60-69 ΕΞΟΔΑ+ΟΜ 2'!M98</f>
        <v>0</v>
      </c>
      <c r="M149" s="15">
        <f t="shared" si="30"/>
        <v>0</v>
      </c>
      <c r="N149" s="10" t="e">
        <f>L149+#REF!</f>
        <v>#REF!</v>
      </c>
      <c r="O149" s="15" t="e">
        <f t="shared" si="31"/>
        <v>#REF!</v>
      </c>
      <c r="P149" s="10"/>
      <c r="Q149" s="30" t="e">
        <f t="shared" si="25"/>
        <v>#REF!</v>
      </c>
    </row>
    <row r="150" spans="1:17" ht="30" customHeight="1" x14ac:dyDescent="0.25">
      <c r="A150" s="67">
        <v>92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2'!M107</f>
        <v>0</v>
      </c>
      <c r="E150" s="15">
        <f t="shared" si="26"/>
        <v>0</v>
      </c>
      <c r="F150" s="10" t="e">
        <f>D150+#REF!</f>
        <v>#REF!</v>
      </c>
      <c r="G150" s="15" t="e">
        <f t="shared" si="27"/>
        <v>#REF!</v>
      </c>
      <c r="H150" s="14"/>
      <c r="I150" s="29" t="e">
        <f t="shared" si="28"/>
        <v>#DIV/0!</v>
      </c>
      <c r="J150" s="10"/>
      <c r="K150" s="10" t="e">
        <f t="shared" si="29"/>
        <v>#DIV/0!</v>
      </c>
      <c r="L150" s="14">
        <f>'[1]2024_60-69 ΕΞΟΔΑ+ΟΜ 2'!M99</f>
        <v>0</v>
      </c>
      <c r="M150" s="15">
        <f t="shared" si="30"/>
        <v>0</v>
      </c>
      <c r="N150" s="10" t="e">
        <f>L150+#REF!</f>
        <v>#REF!</v>
      </c>
      <c r="O150" s="15" t="e">
        <f t="shared" si="31"/>
        <v>#REF!</v>
      </c>
      <c r="P150" s="10"/>
      <c r="Q150" s="30" t="e">
        <f t="shared" si="25"/>
        <v>#REF!</v>
      </c>
    </row>
    <row r="151" spans="1:17" ht="15" x14ac:dyDescent="0.25">
      <c r="A151" s="67">
        <v>93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2'!M108</f>
        <v>0</v>
      </c>
      <c r="E151" s="15">
        <f t="shared" si="26"/>
        <v>0</v>
      </c>
      <c r="F151" s="10" t="e">
        <f>D151+#REF!</f>
        <v>#REF!</v>
      </c>
      <c r="G151" s="15" t="e">
        <f t="shared" si="27"/>
        <v>#REF!</v>
      </c>
      <c r="H151" s="14"/>
      <c r="I151" s="29" t="e">
        <f t="shared" si="28"/>
        <v>#DIV/0!</v>
      </c>
      <c r="J151" s="10"/>
      <c r="K151" s="10" t="e">
        <f t="shared" si="29"/>
        <v>#DIV/0!</v>
      </c>
      <c r="L151" s="14">
        <f>'[1]2024_60-69 ΕΞΟΔΑ+ΟΜ 2'!M100</f>
        <v>626.67999999999995</v>
      </c>
      <c r="M151" s="15">
        <f t="shared" si="30"/>
        <v>7.9826457576749568E-2</v>
      </c>
      <c r="N151" s="10" t="e">
        <f>L151+#REF!</f>
        <v>#REF!</v>
      </c>
      <c r="O151" s="15" t="e">
        <f t="shared" si="31"/>
        <v>#REF!</v>
      </c>
      <c r="P151" s="10"/>
      <c r="Q151" s="30" t="e">
        <f t="shared" si="25"/>
        <v>#REF!</v>
      </c>
    </row>
    <row r="152" spans="1:17" ht="15" x14ac:dyDescent="0.25">
      <c r="A152" s="67">
        <v>94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2'!M109</f>
        <v>0</v>
      </c>
      <c r="E152" s="15">
        <f t="shared" si="26"/>
        <v>0</v>
      </c>
      <c r="F152" s="10" t="e">
        <f>D152+#REF!</f>
        <v>#REF!</v>
      </c>
      <c r="G152" s="15" t="e">
        <f t="shared" si="27"/>
        <v>#REF!</v>
      </c>
      <c r="H152" s="14"/>
      <c r="I152" s="29" t="e">
        <f t="shared" si="28"/>
        <v>#DIV/0!</v>
      </c>
      <c r="J152" s="10"/>
      <c r="K152" s="10" t="e">
        <f t="shared" si="29"/>
        <v>#DIV/0!</v>
      </c>
      <c r="L152" s="14">
        <f>'[1]2024_60-69 ΕΞΟΔΑ+ΟΜ 2'!M101</f>
        <v>0</v>
      </c>
      <c r="M152" s="15">
        <f t="shared" si="30"/>
        <v>0</v>
      </c>
      <c r="N152" s="10" t="e">
        <f>L152+#REF!</f>
        <v>#REF!</v>
      </c>
      <c r="O152" s="15" t="e">
        <f t="shared" si="31"/>
        <v>#REF!</v>
      </c>
      <c r="P152" s="10"/>
      <c r="Q152" s="30" t="e">
        <f t="shared" si="25"/>
        <v>#REF!</v>
      </c>
    </row>
    <row r="153" spans="1:17" ht="42.75" x14ac:dyDescent="0.25">
      <c r="A153" s="67">
        <v>95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2'!M110</f>
        <v>0</v>
      </c>
      <c r="E153" s="15">
        <f t="shared" si="26"/>
        <v>0</v>
      </c>
      <c r="F153" s="10" t="e">
        <f>D153+#REF!</f>
        <v>#REF!</v>
      </c>
      <c r="G153" s="15" t="e">
        <f t="shared" si="27"/>
        <v>#REF!</v>
      </c>
      <c r="H153" s="14"/>
      <c r="I153" s="29" t="e">
        <f t="shared" si="28"/>
        <v>#DIV/0!</v>
      </c>
      <c r="J153" s="10"/>
      <c r="K153" s="10" t="e">
        <f t="shared" si="29"/>
        <v>#DIV/0!</v>
      </c>
      <c r="L153" s="14">
        <f>'[1]2024_60-69 ΕΞΟΔΑ+ΟΜ 2'!M102</f>
        <v>197.25</v>
      </c>
      <c r="M153" s="15">
        <f t="shared" si="30"/>
        <v>2.5125692150721027E-2</v>
      </c>
      <c r="N153" s="10" t="e">
        <f>L153+#REF!</f>
        <v>#REF!</v>
      </c>
      <c r="O153" s="15" t="e">
        <f t="shared" si="31"/>
        <v>#REF!</v>
      </c>
      <c r="P153" s="10"/>
      <c r="Q153" s="30" t="e">
        <f t="shared" si="25"/>
        <v>#REF!</v>
      </c>
    </row>
    <row r="154" spans="1:17" ht="15" x14ac:dyDescent="0.25">
      <c r="A154" s="67">
        <v>96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97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98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2'!M73</f>
        <v>0</v>
      </c>
      <c r="E157" s="8"/>
      <c r="F157" s="7">
        <f>'[1]2025_60-69 ΕΞΟΔΑ+ΟΜ 2'!Z73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7850.5300000000016</v>
      </c>
      <c r="M157" s="8"/>
      <c r="N157" s="7" t="e">
        <f>SUM(N117:N156)</f>
        <v>#REF!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 t="e">
        <f>F116-F157</f>
        <v>#REF!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 t="e">
        <f>N116-N157</f>
        <v>#REF!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D7-D78-D111-D157</f>
        <v>-7839.9766666666674</v>
      </c>
      <c r="E159" s="4"/>
      <c r="F159" s="31" t="e">
        <f>F7-F78-F111-F157</f>
        <v>#REF!</v>
      </c>
      <c r="G159" s="4"/>
      <c r="H159" s="31">
        <f ca="1">H7-H78-H111-H157</f>
        <v>0</v>
      </c>
      <c r="I159" s="4"/>
      <c r="J159" s="31" t="e">
        <f>J7-J78-J111-J157</f>
        <v>#REF!</v>
      </c>
      <c r="K159" s="4"/>
      <c r="L159" s="31">
        <f ca="1">L7-L78-L111-L157</f>
        <v>13296.769999999986</v>
      </c>
      <c r="M159" s="4"/>
      <c r="N159" s="31" t="e">
        <f>N7-N78-N111-N157</f>
        <v>#REF!</v>
      </c>
      <c r="O159" s="4"/>
      <c r="P159" s="31"/>
      <c r="Q159" s="4"/>
    </row>
  </sheetData>
  <mergeCells count="33">
    <mergeCell ref="D114:F114"/>
    <mergeCell ref="H114:J114"/>
    <mergeCell ref="L114:N114"/>
    <mergeCell ref="P114:Q114"/>
    <mergeCell ref="D82:F82"/>
    <mergeCell ref="H82:J82"/>
    <mergeCell ref="L82:N82"/>
    <mergeCell ref="P82:Q82"/>
    <mergeCell ref="D113:G113"/>
    <mergeCell ref="H113:K113"/>
    <mergeCell ref="L113:O113"/>
    <mergeCell ref="P113:Q113"/>
    <mergeCell ref="D41:F41"/>
    <mergeCell ref="H41:J41"/>
    <mergeCell ref="L41:N41"/>
    <mergeCell ref="P41:Q41"/>
    <mergeCell ref="D81:G81"/>
    <mergeCell ref="H81:K81"/>
    <mergeCell ref="L81:O81"/>
    <mergeCell ref="P81:Q81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60"/>
  <sheetViews>
    <sheetView topLeftCell="A89" zoomScale="85" zoomScaleNormal="85" workbookViewId="0">
      <selection activeCell="B85" sqref="B85:B110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13.57031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4.28515625" style="33" customWidth="1"/>
    <col min="13" max="13" width="11.7109375" style="33" customWidth="1"/>
    <col min="14" max="14" width="16.7109375" style="33" customWidth="1"/>
    <col min="15" max="15" width="13.28515625" style="33" customWidth="1"/>
    <col min="16" max="16" width="19.28515625" style="33" customWidth="1"/>
    <col min="17" max="17" width="11.42578125" style="1" customWidth="1"/>
    <col min="18" max="21" width="9.140625" style="1"/>
    <col min="22" max="22" width="42.42578125" style="1" customWidth="1"/>
    <col min="23" max="16384" width="9.140625" style="1"/>
  </cols>
  <sheetData>
    <row r="1" spans="1:22" ht="1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</row>
    <row r="2" spans="1:22" ht="41.25" customHeight="1" x14ac:dyDescent="0.25">
      <c r="A2" s="57"/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>
        <f>[1]ΑΝΤΙΣΤΟΙΧΙΣΗ!$D$34</f>
        <v>2025</v>
      </c>
      <c r="H2" s="182" t="str">
        <f>[1]ΑΝΤΙΣΤΟΙΧΙΣΗ!$F$35</f>
        <v>ΠΡΟΥΠΟΛΟΓΙΣΜΟΣ ΤΡΕΧΟΝΤΟΣ ΕΤΟΥΣ</v>
      </c>
      <c r="I2" s="182"/>
      <c r="J2" s="182"/>
      <c r="K2" s="182">
        <f>[1]ΑΝΤΙΣΤΟΙΧΙΣΗ!$D$34</f>
        <v>2025</v>
      </c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  <c r="S2"/>
      <c r="T2"/>
      <c r="U2"/>
      <c r="V2"/>
    </row>
    <row r="3" spans="1:22" ht="25.5" customHeight="1" x14ac:dyDescent="0.25">
      <c r="A3" s="59" t="s">
        <v>1</v>
      </c>
      <c r="B3" s="60"/>
      <c r="C3" s="5" t="s">
        <v>3</v>
      </c>
      <c r="D3" s="180" t="str">
        <f>[1]ΑΝΤΙΣΤΟΙΧΙΣΗ!$F$116</f>
        <v xml:space="preserve">ΝΟΕΜΒΡΙΟΣ ΤΡΕΧΟΝ ΕΤΟΣ </v>
      </c>
      <c r="E3" s="180"/>
      <c r="F3" s="180"/>
      <c r="G3" s="61">
        <f>[1]ΑΝΤΙΣΤΟΙΧΙΣΗ!$D$34</f>
        <v>2025</v>
      </c>
      <c r="H3" s="180" t="str">
        <f>[1]ΑΝΤΙΣΤΟΙΧΙΣΗ!$F$116</f>
        <v xml:space="preserve">ΝΟΕΜΒΡΙΟΣ ΤΡΕΧΟΝ ΕΤΟΣ </v>
      </c>
      <c r="I3" s="180"/>
      <c r="J3" s="180"/>
      <c r="K3" s="61">
        <f>[1]ΑΝΤΙΣΤΟΙΧΙΣΗ!$D$34</f>
        <v>2025</v>
      </c>
      <c r="L3" s="180" t="str">
        <f>[1]ΑΝΤΙΣΤΟΙΧΙΣΗ!$F$130</f>
        <v>ΝΟΕΜΒΡΙΟΣ ΠΡΟΗΓΟΥΜΕΝΟΥ ΕΤΟΥΣ</v>
      </c>
      <c r="M3" s="180"/>
      <c r="N3" s="180"/>
      <c r="O3" s="61">
        <f>[1]ΑΝΤΙΣΤΟΙΧΙΣΗ!$D$33</f>
        <v>2024</v>
      </c>
      <c r="P3" s="180"/>
      <c r="Q3" s="180"/>
      <c r="S3"/>
      <c r="T3"/>
      <c r="U3"/>
      <c r="V3"/>
    </row>
    <row r="4" spans="1:22" ht="78.75" x14ac:dyDescent="0.25">
      <c r="A4" s="62"/>
      <c r="B4" s="62"/>
      <c r="C4" s="62"/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  <c r="S4"/>
      <c r="T4"/>
      <c r="U4"/>
      <c r="V4"/>
    </row>
    <row r="5" spans="1:22" ht="30" x14ac:dyDescent="0.25">
      <c r="A5" s="64"/>
      <c r="B5" s="65"/>
      <c r="C5" s="2" t="s">
        <v>14</v>
      </c>
      <c r="D5" s="3">
        <f ca="1">D7-D6</f>
        <v>-8617.6466666666674</v>
      </c>
      <c r="E5" s="4"/>
      <c r="F5" s="3">
        <f>F7-F6</f>
        <v>-101921.87749262527</v>
      </c>
      <c r="G5" s="4"/>
      <c r="H5" s="3">
        <f ca="1">H159-H6</f>
        <v>0</v>
      </c>
      <c r="I5" s="4"/>
      <c r="J5" s="3">
        <f ca="1">J159-J6</f>
        <v>0</v>
      </c>
      <c r="K5" s="4"/>
      <c r="L5" s="3">
        <f ca="1">L7-L6</f>
        <v>-36645.14</v>
      </c>
      <c r="M5" s="4"/>
      <c r="N5" s="3">
        <f ca="1">N7-N6</f>
        <v>-614822.05304424756</v>
      </c>
      <c r="O5" s="4"/>
      <c r="P5" s="3">
        <f ca="1">P159-P6</f>
        <v>407609.18911504425</v>
      </c>
      <c r="Q5" s="4"/>
      <c r="S5"/>
      <c r="T5"/>
      <c r="U5"/>
      <c r="V5"/>
    </row>
    <row r="6" spans="1:22" ht="25.5" customHeight="1" x14ac:dyDescent="0.25">
      <c r="A6" s="64"/>
      <c r="B6" s="65"/>
      <c r="C6" s="2" t="s">
        <v>15</v>
      </c>
      <c r="D6" s="3">
        <f ca="1">D43+D84+D116</f>
        <v>8617.6466666666674</v>
      </c>
      <c r="E6" s="4"/>
      <c r="F6" s="3">
        <f>F78+F111+F157</f>
        <v>317761.44333333324</v>
      </c>
      <c r="G6" s="4"/>
      <c r="H6" s="3">
        <f ca="1">H38-H43-H84</f>
        <v>0</v>
      </c>
      <c r="I6" s="4"/>
      <c r="J6" s="66">
        <f ca="1">J38-J43-J84</f>
        <v>655506.89532069315</v>
      </c>
      <c r="K6" s="4"/>
      <c r="L6" s="3">
        <f ca="1">L43+L84+L116</f>
        <v>64252.31</v>
      </c>
      <c r="M6" s="4"/>
      <c r="N6" s="66">
        <f ca="1">N78+N111+N157</f>
        <v>1238270.8080000002</v>
      </c>
      <c r="O6" s="4"/>
      <c r="P6" s="3">
        <f ca="1">P38-P43-P84</f>
        <v>-407609.18911504425</v>
      </c>
      <c r="Q6" s="4"/>
      <c r="S6"/>
      <c r="T6"/>
      <c r="U6"/>
      <c r="V6"/>
    </row>
    <row r="7" spans="1:22" ht="15.75" x14ac:dyDescent="0.25">
      <c r="A7" s="19"/>
      <c r="B7" s="19"/>
      <c r="C7" s="6" t="s">
        <v>16</v>
      </c>
      <c r="D7" s="7">
        <f>SUM(D8:D31)</f>
        <v>0</v>
      </c>
      <c r="E7" s="8"/>
      <c r="F7" s="7">
        <f>SUM(F8:F31)</f>
        <v>215839.56584070798</v>
      </c>
      <c r="G7" s="8"/>
      <c r="H7" s="7">
        <f>SUM(H8:H31)</f>
        <v>0</v>
      </c>
      <c r="I7" s="8"/>
      <c r="J7" s="7">
        <f>SUM(J8:J31)</f>
        <v>655506.89532069315</v>
      </c>
      <c r="K7" s="8"/>
      <c r="L7" s="7">
        <f>SUM(L8:L31)</f>
        <v>27607.17</v>
      </c>
      <c r="M7" s="8"/>
      <c r="N7" s="7">
        <f>L7+'[1]2025 Οκτώβριος'!N7</f>
        <v>623448.75495575264</v>
      </c>
      <c r="O7" s="8"/>
      <c r="P7" s="7">
        <f>SUM(P8:P31)</f>
        <v>-407609.18911504425</v>
      </c>
      <c r="Q7" s="8"/>
      <c r="S7"/>
      <c r="T7"/>
      <c r="U7"/>
      <c r="V7"/>
    </row>
    <row r="8" spans="1:22" ht="18.75" customHeight="1" x14ac:dyDescent="0.25">
      <c r="A8" s="67">
        <v>1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'[1]2025_ΕΣΟΔΑ'!M2</f>
        <v>0</v>
      </c>
      <c r="E8" s="11" t="e">
        <f>D8/$D$7</f>
        <v>#DIV/0!</v>
      </c>
      <c r="F8" s="12">
        <f>D8+'[1]2025 Οκτώβριος'!F8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Οκτώβριος'!J8</f>
        <v>519037.13098440983</v>
      </c>
      <c r="K8" s="11">
        <f>J8/$J$7</f>
        <v>0.79181032982190325</v>
      </c>
      <c r="L8" s="68">
        <f>'[1]2024_60-69 ΕΞΟΔΑ+ΟΜ 2'!M114</f>
        <v>23056.07</v>
      </c>
      <c r="M8" s="11">
        <f>L8/$L$7</f>
        <v>0.83514789817282975</v>
      </c>
      <c r="N8" s="12">
        <f>L8+'[1]2025 Οκτώβριος'!N8</f>
        <v>547376.98150442482</v>
      </c>
      <c r="O8" s="11">
        <f>N8/$N$7</f>
        <v>0.87798231555258011</v>
      </c>
      <c r="P8" s="12">
        <f t="shared" ref="P8:P37" si="0">F8-N8</f>
        <v>-356065.64973451331</v>
      </c>
      <c r="Q8" s="11">
        <f t="shared" ref="Q8:Q37" si="1">N8/F8</f>
        <v>2.8611843137590531</v>
      </c>
      <c r="S8"/>
      <c r="T8"/>
      <c r="U8"/>
      <c r="V8"/>
    </row>
    <row r="9" spans="1:22" ht="16.5" customHeight="1" x14ac:dyDescent="0.25">
      <c r="A9" s="67">
        <v>2</v>
      </c>
      <c r="B9" s="67">
        <v>2</v>
      </c>
      <c r="C9" s="44" t="str">
        <f>[1]ΑΝΤΙΣΤΟΙΧΙΣΗ!F188</f>
        <v>Early Check in/Check Out</v>
      </c>
      <c r="D9" s="10">
        <f>'[1]2025_ΕΣΟΔΑ'!M3</f>
        <v>0</v>
      </c>
      <c r="E9" s="11" t="e">
        <f t="shared" ref="E9:E37" si="2">D9/$D$7</f>
        <v>#DIV/0!</v>
      </c>
      <c r="F9" s="12">
        <f>D9+'[1]2025 Οκτώβριος'!F9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Οκτώβριος'!J9</f>
        <v>2045</v>
      </c>
      <c r="K9" s="11">
        <f t="shared" ref="K9:K37" si="5">J9/$J$7</f>
        <v>3.1197230945976947E-3</v>
      </c>
      <c r="L9" s="68">
        <f>'[1]2024_60-69 ΕΞΟΔΑ+ΟΜ 2'!M115</f>
        <v>0</v>
      </c>
      <c r="M9" s="11">
        <f t="shared" ref="M9:M37" si="6">L9/$L$7</f>
        <v>0</v>
      </c>
      <c r="N9" s="12">
        <f>L9+'[1]2025 Οκτώβριος'!N9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  <c r="S9"/>
      <c r="T9"/>
      <c r="U9"/>
      <c r="V9"/>
    </row>
    <row r="10" spans="1:22" ht="16.5" customHeight="1" x14ac:dyDescent="0.25">
      <c r="A10" s="67">
        <v>3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'[1]2025_ΕΣΟΔΑ'!M4</f>
        <v>0</v>
      </c>
      <c r="E10" s="11" t="e">
        <f t="shared" si="2"/>
        <v>#DIV/0!</v>
      </c>
      <c r="F10" s="12">
        <f>D10+'[1]2025 Οκτώβριος'!F10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Οκτώβριος'!J10</f>
        <v>0</v>
      </c>
      <c r="K10" s="11">
        <f t="shared" si="5"/>
        <v>0</v>
      </c>
      <c r="L10" s="68">
        <f>'[1]2024_60-69 ΕΞΟΔΑ+ΟΜ 2'!M116</f>
        <v>0</v>
      </c>
      <c r="M10" s="11">
        <f t="shared" si="6"/>
        <v>0</v>
      </c>
      <c r="N10" s="12">
        <f>L10+'[1]2025 Οκτώβριος'!N10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  <c r="S10"/>
      <c r="T10"/>
      <c r="U10"/>
      <c r="V10"/>
    </row>
    <row r="11" spans="1:22" ht="15" x14ac:dyDescent="0.25">
      <c r="A11" s="67">
        <v>4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'[1]2025_ΕΣΟΔΑ'!M5</f>
        <v>0</v>
      </c>
      <c r="E11" s="11" t="e">
        <f t="shared" si="2"/>
        <v>#DIV/0!</v>
      </c>
      <c r="F11" s="12">
        <f>D11+'[1]2025 Οκτώβριος'!F11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Οκτώβριος'!J11</f>
        <v>77799.934336283186</v>
      </c>
      <c r="K11" s="11">
        <f t="shared" si="5"/>
        <v>0.11868667574918672</v>
      </c>
      <c r="L11" s="68">
        <f>'[1]2024_60-69 ΕΞΟΔΑ+ΟΜ 2'!M117</f>
        <v>1185.83</v>
      </c>
      <c r="M11" s="11">
        <f t="shared" si="6"/>
        <v>4.2953696449147087E-2</v>
      </c>
      <c r="N11" s="12">
        <f>L11+'[1]2025 Οκτώβριος'!N11</f>
        <v>39689.783451327443</v>
      </c>
      <c r="O11" s="11">
        <f t="shared" si="7"/>
        <v>6.3661661260586366E-2</v>
      </c>
      <c r="P11" s="12">
        <f t="shared" si="0"/>
        <v>-26530.029380530985</v>
      </c>
      <c r="Q11" s="11">
        <f t="shared" si="1"/>
        <v>3.0159973535831681</v>
      </c>
      <c r="S11"/>
      <c r="T11"/>
      <c r="U11"/>
      <c r="V11"/>
    </row>
    <row r="12" spans="1:22" ht="17.25" customHeight="1" x14ac:dyDescent="0.25">
      <c r="A12" s="67">
        <v>5</v>
      </c>
      <c r="B12" s="67">
        <v>5</v>
      </c>
      <c r="C12" s="44" t="str">
        <f>[1]ΑΝΤΙΣΤΟΙΧΙΣΗ!F191</f>
        <v>Cancellation Fees</v>
      </c>
      <c r="D12" s="10">
        <f>'[1]2025_ΕΣΟΔΑ'!M6</f>
        <v>0</v>
      </c>
      <c r="E12" s="11" t="e">
        <f t="shared" si="2"/>
        <v>#DIV/0!</v>
      </c>
      <c r="F12" s="12">
        <f>D12+'[1]2025 Οκτώβριος'!F12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Οκτώβριος'!J12</f>
        <v>2884.7299999999996</v>
      </c>
      <c r="K12" s="11">
        <f t="shared" si="5"/>
        <v>4.4007622506986831E-3</v>
      </c>
      <c r="L12" s="68">
        <f>'[1]2024_60-69 ΕΞΟΔΑ+ΟΜ 2'!M118</f>
        <v>0</v>
      </c>
      <c r="M12" s="11">
        <f t="shared" si="6"/>
        <v>0</v>
      </c>
      <c r="N12" s="12">
        <f>L12+'[1]2025 Οκτώβριος'!N12</f>
        <v>2684.7299999999996</v>
      </c>
      <c r="O12" s="11">
        <f t="shared" si="7"/>
        <v>4.3062560934788302E-3</v>
      </c>
      <c r="P12" s="12">
        <f t="shared" si="0"/>
        <v>-459.09999999999945</v>
      </c>
      <c r="Q12" s="11">
        <f t="shared" si="1"/>
        <v>1.2062786716570137</v>
      </c>
      <c r="S12"/>
      <c r="T12"/>
      <c r="U12"/>
      <c r="V12"/>
    </row>
    <row r="13" spans="1:22" ht="26.25" customHeight="1" x14ac:dyDescent="0.25">
      <c r="A13" s="67">
        <v>6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'[1]2025_ΕΣΟΔΑ'!M7</f>
        <v>0</v>
      </c>
      <c r="E13" s="11" t="e">
        <f t="shared" si="2"/>
        <v>#DIV/0!</v>
      </c>
      <c r="F13" s="12">
        <f>D13+'[1]2025 Οκτώβριος'!F13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Οκτώβριος'!J13</f>
        <v>16252.17</v>
      </c>
      <c r="K13" s="11">
        <f t="shared" si="5"/>
        <v>2.4793286105783775E-2</v>
      </c>
      <c r="L13" s="68">
        <f>'[1]2024_60-69 ΕΞΟΔΑ+ΟΜ 2'!M119</f>
        <v>2493.9499999999998</v>
      </c>
      <c r="M13" s="11">
        <f t="shared" si="6"/>
        <v>9.03370392546574E-2</v>
      </c>
      <c r="N13" s="12">
        <f>L13+'[1]2025 Οκτώβριος'!N13</f>
        <v>18746.12</v>
      </c>
      <c r="O13" s="11">
        <f t="shared" si="7"/>
        <v>3.0068421583952714E-2</v>
      </c>
      <c r="P13" s="12">
        <f t="shared" si="0"/>
        <v>-15419.41</v>
      </c>
      <c r="Q13" s="11">
        <f t="shared" si="1"/>
        <v>5.6350328101938549</v>
      </c>
      <c r="S13"/>
      <c r="T13"/>
      <c r="U13"/>
      <c r="V13"/>
    </row>
    <row r="14" spans="1:22" ht="23.25" customHeight="1" x14ac:dyDescent="0.25">
      <c r="A14" s="67">
        <v>7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'[1]2025_ΕΣΟΔΑ'!M8</f>
        <v>0</v>
      </c>
      <c r="E14" s="11" t="e">
        <f t="shared" si="2"/>
        <v>#DIV/0!</v>
      </c>
      <c r="F14" s="12">
        <f>D14+'[1]2025 Οκτώβριος'!F14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Οκτώβριος'!J14</f>
        <v>1000</v>
      </c>
      <c r="K14" s="11">
        <f t="shared" si="5"/>
        <v>1.5255369655734448E-3</v>
      </c>
      <c r="L14" s="68">
        <f>'[1]2024_60-69 ΕΞΟΔΑ+ΟΜ 2'!M120</f>
        <v>100</v>
      </c>
      <c r="M14" s="11">
        <f t="shared" si="6"/>
        <v>3.6222474089158724E-3</v>
      </c>
      <c r="N14" s="12">
        <f>L14+'[1]2025 Οκτώβριος'!N14</f>
        <v>1100</v>
      </c>
      <c r="O14" s="11">
        <f t="shared" si="7"/>
        <v>1.7643791751225312E-3</v>
      </c>
      <c r="P14" s="12">
        <f t="shared" si="0"/>
        <v>-600</v>
      </c>
      <c r="Q14" s="11">
        <f t="shared" si="1"/>
        <v>2.2000000000000002</v>
      </c>
      <c r="S14"/>
      <c r="T14"/>
      <c r="U14"/>
      <c r="V14"/>
    </row>
    <row r="15" spans="1:22" ht="28.5" x14ac:dyDescent="0.25">
      <c r="A15" s="67">
        <v>8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'[1]2025_ΕΣΟΔΑ'!M9</f>
        <v>0</v>
      </c>
      <c r="E15" s="11" t="e">
        <f t="shared" si="2"/>
        <v>#DIV/0!</v>
      </c>
      <c r="F15" s="12">
        <f>D15+'[1]2025 Οκτώβριος'!F15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Οκτώβριος'!J15</f>
        <v>13195.65</v>
      </c>
      <c r="K15" s="11">
        <f t="shared" si="5"/>
        <v>2.0130451859769229E-2</v>
      </c>
      <c r="L15" s="68">
        <f>'[1]2024_60-69 ΕΞΟΔΑ+ΟΜ 2'!M121</f>
        <v>103.21</v>
      </c>
      <c r="M15" s="11">
        <f t="shared" si="6"/>
        <v>3.7385215507420716E-3</v>
      </c>
      <c r="N15" s="12">
        <f>L15+'[1]2025 Οκτώβριος'!N15</f>
        <v>2742.34</v>
      </c>
      <c r="O15" s="11">
        <f t="shared" si="7"/>
        <v>4.3986614428232025E-3</v>
      </c>
      <c r="P15" s="12">
        <f t="shared" si="0"/>
        <v>-1567.25</v>
      </c>
      <c r="Q15" s="11">
        <f t="shared" si="1"/>
        <v>2.3337276293730693</v>
      </c>
      <c r="S15"/>
      <c r="T15"/>
      <c r="U15"/>
      <c r="V15"/>
    </row>
    <row r="16" spans="1:22" ht="31.5" customHeight="1" x14ac:dyDescent="0.25">
      <c r="A16" s="67">
        <v>9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'[1]2025_ΕΣΟΔΑ'!M10</f>
        <v>0</v>
      </c>
      <c r="E16" s="11" t="e">
        <f t="shared" si="2"/>
        <v>#DIV/0!</v>
      </c>
      <c r="F16" s="12">
        <f>D16+'[1]2025 Οκτώβριος'!F16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Οκτώβριος'!J16</f>
        <v>0</v>
      </c>
      <c r="K16" s="11">
        <f t="shared" si="5"/>
        <v>0</v>
      </c>
      <c r="L16" s="68">
        <f>'[1]2024_60-69 ΕΞΟΔΑ+ΟΜ 2'!M122</f>
        <v>0</v>
      </c>
      <c r="M16" s="11">
        <f t="shared" si="6"/>
        <v>0</v>
      </c>
      <c r="N16" s="12">
        <f>L16+'[1]2025 Οκτώβριος'!N16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  <c r="S16"/>
      <c r="T16"/>
      <c r="U16"/>
      <c r="V16"/>
    </row>
    <row r="17" spans="1:22" ht="34.5" customHeight="1" x14ac:dyDescent="0.25">
      <c r="A17" s="67">
        <v>10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'[1]2025_ΕΣΟΔΑ'!M11</f>
        <v>0</v>
      </c>
      <c r="E17" s="11" t="e">
        <f t="shared" si="2"/>
        <v>#DIV/0!</v>
      </c>
      <c r="F17" s="12">
        <f>D17+'[1]2025 Οκτώβριος'!F17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Οκτώβριος'!J17</f>
        <v>1076.54</v>
      </c>
      <c r="K17" s="11">
        <f t="shared" si="5"/>
        <v>1.6423015649184363E-3</v>
      </c>
      <c r="L17" s="68">
        <f>'[1]2024_60-69 ΕΞΟΔΑ+ΟΜ 2'!M123</f>
        <v>0</v>
      </c>
      <c r="M17" s="11">
        <f t="shared" si="6"/>
        <v>0</v>
      </c>
      <c r="N17" s="12">
        <f>L17+'[1]2025 Οκτώβριος'!N17</f>
        <v>538.27</v>
      </c>
      <c r="O17" s="11">
        <f t="shared" si="7"/>
        <v>8.6337488963018623E-4</v>
      </c>
      <c r="P17" s="12">
        <f t="shared" si="0"/>
        <v>-73.669999999999959</v>
      </c>
      <c r="Q17" s="11">
        <f t="shared" si="1"/>
        <v>1.1585665088247954</v>
      </c>
      <c r="S17"/>
      <c r="T17"/>
      <c r="U17"/>
      <c r="V17"/>
    </row>
    <row r="18" spans="1:22" ht="27" customHeight="1" x14ac:dyDescent="0.25">
      <c r="A18" s="67">
        <v>11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'[1]2025_ΕΣΟΔΑ'!M12</f>
        <v>0</v>
      </c>
      <c r="E18" s="11" t="e">
        <f t="shared" si="2"/>
        <v>#DIV/0!</v>
      </c>
      <c r="F18" s="12">
        <f>D18+'[1]2025 Οκτώβριος'!F18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Οκτώβριος'!J18</f>
        <v>254.84</v>
      </c>
      <c r="K18" s="11">
        <f t="shared" si="5"/>
        <v>3.8876784030673672E-4</v>
      </c>
      <c r="L18" s="68">
        <f>'[1]2024_60-69 ΕΞΟΔΑ+ΟΜ 2'!M124</f>
        <v>0</v>
      </c>
      <c r="M18" s="11">
        <f t="shared" si="6"/>
        <v>0</v>
      </c>
      <c r="N18" s="12">
        <f>L18+'[1]2025 Οκτώβριος'!N18</f>
        <v>112.9</v>
      </c>
      <c r="O18" s="11">
        <f t="shared" si="7"/>
        <v>1.8108946261030344E-4</v>
      </c>
      <c r="P18" s="12">
        <f t="shared" si="0"/>
        <v>-112.9</v>
      </c>
      <c r="Q18" s="11" t="e">
        <f t="shared" si="1"/>
        <v>#DIV/0!</v>
      </c>
      <c r="S18"/>
      <c r="T18"/>
      <c r="U18"/>
      <c r="V18"/>
    </row>
    <row r="19" spans="1:22" ht="33" customHeight="1" x14ac:dyDescent="0.25">
      <c r="A19" s="67">
        <v>12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'[1]2025_ΕΣΟΔΑ'!M13</f>
        <v>0</v>
      </c>
      <c r="E19" s="11" t="e">
        <f t="shared" si="2"/>
        <v>#DIV/0!</v>
      </c>
      <c r="F19" s="12">
        <f>D19+'[1]2025 Οκτώβριος'!F19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Οκτώβριος'!J19</f>
        <v>0</v>
      </c>
      <c r="K19" s="11">
        <f t="shared" si="5"/>
        <v>0</v>
      </c>
      <c r="L19" s="68">
        <f>'[1]2024_60-69 ΕΞΟΔΑ+ΟΜ 2'!M125</f>
        <v>0</v>
      </c>
      <c r="M19" s="11">
        <f t="shared" si="6"/>
        <v>0</v>
      </c>
      <c r="N19" s="12">
        <f>L19+'[1]2025 Οκτώβριος'!N19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  <c r="S19"/>
      <c r="T19"/>
      <c r="U19"/>
      <c r="V19"/>
    </row>
    <row r="20" spans="1:22" ht="30" customHeight="1" x14ac:dyDescent="0.25">
      <c r="A20" s="67">
        <v>13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'[1]2025_ΕΣΟΔΑ'!M14</f>
        <v>0</v>
      </c>
      <c r="E20" s="11" t="e">
        <f t="shared" si="2"/>
        <v>#DIV/0!</v>
      </c>
      <c r="F20" s="12">
        <f>D20+'[1]2025 Οκτώβριος'!F20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Οκτώβριος'!J20</f>
        <v>0</v>
      </c>
      <c r="K20" s="11">
        <f t="shared" si="5"/>
        <v>0</v>
      </c>
      <c r="L20" s="68">
        <f>'[1]2024_60-69 ΕΞΟΔΑ+ΟΜ 2'!M126</f>
        <v>0</v>
      </c>
      <c r="M20" s="11">
        <f t="shared" si="6"/>
        <v>0</v>
      </c>
      <c r="N20" s="12">
        <f>L20+'[1]2025 Οκτώβριος'!N20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  <c r="S20"/>
      <c r="T20"/>
      <c r="U20"/>
      <c r="V20"/>
    </row>
    <row r="21" spans="1:22" ht="22.5" customHeight="1" x14ac:dyDescent="0.25">
      <c r="A21" s="67">
        <v>14</v>
      </c>
      <c r="B21" s="67">
        <v>14</v>
      </c>
      <c r="C21" s="44" t="str">
        <f>[1]ΑΝΤΙΣΤΟΙΧΙΣΗ!F200</f>
        <v>Πωλ.Κρουαζιέρας</v>
      </c>
      <c r="D21" s="10">
        <f>'[1]2025_ΕΣΟΔΑ'!M15</f>
        <v>0</v>
      </c>
      <c r="E21" s="11" t="e">
        <f t="shared" si="2"/>
        <v>#DIV/0!</v>
      </c>
      <c r="F21" s="12">
        <f>D21+'[1]2025 Οκτώβριος'!F21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Οκτώβριος'!J21</f>
        <v>5454.86</v>
      </c>
      <c r="K21" s="11">
        <f t="shared" si="5"/>
        <v>8.3215905720279617E-3</v>
      </c>
      <c r="L21" s="68">
        <f>'[1]2024_60-69 ΕΞΟΔΑ+ΟΜ 2'!M127</f>
        <v>0</v>
      </c>
      <c r="M21" s="11">
        <f t="shared" si="6"/>
        <v>0</v>
      </c>
      <c r="N21" s="12">
        <f>L21+'[1]2025 Οκτώβριος'!N21</f>
        <v>2727.43</v>
      </c>
      <c r="O21" s="11">
        <f t="shared" si="7"/>
        <v>4.3747460850949507E-3</v>
      </c>
      <c r="P21" s="12">
        <f t="shared" si="0"/>
        <v>502.63000000000011</v>
      </c>
      <c r="Q21" s="11">
        <f t="shared" si="1"/>
        <v>0.84438988749434996</v>
      </c>
      <c r="S21"/>
      <c r="T21"/>
      <c r="U21"/>
      <c r="V21"/>
    </row>
    <row r="22" spans="1:22" ht="23.25" customHeight="1" x14ac:dyDescent="0.25">
      <c r="A22" s="67">
        <v>15</v>
      </c>
      <c r="B22" s="67">
        <v>15</v>
      </c>
      <c r="C22" s="44" t="str">
        <f>[1]ΑΝΤΙΣΤΟΙΧΙΣΗ!F201</f>
        <v>Πωλ. Μαθημάτων</v>
      </c>
      <c r="D22" s="10">
        <f>'[1]2025_ΕΣΟΔΑ'!M16</f>
        <v>0</v>
      </c>
      <c r="E22" s="11" t="e">
        <f t="shared" si="2"/>
        <v>#DIV/0!</v>
      </c>
      <c r="F22" s="12">
        <f>D22+'[1]2025 Οκτώβριος'!F22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Οκτώβριος'!J22</f>
        <v>0</v>
      </c>
      <c r="K22" s="11">
        <f t="shared" si="5"/>
        <v>0</v>
      </c>
      <c r="L22" s="68">
        <f>'[1]2024_60-69 ΕΞΟΔΑ+ΟΜ 2'!M128</f>
        <v>0</v>
      </c>
      <c r="M22" s="11">
        <f t="shared" si="6"/>
        <v>0</v>
      </c>
      <c r="N22" s="12">
        <f>L22+'[1]2025 Οκτώβριος'!N22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  <c r="S22"/>
      <c r="T22"/>
      <c r="U22"/>
      <c r="V22"/>
    </row>
    <row r="23" spans="1:22" ht="27.75" customHeight="1" x14ac:dyDescent="0.25">
      <c r="A23" s="67">
        <v>16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'[1]2025_ΕΣΟΔΑ'!M17</f>
        <v>0</v>
      </c>
      <c r="E23" s="11" t="e">
        <f t="shared" si="2"/>
        <v>#DIV/0!</v>
      </c>
      <c r="F23" s="12">
        <f>D23+'[1]2025 Οκτώβριος'!F23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Οκτώβριος'!J23</f>
        <v>524.05999999999995</v>
      </c>
      <c r="K23" s="11">
        <f t="shared" si="5"/>
        <v>7.9947290217841939E-4</v>
      </c>
      <c r="L23" s="68">
        <f>'[1]2024_60-69 ΕΞΟΔΑ+ΟΜ 2'!M129</f>
        <v>0</v>
      </c>
      <c r="M23" s="11">
        <f t="shared" si="6"/>
        <v>0</v>
      </c>
      <c r="N23" s="12">
        <f>L23+'[1]2025 Οκτώβριος'!N23</f>
        <v>524.05999999999995</v>
      </c>
      <c r="O23" s="11">
        <f t="shared" si="7"/>
        <v>8.4058231864973972E-4</v>
      </c>
      <c r="P23" s="12">
        <f t="shared" si="0"/>
        <v>-28.479999999999961</v>
      </c>
      <c r="Q23" s="11">
        <f t="shared" si="1"/>
        <v>1.0574680172726905</v>
      </c>
      <c r="S23"/>
      <c r="T23"/>
      <c r="U23"/>
      <c r="V23"/>
    </row>
    <row r="24" spans="1:22" ht="27.75" customHeight="1" x14ac:dyDescent="0.25">
      <c r="A24" s="67">
        <v>17</v>
      </c>
      <c r="B24" s="67">
        <v>17</v>
      </c>
      <c r="C24" s="44" t="str">
        <f>[1]ΑΝΤΙΣΤΟΙΧΙΣΗ!F203</f>
        <v>Υπηρεσίες Marketing</v>
      </c>
      <c r="D24" s="10">
        <f>'[1]2025_ΕΣΟΔΑ'!M18</f>
        <v>0</v>
      </c>
      <c r="E24" s="11" t="e">
        <f>D24/$D$7</f>
        <v>#DIV/0!</v>
      </c>
      <c r="F24" s="12">
        <f>D24+'[1]2025 Οκτώβριος'!F24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Οκτώβριος'!J24</f>
        <v>0</v>
      </c>
      <c r="K24" s="11">
        <f>J24/$J$7</f>
        <v>0</v>
      </c>
      <c r="L24" s="68">
        <f>'[1]2024_60-69 ΕΞΟΔΑ+ΟΜ 2'!M130</f>
        <v>100.8</v>
      </c>
      <c r="M24" s="11">
        <f>L24/$L$7</f>
        <v>3.6512253881871995E-3</v>
      </c>
      <c r="N24" s="12">
        <f>L24+'[1]2025 Οκτώβριος'!N24</f>
        <v>100.8</v>
      </c>
      <c r="O24" s="11">
        <f>N24/$N$7</f>
        <v>1.6168129168395561E-4</v>
      </c>
      <c r="P24" s="12">
        <f>F24-N24</f>
        <v>-100.8</v>
      </c>
      <c r="Q24" s="11" t="e">
        <f>N24/F24</f>
        <v>#DIV/0!</v>
      </c>
      <c r="S24"/>
      <c r="T24"/>
      <c r="U24"/>
      <c r="V24"/>
    </row>
    <row r="25" spans="1:22" ht="22.5" customHeight="1" x14ac:dyDescent="0.25">
      <c r="A25" s="67">
        <v>18</v>
      </c>
      <c r="B25" s="67">
        <v>18</v>
      </c>
      <c r="C25" s="44" t="str">
        <f>[1]ΑΝΤΙΣΤΟΙΧΙΣΗ!F204</f>
        <v>Προμ. Συστ.Πελ. Αυτοκ.</v>
      </c>
      <c r="D25" s="10">
        <f>'[1]2025_ΕΣΟΔΑ'!M19</f>
        <v>0</v>
      </c>
      <c r="E25" s="11" t="e">
        <f t="shared" si="2"/>
        <v>#DIV/0!</v>
      </c>
      <c r="F25" s="12">
        <f>D25+'[1]2025 Οκτώβριος'!F25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Οκτώβριος'!J25</f>
        <v>4873.7999999999993</v>
      </c>
      <c r="K25" s="11">
        <f t="shared" si="5"/>
        <v>7.4351620628118542E-3</v>
      </c>
      <c r="L25" s="68">
        <f>'[1]2024_60-69 ΕΞΟΔΑ+ΟΜ 2'!M131</f>
        <v>0</v>
      </c>
      <c r="M25" s="11">
        <f t="shared" si="6"/>
        <v>0</v>
      </c>
      <c r="N25" s="12">
        <f>L25+'[1]2025 Οκτώβριος'!N25</f>
        <v>2436.8999999999996</v>
      </c>
      <c r="O25" s="11">
        <f t="shared" si="7"/>
        <v>3.9087414653237234E-3</v>
      </c>
      <c r="P25" s="12">
        <f t="shared" si="0"/>
        <v>-2436.8999999999996</v>
      </c>
      <c r="Q25" s="11" t="e">
        <f t="shared" si="1"/>
        <v>#DIV/0!</v>
      </c>
      <c r="S25"/>
      <c r="T25"/>
      <c r="U25"/>
      <c r="V25"/>
    </row>
    <row r="26" spans="1:22" ht="23.25" customHeight="1" x14ac:dyDescent="0.25">
      <c r="A26" s="67">
        <v>19</v>
      </c>
      <c r="B26" s="67">
        <v>19</v>
      </c>
      <c r="C26" s="44" t="str">
        <f>[1]ΑΝΤΙΣΤΟΙΧΙΣΗ!F205</f>
        <v>Προμ. Συστ.Πελ. Γυμν.</v>
      </c>
      <c r="D26" s="10">
        <f>'[1]2025_ΕΣΟΔΑ'!M20</f>
        <v>0</v>
      </c>
      <c r="E26" s="11" t="e">
        <f t="shared" si="2"/>
        <v>#DIV/0!</v>
      </c>
      <c r="F26" s="12">
        <f>D26+'[1]2025 Οκτώβριος'!F26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Οκτώβριος'!J26</f>
        <v>0</v>
      </c>
      <c r="K26" s="11">
        <f t="shared" si="5"/>
        <v>0</v>
      </c>
      <c r="L26" s="68">
        <f>'[1]2024_60-69 ΕΞΟΔΑ+ΟΜ 2'!M132</f>
        <v>0</v>
      </c>
      <c r="M26" s="11">
        <f t="shared" si="6"/>
        <v>0</v>
      </c>
      <c r="N26" s="12">
        <f>L26+'[1]2025 Οκτώβριος'!N26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  <c r="S26"/>
      <c r="T26"/>
      <c r="U26"/>
      <c r="V26"/>
    </row>
    <row r="27" spans="1:22" ht="23.25" customHeight="1" x14ac:dyDescent="0.25">
      <c r="A27" s="67">
        <v>20</v>
      </c>
      <c r="B27" s="67">
        <v>20</v>
      </c>
      <c r="C27" s="44" t="str">
        <f>[1]ΑΝΤΙΣΤΟΙΧΙΣΗ!F206</f>
        <v>Προμ.Σύστ.Πελ. TRANSFER</v>
      </c>
      <c r="D27" s="10">
        <f>'[1]2025_ΕΣΟΔΑ'!M21</f>
        <v>0</v>
      </c>
      <c r="E27" s="11" t="e">
        <f t="shared" si="2"/>
        <v>#DIV/0!</v>
      </c>
      <c r="F27" s="12">
        <f>D27+'[1]2025 Οκτώβριος'!F27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Οκτώβριος'!J27</f>
        <v>225.8</v>
      </c>
      <c r="K27" s="11">
        <f t="shared" si="5"/>
        <v>3.4446624682648387E-4</v>
      </c>
      <c r="L27" s="68">
        <f>'[1]2024_60-69 ΕΞΟΔΑ+ΟΜ 2'!M133</f>
        <v>407.42</v>
      </c>
      <c r="M27" s="11">
        <f t="shared" si="6"/>
        <v>1.4757760393405048E-2</v>
      </c>
      <c r="N27" s="12">
        <f>L27+'[1]2025 Οκτώβριος'!N27</f>
        <v>520.32000000000005</v>
      </c>
      <c r="O27" s="11">
        <f t="shared" si="7"/>
        <v>8.345834294543233E-4</v>
      </c>
      <c r="P27" s="12">
        <f t="shared" si="0"/>
        <v>-520.32000000000005</v>
      </c>
      <c r="Q27" s="11" t="e">
        <f t="shared" si="1"/>
        <v>#DIV/0!</v>
      </c>
      <c r="S27"/>
      <c r="T27"/>
      <c r="U27"/>
      <c r="V27"/>
    </row>
    <row r="28" spans="1:22" ht="23.25" customHeight="1" x14ac:dyDescent="0.25">
      <c r="A28" s="67">
        <v>21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'[1]2025_ΕΣΟΔΑ'!M22</f>
        <v>0</v>
      </c>
      <c r="E28" s="11" t="e">
        <f t="shared" si="2"/>
        <v>#DIV/0!</v>
      </c>
      <c r="F28" s="12">
        <f>D28+'[1]2025 Οκτώβριος'!F28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Οκτώβριος'!J28</f>
        <v>1721.28</v>
      </c>
      <c r="K28" s="11">
        <f t="shared" si="5"/>
        <v>2.6258762681022592E-3</v>
      </c>
      <c r="L28" s="68">
        <f>'[1]2024_60-69 ΕΞΟΔΑ+ΟΜ 2'!M134</f>
        <v>0</v>
      </c>
      <c r="M28" s="11">
        <f t="shared" si="6"/>
        <v>0</v>
      </c>
      <c r="N28" s="12">
        <f>L28+'[1]2025 Οκτώβριος'!N28</f>
        <v>860.64</v>
      </c>
      <c r="O28" s="11">
        <f t="shared" si="7"/>
        <v>1.3804502666158686E-3</v>
      </c>
      <c r="P28" s="12">
        <f t="shared" si="0"/>
        <v>-609.94000000000005</v>
      </c>
      <c r="Q28" s="11">
        <f t="shared" si="1"/>
        <v>3.4329477463103313</v>
      </c>
      <c r="S28"/>
      <c r="T28"/>
      <c r="U28"/>
      <c r="V28"/>
    </row>
    <row r="29" spans="1:22" ht="23.25" customHeight="1" x14ac:dyDescent="0.25">
      <c r="A29" s="67">
        <v>22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'[1]2025_ΕΣΟΔΑ'!M23</f>
        <v>0</v>
      </c>
      <c r="E29" s="11" t="e">
        <f t="shared" si="2"/>
        <v>#DIV/0!</v>
      </c>
      <c r="F29" s="12">
        <f>D29+'[1]2025 Οκτώβριος'!F29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Οκτώβριος'!J29</f>
        <v>240.32</v>
      </c>
      <c r="K29" s="11">
        <f t="shared" si="5"/>
        <v>3.6661704356661024E-4</v>
      </c>
      <c r="L29" s="68">
        <f>'[1]2024_60-69 ΕΞΟΔΑ+ΟΜ 2'!M135</f>
        <v>280.5</v>
      </c>
      <c r="M29" s="11">
        <f t="shared" si="6"/>
        <v>1.0160403982009023E-2</v>
      </c>
      <c r="N29" s="12">
        <f>L29+'[1]2025 Οκτώβριος'!N29</f>
        <v>400.65999999999997</v>
      </c>
      <c r="O29" s="11">
        <f t="shared" si="7"/>
        <v>6.4265105482235753E-4</v>
      </c>
      <c r="P29" s="12">
        <f t="shared" si="0"/>
        <v>-400.65999999999997</v>
      </c>
      <c r="Q29" s="11" t="e">
        <f t="shared" si="1"/>
        <v>#DIV/0!</v>
      </c>
      <c r="S29"/>
      <c r="T29"/>
      <c r="U29"/>
      <c r="V29"/>
    </row>
    <row r="30" spans="1:22" ht="23.25" customHeight="1" x14ac:dyDescent="0.25">
      <c r="A30" s="67">
        <v>23</v>
      </c>
      <c r="B30" s="67">
        <v>23</v>
      </c>
      <c r="C30" s="44" t="str">
        <f>[1]ΑΝΤΙΣΤΟΙΧΙΣΗ!F209</f>
        <v>Ασυνήθη έσοδα και κέρδη</v>
      </c>
      <c r="D30" s="10">
        <f>'[1]2025_ΕΣΟΔΑ'!M24</f>
        <v>0</v>
      </c>
      <c r="E30" s="11" t="e">
        <f t="shared" si="2"/>
        <v>#DIV/0!</v>
      </c>
      <c r="F30" s="12">
        <f>D30+'[1]2025 Οκτώβριος'!F30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Οκτώβριος'!J30</f>
        <v>11720.5</v>
      </c>
      <c r="K30" s="11">
        <f t="shared" si="5"/>
        <v>1.7880056005003562E-2</v>
      </c>
      <c r="L30" s="68">
        <f>'[1]2024_60-69 ΕΞΟΔΑ+ΟΜ 2'!M136</f>
        <v>-120.61</v>
      </c>
      <c r="M30" s="11">
        <f t="shared" si="6"/>
        <v>-4.3687925998934334E-3</v>
      </c>
      <c r="N30" s="12">
        <f>L30+'[1]2025 Οκτώβριος'!N30</f>
        <v>5686.56</v>
      </c>
      <c r="O30" s="11">
        <f t="shared" si="7"/>
        <v>9.1211345837134382E-3</v>
      </c>
      <c r="P30" s="12">
        <f t="shared" si="0"/>
        <v>-5422.13</v>
      </c>
      <c r="Q30" s="11">
        <f t="shared" si="1"/>
        <v>21.504972960707939</v>
      </c>
      <c r="S30"/>
      <c r="T30"/>
      <c r="U30"/>
      <c r="V30"/>
    </row>
    <row r="31" spans="1:22" ht="23.25" customHeight="1" x14ac:dyDescent="0.25">
      <c r="A31" s="67">
        <v>24</v>
      </c>
      <c r="B31" s="67">
        <v>24</v>
      </c>
      <c r="C31" s="44" t="str">
        <f>[1]ΑΝΤΙΣΤΟΙΧΙΣΗ!F210</f>
        <v>Φορος Παρεπιδημούντων</v>
      </c>
      <c r="D31" s="10">
        <f>'[1]2025_ΕΣΟΔΑ'!M25</f>
        <v>0</v>
      </c>
      <c r="E31" s="11" t="e">
        <f t="shared" si="2"/>
        <v>#DIV/0!</v>
      </c>
      <c r="F31" s="12">
        <f>D31+'[1]2025 Οκτώβριος'!F31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Οκτώβριος'!J31</f>
        <v>-2799.7200000000003</v>
      </c>
      <c r="K31" s="11">
        <f t="shared" si="5"/>
        <v>-4.2710763532552857E-3</v>
      </c>
      <c r="L31" s="68">
        <f>'[1]2024_60-69 ΕΞΟΔΑ+ΟΜ 2'!M137</f>
        <v>0</v>
      </c>
      <c r="M31" s="11">
        <f t="shared" si="6"/>
        <v>0</v>
      </c>
      <c r="N31" s="12">
        <f>L31+'[1]2025 Οκτώβριος'!N31</f>
        <v>-2799.7400000000002</v>
      </c>
      <c r="O31" s="11">
        <f t="shared" si="7"/>
        <v>-4.4907299561432329E-3</v>
      </c>
      <c r="P31" s="12">
        <f t="shared" si="0"/>
        <v>1517.88</v>
      </c>
      <c r="Q31" s="11">
        <f t="shared" si="1"/>
        <v>2.1841230711622175</v>
      </c>
      <c r="S31"/>
      <c r="T31"/>
      <c r="U31"/>
      <c r="V31"/>
    </row>
    <row r="32" spans="1:22" ht="23.25" customHeight="1" x14ac:dyDescent="0.25">
      <c r="A32" s="67">
        <v>25</v>
      </c>
      <c r="B32" s="67">
        <v>25</v>
      </c>
      <c r="C32" s="44" t="str">
        <f>[1]ΑΝΤΙΣΤΟΙΧΙΣΗ!F211</f>
        <v xml:space="preserve">Πρόβλεψη </v>
      </c>
      <c r="D32" s="10">
        <f>'[1]2025_ΕΣΟΔΑ'!M26</f>
        <v>0</v>
      </c>
      <c r="E32" s="11" t="e">
        <f t="shared" si="2"/>
        <v>#DIV/0!</v>
      </c>
      <c r="F32" s="12">
        <f>D32+'[1]2025 Οκτώβριος'!F32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Οκτώβριος'!J32</f>
        <v>0</v>
      </c>
      <c r="K32" s="11">
        <f t="shared" si="5"/>
        <v>0</v>
      </c>
      <c r="L32" s="68">
        <f>'[1]2024_60-69 ΕΞΟΔΑ+ΟΜ 2'!M138</f>
        <v>0</v>
      </c>
      <c r="M32" s="11">
        <f t="shared" si="6"/>
        <v>0</v>
      </c>
      <c r="N32" s="12">
        <f>L32+'[1]2025 Οκτώβριος'!N32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  <c r="S32"/>
      <c r="T32"/>
      <c r="U32"/>
      <c r="V32"/>
    </row>
    <row r="33" spans="1:22" ht="23.25" customHeight="1" x14ac:dyDescent="0.25">
      <c r="A33" s="67">
        <v>26</v>
      </c>
      <c r="B33" s="67">
        <v>26</v>
      </c>
      <c r="C33" s="44">
        <f>[1]ΑΝΤΙΣΤΟΙΧΙΣΗ!F212</f>
        <v>0</v>
      </c>
      <c r="D33" s="10">
        <f>'[1]2025_ΕΣΟΔΑ'!M27</f>
        <v>0</v>
      </c>
      <c r="E33" s="11" t="e">
        <f t="shared" si="2"/>
        <v>#DIV/0!</v>
      </c>
      <c r="F33" s="12">
        <f>D33+'[1]2025 Οκτώβριος'!F33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Οκτώβριος'!J33</f>
        <v>0</v>
      </c>
      <c r="K33" s="11">
        <f t="shared" si="5"/>
        <v>0</v>
      </c>
      <c r="L33" s="68">
        <f>'[1]2024_60-69 ΕΞΟΔΑ+ΟΜ 2'!M139</f>
        <v>0</v>
      </c>
      <c r="M33" s="11">
        <f t="shared" si="6"/>
        <v>0</v>
      </c>
      <c r="N33" s="12">
        <f>L33+'[1]2025 Οκτώβριος'!N33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  <c r="S33"/>
      <c r="T33"/>
      <c r="U33"/>
      <c r="V33"/>
    </row>
    <row r="34" spans="1:22" ht="23.25" customHeight="1" x14ac:dyDescent="0.25">
      <c r="A34" s="67">
        <v>27</v>
      </c>
      <c r="B34" s="67">
        <v>27</v>
      </c>
      <c r="C34" s="44">
        <f>[1]ΑΝΤΙΣΤΟΙΧΙΣΗ!F213</f>
        <v>0</v>
      </c>
      <c r="D34" s="10">
        <f>'[1]2025_ΕΣΟΔΑ'!M28</f>
        <v>0</v>
      </c>
      <c r="E34" s="11" t="e">
        <f t="shared" si="2"/>
        <v>#DIV/0!</v>
      </c>
      <c r="F34" s="12">
        <f>D34+'[1]2025 Οκτώβριος'!F34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Οκτώβριος'!J34</f>
        <v>0</v>
      </c>
      <c r="K34" s="11">
        <f t="shared" si="5"/>
        <v>0</v>
      </c>
      <c r="L34" s="68">
        <f>'[1]2024_60-69 ΕΞΟΔΑ+ΟΜ 2'!M140</f>
        <v>0</v>
      </c>
      <c r="M34" s="11">
        <f t="shared" si="6"/>
        <v>0</v>
      </c>
      <c r="N34" s="12">
        <f>L34+'[1]2025 Οκτώβριος'!N34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  <c r="S34"/>
      <c r="T34"/>
      <c r="U34"/>
      <c r="V34"/>
    </row>
    <row r="35" spans="1:22" ht="23.25" customHeight="1" x14ac:dyDescent="0.25">
      <c r="A35" s="67">
        <v>28</v>
      </c>
      <c r="B35" s="67">
        <v>28</v>
      </c>
      <c r="C35" s="44">
        <f>[1]ΑΝΤΙΣΤΟΙΧΙΣΗ!F214</f>
        <v>0</v>
      </c>
      <c r="D35" s="10">
        <f>'[1]2025_ΕΣΟΔΑ'!M29</f>
        <v>0</v>
      </c>
      <c r="E35" s="11" t="e">
        <f t="shared" si="2"/>
        <v>#DIV/0!</v>
      </c>
      <c r="F35" s="12">
        <f>D35+'[1]2025 Οκτώβριος'!F35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Οκτώβριος'!J35</f>
        <v>0</v>
      </c>
      <c r="K35" s="11">
        <f t="shared" si="5"/>
        <v>0</v>
      </c>
      <c r="L35" s="68">
        <f>'[1]2024_60-69 ΕΞΟΔΑ+ΟΜ 2'!M141</f>
        <v>0</v>
      </c>
      <c r="M35" s="11">
        <f t="shared" si="6"/>
        <v>0</v>
      </c>
      <c r="N35" s="12">
        <f>L35+'[1]2025 Οκτώβριος'!N35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  <c r="S35"/>
      <c r="T35"/>
      <c r="U35"/>
      <c r="V35"/>
    </row>
    <row r="36" spans="1:22" ht="23.25" customHeight="1" x14ac:dyDescent="0.25">
      <c r="A36" s="67">
        <v>29</v>
      </c>
      <c r="B36" s="67">
        <v>29</v>
      </c>
      <c r="C36" s="44">
        <f>[1]ΑΝΤΙΣΤΟΙΧΙΣΗ!F215</f>
        <v>0</v>
      </c>
      <c r="D36" s="10">
        <f>'[1]2025_ΕΣΟΔΑ'!M30</f>
        <v>0</v>
      </c>
      <c r="E36" s="11" t="e">
        <f t="shared" si="2"/>
        <v>#DIV/0!</v>
      </c>
      <c r="F36" s="12">
        <f>D36+'[1]2025 Οκτώβριος'!F36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Οκτώβριος'!J36</f>
        <v>0</v>
      </c>
      <c r="K36" s="11">
        <f t="shared" si="5"/>
        <v>0</v>
      </c>
      <c r="L36" s="68">
        <f>'[1]2024_60-69 ΕΞΟΔΑ+ΟΜ 2'!M142</f>
        <v>0</v>
      </c>
      <c r="M36" s="11">
        <f t="shared" si="6"/>
        <v>0</v>
      </c>
      <c r="N36" s="12">
        <f>L36+'[1]2025 Οκτώβριος'!N36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  <c r="S36"/>
      <c r="T36"/>
      <c r="U36"/>
      <c r="V36"/>
    </row>
    <row r="37" spans="1:22" ht="23.25" customHeight="1" x14ac:dyDescent="0.25">
      <c r="A37" s="67">
        <v>30</v>
      </c>
      <c r="B37" s="67">
        <v>30</v>
      </c>
      <c r="C37" s="44">
        <f>[1]ΑΝΤΙΣΤΟΙΧΙΣΗ!F216</f>
        <v>0</v>
      </c>
      <c r="D37" s="10">
        <f>'[1]2025_ΕΣΟΔΑ'!M31</f>
        <v>0</v>
      </c>
      <c r="E37" s="11" t="e">
        <f t="shared" si="2"/>
        <v>#DIV/0!</v>
      </c>
      <c r="F37" s="12">
        <f>D37+'[1]2025 Οκτώβριος'!F37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Οκτώβριος'!J37</f>
        <v>0</v>
      </c>
      <c r="K37" s="11">
        <f t="shared" si="5"/>
        <v>0</v>
      </c>
      <c r="L37" s="68">
        <f>'[1]2024_60-69 ΕΞΟΔΑ+ΟΜ 2'!M143</f>
        <v>0</v>
      </c>
      <c r="M37" s="11">
        <f t="shared" si="6"/>
        <v>0</v>
      </c>
      <c r="N37" s="12">
        <f>L37+'[1]2025 Οκτώβριος'!N37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  <c r="S37"/>
      <c r="T37"/>
      <c r="U37"/>
      <c r="V37"/>
    </row>
    <row r="38" spans="1:22" ht="15" customHeight="1" x14ac:dyDescent="0.25">
      <c r="A38" s="60"/>
      <c r="B38" s="60"/>
      <c r="C38" s="6" t="s">
        <v>17</v>
      </c>
      <c r="D38" s="7">
        <f>'[1]2025_ΕΣΟΔΑ'!M32</f>
        <v>0</v>
      </c>
      <c r="E38" s="8"/>
      <c r="F38" s="7" t="str">
        <f>'[1]2025_ΕΣΟΔΑ'!M34</f>
        <v>Νοέμβριος</v>
      </c>
      <c r="G38" s="8"/>
      <c r="H38" s="7">
        <f>SUM(H8:H31)</f>
        <v>0</v>
      </c>
      <c r="I38" s="8"/>
      <c r="J38" s="7">
        <f>SUM(J8:J31)</f>
        <v>655506.89532069315</v>
      </c>
      <c r="K38" s="8"/>
      <c r="L38" s="7">
        <f>SUM(L8:L31)</f>
        <v>27607.17</v>
      </c>
      <c r="M38" s="8"/>
      <c r="N38" s="7">
        <f>SUM(N8:N31)</f>
        <v>623448.75495575252</v>
      </c>
      <c r="O38" s="8"/>
      <c r="P38" s="7">
        <f>SUM(P8:P31)</f>
        <v>-407609.18911504425</v>
      </c>
      <c r="Q38" s="8"/>
      <c r="S38"/>
      <c r="T38"/>
      <c r="U38"/>
      <c r="V38"/>
    </row>
    <row r="39" spans="1:22" ht="40.5" customHeight="1" x14ac:dyDescent="0.25">
      <c r="A39" s="60"/>
      <c r="B39" s="60"/>
      <c r="C39" s="6" t="s">
        <v>18</v>
      </c>
      <c r="D39" s="7">
        <f>D7-D38</f>
        <v>0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  <c r="S39"/>
      <c r="T39"/>
      <c r="U39"/>
      <c r="V39"/>
    </row>
    <row r="40" spans="1:22" ht="40.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  <c r="S40"/>
      <c r="T40"/>
      <c r="U40"/>
      <c r="V40"/>
    </row>
    <row r="41" spans="1:22" ht="41.25" customHeight="1" x14ac:dyDescent="0.25">
      <c r="A41" s="60">
        <v>39</v>
      </c>
      <c r="B41" s="60"/>
      <c r="C41" s="5" t="s">
        <v>161</v>
      </c>
      <c r="D41" s="180" t="str">
        <f>[1]ΑΝΤΙΣΤΟΙΧΙΣΗ!$F$116</f>
        <v xml:space="preserve">ΝΟΕΜΒΡΙΟΣ ΤΡΕΧΟΝ ΕΤΟΣ </v>
      </c>
      <c r="E41" s="180"/>
      <c r="F41" s="180"/>
      <c r="G41" s="61">
        <f>[1]ΑΝΤΙΣΤΟΙΧΙΣΗ!$D$34</f>
        <v>2025</v>
      </c>
      <c r="H41" s="180" t="str">
        <f>[1]ΑΝΤΙΣΤΟΙΧΙΣΗ!$F$116</f>
        <v xml:space="preserve">ΝΟΕΜΒΡΙΟΣ ΤΡΕΧΟΝ ΕΤΟΣ </v>
      </c>
      <c r="I41" s="180"/>
      <c r="J41" s="180"/>
      <c r="K41" s="61">
        <f>[1]ΑΝΤΙΣΤΟΙΧΙΣΗ!$D$34</f>
        <v>2025</v>
      </c>
      <c r="L41" s="180" t="str">
        <f>[1]ΑΝΤΙΣΤΟΙΧΙΣΗ!$F$130</f>
        <v>ΝΟΕΜΒΡΙΟΣ ΠΡΟΗΓΟΥΜΕΝΟΥ ΕΤΟΥΣ</v>
      </c>
      <c r="M41" s="180"/>
      <c r="N41" s="180"/>
      <c r="O41" s="61">
        <f>[1]ΑΝΤΙΣΤΟΙΧΙΣΗ!$D$33</f>
        <v>2024</v>
      </c>
      <c r="P41" s="180"/>
      <c r="Q41" s="180"/>
      <c r="S41"/>
      <c r="T41"/>
      <c r="U41"/>
      <c r="V41"/>
    </row>
    <row r="42" spans="1:22" ht="80.2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  <c r="S42"/>
      <c r="T42"/>
      <c r="U42"/>
      <c r="V42"/>
    </row>
    <row r="43" spans="1:22" ht="22.5" customHeight="1" x14ac:dyDescent="0.25">
      <c r="A43" s="60">
        <v>42</v>
      </c>
      <c r="B43" s="70" t="s">
        <v>30</v>
      </c>
      <c r="C43" s="6" t="s">
        <v>31</v>
      </c>
      <c r="D43" s="7">
        <f>SUM(D44:D77)</f>
        <v>7839.9766666666674</v>
      </c>
      <c r="E43" s="8"/>
      <c r="F43" s="7">
        <f>SUM(F44:F77)</f>
        <v>595277.44000000018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48695.049999999996</v>
      </c>
      <c r="M43" s="8"/>
      <c r="N43" s="7">
        <f>SUM(N44:N77)</f>
        <v>1122964.7079999999</v>
      </c>
      <c r="O43" s="8"/>
      <c r="P43" s="7">
        <f>SUM(P44:P77)</f>
        <v>0</v>
      </c>
      <c r="Q43" s="8"/>
      <c r="S43"/>
      <c r="T43"/>
      <c r="U43"/>
      <c r="V43"/>
    </row>
    <row r="44" spans="1:22" ht="37.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2'!N4</f>
        <v>0</v>
      </c>
      <c r="E44" s="15">
        <f>D44/$D$43</f>
        <v>0</v>
      </c>
      <c r="F44" s="10">
        <f>D44+'[1]2025 Οκτώβριος'!F44</f>
        <v>262342.26666666666</v>
      </c>
      <c r="G44" s="15">
        <f>F44/$F$43</f>
        <v>0.44070587769404901</v>
      </c>
      <c r="H44" s="14"/>
      <c r="I44" s="16" t="e">
        <f>H44/$H$43</f>
        <v>#DIV/0!</v>
      </c>
      <c r="J44" s="10">
        <f>H44</f>
        <v>0</v>
      </c>
      <c r="K44" s="17" t="e">
        <f>J44/$J$43</f>
        <v>#DIV/0!</v>
      </c>
      <c r="L44" s="14">
        <f>'[1]2024_60-69 ΕΞΟΔΑ+ΟΜ 2'!N4</f>
        <v>4216.6399999999994</v>
      </c>
      <c r="M44" s="15">
        <f>L44/$L$43</f>
        <v>8.6592785098280001E-2</v>
      </c>
      <c r="N44" s="10">
        <f>L44+'[1]2025 Οκτώβριος'!N44</f>
        <v>495571.22899999988</v>
      </c>
      <c r="O44" s="15">
        <f>N44/$N$43</f>
        <v>0.44130614744127822</v>
      </c>
      <c r="P44" s="10"/>
      <c r="Q44" s="15"/>
      <c r="S44"/>
      <c r="T44"/>
      <c r="U44"/>
      <c r="V44"/>
    </row>
    <row r="45" spans="1:22" ht="28.5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2'!N5</f>
        <v>0</v>
      </c>
      <c r="E45" s="15">
        <f t="shared" ref="E45:E77" si="8">D45/$D$43</f>
        <v>0</v>
      </c>
      <c r="F45" s="10">
        <f>D45+'[1]2025 Οκτώβριος'!F45</f>
        <v>17090.259999999998</v>
      </c>
      <c r="G45" s="15">
        <f t="shared" ref="G45:G77" si="9">F45/$F$43</f>
        <v>2.8709739109212661E-2</v>
      </c>
      <c r="H45" s="14"/>
      <c r="I45" s="16" t="e">
        <f t="shared" ref="I45:I77" si="10">H45/$H$43</f>
        <v>#DIV/0!</v>
      </c>
      <c r="J45" s="10">
        <f>H45</f>
        <v>0</v>
      </c>
      <c r="K45" s="17" t="e">
        <f t="shared" ref="K45:K77" si="11">J45/$J$43</f>
        <v>#DIV/0!</v>
      </c>
      <c r="L45" s="14">
        <f>'[1]2024_60-69 ΕΞΟΔΑ+ΟΜ 2'!N5</f>
        <v>5135.38</v>
      </c>
      <c r="M45" s="15">
        <f t="shared" ref="M45:M77" si="12">L45/$L$43</f>
        <v>0.10546000055447115</v>
      </c>
      <c r="N45" s="10">
        <f>L45+'[1]2025 Οκτώβριος'!N45</f>
        <v>51117.99</v>
      </c>
      <c r="O45" s="15">
        <f t="shared" ref="O45:O77" si="13">N45/$N$43</f>
        <v>4.5520566795942442E-2</v>
      </c>
      <c r="P45" s="10"/>
      <c r="Q45" s="15">
        <f>N45/F45</f>
        <v>2.9910598200378464</v>
      </c>
      <c r="S45"/>
      <c r="T45"/>
      <c r="U45"/>
      <c r="V45"/>
    </row>
    <row r="46" spans="1:22" ht="28.5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2'!N6</f>
        <v>0</v>
      </c>
      <c r="E46" s="15">
        <f t="shared" si="8"/>
        <v>0</v>
      </c>
      <c r="F46" s="10">
        <f>D46+'[1]2025 Οκτώβριος'!F46</f>
        <v>24880</v>
      </c>
      <c r="G46" s="15">
        <f t="shared" si="9"/>
        <v>4.1795637341808203E-2</v>
      </c>
      <c r="H46" s="14"/>
      <c r="I46" s="16" t="e">
        <f t="shared" si="10"/>
        <v>#DIV/0!</v>
      </c>
      <c r="J46" s="10">
        <f t="shared" ref="J46:J77" si="14">H46</f>
        <v>0</v>
      </c>
      <c r="K46" s="17" t="e">
        <f t="shared" si="11"/>
        <v>#DIV/0!</v>
      </c>
      <c r="L46" s="14">
        <f>'[1]2024_60-69 ΕΞΟΔΑ+ΟΜ 2'!N6</f>
        <v>2263.46</v>
      </c>
      <c r="M46" s="15">
        <f t="shared" si="12"/>
        <v>4.6482342661112376E-2</v>
      </c>
      <c r="N46" s="10">
        <f>L46+'[1]2025 Οκτώβριος'!N46</f>
        <v>55213.140000000007</v>
      </c>
      <c r="O46" s="15">
        <f t="shared" si="13"/>
        <v>4.9167297606649285E-2</v>
      </c>
      <c r="P46" s="10"/>
      <c r="Q46" s="15">
        <f t="shared" ref="Q46:Q77" si="15">N46/F46</f>
        <v>2.2191776527331193</v>
      </c>
      <c r="S46"/>
      <c r="T46"/>
      <c r="U46"/>
      <c r="V46"/>
    </row>
    <row r="47" spans="1:22" ht="28.5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2'!N37</f>
        <v>0</v>
      </c>
      <c r="E47" s="15" t="e">
        <f ca="1">D47/$D$84</f>
        <v>#DIV/0!</v>
      </c>
      <c r="F47" s="79">
        <f>D47+'[1]2025 Οκτώβριος'!F81</f>
        <v>46297.34</v>
      </c>
      <c r="G47" s="15" t="e">
        <f>F47/$F$84</f>
        <v>#VALUE!</v>
      </c>
      <c r="H47" s="14"/>
      <c r="I47" s="26" t="e">
        <f ca="1">H47/$H$84</f>
        <v>#DIV/0!</v>
      </c>
      <c r="J47" s="27"/>
      <c r="K47" s="27" t="e">
        <f ca="1">J47/$J$84</f>
        <v>#DIV/0!</v>
      </c>
      <c r="L47" s="79">
        <f>'[1]2024_60-69 ΕΞΟΔΑ+ΟΜ 2'!N35</f>
        <v>1590.96</v>
      </c>
      <c r="M47" s="15">
        <f ca="1">L47/$L$84</f>
        <v>0.20678145860627611</v>
      </c>
      <c r="N47" s="10">
        <f>L47+'[1]2025 Οκτώβριος'!N81</f>
        <v>71738.759999999995</v>
      </c>
      <c r="O47" s="15">
        <f ca="1">N47/$N$84</f>
        <v>0.4847556772939054</v>
      </c>
      <c r="P47" s="27"/>
      <c r="Q47" s="28" t="e">
        <f ca="1">SUM(Q48:Q106)</f>
        <v>#DIV/0!</v>
      </c>
      <c r="S47"/>
      <c r="T47"/>
      <c r="U47"/>
      <c r="V47"/>
    </row>
    <row r="48" spans="1:22" ht="33.75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2'!N38</f>
        <v>0</v>
      </c>
      <c r="E48" s="15" t="e">
        <f ca="1">D48/$D$84</f>
        <v>#DIV/0!</v>
      </c>
      <c r="F48" s="79">
        <f>D48+'[1]2025 Οκτώβριος'!F82</f>
        <v>9451.0400000000009</v>
      </c>
      <c r="G48" s="15" t="e">
        <f>F48/$F$84</f>
        <v>#VALUE!</v>
      </c>
      <c r="H48" s="14"/>
      <c r="I48" s="26" t="e">
        <f ca="1">H48/$H$84</f>
        <v>#DIV/0!</v>
      </c>
      <c r="J48" s="27"/>
      <c r="K48" s="27" t="e">
        <f ca="1">J48/$J$84</f>
        <v>#DIV/0!</v>
      </c>
      <c r="L48" s="79">
        <f>'[1]2024_60-69 ΕΞΟΔΑ+ΟΜ 2'!N36</f>
        <v>1604</v>
      </c>
      <c r="M48" s="15">
        <f ca="1">L48/$L$84</f>
        <v>0.2084763033668143</v>
      </c>
      <c r="N48" s="10">
        <f>L48+'[1]2025 Οκτώβριος'!N82</f>
        <v>19373.309999999998</v>
      </c>
      <c r="O48" s="15">
        <f ca="1">N48/$N$84</f>
        <v>0.13091001308741312</v>
      </c>
      <c r="P48" s="27"/>
      <c r="Q48" s="28" t="e">
        <f ca="1">SUM(D48:P48)</f>
        <v>#DIV/0!</v>
      </c>
      <c r="S48"/>
      <c r="T48"/>
      <c r="U48"/>
      <c r="V48"/>
    </row>
    <row r="49" spans="1:22" ht="28.5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2'!N7</f>
        <v>0</v>
      </c>
      <c r="E49" s="15">
        <f t="shared" si="8"/>
        <v>0</v>
      </c>
      <c r="F49" s="10">
        <f>D49+'[1]2025 Οκτώβριος'!F47</f>
        <v>14200.8</v>
      </c>
      <c r="G49" s="15">
        <f t="shared" si="9"/>
        <v>2.3855767152875799E-2</v>
      </c>
      <c r="H49" s="14"/>
      <c r="I49" s="16" t="e">
        <f t="shared" si="10"/>
        <v>#DIV/0!</v>
      </c>
      <c r="J49" s="10">
        <f t="shared" si="14"/>
        <v>0</v>
      </c>
      <c r="K49" s="17" t="e">
        <f t="shared" si="11"/>
        <v>#DIV/0!</v>
      </c>
      <c r="L49" s="14">
        <f>'[1]2024_60-69 ΕΞΟΔΑ+ΟΜ 2'!N7</f>
        <v>940.74</v>
      </c>
      <c r="M49" s="15">
        <f t="shared" si="12"/>
        <v>1.9319006757360351E-2</v>
      </c>
      <c r="N49" s="10">
        <f>L49+'[1]2025 Οκτώβριος'!N47</f>
        <v>28390.959999999999</v>
      </c>
      <c r="O49" s="15">
        <f t="shared" si="13"/>
        <v>2.5282148047701604E-2</v>
      </c>
      <c r="P49" s="10"/>
      <c r="Q49" s="15">
        <f t="shared" si="15"/>
        <v>1.9992507464368205</v>
      </c>
      <c r="S49"/>
      <c r="T49"/>
      <c r="U49"/>
      <c r="V49" s="160"/>
    </row>
    <row r="50" spans="1:22" ht="28.5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2'!N8</f>
        <v>0</v>
      </c>
      <c r="E50" s="15">
        <f t="shared" si="8"/>
        <v>0</v>
      </c>
      <c r="F50" s="10">
        <f>D50+'[1]2025 Οκτώβριος'!F48</f>
        <v>3672.9500000000003</v>
      </c>
      <c r="G50" s="15">
        <f t="shared" si="9"/>
        <v>6.1701481581428637E-3</v>
      </c>
      <c r="H50" s="14"/>
      <c r="I50" s="16" t="e">
        <f t="shared" si="10"/>
        <v>#DIV/0!</v>
      </c>
      <c r="J50" s="10">
        <f t="shared" si="14"/>
        <v>0</v>
      </c>
      <c r="K50" s="17" t="e">
        <f t="shared" si="11"/>
        <v>#DIV/0!</v>
      </c>
      <c r="L50" s="14">
        <f>'[1]2024_60-69 ΕΞΟΔΑ+ΟΜ 2'!N8</f>
        <v>1022.18</v>
      </c>
      <c r="M50" s="15">
        <f t="shared" si="12"/>
        <v>2.0991456010415844E-2</v>
      </c>
      <c r="N50" s="10">
        <f>L50+'[1]2025 Οκτώβριος'!N48</f>
        <v>12025.3</v>
      </c>
      <c r="O50" s="15">
        <f t="shared" si="13"/>
        <v>1.070852887391008E-2</v>
      </c>
      <c r="P50" s="10"/>
      <c r="Q50" s="15">
        <f t="shared" si="15"/>
        <v>3.2740167984862301</v>
      </c>
      <c r="S50"/>
      <c r="T50"/>
      <c r="U50"/>
      <c r="V50" s="160"/>
    </row>
    <row r="51" spans="1:22" ht="28.5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2'!N9</f>
        <v>0</v>
      </c>
      <c r="E51" s="15">
        <f t="shared" si="8"/>
        <v>0</v>
      </c>
      <c r="F51" s="10">
        <f>D51+'[1]2025 Οκτώβριος'!F49</f>
        <v>4508.5199999999995</v>
      </c>
      <c r="G51" s="15">
        <f t="shared" si="9"/>
        <v>7.5738129770212661E-3</v>
      </c>
      <c r="H51" s="14"/>
      <c r="I51" s="16" t="e">
        <f t="shared" si="10"/>
        <v>#DIV/0!</v>
      </c>
      <c r="J51" s="10">
        <f t="shared" si="14"/>
        <v>0</v>
      </c>
      <c r="K51" s="17" t="e">
        <f t="shared" si="11"/>
        <v>#DIV/0!</v>
      </c>
      <c r="L51" s="14">
        <f>'[1]2024_60-69 ΕΞΟΔΑ+ΟΜ 2'!N9</f>
        <v>572.03</v>
      </c>
      <c r="M51" s="15">
        <f t="shared" si="12"/>
        <v>1.1747189909446648E-2</v>
      </c>
      <c r="N51" s="10">
        <f>L51+'[1]2025 Οκτώβριος'!N49</f>
        <v>11273.390000000001</v>
      </c>
      <c r="O51" s="15">
        <f t="shared" si="13"/>
        <v>1.0038953067436917E-2</v>
      </c>
      <c r="P51" s="10"/>
      <c r="Q51" s="15">
        <f t="shared" si="15"/>
        <v>2.5004635667580497</v>
      </c>
      <c r="S51"/>
      <c r="T51"/>
      <c r="U51"/>
      <c r="V51" s="160"/>
    </row>
    <row r="52" spans="1:22" ht="28.5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2'!N41</f>
        <v>0</v>
      </c>
      <c r="E52" s="15" t="e">
        <f ca="1">D52/$D$84</f>
        <v>#DIV/0!</v>
      </c>
      <c r="F52" s="79">
        <f>D52+'[1]2025 Οκτώβριος'!F85</f>
        <v>6270.86</v>
      </c>
      <c r="G52" s="15" t="e">
        <f>F52/$F$84</f>
        <v>#VALUE!</v>
      </c>
      <c r="H52" s="14"/>
      <c r="I52" s="26" t="e">
        <f ca="1">H52/$H$84</f>
        <v>#DIV/0!</v>
      </c>
      <c r="J52" s="27"/>
      <c r="K52" s="27" t="e">
        <f ca="1">J52/$J$84</f>
        <v>#DIV/0!</v>
      </c>
      <c r="L52" s="79">
        <f>'[1]2024_60-69 ΕΞΟΔΑ+ΟΜ 2'!N39</f>
        <v>332.33</v>
      </c>
      <c r="M52" s="15">
        <f ca="1">L52/$L$84</f>
        <v>4.3193846569758977E-2</v>
      </c>
      <c r="N52" s="10">
        <f>L52+'[1]2025 Οκτώβριος'!N85</f>
        <v>332.33</v>
      </c>
      <c r="O52" s="15">
        <f ca="1">N52/$N$84</f>
        <v>2.2456319879948245E-3</v>
      </c>
      <c r="P52" s="27"/>
      <c r="Q52" s="28" t="e">
        <f ca="1">SUM(D52:P52)</f>
        <v>#DIV/0!</v>
      </c>
      <c r="S52"/>
      <c r="T52"/>
      <c r="U52"/>
      <c r="V52"/>
    </row>
    <row r="53" spans="1:22" ht="33.75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2'!N42</f>
        <v>0</v>
      </c>
      <c r="E53" s="15" t="e">
        <f ca="1">D53/$D$84</f>
        <v>#DIV/0!</v>
      </c>
      <c r="F53" s="79">
        <f>D53+'[1]2025 Οκτώβριος'!F86</f>
        <v>1913.23</v>
      </c>
      <c r="G53" s="15" t="e">
        <f>F53/$F$84</f>
        <v>#VALUE!</v>
      </c>
      <c r="H53" s="14"/>
      <c r="I53" s="26" t="e">
        <f ca="1">H53/$H$84</f>
        <v>#DIV/0!</v>
      </c>
      <c r="J53" s="27"/>
      <c r="K53" s="27" t="e">
        <f ca="1">J53/$J$84</f>
        <v>#DIV/0!</v>
      </c>
      <c r="L53" s="79">
        <f>'[1]2024_60-69 ΕΞΟΔΑ+ΟΜ 2'!N40</f>
        <v>335.24</v>
      </c>
      <c r="M53" s="15">
        <f ca="1">L53/$L$84</f>
        <v>4.3572067294695031E-2</v>
      </c>
      <c r="N53" s="10">
        <f>L53+'[1]2025 Οκτώβριος'!N86</f>
        <v>3978.6100000000006</v>
      </c>
      <c r="O53" s="15">
        <f ca="1">N53/$N$84</f>
        <v>2.6884403706424607E-2</v>
      </c>
      <c r="P53" s="27"/>
      <c r="Q53" s="28" t="e">
        <f ca="1">SUM(D53:P53)</f>
        <v>#DIV/0!</v>
      </c>
      <c r="S53"/>
      <c r="T53"/>
      <c r="U53"/>
      <c r="V53" s="160"/>
    </row>
    <row r="54" spans="1:22" ht="15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2'!N10</f>
        <v>0</v>
      </c>
      <c r="E54" s="15">
        <f t="shared" si="8"/>
        <v>0</v>
      </c>
      <c r="F54" s="10">
        <f>D54+'[1]2025 Οκτώβριος'!F50</f>
        <v>3032.88</v>
      </c>
      <c r="G54" s="15">
        <f t="shared" si="9"/>
        <v>5.0949016310781053E-3</v>
      </c>
      <c r="H54" s="14"/>
      <c r="I54" s="16" t="e">
        <f t="shared" si="10"/>
        <v>#DIV/0!</v>
      </c>
      <c r="J54" s="10">
        <f t="shared" si="14"/>
        <v>0</v>
      </c>
      <c r="K54" s="17" t="e">
        <f t="shared" si="11"/>
        <v>#DIV/0!</v>
      </c>
      <c r="L54" s="14">
        <f>'[1]2024_60-69 ΕΞΟΔΑ+ΟΜ 2'!N10</f>
        <v>9218.49</v>
      </c>
      <c r="M54" s="15">
        <f t="shared" si="12"/>
        <v>0.18931061781433639</v>
      </c>
      <c r="N54" s="10">
        <f>L54+'[1]2025 Οκτώβριος'!N50</f>
        <v>16295.02</v>
      </c>
      <c r="O54" s="15">
        <f t="shared" si="13"/>
        <v>1.4510714258350496E-2</v>
      </c>
      <c r="P54" s="10"/>
      <c r="Q54" s="15">
        <f t="shared" si="15"/>
        <v>5.3727875814407424</v>
      </c>
      <c r="S54"/>
      <c r="T54"/>
      <c r="U54"/>
      <c r="V54"/>
    </row>
    <row r="55" spans="1:22" ht="15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2'!N11</f>
        <v>0</v>
      </c>
      <c r="E55" s="15">
        <f t="shared" si="8"/>
        <v>0</v>
      </c>
      <c r="F55" s="10">
        <f>D55+'[1]2025 Οκτώβριος'!F51</f>
        <v>47267</v>
      </c>
      <c r="G55" s="15">
        <f t="shared" si="9"/>
        <v>7.9403311504632174E-2</v>
      </c>
      <c r="H55" s="14"/>
      <c r="I55" s="16" t="e">
        <f t="shared" si="10"/>
        <v>#DIV/0!</v>
      </c>
      <c r="J55" s="10">
        <f t="shared" si="14"/>
        <v>0</v>
      </c>
      <c r="K55" s="17" t="e">
        <f t="shared" si="11"/>
        <v>#DIV/0!</v>
      </c>
      <c r="L55" s="14">
        <f>'[1]2024_60-69 ΕΞΟΔΑ+ΟΜ 2'!N11</f>
        <v>0</v>
      </c>
      <c r="M55" s="15">
        <f t="shared" si="12"/>
        <v>0</v>
      </c>
      <c r="N55" s="10">
        <f>L55+'[1]2025 Οκτώβριος'!N51</f>
        <v>93683.029999999984</v>
      </c>
      <c r="O55" s="15">
        <f t="shared" si="13"/>
        <v>8.3424732168875956E-2</v>
      </c>
      <c r="P55" s="10"/>
      <c r="Q55" s="15">
        <f t="shared" si="15"/>
        <v>1.9819965303488689</v>
      </c>
      <c r="S55"/>
      <c r="T55"/>
      <c r="U55"/>
      <c r="V55"/>
    </row>
    <row r="56" spans="1:22" ht="15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2'!N12</f>
        <v>0</v>
      </c>
      <c r="E56" s="15">
        <f t="shared" si="8"/>
        <v>0</v>
      </c>
      <c r="F56" s="10">
        <f>D56+'[1]2025 Οκτώβριος'!F52</f>
        <v>0</v>
      </c>
      <c r="G56" s="15">
        <f t="shared" si="9"/>
        <v>0</v>
      </c>
      <c r="H56" s="14"/>
      <c r="I56" s="16" t="e">
        <f t="shared" si="10"/>
        <v>#DIV/0!</v>
      </c>
      <c r="J56" s="10">
        <f t="shared" si="14"/>
        <v>0</v>
      </c>
      <c r="K56" s="17" t="e">
        <f t="shared" si="11"/>
        <v>#DIV/0!</v>
      </c>
      <c r="L56" s="14">
        <f>'[1]2024_60-69 ΕΞΟΔΑ+ΟΜ 2'!N12</f>
        <v>324.3</v>
      </c>
      <c r="M56" s="15">
        <f t="shared" si="12"/>
        <v>6.6598144985989347E-3</v>
      </c>
      <c r="N56" s="10">
        <f>L56+'[1]2025 Οκτώβριος'!N52</f>
        <v>324.3</v>
      </c>
      <c r="O56" s="15">
        <f t="shared" si="13"/>
        <v>2.8878912907029673E-4</v>
      </c>
      <c r="P56" s="10"/>
      <c r="Q56" s="15" t="e">
        <f t="shared" si="15"/>
        <v>#DIV/0!</v>
      </c>
      <c r="S56"/>
      <c r="T56"/>
      <c r="U56"/>
      <c r="V56"/>
    </row>
    <row r="57" spans="1:22" ht="15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2'!N13</f>
        <v>0</v>
      </c>
      <c r="E57" s="15">
        <f t="shared" si="8"/>
        <v>0</v>
      </c>
      <c r="F57" s="10">
        <f>D57+'[1]2025 Οκτώβριος'!F53</f>
        <v>1664.65</v>
      </c>
      <c r="G57" s="15">
        <f t="shared" si="9"/>
        <v>2.7964271584019706E-3</v>
      </c>
      <c r="H57" s="14"/>
      <c r="I57" s="16" t="e">
        <f t="shared" si="10"/>
        <v>#DIV/0!</v>
      </c>
      <c r="J57" s="10">
        <f t="shared" si="14"/>
        <v>0</v>
      </c>
      <c r="K57" s="17" t="e">
        <f t="shared" si="11"/>
        <v>#DIV/0!</v>
      </c>
      <c r="L57" s="14">
        <f>'[1]2024_60-69 ΕΞΟΔΑ+ΟΜ 2'!N13</f>
        <v>176.62</v>
      </c>
      <c r="M57" s="15">
        <f t="shared" si="12"/>
        <v>3.627062709659401E-3</v>
      </c>
      <c r="N57" s="10">
        <f>L57+'[1]2025 Οκτώβριος'!N53</f>
        <v>3464.14</v>
      </c>
      <c r="O57" s="15">
        <f t="shared" si="13"/>
        <v>3.084816446431013E-3</v>
      </c>
      <c r="P57" s="10"/>
      <c r="Q57" s="15">
        <f t="shared" si="15"/>
        <v>2.0810020124350461</v>
      </c>
      <c r="S57"/>
      <c r="T57"/>
      <c r="U57"/>
      <c r="V57"/>
    </row>
    <row r="58" spans="1:22" ht="15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2'!N14</f>
        <v>0</v>
      </c>
      <c r="E58" s="15">
        <f t="shared" si="8"/>
        <v>0</v>
      </c>
      <c r="F58" s="10">
        <f>D58+'[1]2025 Οκτώβριος'!F54</f>
        <v>2427.5</v>
      </c>
      <c r="G58" s="15">
        <f t="shared" si="9"/>
        <v>4.0779304520594624E-3</v>
      </c>
      <c r="H58" s="14"/>
      <c r="I58" s="16" t="e">
        <f t="shared" si="10"/>
        <v>#DIV/0!</v>
      </c>
      <c r="J58" s="10">
        <f t="shared" si="14"/>
        <v>0</v>
      </c>
      <c r="K58" s="17" t="e">
        <f t="shared" si="11"/>
        <v>#DIV/0!</v>
      </c>
      <c r="L58" s="14">
        <f>'[1]2024_60-69 ΕΞΟΔΑ+ΟΜ 2'!N14</f>
        <v>537.91000000000008</v>
      </c>
      <c r="M58" s="15">
        <f t="shared" si="12"/>
        <v>1.1046502673269667E-2</v>
      </c>
      <c r="N58" s="10">
        <f>L58+'[1]2025 Οκτώβριος'!N54</f>
        <v>5806.7200000000012</v>
      </c>
      <c r="O58" s="15">
        <f t="shared" si="13"/>
        <v>5.1708837852453698E-3</v>
      </c>
      <c r="P58" s="10"/>
      <c r="Q58" s="15">
        <f t="shared" si="15"/>
        <v>2.3920576725025753</v>
      </c>
      <c r="S58"/>
      <c r="T58"/>
      <c r="U58"/>
      <c r="V58"/>
    </row>
    <row r="59" spans="1:22" ht="15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2'!N15</f>
        <v>0</v>
      </c>
      <c r="E59" s="15">
        <f t="shared" si="8"/>
        <v>0</v>
      </c>
      <c r="F59" s="10">
        <f>D59+'[1]2025 Οκτώβριος'!F55</f>
        <v>3383.5</v>
      </c>
      <c r="G59" s="15">
        <f t="shared" si="9"/>
        <v>5.6839042984729929E-3</v>
      </c>
      <c r="H59" s="14"/>
      <c r="I59" s="16" t="e">
        <f t="shared" si="10"/>
        <v>#DIV/0!</v>
      </c>
      <c r="J59" s="10">
        <f t="shared" si="14"/>
        <v>0</v>
      </c>
      <c r="K59" s="17" t="e">
        <f t="shared" si="11"/>
        <v>#DIV/0!</v>
      </c>
      <c r="L59" s="14">
        <f>'[1]2024_60-69 ΕΞΟΔΑ+ΟΜ 2'!N15</f>
        <v>0</v>
      </c>
      <c r="M59" s="15">
        <f t="shared" si="12"/>
        <v>0</v>
      </c>
      <c r="N59" s="10">
        <f>L59+'[1]2025 Οκτώβριος'!N55</f>
        <v>12529.589000000002</v>
      </c>
      <c r="O59" s="15">
        <f t="shared" si="13"/>
        <v>1.1157598195864231E-2</v>
      </c>
      <c r="P59" s="10"/>
      <c r="Q59" s="15">
        <f t="shared" si="15"/>
        <v>3.7031443771242802</v>
      </c>
      <c r="S59"/>
      <c r="T59"/>
      <c r="U59"/>
      <c r="V59"/>
    </row>
    <row r="60" spans="1:22" ht="28.5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2'!N16</f>
        <v>0</v>
      </c>
      <c r="E60" s="15">
        <f t="shared" si="8"/>
        <v>0</v>
      </c>
      <c r="F60" s="10">
        <f>D60+'[1]2025 Οκτώβριος'!F56</f>
        <v>1079.08</v>
      </c>
      <c r="G60" s="15">
        <f t="shared" si="9"/>
        <v>1.8127345796944692E-3</v>
      </c>
      <c r="H60" s="14"/>
      <c r="I60" s="16" t="e">
        <f t="shared" si="10"/>
        <v>#DIV/0!</v>
      </c>
      <c r="J60" s="10"/>
      <c r="K60" s="17" t="e">
        <f t="shared" si="11"/>
        <v>#DIV/0!</v>
      </c>
      <c r="L60" s="14">
        <f>'[1]2024_60-69 ΕΞΟΔΑ+ΟΜ 2'!N16</f>
        <v>375.48</v>
      </c>
      <c r="M60" s="15">
        <f t="shared" si="12"/>
        <v>7.7108453528644096E-3</v>
      </c>
      <c r="N60" s="10">
        <f>L60+'[1]2025 Οκτώβριος'!N56</f>
        <v>375.48</v>
      </c>
      <c r="O60" s="15">
        <f t="shared" si="13"/>
        <v>3.3436491576723713E-4</v>
      </c>
      <c r="P60" s="10"/>
      <c r="Q60" s="15"/>
      <c r="S60"/>
      <c r="T60"/>
      <c r="U60"/>
      <c r="V60"/>
    </row>
    <row r="61" spans="1:22" ht="15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2'!N17</f>
        <v>0</v>
      </c>
      <c r="E61" s="15">
        <f t="shared" si="8"/>
        <v>0</v>
      </c>
      <c r="F61" s="10">
        <f>D61+'[1]2025 Οκτώβριος'!F57</f>
        <v>1678.29</v>
      </c>
      <c r="G61" s="15">
        <f t="shared" si="9"/>
        <v>2.8193408438256947E-3</v>
      </c>
      <c r="H61" s="14"/>
      <c r="I61" s="16" t="e">
        <f t="shared" si="10"/>
        <v>#DIV/0!</v>
      </c>
      <c r="J61" s="10">
        <f t="shared" si="14"/>
        <v>0</v>
      </c>
      <c r="K61" s="17" t="e">
        <f t="shared" si="11"/>
        <v>#DIV/0!</v>
      </c>
      <c r="L61" s="14">
        <f>'[1]2024_60-69 ΕΞΟΔΑ+ΟΜ 2'!N17</f>
        <v>446.28</v>
      </c>
      <c r="M61" s="15">
        <f t="shared" si="12"/>
        <v>9.164791903899884E-3</v>
      </c>
      <c r="N61" s="10">
        <f>L61+'[1]2025 Οκτώβριος'!N57</f>
        <v>3718.3899999999994</v>
      </c>
      <c r="O61" s="15">
        <f t="shared" si="13"/>
        <v>3.311226055022203E-3</v>
      </c>
      <c r="P61" s="10"/>
      <c r="Q61" s="15">
        <f t="shared" si="15"/>
        <v>2.2155825274535386</v>
      </c>
      <c r="S61"/>
      <c r="T61"/>
      <c r="U61"/>
      <c r="V61"/>
    </row>
    <row r="62" spans="1:22" ht="15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2'!N18</f>
        <v>0</v>
      </c>
      <c r="E62" s="15">
        <f t="shared" si="8"/>
        <v>0</v>
      </c>
      <c r="F62" s="10">
        <f>D62+'[1]2025 Οκτώβριος'!F58</f>
        <v>287.06</v>
      </c>
      <c r="G62" s="15">
        <f t="shared" si="9"/>
        <v>4.8222892505383694E-4</v>
      </c>
      <c r="H62" s="14"/>
      <c r="I62" s="16" t="e">
        <f t="shared" si="10"/>
        <v>#DIV/0!</v>
      </c>
      <c r="J62" s="10">
        <f t="shared" si="14"/>
        <v>0</v>
      </c>
      <c r="K62" s="17" t="e">
        <f t="shared" si="11"/>
        <v>#DIV/0!</v>
      </c>
      <c r="L62" s="14">
        <f>'[1]2024_60-69 ΕΞΟΔΑ+ΟΜ 2'!N18</f>
        <v>0</v>
      </c>
      <c r="M62" s="15">
        <f t="shared" si="12"/>
        <v>0</v>
      </c>
      <c r="N62" s="10">
        <f>L62+'[1]2025 Οκτώβριος'!N58</f>
        <v>901.16000000000008</v>
      </c>
      <c r="O62" s="15">
        <f t="shared" si="13"/>
        <v>8.0248292184085287E-4</v>
      </c>
      <c r="P62" s="10"/>
      <c r="Q62" s="15">
        <f t="shared" si="15"/>
        <v>3.1392740193687731</v>
      </c>
      <c r="S62"/>
      <c r="T62"/>
      <c r="U62"/>
      <c r="V62"/>
    </row>
    <row r="63" spans="1:22" ht="15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2'!N19</f>
        <v>0</v>
      </c>
      <c r="E63" s="15">
        <f t="shared" si="8"/>
        <v>0</v>
      </c>
      <c r="F63" s="10">
        <f>D63+'[1]2025 Οκτώβριος'!F59</f>
        <v>3780.7</v>
      </c>
      <c r="G63" s="15">
        <f t="shared" si="9"/>
        <v>6.3511561936565224E-3</v>
      </c>
      <c r="H63" s="14"/>
      <c r="I63" s="16" t="e">
        <f t="shared" si="10"/>
        <v>#DIV/0!</v>
      </c>
      <c r="J63" s="10">
        <f t="shared" si="14"/>
        <v>0</v>
      </c>
      <c r="K63" s="17" t="e">
        <f t="shared" si="11"/>
        <v>#DIV/0!</v>
      </c>
      <c r="L63" s="14">
        <f>'[1]2024_60-69 ΕΞΟΔΑ+ΟΜ 2'!N19</f>
        <v>172.68999999999983</v>
      </c>
      <c r="M63" s="15">
        <f t="shared" si="12"/>
        <v>3.5463563544959878E-3</v>
      </c>
      <c r="N63" s="10">
        <f>L63+'[1]2025 Οκτώβριος'!N59</f>
        <v>1615.7699999999998</v>
      </c>
      <c r="O63" s="15">
        <f t="shared" si="13"/>
        <v>1.4388430807212866E-3</v>
      </c>
      <c r="P63" s="10"/>
      <c r="Q63" s="15">
        <f t="shared" si="15"/>
        <v>0.42737323776020308</v>
      </c>
      <c r="S63"/>
      <c r="T63"/>
      <c r="U63"/>
      <c r="V63"/>
    </row>
    <row r="64" spans="1:22" ht="15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2'!N20</f>
        <v>0</v>
      </c>
      <c r="E64" s="15">
        <f t="shared" si="8"/>
        <v>0</v>
      </c>
      <c r="F64" s="10">
        <f>D64+'[1]2025 Οκτώβριος'!F60</f>
        <v>363.25000000000006</v>
      </c>
      <c r="G64" s="15">
        <f t="shared" si="9"/>
        <v>6.1021966496832124E-4</v>
      </c>
      <c r="H64" s="14"/>
      <c r="I64" s="16" t="e">
        <f t="shared" si="10"/>
        <v>#DIV/0!</v>
      </c>
      <c r="J64" s="10">
        <f t="shared" si="14"/>
        <v>0</v>
      </c>
      <c r="K64" s="17" t="e">
        <f t="shared" si="11"/>
        <v>#DIV/0!</v>
      </c>
      <c r="L64" s="14">
        <f>'[1]2024_60-69 ΕΞΟΔΑ+ΟΜ 2'!N20</f>
        <v>0</v>
      </c>
      <c r="M64" s="15">
        <f t="shared" si="12"/>
        <v>0</v>
      </c>
      <c r="N64" s="10">
        <f>L64+'[1]2025 Οκτώβριος'!N60</f>
        <v>1065.56</v>
      </c>
      <c r="O64" s="15">
        <f t="shared" si="13"/>
        <v>9.4888111123079036E-4</v>
      </c>
      <c r="P64" s="10"/>
      <c r="Q64" s="15">
        <f t="shared" si="15"/>
        <v>2.9334067446662071</v>
      </c>
      <c r="S64"/>
      <c r="T64"/>
      <c r="U64"/>
      <c r="V64"/>
    </row>
    <row r="65" spans="1:22" ht="15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2'!N21</f>
        <v>0</v>
      </c>
      <c r="E65" s="15">
        <f t="shared" si="8"/>
        <v>0</v>
      </c>
      <c r="F65" s="10">
        <f>D65+'[1]2025 Οκτώβριος'!F61</f>
        <v>0</v>
      </c>
      <c r="G65" s="15">
        <f t="shared" si="9"/>
        <v>0</v>
      </c>
      <c r="H65" s="14"/>
      <c r="I65" s="16" t="e">
        <f t="shared" si="10"/>
        <v>#DIV/0!</v>
      </c>
      <c r="J65" s="10">
        <f t="shared" si="14"/>
        <v>0</v>
      </c>
      <c r="K65" s="17" t="e">
        <f t="shared" si="11"/>
        <v>#DIV/0!</v>
      </c>
      <c r="L65" s="14">
        <f>'[1]2024_60-69 ΕΞΟΔΑ+ΟΜ 2'!N21</f>
        <v>0</v>
      </c>
      <c r="M65" s="15">
        <f t="shared" si="12"/>
        <v>0</v>
      </c>
      <c r="N65" s="10">
        <f>L65+'[1]2025 Οκτώβριος'!N61</f>
        <v>0</v>
      </c>
      <c r="O65" s="15">
        <f t="shared" si="13"/>
        <v>0</v>
      </c>
      <c r="P65" s="10"/>
      <c r="Q65" s="15" t="e">
        <f t="shared" si="15"/>
        <v>#DIV/0!</v>
      </c>
      <c r="S65"/>
      <c r="T65"/>
      <c r="U65"/>
      <c r="V65"/>
    </row>
    <row r="66" spans="1:22" ht="15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2'!N22</f>
        <v>0</v>
      </c>
      <c r="E66" s="15">
        <f t="shared" si="8"/>
        <v>0</v>
      </c>
      <c r="F66" s="10">
        <f>D66+'[1]2025 Οκτώβριος'!F62</f>
        <v>0</v>
      </c>
      <c r="G66" s="15">
        <f t="shared" si="9"/>
        <v>0</v>
      </c>
      <c r="H66" s="14"/>
      <c r="I66" s="16" t="e">
        <f t="shared" si="10"/>
        <v>#DIV/0!</v>
      </c>
      <c r="J66" s="10">
        <f t="shared" si="14"/>
        <v>0</v>
      </c>
      <c r="K66" s="17" t="e">
        <f t="shared" si="11"/>
        <v>#DIV/0!</v>
      </c>
      <c r="L66" s="14">
        <f>'[1]2024_60-69 ΕΞΟΔΑ+ΟΜ 2'!N22</f>
        <v>0</v>
      </c>
      <c r="M66" s="15">
        <f t="shared" si="12"/>
        <v>0</v>
      </c>
      <c r="N66" s="10">
        <f>L66+'[1]2025 Οκτώβριος'!N62</f>
        <v>36.68</v>
      </c>
      <c r="O66" s="15">
        <f t="shared" si="13"/>
        <v>3.2663537632742778E-5</v>
      </c>
      <c r="P66" s="10"/>
      <c r="Q66" s="15" t="e">
        <f t="shared" si="15"/>
        <v>#DIV/0!</v>
      </c>
      <c r="S66"/>
      <c r="T66"/>
      <c r="U66"/>
      <c r="V66"/>
    </row>
    <row r="67" spans="1:22" ht="15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2'!N23</f>
        <v>0</v>
      </c>
      <c r="E67" s="15">
        <f t="shared" si="8"/>
        <v>0</v>
      </c>
      <c r="F67" s="10">
        <f>D67+'[1]2025 Οκτώβριος'!F63</f>
        <v>0</v>
      </c>
      <c r="G67" s="15">
        <f t="shared" si="9"/>
        <v>0</v>
      </c>
      <c r="H67" s="14"/>
      <c r="I67" s="16" t="e">
        <f t="shared" si="10"/>
        <v>#DIV/0!</v>
      </c>
      <c r="J67" s="10">
        <f t="shared" si="14"/>
        <v>0</v>
      </c>
      <c r="K67" s="17" t="e">
        <f t="shared" si="11"/>
        <v>#DIV/0!</v>
      </c>
      <c r="L67" s="14">
        <f>'[1]2024_60-69 ΕΞΟΔΑ+ΟΜ 2'!N23</f>
        <v>0</v>
      </c>
      <c r="M67" s="15">
        <f t="shared" si="12"/>
        <v>0</v>
      </c>
      <c r="N67" s="10">
        <f>L67+'[1]2025 Οκτώβριος'!N63</f>
        <v>101.1</v>
      </c>
      <c r="O67" s="15">
        <f t="shared" si="13"/>
        <v>9.0029543475198873E-5</v>
      </c>
      <c r="P67" s="10"/>
      <c r="Q67" s="15" t="e">
        <f t="shared" si="15"/>
        <v>#DIV/0!</v>
      </c>
      <c r="S67"/>
      <c r="T67"/>
      <c r="U67"/>
      <c r="V67"/>
    </row>
    <row r="68" spans="1:22" ht="15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2'!N24</f>
        <v>0</v>
      </c>
      <c r="E68" s="15">
        <f t="shared" si="8"/>
        <v>0</v>
      </c>
      <c r="F68" s="10">
        <f>D68+'[1]2025 Οκτώβριος'!F64</f>
        <v>188.71</v>
      </c>
      <c r="G68" s="15">
        <f t="shared" si="9"/>
        <v>3.1701184577060396E-4</v>
      </c>
      <c r="H68" s="14"/>
      <c r="I68" s="16" t="e">
        <f t="shared" si="10"/>
        <v>#DIV/0!</v>
      </c>
      <c r="J68" s="10">
        <f t="shared" si="14"/>
        <v>0</v>
      </c>
      <c r="K68" s="17" t="e">
        <f t="shared" si="11"/>
        <v>#DIV/0!</v>
      </c>
      <c r="L68" s="14">
        <f>'[1]2024_60-69 ΕΞΟΔΑ+ΟΜ 2'!N24</f>
        <v>9113.51</v>
      </c>
      <c r="M68" s="15">
        <f t="shared" si="12"/>
        <v>0.18715475186902983</v>
      </c>
      <c r="N68" s="10">
        <f>L68+'[1]2025 Οκτώβριος'!N64</f>
        <v>9637.85</v>
      </c>
      <c r="O68" s="15">
        <f t="shared" si="13"/>
        <v>8.5825048029915477E-3</v>
      </c>
      <c r="P68" s="10"/>
      <c r="Q68" s="15">
        <f t="shared" si="15"/>
        <v>51.072280218324416</v>
      </c>
      <c r="S68"/>
      <c r="T68"/>
      <c r="U68"/>
      <c r="V68"/>
    </row>
    <row r="69" spans="1:22" ht="42.75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2'!N25</f>
        <v>0</v>
      </c>
      <c r="E69" s="15">
        <f t="shared" si="8"/>
        <v>0</v>
      </c>
      <c r="F69" s="10">
        <f>D69+'[1]2025 Οκτώβριος'!F65</f>
        <v>36346.14</v>
      </c>
      <c r="G69" s="15">
        <f t="shared" si="9"/>
        <v>6.1057479349460965E-2</v>
      </c>
      <c r="H69" s="14"/>
      <c r="I69" s="16" t="e">
        <f t="shared" si="10"/>
        <v>#DIV/0!</v>
      </c>
      <c r="J69" s="10">
        <f t="shared" si="14"/>
        <v>0</v>
      </c>
      <c r="K69" s="17" t="e">
        <f t="shared" si="11"/>
        <v>#DIV/0!</v>
      </c>
      <c r="L69" s="14">
        <f>'[1]2024_60-69 ΕΞΟΔΑ+ΟΜ 2'!N25</f>
        <v>0</v>
      </c>
      <c r="M69" s="15">
        <f t="shared" si="12"/>
        <v>0</v>
      </c>
      <c r="N69" s="10">
        <f>L69+'[1]2025 Οκτώβριος'!N65</f>
        <v>79260.329999999987</v>
      </c>
      <c r="O69" s="15">
        <f t="shared" si="13"/>
        <v>7.0581318749689495E-2</v>
      </c>
      <c r="P69" s="10"/>
      <c r="Q69" s="15">
        <f t="shared" si="15"/>
        <v>2.1807083228095197</v>
      </c>
      <c r="S69"/>
      <c r="T69"/>
      <c r="U69"/>
      <c r="V69"/>
    </row>
    <row r="70" spans="1:22" ht="15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2'!N26</f>
        <v>0</v>
      </c>
      <c r="E70" s="15">
        <f t="shared" si="8"/>
        <v>0</v>
      </c>
      <c r="F70" s="10">
        <f>D70+'[1]2025 Οκτώβριος'!F66</f>
        <v>2900.09</v>
      </c>
      <c r="G70" s="15">
        <f t="shared" si="9"/>
        <v>4.8718291759889294E-3</v>
      </c>
      <c r="H70" s="14"/>
      <c r="I70" s="16" t="e">
        <f t="shared" si="10"/>
        <v>#DIV/0!</v>
      </c>
      <c r="J70" s="10">
        <f t="shared" si="14"/>
        <v>0</v>
      </c>
      <c r="K70" s="17" t="e">
        <f t="shared" si="11"/>
        <v>#DIV/0!</v>
      </c>
      <c r="L70" s="14">
        <f>'[1]2024_60-69 ΕΞΟΔΑ+ΟΜ 2'!N26</f>
        <v>0</v>
      </c>
      <c r="M70" s="15">
        <f t="shared" si="12"/>
        <v>0</v>
      </c>
      <c r="N70" s="10">
        <f>L70+'[1]2025 Οκτώβριος'!N66</f>
        <v>2236.25</v>
      </c>
      <c r="O70" s="15">
        <f t="shared" si="13"/>
        <v>1.9913804806766912E-3</v>
      </c>
      <c r="P70" s="10"/>
      <c r="Q70" s="15">
        <f t="shared" si="15"/>
        <v>0.77109675906609787</v>
      </c>
      <c r="S70"/>
      <c r="T70"/>
      <c r="U70"/>
      <c r="V70"/>
    </row>
    <row r="71" spans="1:22" ht="15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2'!N27</f>
        <v>0</v>
      </c>
      <c r="E71" s="15">
        <f t="shared" si="8"/>
        <v>0</v>
      </c>
      <c r="F71" s="10">
        <f>D71+'[1]2025 Οκτώβριος'!F67</f>
        <v>0</v>
      </c>
      <c r="G71" s="15">
        <f t="shared" si="9"/>
        <v>0</v>
      </c>
      <c r="H71" s="14"/>
      <c r="I71" s="16" t="e">
        <f t="shared" si="10"/>
        <v>#DIV/0!</v>
      </c>
      <c r="J71" s="10">
        <f t="shared" si="14"/>
        <v>0</v>
      </c>
      <c r="K71" s="17" t="e">
        <f t="shared" si="11"/>
        <v>#DIV/0!</v>
      </c>
      <c r="L71" s="14">
        <f>'[1]2024_60-69 ΕΞΟΔΑ+ΟΜ 2'!N27</f>
        <v>229.14</v>
      </c>
      <c r="M71" s="15">
        <f t="shared" si="12"/>
        <v>4.705611761359728E-3</v>
      </c>
      <c r="N71" s="10">
        <f>L71+'[1]2025 Οκτώβριος'!N67</f>
        <v>457.64</v>
      </c>
      <c r="O71" s="15">
        <f t="shared" si="13"/>
        <v>4.0752839046478745E-4</v>
      </c>
      <c r="P71" s="10"/>
      <c r="Q71" s="15" t="e">
        <f t="shared" si="15"/>
        <v>#DIV/0!</v>
      </c>
      <c r="S71"/>
      <c r="T71"/>
      <c r="U71"/>
      <c r="V71"/>
    </row>
    <row r="72" spans="1:22" ht="28.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2'!N28</f>
        <v>0</v>
      </c>
      <c r="E72" s="15">
        <f t="shared" si="8"/>
        <v>0</v>
      </c>
      <c r="F72" s="10">
        <f>D72+'[1]2025 Οκτώβριος'!F68</f>
        <v>399.06</v>
      </c>
      <c r="G72" s="15">
        <f t="shared" si="9"/>
        <v>6.7037648865040116E-4</v>
      </c>
      <c r="H72" s="14"/>
      <c r="I72" s="16" t="e">
        <f t="shared" si="10"/>
        <v>#DIV/0!</v>
      </c>
      <c r="J72" s="10">
        <f t="shared" si="14"/>
        <v>0</v>
      </c>
      <c r="K72" s="17" t="e">
        <f t="shared" si="11"/>
        <v>#DIV/0!</v>
      </c>
      <c r="L72" s="14">
        <f>'[1]2024_60-69 ΕΞΟΔΑ+ΟΜ 2'!N28</f>
        <v>955.65</v>
      </c>
      <c r="M72" s="15">
        <f t="shared" si="12"/>
        <v>1.9625198043743668E-2</v>
      </c>
      <c r="N72" s="10">
        <f>L72+'[1]2025 Οκτώβριος'!N68</f>
        <v>1506.26</v>
      </c>
      <c r="O72" s="15">
        <f t="shared" si="13"/>
        <v>1.3413244327888532E-3</v>
      </c>
      <c r="P72" s="10"/>
      <c r="Q72" s="15">
        <f t="shared" si="15"/>
        <v>3.7745201222873752</v>
      </c>
      <c r="S72"/>
      <c r="T72"/>
      <c r="U72"/>
      <c r="V72"/>
    </row>
    <row r="73" spans="1:22" ht="28.5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2'!N29</f>
        <v>0</v>
      </c>
      <c r="E73" s="15">
        <f t="shared" si="8"/>
        <v>0</v>
      </c>
      <c r="F73" s="10">
        <f>D73+'[1]2025 Οκτώβριος'!F69</f>
        <v>5994.46</v>
      </c>
      <c r="G73" s="15">
        <f t="shared" si="9"/>
        <v>1.0070027179259471E-2</v>
      </c>
      <c r="H73" s="14"/>
      <c r="I73" s="16" t="e">
        <f t="shared" si="10"/>
        <v>#DIV/0!</v>
      </c>
      <c r="J73" s="10">
        <f t="shared" si="14"/>
        <v>0</v>
      </c>
      <c r="K73" s="17" t="e">
        <f t="shared" si="11"/>
        <v>#DIV/0!</v>
      </c>
      <c r="L73" s="14">
        <f>'[1]2024_60-69 ΕΞΟΔΑ+ΟΜ 2'!N29</f>
        <v>0</v>
      </c>
      <c r="M73" s="15">
        <f t="shared" si="12"/>
        <v>0</v>
      </c>
      <c r="N73" s="10">
        <f>L73+'[1]2025 Οκτώβριος'!N69</f>
        <v>17181.84</v>
      </c>
      <c r="O73" s="15">
        <f t="shared" si="13"/>
        <v>1.5300427411116826E-2</v>
      </c>
      <c r="P73" s="10"/>
      <c r="Q73" s="15">
        <f t="shared" si="15"/>
        <v>2.8662865379033309</v>
      </c>
      <c r="S73"/>
      <c r="T73"/>
      <c r="U73"/>
      <c r="V73"/>
    </row>
    <row r="74" spans="1:22" ht="15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v>0</v>
      </c>
      <c r="E74" s="15">
        <f t="shared" si="8"/>
        <v>0</v>
      </c>
      <c r="F74" s="10">
        <f>D74+'[1]2025 Οκτώβριος'!F70</f>
        <v>1811.8300000000002</v>
      </c>
      <c r="G74" s="15">
        <f t="shared" si="9"/>
        <v>3.0436732156353843E-3</v>
      </c>
      <c r="H74" s="14"/>
      <c r="I74" s="16" t="e">
        <f t="shared" si="10"/>
        <v>#DIV/0!</v>
      </c>
      <c r="J74" s="10">
        <f t="shared" si="14"/>
        <v>0</v>
      </c>
      <c r="K74" s="17" t="e">
        <f t="shared" si="11"/>
        <v>#DIV/0!</v>
      </c>
      <c r="L74" s="14">
        <f>'[1]2024_60-69 ΕΞΟΔΑ+ΟΜ 2'!N30</f>
        <v>120.61</v>
      </c>
      <c r="M74" s="15">
        <f t="shared" si="12"/>
        <v>2.4768431288190486E-3</v>
      </c>
      <c r="N74" s="10">
        <f>L74+'[1]2025 Οκτώβριος'!N70</f>
        <v>7986.72</v>
      </c>
      <c r="O74" s="15">
        <f t="shared" si="13"/>
        <v>7.1121736445523285E-3</v>
      </c>
      <c r="P74" s="10"/>
      <c r="Q74" s="15">
        <f t="shared" si="15"/>
        <v>4.408095682265996</v>
      </c>
      <c r="S74"/>
      <c r="T74"/>
      <c r="U74"/>
      <c r="V74"/>
    </row>
    <row r="75" spans="1:22" ht="36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2'!N31</f>
        <v>7839.9766666666674</v>
      </c>
      <c r="E75" s="15">
        <f t="shared" si="8"/>
        <v>1</v>
      </c>
      <c r="F75" s="10">
        <f>D75+'[1]2025 Οκτώβριος'!F71</f>
        <v>7839.9766666666674</v>
      </c>
      <c r="G75" s="15">
        <f t="shared" si="9"/>
        <v>1.3170290254350417E-2</v>
      </c>
      <c r="H75" s="14"/>
      <c r="I75" s="16" t="e">
        <f t="shared" si="10"/>
        <v>#DIV/0!</v>
      </c>
      <c r="J75" s="10">
        <f t="shared" si="14"/>
        <v>0</v>
      </c>
      <c r="K75" s="17" t="e">
        <f t="shared" si="11"/>
        <v>#DIV/0!</v>
      </c>
      <c r="L75" s="14">
        <f>'[1]2024_60-69 ΕΞΟΔΑ+ΟΜ 2'!N31</f>
        <v>7839.98</v>
      </c>
      <c r="M75" s="15">
        <f t="shared" si="12"/>
        <v>0.16100158024275568</v>
      </c>
      <c r="N75" s="10">
        <f>L75+'[1]2025 Οκτώβριος'!N71</f>
        <v>10639.7</v>
      </c>
      <c r="O75" s="15">
        <f t="shared" si="13"/>
        <v>9.4746521633340616E-3</v>
      </c>
      <c r="P75" s="10"/>
      <c r="Q75" s="15">
        <f t="shared" si="15"/>
        <v>1.3571086308505169</v>
      </c>
      <c r="S75"/>
      <c r="T75"/>
      <c r="U75"/>
      <c r="V75"/>
    </row>
    <row r="76" spans="1:22" ht="36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2'!N32</f>
        <v>0</v>
      </c>
      <c r="E76" s="15">
        <f t="shared" si="8"/>
        <v>0</v>
      </c>
      <c r="F76" s="10">
        <f>D76+'[1]2025 Οκτώβριος'!F72</f>
        <v>78399.766666666677</v>
      </c>
      <c r="G76" s="15">
        <f t="shared" si="9"/>
        <v>0.13170290254350417</v>
      </c>
      <c r="H76" s="14"/>
      <c r="I76" s="16" t="e">
        <f t="shared" si="10"/>
        <v>#DIV/0!</v>
      </c>
      <c r="J76" s="10">
        <f t="shared" si="14"/>
        <v>0</v>
      </c>
      <c r="K76" s="17" t="e">
        <f t="shared" si="11"/>
        <v>#DIV/0!</v>
      </c>
      <c r="L76" s="14">
        <f>'[1]2024_60-69 ΕΞΟΔΑ+ΟΜ 2'!N32</f>
        <v>1171.43</v>
      </c>
      <c r="M76" s="15">
        <f t="shared" si="12"/>
        <v>2.4056449269484272E-2</v>
      </c>
      <c r="N76" s="10">
        <f>L76+'[1]2025 Οκτώβριος'!N72</f>
        <v>79571.229999999967</v>
      </c>
      <c r="O76" s="15">
        <f t="shared" si="13"/>
        <v>7.0858175179624588E-2</v>
      </c>
      <c r="P76" s="10"/>
      <c r="Q76" s="15">
        <f t="shared" si="15"/>
        <v>1.0149421788245112</v>
      </c>
      <c r="S76"/>
      <c r="T76"/>
      <c r="U76"/>
      <c r="V76"/>
    </row>
    <row r="77" spans="1:22" ht="36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2'!N33</f>
        <v>0</v>
      </c>
      <c r="E77" s="15">
        <f t="shared" si="8"/>
        <v>0</v>
      </c>
      <c r="F77" s="10">
        <f>D77+'[1]2025 Οκτώβριος'!F73</f>
        <v>5806.2300000000005</v>
      </c>
      <c r="G77" s="15">
        <f t="shared" si="9"/>
        <v>9.7538216801899939E-3</v>
      </c>
      <c r="H77" s="14"/>
      <c r="I77" s="16" t="e">
        <f t="shared" si="10"/>
        <v>#DIV/0!</v>
      </c>
      <c r="J77" s="10">
        <f t="shared" si="14"/>
        <v>0</v>
      </c>
      <c r="K77" s="17" t="e">
        <f t="shared" si="11"/>
        <v>#DIV/0!</v>
      </c>
      <c r="L77" s="14">
        <f>'[1]2024_60-69 ΕΞΟΔΑ+ΟΜ 2'!N33</f>
        <v>0</v>
      </c>
      <c r="M77" s="15">
        <f t="shared" si="12"/>
        <v>0</v>
      </c>
      <c r="N77" s="10">
        <f>L77+'[1]2025 Οκτώβριος'!N73</f>
        <v>25554.93</v>
      </c>
      <c r="O77" s="15">
        <f t="shared" si="13"/>
        <v>2.275666351573357E-2</v>
      </c>
      <c r="P77" s="10"/>
      <c r="Q77" s="15">
        <f t="shared" si="15"/>
        <v>4.4012948160854801</v>
      </c>
      <c r="S77"/>
      <c r="T77"/>
      <c r="U77"/>
      <c r="V77"/>
    </row>
    <row r="78" spans="1:22" ht="30" customHeight="1" x14ac:dyDescent="0.25">
      <c r="A78" s="60">
        <v>77</v>
      </c>
      <c r="B78" s="60"/>
      <c r="C78" s="75" t="s">
        <v>163</v>
      </c>
      <c r="D78" s="7">
        <f>'[1]2025_60-69 ΕΞΟΔΑ+ΟΜ 2'!N3</f>
        <v>7839.9766666666674</v>
      </c>
      <c r="E78" s="21"/>
      <c r="F78" s="7">
        <f>'[1]2025_60-69 ΕΞΟΔΑ+ΟΜ 2'!AA3</f>
        <v>271464.10333333327</v>
      </c>
      <c r="G78" s="21"/>
      <c r="H78" s="7">
        <f>SUM(H44:H75)</f>
        <v>0</v>
      </c>
      <c r="I78" s="21"/>
      <c r="J78" s="7">
        <f>SUM(J44:J75)</f>
        <v>0</v>
      </c>
      <c r="K78" s="21"/>
      <c r="L78" s="7">
        <f>SUM(L44:L75)</f>
        <v>47523.619999999995</v>
      </c>
      <c r="M78" s="21"/>
      <c r="N78" s="7">
        <f>SUM(N44:N75)</f>
        <v>1017838.5480000001</v>
      </c>
      <c r="O78" s="21"/>
      <c r="P78" s="7">
        <f>SUM(P44:P75)</f>
        <v>0</v>
      </c>
      <c r="Q78" s="21"/>
      <c r="S78"/>
      <c r="T78"/>
      <c r="U78"/>
      <c r="V78"/>
    </row>
    <row r="79" spans="1:22" ht="22.5" customHeight="1" x14ac:dyDescent="0.25">
      <c r="A79" s="60">
        <v>78</v>
      </c>
      <c r="B79" s="60"/>
      <c r="C79" s="22" t="s">
        <v>18</v>
      </c>
      <c r="D79" s="7">
        <f>D43-D78</f>
        <v>0</v>
      </c>
      <c r="E79" s="21"/>
      <c r="F79" s="7">
        <f>F43-F78</f>
        <v>323813.3366666669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1171.4300000000003</v>
      </c>
      <c r="M79" s="21"/>
      <c r="N79" s="7">
        <f>N43-N78</f>
        <v>105126.1599999998</v>
      </c>
      <c r="O79" s="21"/>
      <c r="P79" s="7">
        <f>P43-P78</f>
        <v>0</v>
      </c>
      <c r="Q79" s="21"/>
      <c r="S79"/>
      <c r="T79"/>
      <c r="U79"/>
      <c r="V79"/>
    </row>
    <row r="80" spans="1:22" ht="36" customHeight="1" x14ac:dyDescent="0.25">
      <c r="A80" s="76">
        <v>79</v>
      </c>
      <c r="B80" s="76">
        <v>28</v>
      </c>
      <c r="C80" s="13" t="s">
        <v>32</v>
      </c>
      <c r="D80" s="23">
        <f>D38-D78</f>
        <v>-7839.9766666666674</v>
      </c>
      <c r="E80" s="24"/>
      <c r="F80" s="23" t="e">
        <f>F38-F78</f>
        <v>#VALUE!</v>
      </c>
      <c r="G80" s="24"/>
      <c r="H80" s="25">
        <f>H38-H78</f>
        <v>0</v>
      </c>
      <c r="I80" s="24"/>
      <c r="J80" s="25">
        <f>J38-J78</f>
        <v>655506.89532069315</v>
      </c>
      <c r="K80" s="24"/>
      <c r="L80" s="77">
        <f>L38-L78</f>
        <v>-19916.449999999997</v>
      </c>
      <c r="M80" s="24"/>
      <c r="N80" s="23">
        <f>N38-N78</f>
        <v>-394389.79304424755</v>
      </c>
      <c r="O80" s="24"/>
      <c r="P80" s="23">
        <f>P38-P78</f>
        <v>-407609.18911504425</v>
      </c>
      <c r="Q80" s="24"/>
      <c r="S80"/>
      <c r="T80"/>
      <c r="U80"/>
      <c r="V80"/>
    </row>
    <row r="81" spans="1:22" ht="36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  <c r="S81"/>
      <c r="T81"/>
      <c r="U81"/>
      <c r="V81"/>
    </row>
    <row r="82" spans="1:22" ht="15.75" customHeight="1" x14ac:dyDescent="0.25">
      <c r="A82" s="19">
        <v>81</v>
      </c>
      <c r="B82" s="19"/>
      <c r="C82" s="5" t="s">
        <v>3</v>
      </c>
      <c r="D82" s="180" t="str">
        <f>[1]ΑΝΤΙΣΤΟΙΧΙΣΗ!$F$116</f>
        <v xml:space="preserve">ΝΟΕΜΒΡΙΟΣ ΤΡΕΧΟΝ ΕΤΟΣ </v>
      </c>
      <c r="E82" s="180"/>
      <c r="F82" s="180"/>
      <c r="G82" s="61">
        <f>[1]ΑΝΤΙΣΤΟΙΧΙΣΗ!$D$34</f>
        <v>2025</v>
      </c>
      <c r="H82" s="180" t="str">
        <f>[1]ΑΝΤΙΣΤΟΙΧΙΣΗ!$F$116</f>
        <v xml:space="preserve">ΝΟΕΜΒΡΙΟΣ ΤΡΕΧΟΝ ΕΤΟΣ </v>
      </c>
      <c r="I82" s="180"/>
      <c r="J82" s="180"/>
      <c r="K82" s="61">
        <f>[1]ΑΝΤΙΣΤΟΙΧΙΣΗ!$D$34</f>
        <v>2025</v>
      </c>
      <c r="L82" s="180" t="str">
        <f>[1]ΑΝΤΙΣΤΟΙΧΙΣΗ!$F$130</f>
        <v>ΝΟΕΜΒΡΙΟΣ ΠΡΟΗΓΟΥΜΕΝΟΥ ΕΤΟΥΣ</v>
      </c>
      <c r="M82" s="180"/>
      <c r="N82" s="180"/>
      <c r="O82" s="61">
        <f>[1]ΑΝΤΙΣΤΟΙΧΙΣΗ!$D$33</f>
        <v>2024</v>
      </c>
      <c r="P82" s="180"/>
      <c r="Q82" s="180"/>
      <c r="S82"/>
      <c r="T82"/>
      <c r="U82"/>
      <c r="V82"/>
    </row>
    <row r="83" spans="1:22" ht="56.25" customHeight="1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  <c r="S83"/>
      <c r="T83"/>
      <c r="U83"/>
      <c r="V83"/>
    </row>
    <row r="84" spans="1:22" ht="15.75" x14ac:dyDescent="0.25">
      <c r="A84" s="19">
        <v>83</v>
      </c>
      <c r="B84" s="19" t="s">
        <v>2</v>
      </c>
      <c r="C84" s="75" t="s">
        <v>165</v>
      </c>
      <c r="D84" s="7">
        <f ca="1">SUM(D47:D110)</f>
        <v>0</v>
      </c>
      <c r="E84" s="8"/>
      <c r="F84" s="7" t="e">
        <f>SUM(F47:F110)</f>
        <v>#VALUE!</v>
      </c>
      <c r="G84" s="8"/>
      <c r="H84" s="7">
        <f ca="1">SUM(H47:H110)</f>
        <v>0</v>
      </c>
      <c r="I84" s="8"/>
      <c r="J84" s="7">
        <f ca="1">SUM(J47:J110)</f>
        <v>0</v>
      </c>
      <c r="K84" s="8"/>
      <c r="L84" s="7">
        <f ca="1">SUM(L47:L110)</f>
        <v>7693.92</v>
      </c>
      <c r="M84" s="8"/>
      <c r="N84" s="7">
        <f ca="1">SUM(N47:N110)</f>
        <v>147989.52000000008</v>
      </c>
      <c r="O84" s="8"/>
      <c r="P84" s="7">
        <f ca="1">SUM(P47:P110)</f>
        <v>0</v>
      </c>
      <c r="Q84" s="8"/>
      <c r="S84"/>
      <c r="T84"/>
      <c r="U84"/>
      <c r="V84"/>
    </row>
    <row r="85" spans="1:22" ht="28.5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2'!N39</f>
        <v>0</v>
      </c>
      <c r="E85" s="15" t="e">
        <f t="shared" ref="E85:E105" ca="1" si="16">D85/$D$84</f>
        <v>#DIV/0!</v>
      </c>
      <c r="F85" s="79">
        <f>D85+'[1]2025 Οκτώβριος'!F83</f>
        <v>10153.07</v>
      </c>
      <c r="G85" s="15" t="e">
        <f t="shared" ref="G85:G105" si="17">F85/$F$84</f>
        <v>#VALUE!</v>
      </c>
      <c r="H85" s="14"/>
      <c r="I85" s="26" t="e">
        <f t="shared" ref="I85:I105" ca="1" si="18">H85/$H$84</f>
        <v>#DIV/0!</v>
      </c>
      <c r="J85" s="27"/>
      <c r="K85" s="27" t="e">
        <f t="shared" ref="K85:K105" ca="1" si="19">J85/$J$84</f>
        <v>#DIV/0!</v>
      </c>
      <c r="L85" s="79">
        <f>'[1]2024_60-69 ΕΞΟΔΑ+ΟΜ 2'!N37</f>
        <v>2091.4</v>
      </c>
      <c r="M85" s="15">
        <f t="shared" ref="M85:M105" ca="1" si="20">L85/$L$84</f>
        <v>0.27182502547466053</v>
      </c>
      <c r="N85" s="10">
        <f>L85+'[1]2025 Οκτώβριος'!N83</f>
        <v>13916.75</v>
      </c>
      <c r="O85" s="15">
        <f t="shared" ref="O85:O105" ca="1" si="21">N85/$N$84</f>
        <v>9.4038753554981411E-2</v>
      </c>
      <c r="P85" s="27"/>
      <c r="Q85" s="28" t="e">
        <f t="shared" ref="Q85:Q105" ca="1" si="22">SUM(D85:P85)</f>
        <v>#DIV/0!</v>
      </c>
      <c r="S85"/>
      <c r="T85"/>
      <c r="U85"/>
      <c r="V85"/>
    </row>
    <row r="86" spans="1:22" ht="28.5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2'!N40</f>
        <v>0</v>
      </c>
      <c r="E86" s="15" t="e">
        <f t="shared" ca="1" si="16"/>
        <v>#DIV/0!</v>
      </c>
      <c r="F86" s="79">
        <f>D86+'[1]2025 Οκτώβριος'!F84</f>
        <v>5921.02</v>
      </c>
      <c r="G86" s="15" t="e">
        <f t="shared" si="17"/>
        <v>#VALUE!</v>
      </c>
      <c r="H86" s="14"/>
      <c r="I86" s="26" t="e">
        <f t="shared" ca="1" si="18"/>
        <v>#DIV/0!</v>
      </c>
      <c r="J86" s="27"/>
      <c r="K86" s="27" t="e">
        <f t="shared" ca="1" si="19"/>
        <v>#DIV/0!</v>
      </c>
      <c r="L86" s="79">
        <f>'[1]2024_60-69 ΕΞΟΔΑ+ΟΜ 2'!N38</f>
        <v>0</v>
      </c>
      <c r="M86" s="15">
        <f t="shared" ca="1" si="20"/>
        <v>0</v>
      </c>
      <c r="N86" s="10">
        <f>L86+'[1]2025 Οκτώβριος'!N84</f>
        <v>17458.21</v>
      </c>
      <c r="O86" s="15">
        <f t="shared" ca="1" si="21"/>
        <v>0.11796923187533813</v>
      </c>
      <c r="P86" s="27"/>
      <c r="Q86" s="28" t="e">
        <f t="shared" ca="1" si="22"/>
        <v>#DIV/0!</v>
      </c>
      <c r="S86"/>
      <c r="T86"/>
      <c r="U86"/>
      <c r="V86"/>
    </row>
    <row r="87" spans="1:22" ht="36.75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2'!N43</f>
        <v>0</v>
      </c>
      <c r="E87" s="15" t="e">
        <f t="shared" ca="1" si="16"/>
        <v>#DIV/0!</v>
      </c>
      <c r="F87" s="79">
        <f>D87+'[1]2025 Οκτώβριος'!F87</f>
        <v>2080.4</v>
      </c>
      <c r="G87" s="15" t="e">
        <f t="shared" si="17"/>
        <v>#VALUE!</v>
      </c>
      <c r="H87" s="14"/>
      <c r="I87" s="26" t="e">
        <f t="shared" ca="1" si="18"/>
        <v>#DIV/0!</v>
      </c>
      <c r="J87" s="27"/>
      <c r="K87" s="27" t="e">
        <f t="shared" ca="1" si="19"/>
        <v>#DIV/0!</v>
      </c>
      <c r="L87" s="79">
        <f>'[1]2024_60-69 ΕΞΟΔΑ+ΟΜ 2'!N41</f>
        <v>326.89999999999998</v>
      </c>
      <c r="M87" s="15">
        <f t="shared" ca="1" si="20"/>
        <v>4.2488094495393765E-2</v>
      </c>
      <c r="N87" s="10">
        <f>L87+'[1]2025 Οκτώβριος'!N87</f>
        <v>3156.9600000000005</v>
      </c>
      <c r="O87" s="15">
        <f t="shared" ca="1" si="21"/>
        <v>2.1332321369783473E-2</v>
      </c>
      <c r="P87" s="27"/>
      <c r="Q87" s="28" t="e">
        <f t="shared" ca="1" si="22"/>
        <v>#DIV/0!</v>
      </c>
      <c r="S87"/>
      <c r="T87"/>
      <c r="U87"/>
      <c r="V87" s="160"/>
    </row>
    <row r="88" spans="1:22" ht="33.75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2'!N44</f>
        <v>0</v>
      </c>
      <c r="E88" s="15" t="e">
        <f t="shared" ca="1" si="16"/>
        <v>#DIV/0!</v>
      </c>
      <c r="F88" s="79">
        <f>D88+'[1]2025 Οκτώβριος'!F88</f>
        <v>901.2</v>
      </c>
      <c r="G88" s="15" t="e">
        <f t="shared" si="17"/>
        <v>#VALUE!</v>
      </c>
      <c r="H88" s="14"/>
      <c r="I88" s="26" t="e">
        <f t="shared" ca="1" si="18"/>
        <v>#DIV/0!</v>
      </c>
      <c r="J88" s="27"/>
      <c r="K88" s="27" t="e">
        <f t="shared" ca="1" si="19"/>
        <v>#DIV/0!</v>
      </c>
      <c r="L88" s="79">
        <f>'[1]2024_60-69 ΕΞΟΔΑ+ΟΜ 2'!N42</f>
        <v>0</v>
      </c>
      <c r="M88" s="15">
        <f t="shared" ca="1" si="20"/>
        <v>0</v>
      </c>
      <c r="N88" s="10">
        <f>L88+'[1]2025 Οκτώβριος'!N88</f>
        <v>3102.03</v>
      </c>
      <c r="O88" s="15">
        <f t="shared" ca="1" si="21"/>
        <v>2.0961146437936947E-2</v>
      </c>
      <c r="P88" s="27"/>
      <c r="Q88" s="28" t="e">
        <f t="shared" ca="1" si="22"/>
        <v>#DIV/0!</v>
      </c>
      <c r="S88"/>
      <c r="T88"/>
      <c r="U88"/>
      <c r="V88" s="160"/>
    </row>
    <row r="89" spans="1:22" ht="27.7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2'!N45</f>
        <v>0</v>
      </c>
      <c r="E89" s="15" t="e">
        <f t="shared" ca="1" si="16"/>
        <v>#DIV/0!</v>
      </c>
      <c r="F89" s="79">
        <f>D89+'[1]2025 Οκτώβριος'!F89</f>
        <v>880.69999999999993</v>
      </c>
      <c r="G89" s="15" t="e">
        <f t="shared" si="17"/>
        <v>#VALUE!</v>
      </c>
      <c r="H89" s="80"/>
      <c r="I89" s="26" t="e">
        <f t="shared" ca="1" si="18"/>
        <v>#DIV/0!</v>
      </c>
      <c r="J89" s="80"/>
      <c r="K89" s="27" t="e">
        <f t="shared" ca="1" si="19"/>
        <v>#DIV/0!</v>
      </c>
      <c r="L89" s="79">
        <f>'[1]2024_60-69 ΕΞΟΔΑ+ΟΜ 2'!N43</f>
        <v>0</v>
      </c>
      <c r="M89" s="15">
        <f t="shared" ca="1" si="20"/>
        <v>0</v>
      </c>
      <c r="N89" s="10">
        <f>L89+'[1]2025 Οκτώβριος'!N89</f>
        <v>0</v>
      </c>
      <c r="O89" s="15">
        <f t="shared" ca="1" si="21"/>
        <v>0</v>
      </c>
      <c r="P89" s="80"/>
      <c r="Q89" s="28" t="e">
        <f t="shared" ca="1" si="22"/>
        <v>#DIV/0!</v>
      </c>
      <c r="S89"/>
      <c r="T89"/>
      <c r="U89"/>
      <c r="V89"/>
    </row>
    <row r="90" spans="1:22" ht="15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2'!N46</f>
        <v>0</v>
      </c>
      <c r="E90" s="15" t="e">
        <f t="shared" ca="1" si="16"/>
        <v>#DIV/0!</v>
      </c>
      <c r="F90" s="79">
        <f>D90+'[1]2025 Οκτώβριος'!F90</f>
        <v>0</v>
      </c>
      <c r="G90" s="15" t="e">
        <f t="shared" si="17"/>
        <v>#VALUE!</v>
      </c>
      <c r="H90" s="80"/>
      <c r="I90" s="26" t="e">
        <f t="shared" ca="1" si="18"/>
        <v>#DIV/0!</v>
      </c>
      <c r="J90" s="80"/>
      <c r="K90" s="27" t="e">
        <f t="shared" ca="1" si="19"/>
        <v>#DIV/0!</v>
      </c>
      <c r="L90" s="79">
        <f>'[1]2024_60-69 ΕΞΟΔΑ+ΟΜ 2'!N44</f>
        <v>0</v>
      </c>
      <c r="M90" s="15">
        <f t="shared" ca="1" si="20"/>
        <v>0</v>
      </c>
      <c r="N90" s="10">
        <f>L90+'[1]2025 Οκτώβριος'!N90</f>
        <v>0</v>
      </c>
      <c r="O90" s="15">
        <f t="shared" ca="1" si="21"/>
        <v>0</v>
      </c>
      <c r="P90" s="80"/>
      <c r="Q90" s="28" t="e">
        <f t="shared" ca="1" si="22"/>
        <v>#DIV/0!</v>
      </c>
      <c r="S90"/>
      <c r="T90"/>
      <c r="U90"/>
      <c r="V90"/>
    </row>
    <row r="91" spans="1:22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2'!N47</f>
        <v>0</v>
      </c>
      <c r="E91" s="15" t="e">
        <f t="shared" ca="1" si="16"/>
        <v>#DIV/0!</v>
      </c>
      <c r="F91" s="79">
        <f>D91+'[1]2025 Οκτώβριος'!F91</f>
        <v>0</v>
      </c>
      <c r="G91" s="15" t="e">
        <f t="shared" si="17"/>
        <v>#VALUE!</v>
      </c>
      <c r="H91" s="80"/>
      <c r="I91" s="26" t="e">
        <f t="shared" ca="1" si="18"/>
        <v>#DIV/0!</v>
      </c>
      <c r="J91" s="80"/>
      <c r="K91" s="27" t="e">
        <f t="shared" ca="1" si="19"/>
        <v>#DIV/0!</v>
      </c>
      <c r="L91" s="79">
        <f>'[1]2024_60-69 ΕΞΟΔΑ+ΟΜ 2'!N45</f>
        <v>0</v>
      </c>
      <c r="M91" s="15">
        <f t="shared" ca="1" si="20"/>
        <v>0</v>
      </c>
      <c r="N91" s="10">
        <f>L91+'[1]2025 Οκτώβριος'!N91</f>
        <v>0</v>
      </c>
      <c r="O91" s="15">
        <f t="shared" ca="1" si="21"/>
        <v>0</v>
      </c>
      <c r="P91" s="80"/>
      <c r="Q91" s="28" t="e">
        <f t="shared" ca="1" si="22"/>
        <v>#DIV/0!</v>
      </c>
      <c r="S91"/>
      <c r="T91"/>
      <c r="U91"/>
      <c r="V91"/>
    </row>
    <row r="92" spans="1:22" ht="15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2'!N48</f>
        <v>0</v>
      </c>
      <c r="E92" s="15" t="e">
        <f t="shared" ca="1" si="16"/>
        <v>#DIV/0!</v>
      </c>
      <c r="F92" s="79">
        <f>D92+'[1]2025 Οκτώβριος'!F92</f>
        <v>0</v>
      </c>
      <c r="G92" s="15" t="e">
        <f t="shared" si="17"/>
        <v>#VALUE!</v>
      </c>
      <c r="H92" s="14"/>
      <c r="I92" s="26" t="e">
        <f t="shared" ca="1" si="18"/>
        <v>#DIV/0!</v>
      </c>
      <c r="J92" s="27"/>
      <c r="K92" s="27" t="e">
        <f t="shared" ca="1" si="19"/>
        <v>#DIV/0!</v>
      </c>
      <c r="L92" s="79">
        <f>'[1]2024_60-69 ΕΞΟΔΑ+ΟΜ 2'!N46</f>
        <v>0</v>
      </c>
      <c r="M92" s="15">
        <f t="shared" ca="1" si="20"/>
        <v>0</v>
      </c>
      <c r="N92" s="10">
        <f>L92+'[1]2025 Οκτώβριος'!N92</f>
        <v>0</v>
      </c>
      <c r="O92" s="15">
        <f t="shared" ca="1" si="21"/>
        <v>0</v>
      </c>
      <c r="P92" s="27"/>
      <c r="Q92" s="28" t="e">
        <f t="shared" ca="1" si="22"/>
        <v>#DIV/0!</v>
      </c>
      <c r="S92"/>
      <c r="T92"/>
      <c r="U92"/>
      <c r="V92" s="160"/>
    </row>
    <row r="93" spans="1:22" ht="28.5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2'!N49</f>
        <v>0</v>
      </c>
      <c r="E93" s="15" t="e">
        <f t="shared" ca="1" si="16"/>
        <v>#DIV/0!</v>
      </c>
      <c r="F93" s="79">
        <f>D93+'[1]2025 Οκτώβριος'!F93</f>
        <v>0</v>
      </c>
      <c r="G93" s="15" t="e">
        <f t="shared" si="17"/>
        <v>#VALUE!</v>
      </c>
      <c r="H93" s="14"/>
      <c r="I93" s="26" t="e">
        <f t="shared" ca="1" si="18"/>
        <v>#DIV/0!</v>
      </c>
      <c r="J93" s="27"/>
      <c r="K93" s="27" t="e">
        <f t="shared" ca="1" si="19"/>
        <v>#DIV/0!</v>
      </c>
      <c r="L93" s="79">
        <f>'[1]2024_60-69 ΕΞΟΔΑ+ΟΜ 2'!N47</f>
        <v>0</v>
      </c>
      <c r="M93" s="15">
        <f t="shared" ca="1" si="20"/>
        <v>0</v>
      </c>
      <c r="N93" s="10">
        <f>L93+'[1]2025 Οκτώβριος'!N93</f>
        <v>0</v>
      </c>
      <c r="O93" s="15">
        <f t="shared" ca="1" si="21"/>
        <v>0</v>
      </c>
      <c r="P93" s="27"/>
      <c r="Q93" s="28" t="e">
        <f t="shared" ca="1" si="22"/>
        <v>#DIV/0!</v>
      </c>
      <c r="S93"/>
      <c r="T93"/>
      <c r="U93"/>
      <c r="V93"/>
    </row>
    <row r="94" spans="1:22" ht="32.2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2'!N50</f>
        <v>0</v>
      </c>
      <c r="E94" s="15" t="e">
        <f t="shared" ca="1" si="16"/>
        <v>#DIV/0!</v>
      </c>
      <c r="F94" s="79">
        <f>D94+'[1]2025 Οκτώβριος'!F94</f>
        <v>0</v>
      </c>
      <c r="G94" s="15" t="e">
        <f t="shared" si="17"/>
        <v>#VALUE!</v>
      </c>
      <c r="H94" s="81"/>
      <c r="I94" s="26" t="e">
        <f t="shared" ca="1" si="18"/>
        <v>#DIV/0!</v>
      </c>
      <c r="J94" s="81"/>
      <c r="K94" s="27" t="e">
        <f t="shared" ca="1" si="19"/>
        <v>#DIV/0!</v>
      </c>
      <c r="L94" s="79">
        <f>'[1]2024_60-69 ΕΞΟΔΑ+ΟΜ 2'!N48</f>
        <v>0</v>
      </c>
      <c r="M94" s="15">
        <f t="shared" ca="1" si="20"/>
        <v>0</v>
      </c>
      <c r="N94" s="10">
        <f>L94+'[1]2025 Οκτώβριος'!N94</f>
        <v>0</v>
      </c>
      <c r="O94" s="15">
        <f t="shared" ca="1" si="21"/>
        <v>0</v>
      </c>
      <c r="P94" s="81"/>
      <c r="Q94" s="28" t="e">
        <f t="shared" ca="1" si="22"/>
        <v>#DIV/0!</v>
      </c>
      <c r="S94"/>
      <c r="T94"/>
      <c r="U94"/>
      <c r="V94"/>
    </row>
    <row r="95" spans="1:22" ht="15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2'!N51</f>
        <v>0</v>
      </c>
      <c r="E95" s="15" t="e">
        <f t="shared" ca="1" si="16"/>
        <v>#DIV/0!</v>
      </c>
      <c r="F95" s="79">
        <f>D95+'[1]2025 Οκτώβριος'!F95</f>
        <v>0</v>
      </c>
      <c r="G95" s="15" t="e">
        <f t="shared" si="17"/>
        <v>#VALUE!</v>
      </c>
      <c r="H95" s="14"/>
      <c r="I95" s="26" t="e">
        <f t="shared" ca="1" si="18"/>
        <v>#DIV/0!</v>
      </c>
      <c r="J95" s="27"/>
      <c r="K95" s="27" t="e">
        <f t="shared" ca="1" si="19"/>
        <v>#DIV/0!</v>
      </c>
      <c r="L95" s="79">
        <f>'[1]2024_60-69 ΕΞΟΔΑ+ΟΜ 2'!N49</f>
        <v>0</v>
      </c>
      <c r="M95" s="15">
        <f t="shared" ca="1" si="20"/>
        <v>0</v>
      </c>
      <c r="N95" s="10">
        <f>L95+'[1]2025 Οκτώβριος'!N95</f>
        <v>0</v>
      </c>
      <c r="O95" s="15">
        <f t="shared" ca="1" si="21"/>
        <v>0</v>
      </c>
      <c r="P95" s="27"/>
      <c r="Q95" s="28" t="e">
        <f t="shared" ca="1" si="22"/>
        <v>#DIV/0!</v>
      </c>
      <c r="S95"/>
      <c r="T95"/>
      <c r="U95"/>
      <c r="V95"/>
    </row>
    <row r="96" spans="1:22" ht="15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2'!N52</f>
        <v>0</v>
      </c>
      <c r="E96" s="15" t="e">
        <f t="shared" ca="1" si="16"/>
        <v>#DIV/0!</v>
      </c>
      <c r="F96" s="79">
        <f>D96+'[1]2025 Οκτώβριος'!F96</f>
        <v>0</v>
      </c>
      <c r="G96" s="15" t="e">
        <f t="shared" si="17"/>
        <v>#VALUE!</v>
      </c>
      <c r="H96" s="14"/>
      <c r="I96" s="26" t="e">
        <f t="shared" ca="1" si="18"/>
        <v>#DIV/0!</v>
      </c>
      <c r="J96" s="27"/>
      <c r="K96" s="27" t="e">
        <f t="shared" ca="1" si="19"/>
        <v>#DIV/0!</v>
      </c>
      <c r="L96" s="79">
        <f>'[1]2024_60-69 ΕΞΟΔΑ+ΟΜ 2'!N50</f>
        <v>0.8</v>
      </c>
      <c r="M96" s="15">
        <f t="shared" ca="1" si="20"/>
        <v>1.039782061679872E-4</v>
      </c>
      <c r="N96" s="10">
        <f>L96+'[1]2025 Οκτώβριος'!N96</f>
        <v>247.56</v>
      </c>
      <c r="O96" s="15">
        <f t="shared" ca="1" si="21"/>
        <v>1.6728211565251369E-3</v>
      </c>
      <c r="P96" s="27"/>
      <c r="Q96" s="28" t="e">
        <f t="shared" ca="1" si="22"/>
        <v>#DIV/0!</v>
      </c>
      <c r="S96"/>
      <c r="T96"/>
      <c r="U96"/>
      <c r="V96"/>
    </row>
    <row r="97" spans="1:22" ht="15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2'!N53</f>
        <v>0</v>
      </c>
      <c r="E97" s="15" t="e">
        <f t="shared" ca="1" si="16"/>
        <v>#DIV/0!</v>
      </c>
      <c r="F97" s="79">
        <f>D97+'[1]2025 Οκτώβριος'!F97</f>
        <v>554.78</v>
      </c>
      <c r="G97" s="15" t="e">
        <f t="shared" si="17"/>
        <v>#VALUE!</v>
      </c>
      <c r="H97" s="14"/>
      <c r="I97" s="26" t="e">
        <f t="shared" ca="1" si="18"/>
        <v>#DIV/0!</v>
      </c>
      <c r="J97" s="27"/>
      <c r="K97" s="27" t="e">
        <f t="shared" ca="1" si="19"/>
        <v>#DIV/0!</v>
      </c>
      <c r="L97" s="79">
        <f>'[1]2024_60-69 ΕΞΟΔΑ+ΟΜ 2'!N51</f>
        <v>0</v>
      </c>
      <c r="M97" s="15">
        <f t="shared" ca="1" si="20"/>
        <v>0</v>
      </c>
      <c r="N97" s="10">
        <f>L97+'[1]2025 Οκτώβριος'!N97</f>
        <v>385.39</v>
      </c>
      <c r="O97" s="15">
        <f t="shared" ca="1" si="21"/>
        <v>2.6041708899386916E-3</v>
      </c>
      <c r="P97" s="27"/>
      <c r="Q97" s="28" t="e">
        <f t="shared" ca="1" si="22"/>
        <v>#DIV/0!</v>
      </c>
      <c r="S97"/>
      <c r="T97"/>
      <c r="U97"/>
      <c r="V97"/>
    </row>
    <row r="98" spans="1:22" ht="15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2'!N54</f>
        <v>0</v>
      </c>
      <c r="E98" s="15" t="e">
        <f t="shared" ca="1" si="16"/>
        <v>#DIV/0!</v>
      </c>
      <c r="F98" s="79">
        <f>D98+'[1]2025 Οκτώβριος'!F98</f>
        <v>0</v>
      </c>
      <c r="G98" s="15" t="e">
        <f t="shared" si="17"/>
        <v>#VALUE!</v>
      </c>
      <c r="H98" s="14"/>
      <c r="I98" s="26" t="e">
        <f t="shared" ca="1" si="18"/>
        <v>#DIV/0!</v>
      </c>
      <c r="J98" s="27"/>
      <c r="K98" s="27" t="e">
        <f t="shared" ca="1" si="19"/>
        <v>#DIV/0!</v>
      </c>
      <c r="L98" s="79">
        <f>'[1]2024_60-69 ΕΞΟΔΑ+ΟΜ 2'!N52</f>
        <v>0</v>
      </c>
      <c r="M98" s="15">
        <f t="shared" ca="1" si="20"/>
        <v>0</v>
      </c>
      <c r="N98" s="10">
        <f>L98+'[1]2025 Οκτώβριος'!N98</f>
        <v>0</v>
      </c>
      <c r="O98" s="15">
        <f t="shared" ca="1" si="21"/>
        <v>0</v>
      </c>
      <c r="P98" s="27"/>
      <c r="Q98" s="28" t="e">
        <f t="shared" ca="1" si="22"/>
        <v>#DIV/0!</v>
      </c>
      <c r="S98"/>
      <c r="T98"/>
      <c r="U98"/>
      <c r="V98"/>
    </row>
    <row r="99" spans="1:22" ht="24.7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2'!N55</f>
        <v>0</v>
      </c>
      <c r="E99" s="15" t="e">
        <f t="shared" ca="1" si="16"/>
        <v>#DIV/0!</v>
      </c>
      <c r="F99" s="79">
        <f>D99+'[1]2025 Οκτώβριος'!F99</f>
        <v>0</v>
      </c>
      <c r="G99" s="15" t="e">
        <f t="shared" si="17"/>
        <v>#VALUE!</v>
      </c>
      <c r="H99" s="14"/>
      <c r="I99" s="26" t="e">
        <f t="shared" ca="1" si="18"/>
        <v>#DIV/0!</v>
      </c>
      <c r="J99" s="27"/>
      <c r="K99" s="27" t="e">
        <f t="shared" ca="1" si="19"/>
        <v>#DIV/0!</v>
      </c>
      <c r="L99" s="79">
        <f>'[1]2024_60-69 ΕΞΟΔΑ+ΟΜ 2'!N53</f>
        <v>0</v>
      </c>
      <c r="M99" s="15">
        <f t="shared" ca="1" si="20"/>
        <v>0</v>
      </c>
      <c r="N99" s="10">
        <f>L99+'[1]2025 Οκτώβριος'!N99</f>
        <v>0</v>
      </c>
      <c r="O99" s="15">
        <f t="shared" ca="1" si="21"/>
        <v>0</v>
      </c>
      <c r="P99" s="27"/>
      <c r="Q99" s="28" t="e">
        <f t="shared" ca="1" si="22"/>
        <v>#DIV/0!</v>
      </c>
      <c r="S99"/>
      <c r="T99"/>
      <c r="U99"/>
      <c r="V99"/>
    </row>
    <row r="100" spans="1:22" ht="28.5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2'!N56</f>
        <v>0</v>
      </c>
      <c r="E100" s="15" t="e">
        <f t="shared" ca="1" si="16"/>
        <v>#DIV/0!</v>
      </c>
      <c r="F100" s="79">
        <f>D100+'[1]2025 Οκτώβριος'!F100</f>
        <v>4747.45</v>
      </c>
      <c r="G100" s="15" t="e">
        <f t="shared" si="17"/>
        <v>#VALUE!</v>
      </c>
      <c r="H100" s="14"/>
      <c r="I100" s="26" t="e">
        <f t="shared" ca="1" si="18"/>
        <v>#DIV/0!</v>
      </c>
      <c r="J100" s="27"/>
      <c r="K100" s="27" t="e">
        <f t="shared" ca="1" si="19"/>
        <v>#DIV/0!</v>
      </c>
      <c r="L100" s="79">
        <f>'[1]2024_60-69 ΕΞΟΔΑ+ΟΜ 2'!N54</f>
        <v>155.29</v>
      </c>
      <c r="M100" s="15">
        <f t="shared" ca="1" si="20"/>
        <v>2.0183469544783412E-2</v>
      </c>
      <c r="N100" s="10">
        <f>L100+'[1]2025 Οκτώβριος'!N100</f>
        <v>275.16999999999996</v>
      </c>
      <c r="O100" s="15">
        <f t="shared" ca="1" si="21"/>
        <v>1.8593884215584984E-3</v>
      </c>
      <c r="P100" s="27"/>
      <c r="Q100" s="28" t="e">
        <f t="shared" ca="1" si="22"/>
        <v>#DIV/0!</v>
      </c>
      <c r="S100"/>
      <c r="T100"/>
      <c r="U100"/>
      <c r="V100"/>
    </row>
    <row r="101" spans="1:22" ht="42.75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2'!N57</f>
        <v>0</v>
      </c>
      <c r="E101" s="15" t="e">
        <f t="shared" ca="1" si="16"/>
        <v>#DIV/0!</v>
      </c>
      <c r="F101" s="79">
        <f>D101+'[1]2025 Οκτώβριος'!F101</f>
        <v>878.12</v>
      </c>
      <c r="G101" s="15" t="e">
        <f t="shared" si="17"/>
        <v>#VALUE!</v>
      </c>
      <c r="H101" s="14"/>
      <c r="I101" s="26" t="e">
        <f t="shared" ca="1" si="18"/>
        <v>#DIV/0!</v>
      </c>
      <c r="J101" s="27"/>
      <c r="K101" s="27" t="e">
        <f t="shared" ca="1" si="19"/>
        <v>#DIV/0!</v>
      </c>
      <c r="L101" s="79">
        <f>'[1]2024_60-69 ΕΞΟΔΑ+ΟΜ 2'!N55</f>
        <v>0</v>
      </c>
      <c r="M101" s="15">
        <f t="shared" ca="1" si="20"/>
        <v>0</v>
      </c>
      <c r="N101" s="10">
        <f>L101+'[1]2025 Οκτώβριος'!N101</f>
        <v>2136.6400000000003</v>
      </c>
      <c r="O101" s="15">
        <f t="shared" ca="1" si="21"/>
        <v>1.4437779107601668E-2</v>
      </c>
      <c r="P101" s="27"/>
      <c r="Q101" s="28" t="e">
        <f t="shared" ca="1" si="22"/>
        <v>#DIV/0!</v>
      </c>
      <c r="S101"/>
      <c r="T101"/>
      <c r="U101"/>
      <c r="V101"/>
    </row>
    <row r="102" spans="1:22" ht="15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2'!N58</f>
        <v>0</v>
      </c>
      <c r="E102" s="15" t="e">
        <f t="shared" ca="1" si="16"/>
        <v>#DIV/0!</v>
      </c>
      <c r="F102" s="79">
        <f>D102+'[1]2025 Οκτώβριος'!F102</f>
        <v>0</v>
      </c>
      <c r="G102" s="15" t="e">
        <f t="shared" si="17"/>
        <v>#VALUE!</v>
      </c>
      <c r="H102" s="14"/>
      <c r="I102" s="26" t="e">
        <f t="shared" ca="1" si="18"/>
        <v>#DIV/0!</v>
      </c>
      <c r="J102" s="27"/>
      <c r="K102" s="27" t="e">
        <f t="shared" ca="1" si="19"/>
        <v>#DIV/0!</v>
      </c>
      <c r="L102" s="79">
        <f>'[1]2024_60-69 ΕΞΟΔΑ+ΟΜ 2'!N56</f>
        <v>0</v>
      </c>
      <c r="M102" s="15">
        <f t="shared" ca="1" si="20"/>
        <v>0</v>
      </c>
      <c r="N102" s="10">
        <f>L102+'[1]2025 Οκτώβριος'!N102</f>
        <v>0</v>
      </c>
      <c r="O102" s="15">
        <f t="shared" ca="1" si="21"/>
        <v>0</v>
      </c>
      <c r="P102" s="27"/>
      <c r="Q102" s="28" t="e">
        <f t="shared" ca="1" si="22"/>
        <v>#DIV/0!</v>
      </c>
      <c r="S102"/>
      <c r="T102"/>
      <c r="U102"/>
      <c r="V102"/>
    </row>
    <row r="103" spans="1:22" ht="15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2'!N59</f>
        <v>0</v>
      </c>
      <c r="E103" s="15" t="e">
        <f t="shared" ca="1" si="16"/>
        <v>#DIV/0!</v>
      </c>
      <c r="F103" s="79">
        <f>D103+'[1]2025 Οκτώβριος'!F103</f>
        <v>0</v>
      </c>
      <c r="G103" s="15" t="e">
        <f t="shared" si="17"/>
        <v>#VALUE!</v>
      </c>
      <c r="H103" s="14"/>
      <c r="I103" s="26" t="e">
        <f t="shared" ca="1" si="18"/>
        <v>#DIV/0!</v>
      </c>
      <c r="J103" s="27"/>
      <c r="K103" s="27" t="e">
        <f t="shared" ca="1" si="19"/>
        <v>#DIV/0!</v>
      </c>
      <c r="L103" s="79">
        <f>'[1]2024_60-69 ΕΞΟΔΑ+ΟΜ 2'!N57</f>
        <v>1257</v>
      </c>
      <c r="M103" s="15">
        <f t="shared" ca="1" si="20"/>
        <v>0.16337575644144986</v>
      </c>
      <c r="N103" s="10">
        <f>L103+'[1]2025 Οκτώβριος'!N103</f>
        <v>2653.23</v>
      </c>
      <c r="O103" s="15">
        <f t="shared" ca="1" si="21"/>
        <v>1.7928499261299035E-2</v>
      </c>
      <c r="P103" s="27"/>
      <c r="Q103" s="28" t="e">
        <f t="shared" ca="1" si="22"/>
        <v>#DIV/0!</v>
      </c>
      <c r="S103"/>
      <c r="T103"/>
      <c r="U103"/>
      <c r="V103"/>
    </row>
    <row r="104" spans="1:22" ht="28.5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2'!N60</f>
        <v>0</v>
      </c>
      <c r="E104" s="15" t="e">
        <f t="shared" ca="1" si="16"/>
        <v>#DIV/0!</v>
      </c>
      <c r="F104" s="79">
        <f>D104+'[1]2025 Οκτώβριος'!F104</f>
        <v>2545.4699999999998</v>
      </c>
      <c r="G104" s="15" t="e">
        <f t="shared" si="17"/>
        <v>#VALUE!</v>
      </c>
      <c r="H104" s="14"/>
      <c r="I104" s="26" t="e">
        <f t="shared" ca="1" si="18"/>
        <v>#DIV/0!</v>
      </c>
      <c r="J104" s="27"/>
      <c r="K104" s="27" t="e">
        <f t="shared" ca="1" si="19"/>
        <v>#DIV/0!</v>
      </c>
      <c r="L104" s="79">
        <f>'[1]2024_60-69 ΕΞΟΔΑ+ΟΜ 2'!N58</f>
        <v>0</v>
      </c>
      <c r="M104" s="15">
        <f t="shared" ca="1" si="20"/>
        <v>0</v>
      </c>
      <c r="N104" s="10">
        <f>L104+'[1]2025 Οκτώβριος'!N104</f>
        <v>9234.57</v>
      </c>
      <c r="O104" s="15">
        <f t="shared" ca="1" si="21"/>
        <v>6.2400161849298481E-2</v>
      </c>
      <c r="P104" s="27"/>
      <c r="Q104" s="28" t="e">
        <f t="shared" ca="1" si="22"/>
        <v>#DIV/0!</v>
      </c>
      <c r="S104"/>
      <c r="T104"/>
      <c r="U104"/>
      <c r="V104"/>
    </row>
    <row r="105" spans="1:22" ht="28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2'!N61</f>
        <v>0</v>
      </c>
      <c r="E105" s="15" t="e">
        <f t="shared" ca="1" si="16"/>
        <v>#DIV/0!</v>
      </c>
      <c r="F105" s="79">
        <f>D105+'[1]2025 Οκτώβριος'!F105</f>
        <v>0</v>
      </c>
      <c r="G105" s="15" t="e">
        <f t="shared" si="17"/>
        <v>#VALUE!</v>
      </c>
      <c r="H105" s="14"/>
      <c r="I105" s="26" t="e">
        <f t="shared" ca="1" si="18"/>
        <v>#DIV/0!</v>
      </c>
      <c r="J105" s="27"/>
      <c r="K105" s="27" t="e">
        <f t="shared" ca="1" si="19"/>
        <v>#DIV/0!</v>
      </c>
      <c r="L105" s="79">
        <f>'[1]2024_60-69 ΕΞΟΔΑ+ΟΜ 2'!N59</f>
        <v>0</v>
      </c>
      <c r="M105" s="15">
        <f t="shared" ca="1" si="20"/>
        <v>0</v>
      </c>
      <c r="N105" s="10">
        <f>L105+'[1]2025 Οκτώβριος'!N105</f>
        <v>0</v>
      </c>
      <c r="O105" s="15">
        <f t="shared" ca="1" si="21"/>
        <v>0</v>
      </c>
      <c r="P105" s="27"/>
      <c r="Q105" s="28" t="e">
        <f t="shared" ca="1" si="22"/>
        <v>#DIV/0!</v>
      </c>
      <c r="S105"/>
      <c r="T105"/>
      <c r="U105"/>
      <c r="V105"/>
    </row>
    <row r="106" spans="1:22" ht="28.5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  <c r="S106"/>
      <c r="T106"/>
      <c r="U106"/>
      <c r="V106"/>
    </row>
    <row r="107" spans="1:22" ht="15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  <c r="S107"/>
      <c r="T107"/>
      <c r="U107"/>
      <c r="V107"/>
    </row>
    <row r="108" spans="1:22" ht="25.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  <c r="S108"/>
      <c r="T108"/>
      <c r="U108"/>
      <c r="V108"/>
    </row>
    <row r="109" spans="1:22" ht="15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  <c r="S109"/>
      <c r="T109"/>
      <c r="U109"/>
      <c r="V109"/>
    </row>
    <row r="110" spans="1:22" ht="15" x14ac:dyDescent="0.25">
      <c r="A110" s="67">
        <v>109</v>
      </c>
      <c r="B110" s="67">
        <v>26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  <c r="S110"/>
      <c r="T110"/>
      <c r="U110"/>
      <c r="V110"/>
    </row>
    <row r="111" spans="1:22" ht="31.5" x14ac:dyDescent="0.25">
      <c r="A111" s="60"/>
      <c r="B111" s="60"/>
      <c r="C111" s="20" t="s">
        <v>41</v>
      </c>
      <c r="D111" s="7">
        <f>'[1]2025_60-69 ΕΞΟΔΑ+ΟΜ 2'!N36</f>
        <v>0</v>
      </c>
      <c r="E111" s="8"/>
      <c r="F111" s="7">
        <f>'[1]2025_60-69 ΕΞΟΔΑ+ΟΜ 2'!AA36</f>
        <v>46297.34</v>
      </c>
      <c r="G111" s="8"/>
      <c r="H111" s="7">
        <f ca="1">SUM(H47:H110)</f>
        <v>0</v>
      </c>
      <c r="I111" s="8"/>
      <c r="J111" s="7">
        <f ca="1">SUM(J47:J110)</f>
        <v>0</v>
      </c>
      <c r="K111" s="8"/>
      <c r="L111" s="7">
        <f ca="1">SUM(L47:L110)</f>
        <v>7693.92</v>
      </c>
      <c r="M111" s="8"/>
      <c r="N111" s="7">
        <f ca="1">SUM(N47:N110)</f>
        <v>147989.52000000008</v>
      </c>
      <c r="O111" s="8"/>
      <c r="P111" s="7">
        <f ca="1">SUM(P47:P110)</f>
        <v>0</v>
      </c>
      <c r="Q111" s="8"/>
      <c r="S111"/>
      <c r="T111"/>
      <c r="U111"/>
      <c r="V111"/>
    </row>
    <row r="112" spans="1:22" ht="24" x14ac:dyDescent="0.25">
      <c r="A112" s="60"/>
      <c r="B112" s="60"/>
      <c r="C112" s="22" t="s">
        <v>18</v>
      </c>
      <c r="D112" s="7">
        <f ca="1">D84-D111</f>
        <v>0</v>
      </c>
      <c r="E112" s="8"/>
      <c r="F112" s="7" t="e">
        <f>F84-F111</f>
        <v>#VALUE!</v>
      </c>
      <c r="G112" s="8"/>
      <c r="H112" s="7">
        <f ca="1">H84-H111</f>
        <v>0</v>
      </c>
      <c r="I112" s="8"/>
      <c r="J112" s="7">
        <f ca="1">J84-J111</f>
        <v>0</v>
      </c>
      <c r="K112" s="8"/>
      <c r="L112" s="7">
        <f ca="1">L84-L111</f>
        <v>0</v>
      </c>
      <c r="M112" s="8"/>
      <c r="N112" s="7">
        <f ca="1">N84-N111</f>
        <v>0</v>
      </c>
      <c r="O112" s="8"/>
      <c r="P112" s="7">
        <f ca="1">P84-P111</f>
        <v>0</v>
      </c>
      <c r="Q112" s="8"/>
      <c r="S112"/>
      <c r="T112"/>
      <c r="U112"/>
      <c r="V112"/>
    </row>
    <row r="113" spans="1:22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  <c r="S113"/>
      <c r="T113"/>
      <c r="U113"/>
      <c r="V113"/>
    </row>
    <row r="114" spans="1:22" ht="15.75" customHeight="1" x14ac:dyDescent="0.25">
      <c r="A114" s="60"/>
      <c r="B114" s="19"/>
      <c r="C114" s="5" t="s">
        <v>161</v>
      </c>
      <c r="D114" s="180" t="str">
        <f>[1]ΑΝΤΙΣΤΟΙΧΙΣΗ!$F$116</f>
        <v xml:space="preserve">ΝΟΕΜΒΡΙΟΣ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[1]ΑΝΤΙΣΤΟΙΧΙΣΗ!$F$116</f>
        <v xml:space="preserve">ΝΟΕΜΒΡΙΟΣ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[1]ΑΝΤΙΣΤΟΙΧΙΣΗ!$F$130</f>
        <v>ΝΟΕΜΒΡΙΟΣ ΠΡΟΗΓΟΥΜΕΝΟΥ ΕΤΟΥΣ</v>
      </c>
      <c r="M114" s="180"/>
      <c r="N114" s="180"/>
      <c r="O114" s="61">
        <f>[1]ΑΝΤΙΣΤΟΙΧΙΣΗ!$D$33</f>
        <v>2024</v>
      </c>
      <c r="P114" s="180"/>
      <c r="Q114" s="180"/>
      <c r="S114"/>
      <c r="T114"/>
      <c r="U114"/>
      <c r="V114"/>
    </row>
    <row r="115" spans="1:22" ht="81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  <c r="S115"/>
      <c r="T115"/>
      <c r="U115"/>
      <c r="V115"/>
    </row>
    <row r="116" spans="1:22" ht="30" x14ac:dyDescent="0.25">
      <c r="A116" s="60"/>
      <c r="B116" s="19" t="s">
        <v>2</v>
      </c>
      <c r="C116" s="6" t="s">
        <v>167</v>
      </c>
      <c r="D116" s="7">
        <f>SUM(D117:D156)</f>
        <v>777.67000000000007</v>
      </c>
      <c r="E116" s="8"/>
      <c r="F116" s="7">
        <f>SUM(F117:F156)</f>
        <v>101174.80999999997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11725.87</v>
      </c>
      <c r="M116" s="8"/>
      <c r="N116" s="7">
        <f>SUM(N117:N156)</f>
        <v>167865.75000000003</v>
      </c>
      <c r="O116" s="8"/>
      <c r="P116" s="7">
        <f>SUM(P117:P156)</f>
        <v>0</v>
      </c>
      <c r="Q116" s="8"/>
      <c r="S116"/>
      <c r="T116"/>
      <c r="U116"/>
      <c r="V116"/>
    </row>
    <row r="117" spans="1:22" ht="15" x14ac:dyDescent="0.25">
      <c r="A117" s="67">
        <v>59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2'!N74</f>
        <v>0</v>
      </c>
      <c r="E117" s="15">
        <f>D117/$D$116</f>
        <v>0</v>
      </c>
      <c r="F117" s="10">
        <f>D117+'[1]2025 Οκτώβριος'!F117</f>
        <v>51233.840000000004</v>
      </c>
      <c r="G117" s="15">
        <f>F117/$F$116</f>
        <v>0.50638928800558181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2'!N66</f>
        <v>1079</v>
      </c>
      <c r="M117" s="15">
        <f>L117/$L$116</f>
        <v>9.201875852282175E-2</v>
      </c>
      <c r="N117" s="10">
        <f>L117+'[1]2025 Οκτώβριος'!N117</f>
        <v>84600.1</v>
      </c>
      <c r="O117" s="15">
        <f>N117/$N$116</f>
        <v>0.50397475363497313</v>
      </c>
      <c r="P117" s="10"/>
      <c r="Q117" s="30" t="e">
        <f t="shared" ref="Q117:Q153" si="23">SUM(D117:P117)</f>
        <v>#DIV/0!</v>
      </c>
      <c r="S117"/>
      <c r="T117"/>
      <c r="U117"/>
      <c r="V117"/>
    </row>
    <row r="118" spans="1:22" ht="28.5" x14ac:dyDescent="0.25">
      <c r="A118" s="67">
        <v>60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2'!N75</f>
        <v>0</v>
      </c>
      <c r="E118" s="15">
        <f t="shared" ref="E118:E153" si="24">D118/$D$116</f>
        <v>0</v>
      </c>
      <c r="F118" s="10">
        <f>D118+'[1]2025 Οκτώβριος'!F118</f>
        <v>6449.25</v>
      </c>
      <c r="G118" s="15">
        <f t="shared" ref="G118:G153" si="25">F118/$F$116</f>
        <v>6.3743633420215981E-2</v>
      </c>
      <c r="H118" s="14"/>
      <c r="I118" s="29" t="e">
        <f t="shared" ref="I118:I153" si="26">H118/$H$116</f>
        <v>#DIV/0!</v>
      </c>
      <c r="J118" s="10"/>
      <c r="K118" s="10" t="e">
        <f t="shared" ref="K118:K153" si="27">J118/$J$116</f>
        <v>#DIV/0!</v>
      </c>
      <c r="L118" s="14">
        <f>'[1]2024_60-69 ΕΞΟΔΑ+ΟΜ 2'!N67</f>
        <v>240.51</v>
      </c>
      <c r="M118" s="15">
        <f t="shared" ref="M118:M153" si="28">L118/$L$116</f>
        <v>2.0511058028103671E-2</v>
      </c>
      <c r="N118" s="10">
        <f>L118+'[1]2025 Οκτώβριος'!N118</f>
        <v>12695.78</v>
      </c>
      <c r="O118" s="15">
        <f t="shared" ref="O118:O153" si="29">N118/$N$116</f>
        <v>7.5630555965109009E-2</v>
      </c>
      <c r="P118" s="10"/>
      <c r="Q118" s="30" t="e">
        <f t="shared" si="23"/>
        <v>#DIV/0!</v>
      </c>
      <c r="S118"/>
      <c r="T118"/>
      <c r="U118"/>
      <c r="V118" s="160"/>
    </row>
    <row r="119" spans="1:22" ht="15" x14ac:dyDescent="0.25">
      <c r="A119" s="67">
        <v>61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2'!N76</f>
        <v>0</v>
      </c>
      <c r="E119" s="15">
        <f t="shared" si="24"/>
        <v>0</v>
      </c>
      <c r="F119" s="10">
        <f>D119+'[1]2025 Οκτώβριος'!F119</f>
        <v>1329.02</v>
      </c>
      <c r="G119" s="15">
        <f t="shared" si="25"/>
        <v>1.3135878387120277E-2</v>
      </c>
      <c r="H119" s="14"/>
      <c r="I119" s="29" t="e">
        <f t="shared" si="26"/>
        <v>#DIV/0!</v>
      </c>
      <c r="J119" s="10"/>
      <c r="K119" s="10" t="e">
        <f t="shared" si="27"/>
        <v>#DIV/0!</v>
      </c>
      <c r="L119" s="14">
        <f>'[1]2024_60-69 ΕΞΟΔΑ+ΟΜ 2'!N68</f>
        <v>875.5</v>
      </c>
      <c r="M119" s="15">
        <f t="shared" si="28"/>
        <v>7.4663969496506444E-2</v>
      </c>
      <c r="N119" s="10">
        <f>L119+'[1]2025 Οκτώβριος'!N119</f>
        <v>3564.4300000000003</v>
      </c>
      <c r="O119" s="15">
        <f t="shared" si="29"/>
        <v>2.1233813329997332E-2</v>
      </c>
      <c r="P119" s="10"/>
      <c r="Q119" s="30" t="e">
        <f t="shared" si="23"/>
        <v>#DIV/0!</v>
      </c>
      <c r="S119"/>
      <c r="T119"/>
      <c r="U119"/>
      <c r="V119"/>
    </row>
    <row r="120" spans="1:22" ht="15" x14ac:dyDescent="0.25">
      <c r="A120" s="67">
        <v>62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2'!N77</f>
        <v>0</v>
      </c>
      <c r="E120" s="15">
        <f t="shared" si="24"/>
        <v>0</v>
      </c>
      <c r="F120" s="10">
        <f>D120+'[1]2025 Οκτώβριος'!F120</f>
        <v>4377.5</v>
      </c>
      <c r="G120" s="15">
        <f t="shared" si="25"/>
        <v>4.3266698499359685E-2</v>
      </c>
      <c r="H120" s="14"/>
      <c r="I120" s="29" t="e">
        <f t="shared" si="26"/>
        <v>#DIV/0!</v>
      </c>
      <c r="J120" s="10"/>
      <c r="K120" s="10" t="e">
        <f t="shared" si="27"/>
        <v>#DIV/0!</v>
      </c>
      <c r="L120" s="14">
        <f>'[1]2024_60-69 ΕΞΟΔΑ+ΟΜ 2'!N69</f>
        <v>0</v>
      </c>
      <c r="M120" s="15">
        <f t="shared" si="28"/>
        <v>0</v>
      </c>
      <c r="N120" s="10">
        <f>L120+'[1]2025 Οκτώβριος'!N120</f>
        <v>8602</v>
      </c>
      <c r="O120" s="15">
        <f t="shared" si="29"/>
        <v>5.1243329863298492E-2</v>
      </c>
      <c r="P120" s="10"/>
      <c r="Q120" s="30" t="e">
        <f t="shared" si="23"/>
        <v>#DIV/0!</v>
      </c>
      <c r="S120"/>
      <c r="T120"/>
      <c r="U120"/>
      <c r="V120"/>
    </row>
    <row r="121" spans="1:22" ht="15" x14ac:dyDescent="0.25">
      <c r="A121" s="67">
        <v>63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2'!N78</f>
        <v>0</v>
      </c>
      <c r="E121" s="15">
        <f t="shared" si="24"/>
        <v>0</v>
      </c>
      <c r="F121" s="10">
        <f>D121+'[1]2025 Οκτώβριος'!F121</f>
        <v>0</v>
      </c>
      <c r="G121" s="15">
        <f t="shared" si="25"/>
        <v>0</v>
      </c>
      <c r="H121" s="14"/>
      <c r="I121" s="29" t="e">
        <f t="shared" si="26"/>
        <v>#DIV/0!</v>
      </c>
      <c r="J121" s="10"/>
      <c r="K121" s="10" t="e">
        <f t="shared" si="27"/>
        <v>#DIV/0!</v>
      </c>
      <c r="L121" s="14">
        <f>'[1]2024_60-69 ΕΞΟΔΑ+ΟΜ 2'!N70</f>
        <v>241.31</v>
      </c>
      <c r="M121" s="15">
        <f t="shared" si="28"/>
        <v>2.0579283242949137E-2</v>
      </c>
      <c r="N121" s="10">
        <f>L121+'[1]2025 Οκτώβριος'!N121</f>
        <v>241.31</v>
      </c>
      <c r="O121" s="15">
        <f t="shared" si="29"/>
        <v>1.437517778343706E-3</v>
      </c>
      <c r="P121" s="10"/>
      <c r="Q121" s="30" t="e">
        <f t="shared" si="23"/>
        <v>#DIV/0!</v>
      </c>
      <c r="S121"/>
      <c r="T121"/>
      <c r="U121"/>
      <c r="V121"/>
    </row>
    <row r="122" spans="1:22" ht="15" x14ac:dyDescent="0.25">
      <c r="A122" s="67">
        <v>64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2'!N79</f>
        <v>0</v>
      </c>
      <c r="E122" s="15">
        <f t="shared" si="24"/>
        <v>0</v>
      </c>
      <c r="F122" s="10">
        <f>D122+'[1]2025 Οκτώβριος'!F122</f>
        <v>1242.75</v>
      </c>
      <c r="G122" s="15">
        <f t="shared" si="25"/>
        <v>1.2283195787568075E-2</v>
      </c>
      <c r="H122" s="14"/>
      <c r="I122" s="29" t="e">
        <f t="shared" si="26"/>
        <v>#DIV/0!</v>
      </c>
      <c r="J122" s="10"/>
      <c r="K122" s="10" t="e">
        <f t="shared" si="27"/>
        <v>#DIV/0!</v>
      </c>
      <c r="L122" s="14">
        <f>'[1]2024_60-69 ΕΞΟΔΑ+ΟΜ 2'!N71</f>
        <v>965.25</v>
      </c>
      <c r="M122" s="15">
        <f t="shared" si="28"/>
        <v>8.2317985786982115E-2</v>
      </c>
      <c r="N122" s="10">
        <f>L122+'[1]2025 Οκτώβριος'!N122</f>
        <v>3378.35</v>
      </c>
      <c r="O122" s="15">
        <f t="shared" si="29"/>
        <v>2.0125308468225349E-2</v>
      </c>
      <c r="P122" s="10"/>
      <c r="Q122" s="30" t="e">
        <f t="shared" si="23"/>
        <v>#DIV/0!</v>
      </c>
      <c r="S122"/>
      <c r="T122"/>
      <c r="U122"/>
      <c r="V122"/>
    </row>
    <row r="123" spans="1:22" ht="15" x14ac:dyDescent="0.25">
      <c r="A123" s="67">
        <v>65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2'!N80</f>
        <v>0</v>
      </c>
      <c r="E123" s="15">
        <f t="shared" si="24"/>
        <v>0</v>
      </c>
      <c r="F123" s="10">
        <f>D123+'[1]2025 Οκτώβριος'!F123</f>
        <v>4826.25</v>
      </c>
      <c r="G123" s="15">
        <f t="shared" si="25"/>
        <v>4.7702091063971372E-2</v>
      </c>
      <c r="H123" s="14"/>
      <c r="I123" s="29" t="e">
        <f t="shared" si="26"/>
        <v>#DIV/0!</v>
      </c>
      <c r="J123" s="10"/>
      <c r="K123" s="10" t="e">
        <f t="shared" si="27"/>
        <v>#DIV/0!</v>
      </c>
      <c r="L123" s="14">
        <f>'[1]2024_60-69 ΕΞΟΔΑ+ΟΜ 2'!N72</f>
        <v>31.52</v>
      </c>
      <c r="M123" s="15">
        <f t="shared" si="28"/>
        <v>2.6880734649113456E-3</v>
      </c>
      <c r="N123" s="10">
        <f>L123+'[1]2025 Οκτώβριος'!N123</f>
        <v>9684.02</v>
      </c>
      <c r="O123" s="15">
        <f t="shared" si="29"/>
        <v>5.7689075943127166E-2</v>
      </c>
      <c r="P123" s="10"/>
      <c r="Q123" s="30" t="e">
        <f t="shared" si="23"/>
        <v>#DIV/0!</v>
      </c>
      <c r="S123"/>
      <c r="T123"/>
      <c r="U123"/>
      <c r="V123"/>
    </row>
    <row r="124" spans="1:22" ht="28.5" x14ac:dyDescent="0.25">
      <c r="A124" s="67">
        <v>66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2'!N81</f>
        <v>0</v>
      </c>
      <c r="E124" s="15">
        <f t="shared" si="24"/>
        <v>0</v>
      </c>
      <c r="F124" s="10">
        <f>D124+'[1]2025 Οκτώβριος'!F124</f>
        <v>157.6</v>
      </c>
      <c r="G124" s="15">
        <f t="shared" si="25"/>
        <v>1.557699984808472E-3</v>
      </c>
      <c r="H124" s="14"/>
      <c r="I124" s="29" t="e">
        <f t="shared" si="26"/>
        <v>#DIV/0!</v>
      </c>
      <c r="J124" s="10"/>
      <c r="K124" s="10" t="e">
        <f t="shared" si="27"/>
        <v>#DIV/0!</v>
      </c>
      <c r="L124" s="14">
        <f>'[1]2024_60-69 ΕΞΟΔΑ+ΟΜ 2'!N73</f>
        <v>8.69</v>
      </c>
      <c r="M124" s="15">
        <f t="shared" si="28"/>
        <v>7.4109639625887023E-4</v>
      </c>
      <c r="N124" s="10">
        <f>L124+'[1]2025 Οκτώβριος'!N124</f>
        <v>318.37</v>
      </c>
      <c r="O124" s="15">
        <f t="shared" si="29"/>
        <v>1.8965750905113161E-3</v>
      </c>
      <c r="P124" s="10"/>
      <c r="Q124" s="30" t="e">
        <f t="shared" si="23"/>
        <v>#DIV/0!</v>
      </c>
      <c r="S124"/>
      <c r="T124"/>
      <c r="U124"/>
      <c r="V124"/>
    </row>
    <row r="125" spans="1:22" ht="28.5" x14ac:dyDescent="0.25">
      <c r="A125" s="67">
        <v>67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2'!N82</f>
        <v>0</v>
      </c>
      <c r="E125" s="15">
        <f t="shared" si="24"/>
        <v>0</v>
      </c>
      <c r="F125" s="10">
        <f>D125+'[1]2025 Οκτώβριος'!F125</f>
        <v>44.75</v>
      </c>
      <c r="G125" s="15">
        <f t="shared" si="25"/>
        <v>4.4230377106712645E-4</v>
      </c>
      <c r="H125" s="14"/>
      <c r="I125" s="29" t="e">
        <f t="shared" si="26"/>
        <v>#DIV/0!</v>
      </c>
      <c r="J125" s="10"/>
      <c r="K125" s="10" t="e">
        <f t="shared" si="27"/>
        <v>#DIV/0!</v>
      </c>
      <c r="L125" s="14">
        <f>'[1]2024_60-69 ΕΞΟΔΑ+ΟΜ 2'!N74</f>
        <v>0</v>
      </c>
      <c r="M125" s="15">
        <f t="shared" si="28"/>
        <v>0</v>
      </c>
      <c r="N125" s="10">
        <f>L125+'[1]2025 Οκτώβριος'!N125</f>
        <v>103.77</v>
      </c>
      <c r="O125" s="15">
        <f t="shared" si="29"/>
        <v>6.1817255753481568E-4</v>
      </c>
      <c r="P125" s="10"/>
      <c r="Q125" s="30" t="e">
        <f t="shared" si="23"/>
        <v>#DIV/0!</v>
      </c>
      <c r="S125"/>
      <c r="T125"/>
      <c r="U125"/>
      <c r="V125"/>
    </row>
    <row r="126" spans="1:22" ht="28.5" x14ac:dyDescent="0.25">
      <c r="A126" s="67">
        <v>68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2'!N83</f>
        <v>0</v>
      </c>
      <c r="E126" s="15">
        <f t="shared" si="24"/>
        <v>0</v>
      </c>
      <c r="F126" s="10">
        <f>D126+'[1]2025 Οκτώβριος'!F126</f>
        <v>0</v>
      </c>
      <c r="G126" s="15">
        <f t="shared" si="25"/>
        <v>0</v>
      </c>
      <c r="H126" s="14"/>
      <c r="I126" s="29" t="e">
        <f t="shared" si="26"/>
        <v>#DIV/0!</v>
      </c>
      <c r="J126" s="10"/>
      <c r="K126" s="10" t="e">
        <f t="shared" si="27"/>
        <v>#DIV/0!</v>
      </c>
      <c r="L126" s="14">
        <f>'[1]2024_60-69 ΕΞΟΔΑ+ΟΜ 2'!N75</f>
        <v>34.75</v>
      </c>
      <c r="M126" s="15">
        <f t="shared" si="28"/>
        <v>2.963532769849913E-3</v>
      </c>
      <c r="N126" s="10">
        <f>L126+'[1]2025 Οκτώβριος'!N126</f>
        <v>34.75</v>
      </c>
      <c r="O126" s="15">
        <f t="shared" si="29"/>
        <v>2.07010661793725E-4</v>
      </c>
      <c r="P126" s="10"/>
      <c r="Q126" s="30" t="e">
        <f t="shared" si="23"/>
        <v>#DIV/0!</v>
      </c>
      <c r="S126"/>
      <c r="T126"/>
      <c r="U126"/>
      <c r="V126"/>
    </row>
    <row r="127" spans="1:22" ht="15" customHeight="1" x14ac:dyDescent="0.25">
      <c r="A127" s="67">
        <v>69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2'!N84</f>
        <v>0</v>
      </c>
      <c r="E127" s="15">
        <f t="shared" si="24"/>
        <v>0</v>
      </c>
      <c r="F127" s="10">
        <f>D127+'[1]2025 Οκτώβριος'!F127</f>
        <v>173.75</v>
      </c>
      <c r="G127" s="15">
        <f t="shared" si="25"/>
        <v>1.7173246977187312E-3</v>
      </c>
      <c r="H127" s="14"/>
      <c r="I127" s="29" t="e">
        <f t="shared" si="26"/>
        <v>#DIV/0!</v>
      </c>
      <c r="J127" s="10"/>
      <c r="K127" s="10" t="e">
        <f t="shared" si="27"/>
        <v>#DIV/0!</v>
      </c>
      <c r="L127" s="14">
        <f>'[1]2024_60-69 ΕΞΟΔΑ+ΟΜ 2'!N76</f>
        <v>0</v>
      </c>
      <c r="M127" s="15">
        <f t="shared" si="28"/>
        <v>0</v>
      </c>
      <c r="N127" s="10">
        <f>L127+'[1]2025 Οκτώβριος'!N127</f>
        <v>347.5</v>
      </c>
      <c r="O127" s="15">
        <f t="shared" si="29"/>
        <v>2.0701066179372499E-3</v>
      </c>
      <c r="P127" s="10"/>
      <c r="Q127" s="30" t="e">
        <f t="shared" si="23"/>
        <v>#DIV/0!</v>
      </c>
      <c r="S127"/>
      <c r="T127"/>
      <c r="U127"/>
      <c r="V127"/>
    </row>
    <row r="128" spans="1:22" ht="28.5" x14ac:dyDescent="0.25">
      <c r="A128" s="67">
        <v>70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2'!N85</f>
        <v>0</v>
      </c>
      <c r="E128" s="15">
        <f t="shared" si="24"/>
        <v>0</v>
      </c>
      <c r="F128" s="10">
        <f>D128+'[1]2025 Οκτώβριος'!F128</f>
        <v>0</v>
      </c>
      <c r="G128" s="15">
        <f t="shared" si="25"/>
        <v>0</v>
      </c>
      <c r="H128" s="14"/>
      <c r="I128" s="29" t="e">
        <f t="shared" si="26"/>
        <v>#DIV/0!</v>
      </c>
      <c r="J128" s="10"/>
      <c r="K128" s="10" t="e">
        <f t="shared" si="27"/>
        <v>#DIV/0!</v>
      </c>
      <c r="L128" s="14">
        <f>'[1]2024_60-69 ΕΞΟΔΑ+ΟΜ 2'!N77</f>
        <v>0</v>
      </c>
      <c r="M128" s="15">
        <f t="shared" si="28"/>
        <v>0</v>
      </c>
      <c r="N128" s="10">
        <f>L128+'[1]2025 Οκτώβριος'!N128</f>
        <v>0</v>
      </c>
      <c r="O128" s="15">
        <f t="shared" si="29"/>
        <v>0</v>
      </c>
      <c r="P128" s="10"/>
      <c r="Q128" s="30" t="e">
        <f t="shared" si="23"/>
        <v>#DIV/0!</v>
      </c>
      <c r="S128"/>
      <c r="T128"/>
      <c r="U128"/>
      <c r="V128"/>
    </row>
    <row r="129" spans="1:22" ht="28.5" x14ac:dyDescent="0.25">
      <c r="A129" s="67">
        <v>71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2'!N86</f>
        <v>0</v>
      </c>
      <c r="E129" s="15">
        <f t="shared" si="24"/>
        <v>0</v>
      </c>
      <c r="F129" s="10">
        <f>D129+'[1]2025 Οκτώβριος'!F129</f>
        <v>0</v>
      </c>
      <c r="G129" s="15">
        <f t="shared" si="25"/>
        <v>0</v>
      </c>
      <c r="H129" s="14"/>
      <c r="I129" s="29" t="e">
        <f t="shared" si="26"/>
        <v>#DIV/0!</v>
      </c>
      <c r="J129" s="10"/>
      <c r="K129" s="10" t="e">
        <f t="shared" si="27"/>
        <v>#DIV/0!</v>
      </c>
      <c r="L129" s="14">
        <f>'[1]2024_60-69 ΕΞΟΔΑ+ΟΜ 2'!N78</f>
        <v>0</v>
      </c>
      <c r="M129" s="15">
        <f t="shared" si="28"/>
        <v>0</v>
      </c>
      <c r="N129" s="10">
        <f>L129+'[1]2025 Οκτώβριος'!N129</f>
        <v>0</v>
      </c>
      <c r="O129" s="15">
        <f t="shared" si="29"/>
        <v>0</v>
      </c>
      <c r="P129" s="10"/>
      <c r="Q129" s="30" t="e">
        <f t="shared" si="23"/>
        <v>#DIV/0!</v>
      </c>
      <c r="S129"/>
      <c r="T129"/>
      <c r="U129"/>
      <c r="V129"/>
    </row>
    <row r="130" spans="1:22" ht="28.5" x14ac:dyDescent="0.25">
      <c r="A130" s="67">
        <v>72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2'!N87</f>
        <v>0</v>
      </c>
      <c r="E130" s="15">
        <f t="shared" si="24"/>
        <v>0</v>
      </c>
      <c r="F130" s="10">
        <f>D130+'[1]2025 Οκτώβριος'!F130</f>
        <v>0</v>
      </c>
      <c r="G130" s="15">
        <f t="shared" si="25"/>
        <v>0</v>
      </c>
      <c r="H130" s="14"/>
      <c r="I130" s="29" t="e">
        <f t="shared" si="26"/>
        <v>#DIV/0!</v>
      </c>
      <c r="J130" s="10"/>
      <c r="K130" s="10" t="e">
        <f t="shared" si="27"/>
        <v>#DIV/0!</v>
      </c>
      <c r="L130" s="14">
        <f>'[1]2024_60-69 ΕΞΟΔΑ+ΟΜ 2'!N79</f>
        <v>42.58</v>
      </c>
      <c r="M130" s="15">
        <f t="shared" si="28"/>
        <v>3.6312870601499076E-3</v>
      </c>
      <c r="N130" s="10">
        <f>L130+'[1]2025 Οκτώβριος'!N130</f>
        <v>42.58</v>
      </c>
      <c r="O130" s="15">
        <f t="shared" si="29"/>
        <v>2.5365507853746216E-4</v>
      </c>
      <c r="P130" s="10"/>
      <c r="Q130" s="30" t="e">
        <f t="shared" si="23"/>
        <v>#DIV/0!</v>
      </c>
      <c r="S130"/>
      <c r="T130"/>
      <c r="U130"/>
      <c r="V130"/>
    </row>
    <row r="131" spans="1:22" ht="15" x14ac:dyDescent="0.25">
      <c r="A131" s="67">
        <v>73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2'!N88</f>
        <v>0</v>
      </c>
      <c r="E131" s="15">
        <f t="shared" si="24"/>
        <v>0</v>
      </c>
      <c r="F131" s="10">
        <f>D131+'[1]2025 Οκτώβριος'!F131</f>
        <v>172.5</v>
      </c>
      <c r="G131" s="15">
        <f t="shared" si="25"/>
        <v>1.7049698437783085E-3</v>
      </c>
      <c r="H131" s="14"/>
      <c r="I131" s="29" t="e">
        <f t="shared" si="26"/>
        <v>#DIV/0!</v>
      </c>
      <c r="J131" s="10"/>
      <c r="K131" s="10" t="e">
        <f t="shared" si="27"/>
        <v>#DIV/0!</v>
      </c>
      <c r="L131" s="14">
        <f>'[1]2024_60-69 ΕΞΟΔΑ+ΟΜ 2'!N80</f>
        <v>130.58000000000001</v>
      </c>
      <c r="M131" s="15">
        <f t="shared" si="28"/>
        <v>1.1136060693151126E-2</v>
      </c>
      <c r="N131" s="10">
        <f>L131+'[1]2025 Οκτώβριος'!N131</f>
        <v>503.08000000000004</v>
      </c>
      <c r="O131" s="15">
        <f t="shared" si="29"/>
        <v>2.99691866863848E-3</v>
      </c>
      <c r="P131" s="10"/>
      <c r="Q131" s="30" t="e">
        <f t="shared" si="23"/>
        <v>#DIV/0!</v>
      </c>
      <c r="S131"/>
      <c r="T131"/>
      <c r="U131"/>
      <c r="V131" s="160"/>
    </row>
    <row r="132" spans="1:22" ht="15" x14ac:dyDescent="0.25">
      <c r="A132" s="67">
        <v>74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2'!N89</f>
        <v>0</v>
      </c>
      <c r="E132" s="15">
        <f t="shared" si="24"/>
        <v>0</v>
      </c>
      <c r="F132" s="10">
        <f>D132+'[1]2025 Οκτώβριος'!F132</f>
        <v>751.64</v>
      </c>
      <c r="G132" s="15">
        <f t="shared" si="25"/>
        <v>7.4291219326233495E-3</v>
      </c>
      <c r="H132" s="14"/>
      <c r="I132" s="29" t="e">
        <f t="shared" si="26"/>
        <v>#DIV/0!</v>
      </c>
      <c r="J132" s="10"/>
      <c r="K132" s="10" t="e">
        <f t="shared" si="27"/>
        <v>#DIV/0!</v>
      </c>
      <c r="L132" s="14">
        <f>'[1]2024_60-69 ΕΞΟΔΑ+ΟΜ 2'!N81</f>
        <v>24.51</v>
      </c>
      <c r="M132" s="15">
        <f t="shared" si="28"/>
        <v>2.0902500198279532E-3</v>
      </c>
      <c r="N132" s="10">
        <f>L132+'[1]2025 Οκτώβριος'!N132</f>
        <v>1584.7200000000003</v>
      </c>
      <c r="O132" s="15">
        <f t="shared" si="29"/>
        <v>9.4404010347554513E-3</v>
      </c>
      <c r="P132" s="10"/>
      <c r="Q132" s="30" t="e">
        <f t="shared" si="23"/>
        <v>#DIV/0!</v>
      </c>
      <c r="S132"/>
      <c r="T132"/>
      <c r="U132"/>
      <c r="V132" s="160"/>
    </row>
    <row r="133" spans="1:22" ht="15" x14ac:dyDescent="0.25">
      <c r="A133" s="67">
        <v>75</v>
      </c>
      <c r="B133" s="67">
        <v>17</v>
      </c>
      <c r="C133" s="71">
        <f>[1]ΑΝΤΙΣΤΟΙΧΙΣΗ!O203</f>
        <v>0</v>
      </c>
      <c r="D133" s="14">
        <f>'[1]2025_60-69 ΕΞΟΔΑ+ΟΜ 2'!N90</f>
        <v>0</v>
      </c>
      <c r="E133" s="15">
        <f t="shared" si="24"/>
        <v>0</v>
      </c>
      <c r="F133" s="10">
        <f>D133+'[1]2025 Οκτώβριος'!F133</f>
        <v>88.68</v>
      </c>
      <c r="G133" s="15">
        <f t="shared" si="25"/>
        <v>8.7650275794933571E-4</v>
      </c>
      <c r="H133" s="14"/>
      <c r="I133" s="29" t="e">
        <f t="shared" si="26"/>
        <v>#DIV/0!</v>
      </c>
      <c r="J133" s="10"/>
      <c r="K133" s="10" t="e">
        <f t="shared" si="27"/>
        <v>#DIV/0!</v>
      </c>
      <c r="L133" s="14">
        <f>'[1]2024_60-69 ΕΞΟΔΑ+ΟΜ 2'!N82</f>
        <v>17.07</v>
      </c>
      <c r="M133" s="15">
        <f t="shared" si="28"/>
        <v>1.4557555217651226E-3</v>
      </c>
      <c r="N133" s="10">
        <f>L133+'[1]2025 Οκτώβριος'!N133</f>
        <v>166.11</v>
      </c>
      <c r="O133" s="15">
        <f t="shared" si="29"/>
        <v>9.8954074908073853E-4</v>
      </c>
      <c r="P133" s="10"/>
      <c r="Q133" s="30" t="e">
        <f t="shared" si="23"/>
        <v>#DIV/0!</v>
      </c>
      <c r="S133"/>
      <c r="T133"/>
      <c r="U133"/>
      <c r="V133" s="160"/>
    </row>
    <row r="134" spans="1:22" ht="28.5" x14ac:dyDescent="0.25">
      <c r="A134" s="67">
        <v>76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2'!N91</f>
        <v>0</v>
      </c>
      <c r="E134" s="15">
        <f t="shared" si="24"/>
        <v>0</v>
      </c>
      <c r="F134" s="10">
        <f>D134+'[1]2025 Οκτώβριος'!F134</f>
        <v>46.31</v>
      </c>
      <c r="G134" s="15">
        <f t="shared" si="25"/>
        <v>4.5772262878477374E-4</v>
      </c>
      <c r="H134" s="14"/>
      <c r="I134" s="29" t="e">
        <f t="shared" si="26"/>
        <v>#DIV/0!</v>
      </c>
      <c r="J134" s="10"/>
      <c r="K134" s="10" t="e">
        <f t="shared" si="27"/>
        <v>#DIV/0!</v>
      </c>
      <c r="L134" s="14">
        <f>'[1]2024_60-69 ΕΞΟΔΑ+ΟΜ 2'!N83</f>
        <v>19.55</v>
      </c>
      <c r="M134" s="15">
        <f t="shared" si="28"/>
        <v>1.6672536877860662E-3</v>
      </c>
      <c r="N134" s="10">
        <f>L134+'[1]2025 Οκτώβριος'!N134</f>
        <v>55.11</v>
      </c>
      <c r="O134" s="15">
        <f t="shared" si="29"/>
        <v>3.2829805961013484E-4</v>
      </c>
      <c r="P134" s="10"/>
      <c r="Q134" s="30" t="e">
        <f t="shared" si="23"/>
        <v>#DIV/0!</v>
      </c>
      <c r="S134"/>
      <c r="T134"/>
      <c r="U134"/>
      <c r="V134" s="160"/>
    </row>
    <row r="135" spans="1:22" ht="15" x14ac:dyDescent="0.25">
      <c r="A135" s="67">
        <v>77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2'!N92</f>
        <v>0</v>
      </c>
      <c r="E135" s="15">
        <f t="shared" si="24"/>
        <v>0</v>
      </c>
      <c r="F135" s="10">
        <f>D135+'[1]2025 Οκτώβριος'!F135</f>
        <v>62.370000000000005</v>
      </c>
      <c r="G135" s="15">
        <f t="shared" si="25"/>
        <v>6.1645779221132242E-4</v>
      </c>
      <c r="H135" s="14"/>
      <c r="I135" s="29" t="e">
        <f t="shared" si="26"/>
        <v>#DIV/0!</v>
      </c>
      <c r="J135" s="10"/>
      <c r="K135" s="10" t="e">
        <f t="shared" si="27"/>
        <v>#DIV/0!</v>
      </c>
      <c r="L135" s="14">
        <f>'[1]2024_60-69 ΕΞΟΔΑ+ΟΜ 2'!N84</f>
        <v>330.23</v>
      </c>
      <c r="M135" s="15">
        <f t="shared" si="28"/>
        <v>2.8162515873022639E-2</v>
      </c>
      <c r="N135" s="10">
        <f>L135+'[1]2025 Οκτώβριος'!N135</f>
        <v>392.61</v>
      </c>
      <c r="O135" s="15">
        <f t="shared" si="29"/>
        <v>2.338833264081565E-3</v>
      </c>
      <c r="P135" s="10"/>
      <c r="Q135" s="30" t="e">
        <f t="shared" si="23"/>
        <v>#DIV/0!</v>
      </c>
      <c r="S135"/>
      <c r="T135"/>
      <c r="U135"/>
      <c r="V135"/>
    </row>
    <row r="136" spans="1:22" ht="28.5" x14ac:dyDescent="0.25">
      <c r="A136" s="67">
        <v>78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2'!N93</f>
        <v>0</v>
      </c>
      <c r="E136" s="15">
        <f t="shared" si="24"/>
        <v>0</v>
      </c>
      <c r="F136" s="10">
        <f>D136+'[1]2025 Οκτώβριος'!F136</f>
        <v>1482.8000000000002</v>
      </c>
      <c r="G136" s="15">
        <f t="shared" si="25"/>
        <v>1.4655821938286819E-2</v>
      </c>
      <c r="H136" s="14"/>
      <c r="I136" s="29" t="e">
        <f t="shared" si="26"/>
        <v>#DIV/0!</v>
      </c>
      <c r="J136" s="10"/>
      <c r="K136" s="10" t="e">
        <f t="shared" si="27"/>
        <v>#DIV/0!</v>
      </c>
      <c r="L136" s="14">
        <f>'[1]2024_60-69 ΕΞΟΔΑ+ΟΜ 2'!N85</f>
        <v>27.59</v>
      </c>
      <c r="M136" s="15">
        <f t="shared" si="28"/>
        <v>2.3529170969829954E-3</v>
      </c>
      <c r="N136" s="10">
        <f>L136+'[1]2025 Οκτώβριος'!N136</f>
        <v>3305.5899999999997</v>
      </c>
      <c r="O136" s="15">
        <f t="shared" si="29"/>
        <v>1.9691866863848041E-2</v>
      </c>
      <c r="P136" s="10"/>
      <c r="Q136" s="30" t="e">
        <f t="shared" si="23"/>
        <v>#DIV/0!</v>
      </c>
      <c r="S136"/>
      <c r="T136"/>
      <c r="U136"/>
      <c r="V136"/>
    </row>
    <row r="137" spans="1:22" ht="15" x14ac:dyDescent="0.25">
      <c r="A137" s="67">
        <v>79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2'!N94</f>
        <v>0</v>
      </c>
      <c r="E137" s="15">
        <f t="shared" si="24"/>
        <v>0</v>
      </c>
      <c r="F137" s="10">
        <f>D137+'[1]2025 Οκτώβριος'!F137</f>
        <v>25.62</v>
      </c>
      <c r="G137" s="15">
        <f t="shared" si="25"/>
        <v>2.5322508636290011E-4</v>
      </c>
      <c r="H137" s="14"/>
      <c r="I137" s="29" t="e">
        <f t="shared" si="26"/>
        <v>#DIV/0!</v>
      </c>
      <c r="J137" s="10"/>
      <c r="K137" s="10" t="e">
        <f t="shared" si="27"/>
        <v>#DIV/0!</v>
      </c>
      <c r="L137" s="14">
        <f>'[1]2024_60-69 ΕΞΟΔΑ+ΟΜ 2'!N86</f>
        <v>0</v>
      </c>
      <c r="M137" s="15">
        <f t="shared" si="28"/>
        <v>0</v>
      </c>
      <c r="N137" s="10">
        <f>L137+'[1]2025 Οκτώβριος'!N137</f>
        <v>71.930000000000007</v>
      </c>
      <c r="O137" s="15">
        <f t="shared" si="29"/>
        <v>4.2849717705964436E-4</v>
      </c>
      <c r="P137" s="10"/>
      <c r="Q137" s="30" t="e">
        <f t="shared" si="23"/>
        <v>#DIV/0!</v>
      </c>
      <c r="S137"/>
      <c r="T137"/>
      <c r="U137"/>
      <c r="V137"/>
    </row>
    <row r="138" spans="1:22" ht="15" x14ac:dyDescent="0.25">
      <c r="A138" s="67">
        <v>80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2'!N95</f>
        <v>0</v>
      </c>
      <c r="E138" s="15">
        <f t="shared" si="24"/>
        <v>0</v>
      </c>
      <c r="F138" s="10">
        <f>D138+'[1]2025 Οκτώβριος'!F138</f>
        <v>299.25</v>
      </c>
      <c r="G138" s="15">
        <f t="shared" si="25"/>
        <v>2.9577520333371526E-3</v>
      </c>
      <c r="H138" s="14"/>
      <c r="I138" s="29" t="e">
        <f t="shared" si="26"/>
        <v>#DIV/0!</v>
      </c>
      <c r="J138" s="10"/>
      <c r="K138" s="10" t="e">
        <f t="shared" si="27"/>
        <v>#DIV/0!</v>
      </c>
      <c r="L138" s="14">
        <f>'[1]2024_60-69 ΕΞΟΔΑ+ΟΜ 2'!N87</f>
        <v>0</v>
      </c>
      <c r="M138" s="15">
        <f t="shared" si="28"/>
        <v>0</v>
      </c>
      <c r="N138" s="10">
        <f>L138+'[1]2025 Οκτώβριος'!N138</f>
        <v>544.29999999999995</v>
      </c>
      <c r="O138" s="15">
        <f t="shared" si="29"/>
        <v>3.2424720349445903E-3</v>
      </c>
      <c r="P138" s="10"/>
      <c r="Q138" s="30" t="e">
        <f t="shared" si="23"/>
        <v>#DIV/0!</v>
      </c>
      <c r="S138"/>
      <c r="T138"/>
      <c r="U138"/>
      <c r="V138"/>
    </row>
    <row r="139" spans="1:22" ht="15" x14ac:dyDescent="0.25">
      <c r="A139" s="67">
        <v>81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2'!N96</f>
        <v>0</v>
      </c>
      <c r="E139" s="15">
        <f t="shared" si="24"/>
        <v>0</v>
      </c>
      <c r="F139" s="10">
        <f>D139+'[1]2025 Οκτώβριος'!F139</f>
        <v>0</v>
      </c>
      <c r="G139" s="15">
        <f t="shared" si="25"/>
        <v>0</v>
      </c>
      <c r="H139" s="14"/>
      <c r="I139" s="29" t="e">
        <f t="shared" si="26"/>
        <v>#DIV/0!</v>
      </c>
      <c r="J139" s="10"/>
      <c r="K139" s="10" t="e">
        <f t="shared" si="27"/>
        <v>#DIV/0!</v>
      </c>
      <c r="L139" s="14">
        <f>'[1]2024_60-69 ΕΞΟΔΑ+ΟΜ 2'!N88</f>
        <v>0</v>
      </c>
      <c r="M139" s="15">
        <f t="shared" si="28"/>
        <v>0</v>
      </c>
      <c r="N139" s="10">
        <f>L139+'[1]2025 Οκτώβριος'!N139</f>
        <v>0</v>
      </c>
      <c r="O139" s="15">
        <f t="shared" si="29"/>
        <v>0</v>
      </c>
      <c r="P139" s="10"/>
      <c r="Q139" s="30" t="e">
        <f t="shared" si="23"/>
        <v>#DIV/0!</v>
      </c>
      <c r="S139"/>
      <c r="T139"/>
      <c r="U139"/>
      <c r="V139"/>
    </row>
    <row r="140" spans="1:22" ht="15" x14ac:dyDescent="0.25">
      <c r="A140" s="67">
        <v>82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2'!N97</f>
        <v>0</v>
      </c>
      <c r="E140" s="15">
        <f t="shared" si="24"/>
        <v>0</v>
      </c>
      <c r="F140" s="10">
        <f>D140+'[1]2025 Οκτώβριος'!F140</f>
        <v>0</v>
      </c>
      <c r="G140" s="15">
        <f t="shared" si="25"/>
        <v>0</v>
      </c>
      <c r="H140" s="14"/>
      <c r="I140" s="29" t="e">
        <f t="shared" si="26"/>
        <v>#DIV/0!</v>
      </c>
      <c r="J140" s="10"/>
      <c r="K140" s="10" t="e">
        <f t="shared" si="27"/>
        <v>#DIV/0!</v>
      </c>
      <c r="L140" s="14">
        <f>'[1]2024_60-69 ΕΞΟΔΑ+ΟΜ 2'!N89</f>
        <v>0</v>
      </c>
      <c r="M140" s="15">
        <f t="shared" si="28"/>
        <v>0</v>
      </c>
      <c r="N140" s="10">
        <f>L140+'[1]2025 Οκτώβριος'!N140</f>
        <v>0</v>
      </c>
      <c r="O140" s="15">
        <f t="shared" si="29"/>
        <v>0</v>
      </c>
      <c r="P140" s="10"/>
      <c r="Q140" s="30" t="e">
        <f t="shared" si="23"/>
        <v>#DIV/0!</v>
      </c>
      <c r="S140"/>
      <c r="T140"/>
      <c r="U140"/>
      <c r="V140"/>
    </row>
    <row r="141" spans="1:22" ht="15" x14ac:dyDescent="0.25">
      <c r="A141" s="67">
        <v>83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2'!N98</f>
        <v>0</v>
      </c>
      <c r="E141" s="15">
        <f t="shared" si="24"/>
        <v>0</v>
      </c>
      <c r="F141" s="10">
        <f>D141+'[1]2025 Οκτώβριος'!F141</f>
        <v>0</v>
      </c>
      <c r="G141" s="15">
        <f t="shared" si="25"/>
        <v>0</v>
      </c>
      <c r="H141" s="14"/>
      <c r="I141" s="29" t="e">
        <f t="shared" si="26"/>
        <v>#DIV/0!</v>
      </c>
      <c r="J141" s="10"/>
      <c r="K141" s="10" t="e">
        <f t="shared" si="27"/>
        <v>#DIV/0!</v>
      </c>
      <c r="L141" s="14">
        <f>'[1]2024_60-69 ΕΞΟΔΑ+ΟΜ 2'!N90</f>
        <v>33.380000000000003</v>
      </c>
      <c r="M141" s="15">
        <f t="shared" si="28"/>
        <v>2.846697089427053E-3</v>
      </c>
      <c r="N141" s="10">
        <f>L141+'[1]2025 Οκτώβριος'!N141</f>
        <v>33.380000000000003</v>
      </c>
      <c r="O141" s="15">
        <f t="shared" si="29"/>
        <v>1.9884937814890766E-4</v>
      </c>
      <c r="P141" s="10"/>
      <c r="Q141" s="30" t="e">
        <f t="shared" si="23"/>
        <v>#DIV/0!</v>
      </c>
      <c r="S141"/>
      <c r="T141"/>
      <c r="U141"/>
      <c r="V141"/>
    </row>
    <row r="142" spans="1:22" ht="15" x14ac:dyDescent="0.25">
      <c r="A142" s="67">
        <v>84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2'!N99</f>
        <v>0</v>
      </c>
      <c r="E142" s="15">
        <f t="shared" si="24"/>
        <v>0</v>
      </c>
      <c r="F142" s="10">
        <f>D142+'[1]2025 Οκτώβριος'!F142</f>
        <v>1086.5899999999999</v>
      </c>
      <c r="G142" s="15">
        <f t="shared" si="25"/>
        <v>1.073972859449897E-2</v>
      </c>
      <c r="H142" s="14"/>
      <c r="I142" s="29" t="e">
        <f t="shared" si="26"/>
        <v>#DIV/0!</v>
      </c>
      <c r="J142" s="10"/>
      <c r="K142" s="10" t="e">
        <f t="shared" si="27"/>
        <v>#DIV/0!</v>
      </c>
      <c r="L142" s="14">
        <f>'[1]2024_60-69 ΕΞΟΔΑ+ΟΜ 2'!N91</f>
        <v>900</v>
      </c>
      <c r="M142" s="15">
        <f t="shared" si="28"/>
        <v>7.6753366701148823E-2</v>
      </c>
      <c r="N142" s="10">
        <f>L142+'[1]2025 Οκτώβριος'!N142</f>
        <v>2058.8500000000004</v>
      </c>
      <c r="O142" s="15">
        <f t="shared" si="29"/>
        <v>1.2264860461410383E-2</v>
      </c>
      <c r="P142" s="10"/>
      <c r="Q142" s="30" t="e">
        <f t="shared" si="23"/>
        <v>#DIV/0!</v>
      </c>
      <c r="S142"/>
      <c r="T142"/>
      <c r="U142"/>
      <c r="V142"/>
    </row>
    <row r="143" spans="1:22" ht="57" x14ac:dyDescent="0.25">
      <c r="A143" s="67">
        <v>85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2'!N100</f>
        <v>0</v>
      </c>
      <c r="E143" s="15">
        <f t="shared" si="24"/>
        <v>0</v>
      </c>
      <c r="F143" s="10">
        <f>D143+'[1]2025 Οκτώβριος'!F143</f>
        <v>5242.7299999999996</v>
      </c>
      <c r="G143" s="15">
        <f t="shared" si="25"/>
        <v>5.1818530719257107E-2</v>
      </c>
      <c r="H143" s="14"/>
      <c r="I143" s="29" t="e">
        <f t="shared" si="26"/>
        <v>#DIV/0!</v>
      </c>
      <c r="J143" s="10"/>
      <c r="K143" s="10" t="e">
        <f t="shared" si="27"/>
        <v>#DIV/0!</v>
      </c>
      <c r="L143" s="14">
        <f>'[1]2024_60-69 ΕΞΟΔΑ+ΟΜ 2'!N92</f>
        <v>28.84</v>
      </c>
      <c r="M143" s="15">
        <f t="shared" si="28"/>
        <v>2.4595189951790355E-3</v>
      </c>
      <c r="N143" s="10">
        <f>L143+'[1]2025 Οκτώβριος'!N143</f>
        <v>9618.84</v>
      </c>
      <c r="O143" s="15">
        <f t="shared" si="29"/>
        <v>5.7300789470156946E-2</v>
      </c>
      <c r="P143" s="10"/>
      <c r="Q143" s="30" t="e">
        <f t="shared" si="23"/>
        <v>#DIV/0!</v>
      </c>
      <c r="S143"/>
      <c r="T143"/>
      <c r="U143"/>
      <c r="V143"/>
    </row>
    <row r="144" spans="1:22" ht="57" x14ac:dyDescent="0.25">
      <c r="A144" s="67">
        <v>86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2'!N101</f>
        <v>0</v>
      </c>
      <c r="E144" s="15">
        <f t="shared" si="24"/>
        <v>0</v>
      </c>
      <c r="F144" s="10">
        <f>D144+'[1]2025 Οκτώβριος'!F144</f>
        <v>4600.62</v>
      </c>
      <c r="G144" s="15">
        <f t="shared" si="25"/>
        <v>4.5471990508309343E-2</v>
      </c>
      <c r="H144" s="14"/>
      <c r="I144" s="29" t="e">
        <f t="shared" si="26"/>
        <v>#DIV/0!</v>
      </c>
      <c r="J144" s="10"/>
      <c r="K144" s="10" t="e">
        <f t="shared" si="27"/>
        <v>#DIV/0!</v>
      </c>
      <c r="L144" s="14">
        <f>'[1]2024_60-69 ΕΞΟΔΑ+ΟΜ 2'!N93</f>
        <v>1047.56</v>
      </c>
      <c r="M144" s="15">
        <f t="shared" si="28"/>
        <v>8.9337507579394945E-2</v>
      </c>
      <c r="N144" s="10">
        <f>L144+'[1]2025 Οκτώβριος'!N144</f>
        <v>4156.38</v>
      </c>
      <c r="O144" s="15">
        <f t="shared" si="29"/>
        <v>2.4760143150106554E-2</v>
      </c>
      <c r="P144" s="10"/>
      <c r="Q144" s="30" t="e">
        <f t="shared" si="23"/>
        <v>#DIV/0!</v>
      </c>
      <c r="S144"/>
      <c r="T144"/>
      <c r="U144"/>
      <c r="V144"/>
    </row>
    <row r="145" spans="1:22" ht="15" x14ac:dyDescent="0.25">
      <c r="A145" s="67">
        <v>87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2'!N102</f>
        <v>0</v>
      </c>
      <c r="E145" s="15">
        <f t="shared" si="24"/>
        <v>0</v>
      </c>
      <c r="F145" s="10">
        <f>D145+'[1]2025 Οκτώβριος'!F145</f>
        <v>2050.08</v>
      </c>
      <c r="G145" s="15">
        <f t="shared" si="25"/>
        <v>2.0262751172945129E-2</v>
      </c>
      <c r="H145" s="14"/>
      <c r="I145" s="29" t="e">
        <f t="shared" si="26"/>
        <v>#DIV/0!</v>
      </c>
      <c r="J145" s="10"/>
      <c r="K145" s="10" t="e">
        <f t="shared" si="27"/>
        <v>#DIV/0!</v>
      </c>
      <c r="L145" s="14">
        <f>'[1]2024_60-69 ΕΞΟΔΑ+ΟΜ 2'!N94</f>
        <v>57.53</v>
      </c>
      <c r="M145" s="15">
        <f t="shared" si="28"/>
        <v>4.9062457625745461E-3</v>
      </c>
      <c r="N145" s="10">
        <f>L145+'[1]2025 Οκτώβριος'!N145</f>
        <v>2141.3300000000004</v>
      </c>
      <c r="O145" s="15">
        <f t="shared" si="29"/>
        <v>1.2756205479676468E-2</v>
      </c>
      <c r="P145" s="10"/>
      <c r="Q145" s="30" t="e">
        <f t="shared" si="23"/>
        <v>#DIV/0!</v>
      </c>
      <c r="S145"/>
      <c r="T145"/>
      <c r="U145"/>
      <c r="V145"/>
    </row>
    <row r="146" spans="1:22" ht="15" x14ac:dyDescent="0.25">
      <c r="A146" s="67">
        <v>88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2'!N103</f>
        <v>0</v>
      </c>
      <c r="E146" s="15">
        <f t="shared" si="24"/>
        <v>0</v>
      </c>
      <c r="F146" s="10">
        <f>D146+'[1]2025 Οκτώβριος'!F146</f>
        <v>345.75</v>
      </c>
      <c r="G146" s="15">
        <f t="shared" si="25"/>
        <v>3.4173525999208706E-3</v>
      </c>
      <c r="H146" s="14"/>
      <c r="I146" s="29" t="e">
        <f t="shared" si="26"/>
        <v>#DIV/0!</v>
      </c>
      <c r="J146" s="10"/>
      <c r="K146" s="10" t="e">
        <f t="shared" si="27"/>
        <v>#DIV/0!</v>
      </c>
      <c r="L146" s="14">
        <f>'[1]2024_60-69 ΕΞΟΔΑ+ΟΜ 2'!N95</f>
        <v>4705.72</v>
      </c>
      <c r="M146" s="15">
        <f t="shared" si="28"/>
        <v>0.40131094750325563</v>
      </c>
      <c r="N146" s="10">
        <f>L146+'[1]2025 Οκτώβριος'!N146</f>
        <v>5779.57</v>
      </c>
      <c r="O146" s="15">
        <f t="shared" si="29"/>
        <v>3.4429715412465013E-2</v>
      </c>
      <c r="P146" s="10"/>
      <c r="Q146" s="30" t="e">
        <f t="shared" si="23"/>
        <v>#DIV/0!</v>
      </c>
      <c r="S146"/>
      <c r="T146"/>
      <c r="U146"/>
      <c r="V146"/>
    </row>
    <row r="147" spans="1:22" ht="15" x14ac:dyDescent="0.25">
      <c r="A147" s="67">
        <v>89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2'!N104</f>
        <v>0</v>
      </c>
      <c r="E147" s="15">
        <f t="shared" si="24"/>
        <v>0</v>
      </c>
      <c r="F147" s="10">
        <f>D147+'[1]2025 Οκτώβριος'!F147</f>
        <v>0</v>
      </c>
      <c r="G147" s="15">
        <f t="shared" si="25"/>
        <v>0</v>
      </c>
      <c r="H147" s="14"/>
      <c r="I147" s="29" t="e">
        <f t="shared" si="26"/>
        <v>#DIV/0!</v>
      </c>
      <c r="J147" s="10"/>
      <c r="K147" s="10" t="e">
        <f t="shared" si="27"/>
        <v>#DIV/0!</v>
      </c>
      <c r="L147" s="14">
        <f>'[1]2024_60-69 ΕΞΟΔΑ+ΟΜ 2'!N96</f>
        <v>0</v>
      </c>
      <c r="M147" s="15">
        <f t="shared" si="28"/>
        <v>0</v>
      </c>
      <c r="N147" s="10">
        <f>L147+'[1]2025 Οκτώβριος'!N147</f>
        <v>1530.96</v>
      </c>
      <c r="O147" s="15">
        <f t="shared" si="29"/>
        <v>9.1201451159632022E-3</v>
      </c>
      <c r="P147" s="10"/>
      <c r="Q147" s="30" t="e">
        <f t="shared" si="23"/>
        <v>#DIV/0!</v>
      </c>
      <c r="S147"/>
      <c r="T147"/>
      <c r="U147"/>
      <c r="V147"/>
    </row>
    <row r="148" spans="1:22" ht="15" x14ac:dyDescent="0.25">
      <c r="A148" s="67">
        <v>90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2'!N105</f>
        <v>0</v>
      </c>
      <c r="E148" s="15">
        <f t="shared" si="24"/>
        <v>0</v>
      </c>
      <c r="F148" s="10">
        <f>D148+'[1]2025 Οκτώβριος'!F148</f>
        <v>0</v>
      </c>
      <c r="G148" s="15">
        <f t="shared" si="25"/>
        <v>0</v>
      </c>
      <c r="H148" s="14"/>
      <c r="I148" s="29" t="e">
        <f t="shared" si="26"/>
        <v>#DIV/0!</v>
      </c>
      <c r="J148" s="10"/>
      <c r="K148" s="10" t="e">
        <f t="shared" si="27"/>
        <v>#DIV/0!</v>
      </c>
      <c r="L148" s="14">
        <f>'[1]2024_60-69 ΕΞΟΔΑ+ΟΜ 2'!N97</f>
        <v>476.24</v>
      </c>
      <c r="M148" s="15">
        <f t="shared" si="28"/>
        <v>4.0614470397505681E-2</v>
      </c>
      <c r="N148" s="10">
        <f>L148+'[1]2025 Οκτώβριος'!N148</f>
        <v>476.24</v>
      </c>
      <c r="O148" s="15">
        <f t="shared" si="29"/>
        <v>2.8370289948962189E-3</v>
      </c>
      <c r="P148" s="10"/>
      <c r="Q148" s="30" t="e">
        <f t="shared" si="23"/>
        <v>#DIV/0!</v>
      </c>
      <c r="S148"/>
      <c r="T148"/>
      <c r="U148"/>
      <c r="V148"/>
    </row>
    <row r="149" spans="1:22" ht="15" x14ac:dyDescent="0.25">
      <c r="A149" s="67">
        <v>91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2'!N106</f>
        <v>777.67000000000007</v>
      </c>
      <c r="E149" s="15">
        <f t="shared" si="24"/>
        <v>1</v>
      </c>
      <c r="F149" s="10">
        <f>D149+'[1]2025 Οκτώβριος'!F149</f>
        <v>4915.04</v>
      </c>
      <c r="G149" s="15">
        <f t="shared" si="25"/>
        <v>4.8579681049067465E-2</v>
      </c>
      <c r="H149" s="14"/>
      <c r="I149" s="29" t="e">
        <f t="shared" si="26"/>
        <v>#DIV/0!</v>
      </c>
      <c r="J149" s="10"/>
      <c r="K149" s="10" t="e">
        <f t="shared" si="27"/>
        <v>#DIV/0!</v>
      </c>
      <c r="L149" s="14">
        <f>'[1]2024_60-69 ΕΞΟΔΑ+ΟΜ 2'!N98</f>
        <v>0</v>
      </c>
      <c r="M149" s="15">
        <f t="shared" si="28"/>
        <v>0</v>
      </c>
      <c r="N149" s="10">
        <f>L149+'[1]2025 Οκτώβριος'!N149</f>
        <v>4053.0400000000004</v>
      </c>
      <c r="O149" s="15">
        <f t="shared" si="29"/>
        <v>2.414453216335077E-2</v>
      </c>
      <c r="P149" s="10"/>
      <c r="Q149" s="30" t="e">
        <f t="shared" si="23"/>
        <v>#DIV/0!</v>
      </c>
      <c r="S149"/>
      <c r="T149"/>
      <c r="U149"/>
      <c r="V149"/>
    </row>
    <row r="150" spans="1:22" ht="15" x14ac:dyDescent="0.25">
      <c r="A150" s="67">
        <v>92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2'!N107</f>
        <v>0</v>
      </c>
      <c r="E150" s="15">
        <f t="shared" si="24"/>
        <v>0</v>
      </c>
      <c r="F150" s="10">
        <f>D150+'[1]2025 Οκτώβριος'!F150</f>
        <v>0</v>
      </c>
      <c r="G150" s="15">
        <f t="shared" si="25"/>
        <v>0</v>
      </c>
      <c r="H150" s="14"/>
      <c r="I150" s="29" t="e">
        <f t="shared" si="26"/>
        <v>#DIV/0!</v>
      </c>
      <c r="J150" s="10"/>
      <c r="K150" s="10" t="e">
        <f t="shared" si="27"/>
        <v>#DIV/0!</v>
      </c>
      <c r="L150" s="14">
        <f>'[1]2024_60-69 ΕΞΟΔΑ+ΟΜ 2'!N99</f>
        <v>0</v>
      </c>
      <c r="M150" s="15">
        <f t="shared" si="28"/>
        <v>0</v>
      </c>
      <c r="N150" s="10">
        <f>L150+'[1]2025 Οκτώβριος'!N150</f>
        <v>0</v>
      </c>
      <c r="O150" s="15">
        <f t="shared" si="29"/>
        <v>0</v>
      </c>
      <c r="P150" s="10"/>
      <c r="Q150" s="30" t="e">
        <f t="shared" si="23"/>
        <v>#DIV/0!</v>
      </c>
      <c r="S150"/>
      <c r="T150"/>
      <c r="U150"/>
      <c r="V150"/>
    </row>
    <row r="151" spans="1:22" ht="15" x14ac:dyDescent="0.25">
      <c r="A151" s="67">
        <v>93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2'!N108</f>
        <v>0</v>
      </c>
      <c r="E151" s="15">
        <f t="shared" si="24"/>
        <v>0</v>
      </c>
      <c r="F151" s="10">
        <f>D151+'[1]2025 Οκτώβριος'!F151</f>
        <v>2393.4199999999996</v>
      </c>
      <c r="G151" s="15">
        <f t="shared" si="25"/>
        <v>2.3656283614468861E-2</v>
      </c>
      <c r="H151" s="14"/>
      <c r="I151" s="29" t="e">
        <f t="shared" si="26"/>
        <v>#DIV/0!</v>
      </c>
      <c r="J151" s="10"/>
      <c r="K151" s="10" t="e">
        <f t="shared" si="27"/>
        <v>#DIV/0!</v>
      </c>
      <c r="L151" s="14">
        <f>'[1]2024_60-69 ΕΞΟΔΑ+ΟΜ 2'!N100</f>
        <v>336.86</v>
      </c>
      <c r="M151" s="15">
        <f t="shared" si="28"/>
        <v>2.8727932341054436E-2</v>
      </c>
      <c r="N151" s="10">
        <f>L151+'[1]2025 Οκτώβριος'!N151</f>
        <v>1266.48</v>
      </c>
      <c r="O151" s="15">
        <f t="shared" si="29"/>
        <v>7.5446003726191901E-3</v>
      </c>
      <c r="P151" s="10"/>
      <c r="Q151" s="30" t="e">
        <f t="shared" si="23"/>
        <v>#DIV/0!</v>
      </c>
      <c r="S151"/>
      <c r="T151"/>
      <c r="U151"/>
      <c r="V151"/>
    </row>
    <row r="152" spans="1:22" ht="42.75" customHeight="1" x14ac:dyDescent="0.25">
      <c r="A152" s="67">
        <v>94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2'!N109</f>
        <v>0</v>
      </c>
      <c r="E152" s="15">
        <f t="shared" si="24"/>
        <v>0</v>
      </c>
      <c r="F152" s="10">
        <f>D152+'[1]2025 Οκτώβριος'!F152</f>
        <v>0</v>
      </c>
      <c r="G152" s="15">
        <f t="shared" si="25"/>
        <v>0</v>
      </c>
      <c r="H152" s="14"/>
      <c r="I152" s="29" t="e">
        <f t="shared" si="26"/>
        <v>#DIV/0!</v>
      </c>
      <c r="J152" s="10"/>
      <c r="K152" s="10" t="e">
        <f t="shared" si="27"/>
        <v>#DIV/0!</v>
      </c>
      <c r="L152" s="14">
        <f>'[1]2024_60-69 ΕΞΟΔΑ+ΟΜ 2'!N101</f>
        <v>0</v>
      </c>
      <c r="M152" s="15">
        <f t="shared" si="28"/>
        <v>0</v>
      </c>
      <c r="N152" s="10">
        <f>L152+'[1]2025 Οκτώβριος'!N152</f>
        <v>6443.17</v>
      </c>
      <c r="O152" s="15">
        <f t="shared" si="29"/>
        <v>3.838287441005684E-2</v>
      </c>
      <c r="P152" s="10"/>
      <c r="Q152" s="30" t="e">
        <f t="shared" si="23"/>
        <v>#DIV/0!</v>
      </c>
      <c r="S152"/>
      <c r="T152"/>
      <c r="U152"/>
      <c r="V152"/>
    </row>
    <row r="153" spans="1:22" ht="42.75" x14ac:dyDescent="0.25">
      <c r="A153" s="67">
        <v>95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2'!N110</f>
        <v>0</v>
      </c>
      <c r="E153" s="15">
        <f t="shared" si="24"/>
        <v>0</v>
      </c>
      <c r="F153" s="10">
        <f>D153+'[1]2025 Οκτώβριος'!F153</f>
        <v>7776.7000000000007</v>
      </c>
      <c r="G153" s="15">
        <f t="shared" si="25"/>
        <v>7.6863994110787093E-2</v>
      </c>
      <c r="H153" s="14"/>
      <c r="I153" s="29" t="e">
        <f t="shared" si="26"/>
        <v>#DIV/0!</v>
      </c>
      <c r="J153" s="10"/>
      <c r="K153" s="10" t="e">
        <f t="shared" si="27"/>
        <v>#DIV/0!</v>
      </c>
      <c r="L153" s="14">
        <f>'[1]2024_60-69 ΕΞΟΔΑ+ΟΜ 2'!N102</f>
        <v>71.099999999999994</v>
      </c>
      <c r="M153" s="15">
        <f t="shared" si="28"/>
        <v>6.0635159693907563E-3</v>
      </c>
      <c r="N153" s="10">
        <f>L153+'[1]2025 Οκτώβριος'!N153</f>
        <v>71.099999999999994</v>
      </c>
      <c r="O153" s="15">
        <f t="shared" si="29"/>
        <v>4.2355274974198123E-4</v>
      </c>
      <c r="P153" s="10"/>
      <c r="Q153" s="30" t="e">
        <f t="shared" si="23"/>
        <v>#DIV/0!</v>
      </c>
      <c r="S153"/>
      <c r="T153"/>
      <c r="U153"/>
      <c r="V153"/>
    </row>
    <row r="154" spans="1:22" ht="15" x14ac:dyDescent="0.25">
      <c r="A154" s="67">
        <v>96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  <c r="S154"/>
      <c r="T154"/>
      <c r="U154"/>
      <c r="V154"/>
    </row>
    <row r="155" spans="1:22" ht="15" x14ac:dyDescent="0.25">
      <c r="A155" s="67">
        <v>97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  <c r="S155"/>
      <c r="T155"/>
      <c r="U155"/>
      <c r="V155"/>
    </row>
    <row r="156" spans="1:22" ht="15" x14ac:dyDescent="0.25">
      <c r="A156" s="67">
        <v>98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  <c r="S156"/>
      <c r="T156"/>
      <c r="U156"/>
      <c r="V156"/>
    </row>
    <row r="157" spans="1:22" ht="30" x14ac:dyDescent="0.25">
      <c r="A157" s="86"/>
      <c r="B157" s="86"/>
      <c r="C157" s="6" t="s">
        <v>43</v>
      </c>
      <c r="D157" s="7">
        <f>'[1]2025_60-69 ΕΞΟΔΑ+ΟΜ 2'!N73</f>
        <v>0</v>
      </c>
      <c r="E157" s="8"/>
      <c r="F157" s="7">
        <f>'[1]2025_60-69 ΕΞΟΔΑ+ΟΜ 2'!AA73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11725.87</v>
      </c>
      <c r="M157" s="8"/>
      <c r="N157" s="7">
        <f>SUM(N117:N156)</f>
        <v>167865.75000000003</v>
      </c>
      <c r="O157" s="8"/>
      <c r="P157" s="7">
        <f>SUM(P117:P156)</f>
        <v>0</v>
      </c>
      <c r="Q157" s="8"/>
      <c r="S157"/>
      <c r="T157"/>
      <c r="U157"/>
      <c r="V157"/>
    </row>
    <row r="158" spans="1:22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>
        <f>F116-F157</f>
        <v>101174.80999999997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  <c r="S158"/>
      <c r="T158"/>
      <c r="U158"/>
      <c r="V158"/>
    </row>
    <row r="159" spans="1:22" ht="30" x14ac:dyDescent="0.25">
      <c r="A159" s="87"/>
      <c r="B159" s="87"/>
      <c r="C159" s="2" t="s">
        <v>14</v>
      </c>
      <c r="D159" s="31">
        <f>D7-D78-D111-D157</f>
        <v>-7839.9766666666674</v>
      </c>
      <c r="E159" s="4"/>
      <c r="F159" s="31">
        <f>F7-F78-F111-F157</f>
        <v>-101921.8774926253</v>
      </c>
      <c r="G159" s="4"/>
      <c r="H159" s="31">
        <f ca="1">H7-H78-H111-H157</f>
        <v>0</v>
      </c>
      <c r="I159" s="4"/>
      <c r="J159" s="31">
        <f ca="1">J7-J78-J111-J157</f>
        <v>655506.89532069315</v>
      </c>
      <c r="K159" s="4"/>
      <c r="L159" s="31">
        <f ca="1">L7-L78-L111-L157</f>
        <v>-35473.71</v>
      </c>
      <c r="M159" s="4"/>
      <c r="N159" s="31">
        <f ca="1">N7-N78-N111-N157</f>
        <v>-614822.05304424756</v>
      </c>
      <c r="O159" s="4"/>
      <c r="P159" s="31"/>
      <c r="Q159" s="4"/>
      <c r="S159"/>
      <c r="T159"/>
      <c r="U159"/>
      <c r="V159"/>
    </row>
    <row r="160" spans="1:22" ht="15" x14ac:dyDescent="0.25">
      <c r="A160" s="57"/>
      <c r="B160" s="58"/>
      <c r="C160" s="58"/>
      <c r="D160" s="182"/>
      <c r="E160" s="182"/>
      <c r="F160" s="182"/>
      <c r="G160" s="182"/>
      <c r="H160" s="182"/>
      <c r="I160" s="182"/>
      <c r="J160" s="182"/>
      <c r="K160" s="182"/>
      <c r="L160" s="182"/>
      <c r="M160" s="182"/>
      <c r="N160" s="182"/>
      <c r="O160" s="182"/>
      <c r="P160" s="183"/>
      <c r="Q160" s="183"/>
    </row>
  </sheetData>
  <mergeCells count="37">
    <mergeCell ref="D82:F82"/>
    <mergeCell ref="H82:J82"/>
    <mergeCell ref="L82:N82"/>
    <mergeCell ref="P82:Q82"/>
    <mergeCell ref="D160:G160"/>
    <mergeCell ref="H160:K160"/>
    <mergeCell ref="L160:O160"/>
    <mergeCell ref="P160:Q160"/>
    <mergeCell ref="D113:G113"/>
    <mergeCell ref="H113:K113"/>
    <mergeCell ref="L113:O113"/>
    <mergeCell ref="P113:Q113"/>
    <mergeCell ref="D114:F114"/>
    <mergeCell ref="H114:J114"/>
    <mergeCell ref="L114:N114"/>
    <mergeCell ref="P114:Q114"/>
    <mergeCell ref="D41:F41"/>
    <mergeCell ref="H41:J41"/>
    <mergeCell ref="L41:N41"/>
    <mergeCell ref="P41:Q41"/>
    <mergeCell ref="D81:G81"/>
    <mergeCell ref="H81:K81"/>
    <mergeCell ref="L81:O81"/>
    <mergeCell ref="P81:Q81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164"/>
  <sheetViews>
    <sheetView topLeftCell="A90" zoomScaleNormal="100" workbookViewId="0">
      <selection activeCell="B85" sqref="B85:B110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14.28515625" style="33" bestFit="1" customWidth="1"/>
    <col min="7" max="7" width="11.7109375" style="33" customWidth="1"/>
    <col min="8" max="8" width="11.5703125" style="33" bestFit="1" customWidth="1"/>
    <col min="9" max="9" width="8.85546875" style="33" customWidth="1"/>
    <col min="10" max="10" width="11.42578125" style="33" customWidth="1"/>
    <col min="11" max="11" width="10.7109375" style="33" customWidth="1"/>
    <col min="12" max="12" width="13.42578125" style="33" bestFit="1" customWidth="1"/>
    <col min="13" max="13" width="11.7109375" style="33" customWidth="1"/>
    <col min="14" max="14" width="13.85546875" style="33" customWidth="1"/>
    <col min="15" max="15" width="13.28515625" style="33" customWidth="1"/>
    <col min="16" max="16" width="14.7109375" style="33" bestFit="1" customWidth="1"/>
    <col min="17" max="17" width="11.42578125" style="1" customWidth="1"/>
    <col min="18" max="18" width="12.7109375" style="1" bestFit="1" customWidth="1"/>
    <col min="19" max="21" width="9.140625" style="1"/>
    <col min="22" max="22" width="34.5703125" style="1" customWidth="1"/>
    <col min="23" max="16384" width="9.140625" style="1"/>
  </cols>
  <sheetData>
    <row r="1" spans="1:22" ht="15" customHeight="1" x14ac:dyDescent="0.25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</row>
    <row r="2" spans="1:22" ht="41.25" customHeight="1" x14ac:dyDescent="0.25">
      <c r="A2" s="57"/>
      <c r="B2" s="58"/>
      <c r="C2" s="58" t="s">
        <v>160</v>
      </c>
      <c r="D2" s="182" t="str">
        <f>[1]ΑΝΤΙΣΤΟΙΧΙΣΗ!$F$32</f>
        <v xml:space="preserve">ΠΡΑΓΜΑΤΟΠΟΙΗΘΕΝΤΑ ΜΗΝΟΣ ΤΡΕΧ. ΕΤΟΥΣ </v>
      </c>
      <c r="E2" s="182"/>
      <c r="F2" s="182"/>
      <c r="G2" s="182">
        <f>[1]ΑΝΤΙΣΤΟΙΧΙΣΗ!$D$34</f>
        <v>2025</v>
      </c>
      <c r="H2" s="182" t="str">
        <f>[1]ΑΝΤΙΣΤΟΙΧΙΣΗ!$F$35</f>
        <v>ΠΡΟΥΠΟΛΟΓΙΣΜΟΣ ΤΡΕΧΟΝΤΟΣ ΕΤΟΥΣ</v>
      </c>
      <c r="I2" s="182"/>
      <c r="J2" s="182"/>
      <c r="K2" s="182">
        <f>[1]ΑΝΤΙΣΤΟΙΧΙΣΗ!$D$34</f>
        <v>2025</v>
      </c>
      <c r="L2" s="182" t="str">
        <f>[1]ΑΝΤΙΣΤΟΙΧΙΣΗ!$F$68</f>
        <v>ΠΡΑΓΜΑΤΟΠΟΙΗΘΕΝΤΑ ΠΡΟΗΓΟΥΜΕΝΟΥ ΕΤΟΥΣ</v>
      </c>
      <c r="M2" s="182"/>
      <c r="N2" s="182"/>
      <c r="O2" s="182">
        <f>[1]ΑΝΤΙΣΤΟΙΧΙΣΗ!$D$33</f>
        <v>2024</v>
      </c>
      <c r="P2" s="183" t="str">
        <f>[1]ΑΝΤΙΣΤΟΙΧΙΣΗ!$F$100</f>
        <v xml:space="preserve">ΣΥΓΚΡΙΣΕΙΣ </v>
      </c>
      <c r="Q2" s="183">
        <f>[1]ΑΝΤΙΣΤΟΙΧΙΣΗ!$H$141</f>
        <v>2024</v>
      </c>
      <c r="S2"/>
      <c r="T2"/>
      <c r="U2"/>
      <c r="V2"/>
    </row>
    <row r="3" spans="1:22" ht="25.5" customHeight="1" x14ac:dyDescent="0.25">
      <c r="A3" s="59" t="s">
        <v>1</v>
      </c>
      <c r="B3" s="60"/>
      <c r="C3" s="5" t="s">
        <v>3</v>
      </c>
      <c r="D3" s="180" t="str">
        <f>[1]ΑΝΤΙΣΤΟΙΧΙΣΗ!$F$117</f>
        <v xml:space="preserve">ΔΕΚΕΜΒΡΙΟΣ ΤΡΕΧΟΝ ΕΤΟΣ </v>
      </c>
      <c r="E3" s="180"/>
      <c r="F3" s="180"/>
      <c r="G3" s="61">
        <f>[1]ΑΝΤΙΣΤΟΙΧΙΣΗ!$D$34</f>
        <v>2025</v>
      </c>
      <c r="H3" s="180" t="str">
        <f>[1]ΑΝΤΙΣΤΟΙΧΙΣΗ!$F$117</f>
        <v xml:space="preserve">ΔΕΚΕΜΒΡΙΟΣ ΤΡΕΧΟΝ ΕΤΟΣ </v>
      </c>
      <c r="I3" s="180"/>
      <c r="J3" s="180"/>
      <c r="K3" s="61">
        <f>[1]ΑΝΤΙΣΤΟΙΧΙΣΗ!$D$34</f>
        <v>2025</v>
      </c>
      <c r="L3" s="180" t="str">
        <f>[1]ΑΝΤΙΣΤΟΙΧΙΣΗ!$F$131</f>
        <v>ΔΕΚΕΜΒΡΙΟΣ ΠΡΟΗΓΟΥΜΕΝΟΥ ΕΤΟΥΣ</v>
      </c>
      <c r="M3" s="180"/>
      <c r="N3" s="180"/>
      <c r="O3" s="61">
        <f>[1]ΑΝΤΙΣΤΟΙΧΙΣΗ!$D$33</f>
        <v>2024</v>
      </c>
      <c r="P3" s="180"/>
      <c r="Q3" s="180"/>
      <c r="S3"/>
      <c r="T3"/>
      <c r="U3"/>
      <c r="V3"/>
    </row>
    <row r="4" spans="1:22" ht="78.75" x14ac:dyDescent="0.25">
      <c r="A4" s="62"/>
      <c r="B4" s="62"/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  <c r="S4"/>
      <c r="T4"/>
      <c r="U4"/>
      <c r="V4"/>
    </row>
    <row r="5" spans="1:22" ht="30" x14ac:dyDescent="0.25">
      <c r="A5" s="64"/>
      <c r="B5" s="65"/>
      <c r="C5" s="2" t="s">
        <v>14</v>
      </c>
      <c r="D5" s="3" t="e">
        <f>D7-D6</f>
        <v>#VALUE!</v>
      </c>
      <c r="E5" s="4"/>
      <c r="F5" s="3">
        <f>F7-F6</f>
        <v>-109761.85415929207</v>
      </c>
      <c r="G5" s="4"/>
      <c r="H5" s="3" t="e">
        <f ca="1">H159-H6</f>
        <v>#VALUE!</v>
      </c>
      <c r="I5" s="4"/>
      <c r="J5" s="3" t="e">
        <f ca="1">J159-J6</f>
        <v>#VALUE!</v>
      </c>
      <c r="K5" s="4"/>
      <c r="L5" s="3" t="e">
        <f>L7-L6</f>
        <v>#VALUE!</v>
      </c>
      <c r="M5" s="4"/>
      <c r="N5" s="3">
        <f ca="1">N7-N6</f>
        <v>-654088.7630442474</v>
      </c>
      <c r="O5" s="4"/>
      <c r="P5" s="3" t="e">
        <f>P159-P6</f>
        <v>#VALUE!</v>
      </c>
      <c r="Q5" s="4"/>
      <c r="R5"/>
      <c r="S5"/>
      <c r="T5"/>
      <c r="U5"/>
      <c r="V5"/>
    </row>
    <row r="6" spans="1:22" ht="25.5" customHeight="1" x14ac:dyDescent="0.25">
      <c r="A6" s="64"/>
      <c r="B6" s="65"/>
      <c r="C6" s="2" t="s">
        <v>15</v>
      </c>
      <c r="D6" s="3" t="e">
        <f>D43+D83+D116</f>
        <v>#VALUE!</v>
      </c>
      <c r="E6" s="4"/>
      <c r="F6" s="3">
        <f>F78+F111+F157</f>
        <v>325601.42000000004</v>
      </c>
      <c r="G6" s="4"/>
      <c r="H6" s="3" t="e">
        <f>H38-H43-H83</f>
        <v>#VALUE!</v>
      </c>
      <c r="I6" s="4"/>
      <c r="J6" s="66" t="e">
        <f>J38-J43-J83</f>
        <v>#VALUE!</v>
      </c>
      <c r="K6" s="4"/>
      <c r="L6" s="3" t="e">
        <f>L43+L83+L116</f>
        <v>#VALUE!</v>
      </c>
      <c r="M6" s="4"/>
      <c r="N6" s="66">
        <f ca="1">N78+N111+N157</f>
        <v>1377643.7079999999</v>
      </c>
      <c r="O6" s="4"/>
      <c r="P6" s="3" t="e">
        <f>P38-P43-P83</f>
        <v>#VALUE!</v>
      </c>
      <c r="Q6" s="4"/>
      <c r="R6"/>
      <c r="S6"/>
      <c r="T6"/>
      <c r="U6"/>
      <c r="V6"/>
    </row>
    <row r="7" spans="1:22" ht="15.75" x14ac:dyDescent="0.25">
      <c r="A7" s="19"/>
      <c r="B7" s="19"/>
      <c r="C7" s="6" t="s">
        <v>16</v>
      </c>
      <c r="D7" s="7">
        <f>SUM(D8:D37)</f>
        <v>0</v>
      </c>
      <c r="E7" s="8"/>
      <c r="F7" s="7">
        <f>SUM(F8:F37)</f>
        <v>215839.56584070798</v>
      </c>
      <c r="G7" s="8"/>
      <c r="H7" s="7">
        <f>SUM(H8:H37)</f>
        <v>0</v>
      </c>
      <c r="I7" s="8"/>
      <c r="J7" s="7">
        <f>SUM(J8:J37)</f>
        <v>712926.932741886</v>
      </c>
      <c r="K7" s="8"/>
      <c r="L7" s="7">
        <f>SUM(L8:L37)</f>
        <v>100106.19</v>
      </c>
      <c r="M7" s="8"/>
      <c r="N7" s="7">
        <f>SUM(N8:N37)</f>
        <v>723554.94495575246</v>
      </c>
      <c r="O7" s="8"/>
      <c r="P7" s="7">
        <f>SUM(P8:P37)</f>
        <v>-507715.37911504437</v>
      </c>
      <c r="Q7" s="8"/>
      <c r="R7"/>
      <c r="S7"/>
      <c r="T7"/>
      <c r="U7"/>
      <c r="V7"/>
    </row>
    <row r="8" spans="1:22" ht="18.75" customHeight="1" x14ac:dyDescent="0.25">
      <c r="A8" s="67">
        <v>1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'[1]2025_ΕΣΟΔΑ'!N2</f>
        <v>0</v>
      </c>
      <c r="E8" s="11" t="e">
        <f>D8/$D$7</f>
        <v>#DIV/0!</v>
      </c>
      <c r="F8" s="12">
        <f>D8+'[1]2025 Νοέμβριος'!F8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Νοέμβριος'!J8</f>
        <v>569906.9184056028</v>
      </c>
      <c r="K8" s="11">
        <f>J8/$J$7</f>
        <v>0.79939036138495367</v>
      </c>
      <c r="L8" s="68">
        <f>'[1]2024_60-69 ΕΞΟΔΑ+ΟΜ 2'!N114</f>
        <v>35454.42</v>
      </c>
      <c r="M8" s="11">
        <f>L8/$L$7</f>
        <v>0.3541681088851748</v>
      </c>
      <c r="N8" s="12">
        <f>L8+'[1]2025 Νοέμβριος'!N8</f>
        <v>582831.40150442487</v>
      </c>
      <c r="O8" s="11">
        <f>N8/$N$7</f>
        <v>0.80551090911287559</v>
      </c>
      <c r="P8" s="12">
        <f t="shared" ref="P8:P37" si="0">F8-N8</f>
        <v>-391520.06973451335</v>
      </c>
      <c r="Q8" s="11">
        <f t="shared" ref="Q8:Q37" si="1">N8/F8</f>
        <v>3.0465074708977049</v>
      </c>
      <c r="R8"/>
      <c r="S8"/>
      <c r="T8"/>
      <c r="U8"/>
      <c r="V8"/>
    </row>
    <row r="9" spans="1:22" ht="16.5" customHeight="1" x14ac:dyDescent="0.25">
      <c r="A9" s="67">
        <v>2</v>
      </c>
      <c r="B9" s="67">
        <v>2</v>
      </c>
      <c r="C9" s="44" t="str">
        <f>[1]ΑΝΤΙΣΤΟΙΧΙΣΗ!F188</f>
        <v>Early Check in/Check Out</v>
      </c>
      <c r="D9" s="10">
        <f>'[1]2025_ΕΣΟΔΑ'!N3</f>
        <v>0</v>
      </c>
      <c r="E9" s="11" t="e">
        <f t="shared" ref="E9:E37" si="2">D9/$D$7</f>
        <v>#DIV/0!</v>
      </c>
      <c r="F9" s="12">
        <f>D9+'[1]2025 Νοέμβριος'!F9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Νοέμβριος'!J9</f>
        <v>2255</v>
      </c>
      <c r="K9" s="11">
        <f t="shared" ref="K9:K37" si="5">J9/$J$7</f>
        <v>3.1630169887499802E-3</v>
      </c>
      <c r="L9" s="68">
        <f>'[1]2024_60-69 ΕΞΟΔΑ+ΟΜ 2'!N115</f>
        <v>0</v>
      </c>
      <c r="M9" s="11">
        <f t="shared" ref="M9:M37" si="6">L9/$L$7</f>
        <v>0</v>
      </c>
      <c r="N9" s="12">
        <f>L9+'[1]2025 Νοέμβριος'!N9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  <c r="S9"/>
      <c r="T9"/>
      <c r="U9"/>
      <c r="V9"/>
    </row>
    <row r="10" spans="1:22" ht="16.5" customHeight="1" x14ac:dyDescent="0.25">
      <c r="A10" s="67">
        <v>3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'[1]2025_ΕΣΟΔΑ'!N4</f>
        <v>0</v>
      </c>
      <c r="E10" s="11" t="e">
        <f t="shared" si="2"/>
        <v>#DIV/0!</v>
      </c>
      <c r="F10" s="12">
        <f>D10+'[1]2025 Νοέμβριος'!F10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Νοέμβριος'!J10</f>
        <v>0</v>
      </c>
      <c r="K10" s="11">
        <f t="shared" si="5"/>
        <v>0</v>
      </c>
      <c r="L10" s="68">
        <f>'[1]2024_60-69 ΕΞΟΔΑ+ΟΜ 2'!N116</f>
        <v>0</v>
      </c>
      <c r="M10" s="11">
        <f t="shared" si="6"/>
        <v>0</v>
      </c>
      <c r="N10" s="12">
        <f>L10+'[1]2025 Νοέμβριος'!N10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  <c r="S10"/>
      <c r="T10"/>
      <c r="U10"/>
      <c r="V10"/>
    </row>
    <row r="11" spans="1:22" ht="15" x14ac:dyDescent="0.25">
      <c r="A11" s="67">
        <v>4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'[1]2025_ΕΣΟΔΑ'!N5</f>
        <v>0</v>
      </c>
      <c r="E11" s="11" t="e">
        <f t="shared" si="2"/>
        <v>#DIV/0!</v>
      </c>
      <c r="F11" s="12">
        <f>D11+'[1]2025 Νοέμβριος'!F11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Νοέμβριος'!J11</f>
        <v>80171.594336283189</v>
      </c>
      <c r="K11" s="11">
        <f t="shared" si="5"/>
        <v>0.11245415294937269</v>
      </c>
      <c r="L11" s="68">
        <f>'[1]2024_60-69 ΕΞΟΔΑ+ΟΜ 2'!N117</f>
        <v>1369.49</v>
      </c>
      <c r="M11" s="11">
        <f t="shared" si="6"/>
        <v>1.3680372812110819E-2</v>
      </c>
      <c r="N11" s="12">
        <f>L11+'[1]2025 Νοέμβριος'!N11</f>
        <v>41059.273451327441</v>
      </c>
      <c r="O11" s="11">
        <f t="shared" si="7"/>
        <v>5.6746586748623956E-2</v>
      </c>
      <c r="P11" s="12">
        <f t="shared" si="0"/>
        <v>-27899.519380530983</v>
      </c>
      <c r="Q11" s="11">
        <f t="shared" si="1"/>
        <v>3.1200638880056548</v>
      </c>
      <c r="S11"/>
      <c r="T11"/>
      <c r="U11"/>
      <c r="V11"/>
    </row>
    <row r="12" spans="1:22" ht="17.25" customHeight="1" x14ac:dyDescent="0.25">
      <c r="A12" s="67">
        <v>5</v>
      </c>
      <c r="B12" s="67">
        <v>5</v>
      </c>
      <c r="C12" s="44" t="str">
        <f>[1]ΑΝΤΙΣΤΟΙΧΙΣΗ!F191</f>
        <v>Cancellation Fees</v>
      </c>
      <c r="D12" s="10">
        <f>'[1]2025_ΕΣΟΔΑ'!N6</f>
        <v>0</v>
      </c>
      <c r="E12" s="11" t="e">
        <f t="shared" si="2"/>
        <v>#DIV/0!</v>
      </c>
      <c r="F12" s="12">
        <f>D12+'[1]2025 Νοέμβριος'!F12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Νοέμβριος'!J12</f>
        <v>2884.7299999999996</v>
      </c>
      <c r="K12" s="11">
        <f t="shared" si="5"/>
        <v>4.0463192895595253E-3</v>
      </c>
      <c r="L12" s="68">
        <f>'[1]2024_60-69 ΕΞΟΔΑ+ΟΜ 2'!N118</f>
        <v>0</v>
      </c>
      <c r="M12" s="11">
        <f t="shared" si="6"/>
        <v>0</v>
      </c>
      <c r="N12" s="12">
        <f>L12+'[1]2025 Νοέμβριος'!N12</f>
        <v>2684.7299999999996</v>
      </c>
      <c r="O12" s="11">
        <f t="shared" si="7"/>
        <v>3.7104714973154925E-3</v>
      </c>
      <c r="P12" s="12">
        <f t="shared" si="0"/>
        <v>-459.09999999999945</v>
      </c>
      <c r="Q12" s="11">
        <f t="shared" si="1"/>
        <v>1.2062786716570137</v>
      </c>
      <c r="S12"/>
      <c r="T12"/>
      <c r="U12"/>
      <c r="V12"/>
    </row>
    <row r="13" spans="1:22" ht="32.25" customHeight="1" x14ac:dyDescent="0.25">
      <c r="A13" s="67">
        <v>6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'[1]2025_ΕΣΟΔΑ'!N7</f>
        <v>0</v>
      </c>
      <c r="E13" s="11" t="e">
        <f t="shared" si="2"/>
        <v>#DIV/0!</v>
      </c>
      <c r="F13" s="12">
        <f>D13+'[1]2025 Νοέμβριος'!F13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Νοέμβριος'!J13</f>
        <v>18746.12</v>
      </c>
      <c r="K13" s="11">
        <f t="shared" si="5"/>
        <v>2.6294588041306331E-2</v>
      </c>
      <c r="L13" s="68">
        <f>'[1]2024_60-69 ΕΞΟΔΑ+ΟΜ 2'!N119</f>
        <v>637.6</v>
      </c>
      <c r="M13" s="11">
        <f t="shared" si="6"/>
        <v>6.3692365077524177E-3</v>
      </c>
      <c r="N13" s="12">
        <f>L13+'[1]2025 Νοέμβριος'!N13</f>
        <v>19383.719999999998</v>
      </c>
      <c r="O13" s="11">
        <f t="shared" si="7"/>
        <v>2.6789561919427378E-2</v>
      </c>
      <c r="P13" s="12">
        <f t="shared" si="0"/>
        <v>-16057.009999999998</v>
      </c>
      <c r="Q13" s="11">
        <f t="shared" si="1"/>
        <v>5.8266936402632021</v>
      </c>
      <c r="S13"/>
      <c r="T13"/>
      <c r="U13"/>
      <c r="V13"/>
    </row>
    <row r="14" spans="1:22" ht="23.25" customHeight="1" x14ac:dyDescent="0.25">
      <c r="A14" s="67">
        <v>7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'[1]2025_ΕΣΟΔΑ'!N8</f>
        <v>0</v>
      </c>
      <c r="E14" s="11" t="e">
        <f t="shared" si="2"/>
        <v>#DIV/0!</v>
      </c>
      <c r="F14" s="12">
        <f>D14+'[1]2025 Νοέμβριος'!F14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Νοέμβριος'!J14</f>
        <v>1100</v>
      </c>
      <c r="K14" s="11">
        <f t="shared" si="5"/>
        <v>1.5429351164634049E-3</v>
      </c>
      <c r="L14" s="68">
        <f>'[1]2024_60-69 ΕΞΟΔΑ+ΟΜ 2'!N120</f>
        <v>100</v>
      </c>
      <c r="M14" s="11">
        <f t="shared" si="6"/>
        <v>9.989392264354482E-4</v>
      </c>
      <c r="N14" s="12">
        <f>L14+'[1]2025 Νοέμβριος'!N14</f>
        <v>1200</v>
      </c>
      <c r="O14" s="11">
        <f t="shared" si="7"/>
        <v>1.6584780580462808E-3</v>
      </c>
      <c r="P14" s="12">
        <f t="shared" si="0"/>
        <v>-700</v>
      </c>
      <c r="Q14" s="11">
        <f t="shared" si="1"/>
        <v>2.4</v>
      </c>
      <c r="S14"/>
      <c r="T14"/>
      <c r="U14"/>
      <c r="V14"/>
    </row>
    <row r="15" spans="1:22" ht="28.5" x14ac:dyDescent="0.25">
      <c r="A15" s="67">
        <v>8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'[1]2025_ΕΣΟΔΑ'!N9</f>
        <v>0</v>
      </c>
      <c r="E15" s="11" t="e">
        <f t="shared" si="2"/>
        <v>#DIV/0!</v>
      </c>
      <c r="F15" s="12">
        <f>D15+'[1]2025 Νοέμβριος'!F15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Νοέμβριος'!J15</f>
        <v>13711.699999999999</v>
      </c>
      <c r="K15" s="11">
        <f t="shared" si="5"/>
        <v>1.9232966760373883E-2</v>
      </c>
      <c r="L15" s="68">
        <f>'[1]2024_60-69 ΕΞΟΔΑ+ΟΜ 2'!N121</f>
        <v>54.84</v>
      </c>
      <c r="M15" s="11">
        <f t="shared" si="6"/>
        <v>5.4781827177719986E-4</v>
      </c>
      <c r="N15" s="12">
        <f>L15+'[1]2025 Νοέμβριος'!N15</f>
        <v>2797.1800000000003</v>
      </c>
      <c r="O15" s="11">
        <f t="shared" si="7"/>
        <v>3.8658847120049138E-3</v>
      </c>
      <c r="P15" s="12">
        <f t="shared" si="0"/>
        <v>-1622.0900000000001</v>
      </c>
      <c r="Q15" s="11">
        <f t="shared" si="1"/>
        <v>2.3803963951697318</v>
      </c>
      <c r="S15"/>
      <c r="T15"/>
      <c r="U15"/>
      <c r="V15"/>
    </row>
    <row r="16" spans="1:22" ht="36" customHeight="1" x14ac:dyDescent="0.25">
      <c r="A16" s="67">
        <v>9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'[1]2025_ΕΣΟΔΑ'!N10</f>
        <v>0</v>
      </c>
      <c r="E16" s="11" t="e">
        <f t="shared" si="2"/>
        <v>#DIV/0!</v>
      </c>
      <c r="F16" s="12">
        <f>D16+'[1]2025 Νοέμβριος'!F16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Νοέμβριος'!J16</f>
        <v>0</v>
      </c>
      <c r="K16" s="11">
        <f t="shared" si="5"/>
        <v>0</v>
      </c>
      <c r="L16" s="68">
        <f>'[1]2024_60-69 ΕΞΟΔΑ+ΟΜ 2'!N122</f>
        <v>0</v>
      </c>
      <c r="M16" s="11">
        <f t="shared" si="6"/>
        <v>0</v>
      </c>
      <c r="N16" s="12">
        <f>L16+'[1]2025 Νοέμβριος'!N16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  <c r="S16"/>
      <c r="T16"/>
      <c r="U16"/>
      <c r="V16"/>
    </row>
    <row r="17" spans="1:22" ht="34.5" customHeight="1" x14ac:dyDescent="0.25">
      <c r="A17" s="67">
        <v>10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'[1]2025_ΕΣΟΔΑ'!N11</f>
        <v>0</v>
      </c>
      <c r="E17" s="11" t="e">
        <f t="shared" si="2"/>
        <v>#DIV/0!</v>
      </c>
      <c r="F17" s="12">
        <f>D17+'[1]2025 Νοέμβριος'!F17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Νοέμβριος'!J17</f>
        <v>1076.54</v>
      </c>
      <c r="K17" s="11">
        <f t="shared" si="5"/>
        <v>1.5100285184341037E-3</v>
      </c>
      <c r="L17" s="68">
        <f>'[1]2024_60-69 ΕΞΟΔΑ+ΟΜ 2'!N123</f>
        <v>0</v>
      </c>
      <c r="M17" s="11">
        <f t="shared" si="6"/>
        <v>0</v>
      </c>
      <c r="N17" s="12">
        <f>L17+'[1]2025 Νοέμβριος'!N17</f>
        <v>538.27</v>
      </c>
      <c r="O17" s="11">
        <f t="shared" si="7"/>
        <v>7.4392415358714298E-4</v>
      </c>
      <c r="P17" s="12">
        <f t="shared" si="0"/>
        <v>-73.669999999999959</v>
      </c>
      <c r="Q17" s="11">
        <f t="shared" si="1"/>
        <v>1.1585665088247954</v>
      </c>
      <c r="S17"/>
      <c r="T17"/>
      <c r="U17"/>
      <c r="V17"/>
    </row>
    <row r="18" spans="1:22" ht="27" customHeight="1" x14ac:dyDescent="0.25">
      <c r="A18" s="67">
        <v>11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'[1]2025_ΕΣΟΔΑ'!N12</f>
        <v>0</v>
      </c>
      <c r="E18" s="11" t="e">
        <f t="shared" si="2"/>
        <v>#DIV/0!</v>
      </c>
      <c r="F18" s="12">
        <f>D18+'[1]2025 Νοέμβριος'!F18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Νοέμβριος'!J18</f>
        <v>254.84</v>
      </c>
      <c r="K18" s="11">
        <f t="shared" si="5"/>
        <v>3.5745598643594011E-4</v>
      </c>
      <c r="L18" s="68">
        <f>'[1]2024_60-69 ΕΞΟΔΑ+ΟΜ 2'!N124</f>
        <v>0</v>
      </c>
      <c r="M18" s="11">
        <f t="shared" si="6"/>
        <v>0</v>
      </c>
      <c r="N18" s="12">
        <f>L18+'[1]2025 Νοέμβριος'!N18</f>
        <v>112.9</v>
      </c>
      <c r="O18" s="11">
        <f t="shared" si="7"/>
        <v>1.560351439611876E-4</v>
      </c>
      <c r="P18" s="12">
        <f t="shared" si="0"/>
        <v>-112.9</v>
      </c>
      <c r="Q18" s="11" t="e">
        <f t="shared" si="1"/>
        <v>#DIV/0!</v>
      </c>
      <c r="S18"/>
      <c r="T18"/>
      <c r="U18"/>
      <c r="V18"/>
    </row>
    <row r="19" spans="1:22" ht="33" customHeight="1" x14ac:dyDescent="0.25">
      <c r="A19" s="67">
        <v>12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'[1]2025_ΕΣΟΔΑ'!N13</f>
        <v>0</v>
      </c>
      <c r="E19" s="11" t="e">
        <f t="shared" si="2"/>
        <v>#DIV/0!</v>
      </c>
      <c r="F19" s="12">
        <f>D19+'[1]2025 Νοέμβριος'!F19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Νοέμβριος'!J19</f>
        <v>0</v>
      </c>
      <c r="K19" s="11">
        <f t="shared" si="5"/>
        <v>0</v>
      </c>
      <c r="L19" s="68">
        <f>'[1]2024_60-69 ΕΞΟΔΑ+ΟΜ 2'!N125</f>
        <v>0</v>
      </c>
      <c r="M19" s="11">
        <f t="shared" si="6"/>
        <v>0</v>
      </c>
      <c r="N19" s="12">
        <f>L19+'[1]2025 Νοέμβριος'!N19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  <c r="S19"/>
      <c r="T19"/>
      <c r="U19"/>
      <c r="V19"/>
    </row>
    <row r="20" spans="1:22" ht="30" customHeight="1" x14ac:dyDescent="0.25">
      <c r="A20" s="67">
        <v>13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'[1]2025_ΕΣΟΔΑ'!N14</f>
        <v>0</v>
      </c>
      <c r="E20" s="11" t="e">
        <f t="shared" si="2"/>
        <v>#DIV/0!</v>
      </c>
      <c r="F20" s="12">
        <f>D20+'[1]2025 Νοέμβριος'!F20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Νοέμβριος'!J20</f>
        <v>0</v>
      </c>
      <c r="K20" s="11">
        <f t="shared" si="5"/>
        <v>0</v>
      </c>
      <c r="L20" s="68">
        <f>'[1]2024_60-69 ΕΞΟΔΑ+ΟΜ 2'!N126</f>
        <v>0</v>
      </c>
      <c r="M20" s="11">
        <f t="shared" si="6"/>
        <v>0</v>
      </c>
      <c r="N20" s="12">
        <f>L20+'[1]2025 Νοέμβριος'!N20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  <c r="S20"/>
      <c r="T20"/>
      <c r="U20"/>
      <c r="V20"/>
    </row>
    <row r="21" spans="1:22" ht="25.5" customHeight="1" x14ac:dyDescent="0.25">
      <c r="A21" s="67">
        <v>14</v>
      </c>
      <c r="B21" s="67">
        <v>14</v>
      </c>
      <c r="C21" s="44" t="str">
        <f>[1]ΑΝΤΙΣΤΟΙΧΙΣΗ!F200</f>
        <v>Πωλ.Κρουαζιέρας</v>
      </c>
      <c r="D21" s="10">
        <f>'[1]2025_ΕΣΟΔΑ'!N15</f>
        <v>0</v>
      </c>
      <c r="E21" s="11" t="e">
        <f t="shared" si="2"/>
        <v>#DIV/0!</v>
      </c>
      <c r="F21" s="12">
        <f>D21+'[1]2025 Νοέμβριος'!F21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Νοέμβριος'!J21</f>
        <v>5454.86</v>
      </c>
      <c r="K21" s="11">
        <f t="shared" si="5"/>
        <v>7.6513591358105173E-3</v>
      </c>
      <c r="L21" s="68">
        <f>'[1]2024_60-69 ΕΞΟΔΑ+ΟΜ 2'!N127</f>
        <v>0</v>
      </c>
      <c r="M21" s="11">
        <f t="shared" si="6"/>
        <v>0</v>
      </c>
      <c r="N21" s="12">
        <f>L21+'[1]2025 Νοέμβριος'!N21</f>
        <v>2727.43</v>
      </c>
      <c r="O21" s="11">
        <f t="shared" si="7"/>
        <v>3.7694856748809731E-3</v>
      </c>
      <c r="P21" s="12">
        <f t="shared" si="0"/>
        <v>502.63000000000011</v>
      </c>
      <c r="Q21" s="11">
        <f t="shared" si="1"/>
        <v>0.84438988749434996</v>
      </c>
      <c r="S21"/>
      <c r="T21"/>
      <c r="U21"/>
      <c r="V21"/>
    </row>
    <row r="22" spans="1:22" ht="16.5" customHeight="1" x14ac:dyDescent="0.25">
      <c r="A22" s="67">
        <v>15</v>
      </c>
      <c r="B22" s="67">
        <v>15</v>
      </c>
      <c r="C22" s="44" t="str">
        <f>[1]ΑΝΤΙΣΤΟΙΧΙΣΗ!F201</f>
        <v>Πωλ. Μαθημάτων</v>
      </c>
      <c r="D22" s="10">
        <f>'[1]2025_ΕΣΟΔΑ'!N16</f>
        <v>0</v>
      </c>
      <c r="E22" s="11" t="e">
        <f t="shared" si="2"/>
        <v>#DIV/0!</v>
      </c>
      <c r="F22" s="12">
        <f>D22+'[1]2025 Νοέμβριος'!F22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Νοέμβριος'!J22</f>
        <v>0</v>
      </c>
      <c r="K22" s="11">
        <f t="shared" si="5"/>
        <v>0</v>
      </c>
      <c r="L22" s="68">
        <f>'[1]2024_60-69 ΕΞΟΔΑ+ΟΜ 2'!N128</f>
        <v>0</v>
      </c>
      <c r="M22" s="11">
        <f t="shared" si="6"/>
        <v>0</v>
      </c>
      <c r="N22" s="12">
        <f>L22+'[1]2025 Νοέμβριος'!N22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  <c r="S22"/>
      <c r="T22"/>
      <c r="U22"/>
      <c r="V22"/>
    </row>
    <row r="23" spans="1:22" ht="31.5" customHeight="1" x14ac:dyDescent="0.25">
      <c r="A23" s="67">
        <v>16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'[1]2025_ΕΣΟΔΑ'!N17</f>
        <v>0</v>
      </c>
      <c r="E23" s="11" t="e">
        <f t="shared" si="2"/>
        <v>#DIV/0!</v>
      </c>
      <c r="F23" s="12">
        <f>D23+'[1]2025 Νοέμβριος'!F23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Νοέμβριος'!J23</f>
        <v>524.05999999999995</v>
      </c>
      <c r="K23" s="11">
        <f t="shared" si="5"/>
        <v>7.350823428489199E-4</v>
      </c>
      <c r="L23" s="68">
        <f>'[1]2024_60-69 ΕΞΟΔΑ+ΟΜ 2'!N129</f>
        <v>0</v>
      </c>
      <c r="M23" s="11">
        <f t="shared" si="6"/>
        <v>0</v>
      </c>
      <c r="N23" s="12">
        <f>L23+'[1]2025 Νοέμβριος'!N23</f>
        <v>524.05999999999995</v>
      </c>
      <c r="O23" s="11">
        <f t="shared" si="7"/>
        <v>7.2428500924977821E-4</v>
      </c>
      <c r="P23" s="12">
        <f t="shared" si="0"/>
        <v>-28.479999999999961</v>
      </c>
      <c r="Q23" s="11">
        <f t="shared" si="1"/>
        <v>1.0574680172726905</v>
      </c>
      <c r="S23"/>
      <c r="T23"/>
      <c r="U23"/>
      <c r="V23"/>
    </row>
    <row r="24" spans="1:22" ht="31.5" customHeight="1" x14ac:dyDescent="0.25">
      <c r="A24" s="67">
        <v>17</v>
      </c>
      <c r="B24" s="67">
        <v>17</v>
      </c>
      <c r="C24" s="44" t="str">
        <f>[1]ΑΝΤΙΣΤΟΙΧΙΣΗ!F203</f>
        <v>Υπηρεσίες Marketing</v>
      </c>
      <c r="D24" s="10">
        <f>'[1]2025_ΕΣΟΔΑ'!N18</f>
        <v>0</v>
      </c>
      <c r="E24" s="11" t="e">
        <f>D24/$D$7</f>
        <v>#DIV/0!</v>
      </c>
      <c r="F24" s="12">
        <f>D24+'[1]2025 Νοέμβριος'!F24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Νοέμβριος'!J24</f>
        <v>0</v>
      </c>
      <c r="K24" s="11">
        <f>J24/$J$7</f>
        <v>0</v>
      </c>
      <c r="L24" s="68">
        <f>'[1]2024_60-69 ΕΞΟΔΑ+ΟΜ 2'!N130</f>
        <v>0</v>
      </c>
      <c r="M24" s="11">
        <f>L24/$L$7</f>
        <v>0</v>
      </c>
      <c r="N24" s="12">
        <f>L24+'[1]2025 Νοέμβριος'!N24</f>
        <v>0</v>
      </c>
      <c r="O24" s="11">
        <f>N24/$N$7</f>
        <v>0</v>
      </c>
      <c r="P24" s="12">
        <f>F24-N24</f>
        <v>0</v>
      </c>
      <c r="Q24" s="11" t="e">
        <f>N24/F24</f>
        <v>#DIV/0!</v>
      </c>
      <c r="S24"/>
      <c r="T24"/>
      <c r="U24"/>
      <c r="V24"/>
    </row>
    <row r="25" spans="1:22" ht="23.25" customHeight="1" x14ac:dyDescent="0.25">
      <c r="A25" s="67">
        <v>18</v>
      </c>
      <c r="B25" s="67">
        <v>18</v>
      </c>
      <c r="C25" s="44" t="str">
        <f>[1]ΑΝΤΙΣΤΟΙΧΙΣΗ!F204</f>
        <v>Προμ. Συστ.Πελ. Αυτοκ.</v>
      </c>
      <c r="D25" s="10">
        <f>'[1]2025_ΕΣΟΔΑ'!N19</f>
        <v>0</v>
      </c>
      <c r="E25" s="11" t="e">
        <f t="shared" si="2"/>
        <v>#DIV/0!</v>
      </c>
      <c r="F25" s="12">
        <f>D25+'[1]2025 Νοέμβριος'!F25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Νοέμβριος'!J25</f>
        <v>5075.3999999999996</v>
      </c>
      <c r="K25" s="11">
        <f t="shared" si="5"/>
        <v>7.1191026273621505E-3</v>
      </c>
      <c r="L25" s="68">
        <f>'[1]2024_60-69 ΕΞΟΔΑ+ΟΜ 2'!N131</f>
        <v>0</v>
      </c>
      <c r="M25" s="11">
        <f t="shared" si="6"/>
        <v>0</v>
      </c>
      <c r="N25" s="12">
        <f>L25+'[1]2025 Νοέμβριος'!N25</f>
        <v>2537.6999999999998</v>
      </c>
      <c r="O25" s="11">
        <f t="shared" si="7"/>
        <v>3.507266473253372E-3</v>
      </c>
      <c r="P25" s="12">
        <f t="shared" si="0"/>
        <v>-2537.6999999999998</v>
      </c>
      <c r="Q25" s="11" t="e">
        <f t="shared" si="1"/>
        <v>#DIV/0!</v>
      </c>
      <c r="S25"/>
      <c r="T25"/>
      <c r="U25"/>
      <c r="V25"/>
    </row>
    <row r="26" spans="1:22" ht="23.25" customHeight="1" x14ac:dyDescent="0.25">
      <c r="A26" s="67">
        <v>19</v>
      </c>
      <c r="B26" s="67">
        <v>19</v>
      </c>
      <c r="C26" s="44" t="str">
        <f>[1]ΑΝΤΙΣΤΟΙΧΙΣΗ!F205</f>
        <v>Προμ. Συστ.Πελ. Γυμν.</v>
      </c>
      <c r="D26" s="10">
        <f>'[1]2025_ΕΣΟΔΑ'!N20</f>
        <v>0</v>
      </c>
      <c r="E26" s="11" t="e">
        <f t="shared" si="2"/>
        <v>#DIV/0!</v>
      </c>
      <c r="F26" s="12">
        <f>D26+'[1]2025 Νοέμβριος'!F26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Νοέμβριος'!J26</f>
        <v>0</v>
      </c>
      <c r="K26" s="11">
        <f t="shared" si="5"/>
        <v>0</v>
      </c>
      <c r="L26" s="68">
        <f>'[1]2024_60-69 ΕΞΟΔΑ+ΟΜ 2'!N132</f>
        <v>0</v>
      </c>
      <c r="M26" s="11">
        <f t="shared" si="6"/>
        <v>0</v>
      </c>
      <c r="N26" s="12">
        <f>L26+'[1]2025 Νοέμβριος'!N26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  <c r="S26"/>
      <c r="T26"/>
      <c r="U26"/>
      <c r="V26"/>
    </row>
    <row r="27" spans="1:22" ht="23.25" customHeight="1" x14ac:dyDescent="0.25">
      <c r="A27" s="67">
        <v>20</v>
      </c>
      <c r="B27" s="67">
        <v>20</v>
      </c>
      <c r="C27" s="44" t="str">
        <f>[1]ΑΝΤΙΣΤΟΙΧΙΣΗ!F206</f>
        <v>Προμ.Σύστ.Πελ. TRANSFER</v>
      </c>
      <c r="D27" s="10">
        <f>'[1]2025_ΕΣΟΔΑ'!N21</f>
        <v>0</v>
      </c>
      <c r="E27" s="11" t="e">
        <f t="shared" si="2"/>
        <v>#DIV/0!</v>
      </c>
      <c r="F27" s="12">
        <f>D27+'[1]2025 Νοέμβριος'!F27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Νοέμβριος'!J27</f>
        <v>225.8</v>
      </c>
      <c r="K27" s="11">
        <f t="shared" si="5"/>
        <v>3.1672249936130623E-4</v>
      </c>
      <c r="L27" s="68">
        <f>'[1]2024_60-69 ΕΞΟΔΑ+ΟΜ 2'!N133</f>
        <v>19.05</v>
      </c>
      <c r="M27" s="11">
        <f t="shared" si="6"/>
        <v>1.9029792263595288E-4</v>
      </c>
      <c r="N27" s="12">
        <f>L27+'[1]2025 Νοέμβριος'!N27</f>
        <v>131.95000000000002</v>
      </c>
      <c r="O27" s="11">
        <f t="shared" si="7"/>
        <v>1.8236348313267233E-4</v>
      </c>
      <c r="P27" s="12">
        <f t="shared" si="0"/>
        <v>-131.95000000000002</v>
      </c>
      <c r="Q27" s="11" t="e">
        <f t="shared" si="1"/>
        <v>#DIV/0!</v>
      </c>
      <c r="S27"/>
      <c r="T27"/>
      <c r="U27"/>
      <c r="V27"/>
    </row>
    <row r="28" spans="1:22" ht="23.25" customHeight="1" x14ac:dyDescent="0.25">
      <c r="A28" s="67">
        <v>21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'[1]2025_ΕΣΟΔΑ'!N22</f>
        <v>0</v>
      </c>
      <c r="E28" s="11" t="e">
        <f t="shared" si="2"/>
        <v>#DIV/0!</v>
      </c>
      <c r="F28" s="12">
        <f>D28+'[1]2025 Νοέμβριος'!F28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Νοέμβριος'!J28</f>
        <v>2218.38</v>
      </c>
      <c r="K28" s="11">
        <f t="shared" si="5"/>
        <v>3.1116512760546262E-3</v>
      </c>
      <c r="L28" s="68">
        <f>'[1]2024_60-69 ΕΞΟΔΑ+ΟΜ 2'!N134</f>
        <v>0</v>
      </c>
      <c r="M28" s="11">
        <f t="shared" si="6"/>
        <v>0</v>
      </c>
      <c r="N28" s="12">
        <f>L28+'[1]2025 Νοέμβριος'!N28</f>
        <v>1268.06</v>
      </c>
      <c r="O28" s="11">
        <f t="shared" si="7"/>
        <v>1.7525414052384724E-3</v>
      </c>
      <c r="P28" s="12">
        <f t="shared" si="0"/>
        <v>-1017.3599999999999</v>
      </c>
      <c r="Q28" s="11">
        <f t="shared" si="1"/>
        <v>5.058077383326685</v>
      </c>
      <c r="S28"/>
      <c r="T28"/>
      <c r="U28"/>
      <c r="V28"/>
    </row>
    <row r="29" spans="1:22" ht="23.25" customHeight="1" x14ac:dyDescent="0.25">
      <c r="A29" s="67">
        <v>22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'[1]2025_ΕΣΟΔΑ'!N23</f>
        <v>0</v>
      </c>
      <c r="E29" s="11" t="e">
        <f t="shared" si="2"/>
        <v>#DIV/0!</v>
      </c>
      <c r="F29" s="12">
        <f>D29+'[1]2025 Νοέμβριος'!F29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Νοέμβριος'!J29</f>
        <v>240.32</v>
      </c>
      <c r="K29" s="11">
        <f t="shared" si="5"/>
        <v>3.3708924289862314E-4</v>
      </c>
      <c r="L29" s="68">
        <f>'[1]2024_60-69 ΕΞΟΔΑ+ΟΜ 2'!N135</f>
        <v>12649.49</v>
      </c>
      <c r="M29" s="11">
        <f t="shared" si="6"/>
        <v>0.12636071755402936</v>
      </c>
      <c r="N29" s="12">
        <f>L29+'[1]2025 Νοέμβριος'!N29</f>
        <v>12769.65</v>
      </c>
      <c r="O29" s="11">
        <f t="shared" si="7"/>
        <v>1.764848694494224E-2</v>
      </c>
      <c r="P29" s="12">
        <f t="shared" si="0"/>
        <v>-12769.65</v>
      </c>
      <c r="Q29" s="11" t="e">
        <f t="shared" si="1"/>
        <v>#DIV/0!</v>
      </c>
      <c r="S29"/>
      <c r="T29"/>
      <c r="U29"/>
      <c r="V29"/>
    </row>
    <row r="30" spans="1:22" ht="23.25" customHeight="1" x14ac:dyDescent="0.25">
      <c r="A30" s="67">
        <v>23</v>
      </c>
      <c r="B30" s="67">
        <v>23</v>
      </c>
      <c r="C30" s="44" t="str">
        <f>[1]ΑΝΤΙΣΤΟΙΧΙΣΗ!F209</f>
        <v>Ασυνήθη έσοδα και κέρδη</v>
      </c>
      <c r="D30" s="10">
        <f>'[1]2025_ΕΣΟΔΑ'!N24</f>
        <v>0</v>
      </c>
      <c r="E30" s="11" t="e">
        <f t="shared" si="2"/>
        <v>#DIV/0!</v>
      </c>
      <c r="F30" s="12">
        <f>D30+'[1]2025 Νοέμβριος'!F30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Νοέμβριος'!J30</f>
        <v>12001</v>
      </c>
      <c r="K30" s="11">
        <f t="shared" si="5"/>
        <v>1.6833422120615747E-2</v>
      </c>
      <c r="L30" s="68">
        <f>'[1]2024_60-69 ΕΞΟΔΑ+ΟΜ 2'!N136</f>
        <v>-178.7</v>
      </c>
      <c r="M30" s="11">
        <f t="shared" si="6"/>
        <v>-1.7851043976401457E-3</v>
      </c>
      <c r="N30" s="12">
        <f>L30+'[1]2025 Νοέμβριος'!N30</f>
        <v>5908.97</v>
      </c>
      <c r="O30" s="11">
        <f t="shared" si="7"/>
        <v>8.1665809088781113E-3</v>
      </c>
      <c r="P30" s="12">
        <f t="shared" si="0"/>
        <v>-5644.54</v>
      </c>
      <c r="Q30" s="11">
        <f t="shared" si="1"/>
        <v>22.346065121204099</v>
      </c>
      <c r="S30"/>
      <c r="T30"/>
      <c r="U30"/>
      <c r="V30"/>
    </row>
    <row r="31" spans="1:22" ht="23.25" customHeight="1" x14ac:dyDescent="0.25">
      <c r="A31" s="67">
        <v>24</v>
      </c>
      <c r="B31" s="67">
        <v>24</v>
      </c>
      <c r="C31" s="44" t="str">
        <f>[1]ΑΝΤΙΣΤΟΙΧΙΣΗ!F210</f>
        <v>Φορος Παρεπιδημούντων</v>
      </c>
      <c r="D31" s="10">
        <f>'[1]2025_ΕΣΟΔΑ'!N25</f>
        <v>0</v>
      </c>
      <c r="E31" s="11" t="e">
        <f t="shared" si="2"/>
        <v>#DIV/0!</v>
      </c>
      <c r="F31" s="12">
        <f>D31+'[1]2025 Νοέμβριος'!F31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Νοέμβριος'!J31</f>
        <v>-2920.3300000000004</v>
      </c>
      <c r="K31" s="11">
        <f t="shared" si="5"/>
        <v>-4.0962542806014333E-3</v>
      </c>
      <c r="L31" s="68">
        <f>'[1]2024_60-69 ΕΞΟΔΑ+ΟΜ 2'!N137</f>
        <v>50000</v>
      </c>
      <c r="M31" s="11">
        <f t="shared" si="6"/>
        <v>0.4994696132177241</v>
      </c>
      <c r="N31" s="12">
        <f>L31+'[1]2025 Νοέμβριος'!N31</f>
        <v>47079.65</v>
      </c>
      <c r="O31" s="11">
        <f t="shared" si="7"/>
        <v>6.5067138754582157E-2</v>
      </c>
      <c r="P31" s="12">
        <f t="shared" si="0"/>
        <v>-48361.51</v>
      </c>
      <c r="Q31" s="11">
        <f t="shared" si="1"/>
        <v>-36.727606758928431</v>
      </c>
      <c r="S31"/>
      <c r="T31"/>
      <c r="U31"/>
      <c r="V31"/>
    </row>
    <row r="32" spans="1:22" ht="23.25" customHeight="1" x14ac:dyDescent="0.25">
      <c r="A32" s="67">
        <v>25</v>
      </c>
      <c r="B32" s="67">
        <v>25</v>
      </c>
      <c r="C32" s="44" t="str">
        <f>[1]ΑΝΤΙΣΤΟΙΧΙΣΗ!F211</f>
        <v xml:space="preserve">Πρόβλεψη </v>
      </c>
      <c r="D32" s="10">
        <f>'[1]2025_ΕΣΟΔΑ'!N26</f>
        <v>0</v>
      </c>
      <c r="E32" s="11" t="e">
        <f t="shared" si="2"/>
        <v>#DIV/0!</v>
      </c>
      <c r="F32" s="12">
        <f>D32+'[1]2025 Νοέμβριος'!F32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Νοέμβριος'!J32</f>
        <v>0</v>
      </c>
      <c r="K32" s="11">
        <f t="shared" si="5"/>
        <v>0</v>
      </c>
      <c r="L32" s="68">
        <f>'[1]2024_60-69 ΕΞΟΔΑ+ΟΜ 2'!N138</f>
        <v>0</v>
      </c>
      <c r="M32" s="11">
        <f t="shared" si="6"/>
        <v>0</v>
      </c>
      <c r="N32" s="12">
        <f>L32+'[1]2025 Νοέμβριος'!N32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  <c r="S32"/>
      <c r="T32"/>
      <c r="U32"/>
      <c r="V32"/>
    </row>
    <row r="33" spans="1:22" ht="23.25" customHeight="1" x14ac:dyDescent="0.25">
      <c r="A33" s="67">
        <v>26</v>
      </c>
      <c r="B33" s="67">
        <v>26</v>
      </c>
      <c r="C33" s="44">
        <f>[1]ΑΝΤΙΣΤΟΙΧΙΣΗ!F212</f>
        <v>0</v>
      </c>
      <c r="D33" s="10">
        <f>'[1]2025_ΕΣΟΔΑ'!N27</f>
        <v>0</v>
      </c>
      <c r="E33" s="11" t="e">
        <f t="shared" si="2"/>
        <v>#DIV/0!</v>
      </c>
      <c r="F33" s="12">
        <f>D33+'[1]2025 Νοέμβριος'!F33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Νοέμβριος'!J33</f>
        <v>0</v>
      </c>
      <c r="K33" s="11">
        <f t="shared" si="5"/>
        <v>0</v>
      </c>
      <c r="L33" s="68">
        <f>'[1]2024_60-69 ΕΞΟΔΑ+ΟΜ 2'!N139</f>
        <v>0</v>
      </c>
      <c r="M33" s="11">
        <f t="shared" si="6"/>
        <v>0</v>
      </c>
      <c r="N33" s="12">
        <f>L33+'[1]2025 Νοέμβριος'!N33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  <c r="S33"/>
      <c r="T33"/>
      <c r="U33"/>
      <c r="V33"/>
    </row>
    <row r="34" spans="1:22" ht="23.25" customHeight="1" x14ac:dyDescent="0.25">
      <c r="A34" s="67">
        <v>27</v>
      </c>
      <c r="B34" s="67">
        <v>27</v>
      </c>
      <c r="C34" s="44">
        <f>[1]ΑΝΤΙΣΤΟΙΧΙΣΗ!F213</f>
        <v>0</v>
      </c>
      <c r="D34" s="10">
        <f>'[1]2025_ΕΣΟΔΑ'!N28</f>
        <v>0</v>
      </c>
      <c r="E34" s="11" t="e">
        <f t="shared" si="2"/>
        <v>#DIV/0!</v>
      </c>
      <c r="F34" s="12">
        <f>D34+'[1]2025 Νοέμβριος'!F34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Νοέμβριος'!J34</f>
        <v>0</v>
      </c>
      <c r="K34" s="11">
        <f t="shared" si="5"/>
        <v>0</v>
      </c>
      <c r="L34" s="68">
        <f>'[1]2024_60-69 ΕΞΟΔΑ+ΟΜ 2'!N140</f>
        <v>0</v>
      </c>
      <c r="M34" s="11">
        <f t="shared" si="6"/>
        <v>0</v>
      </c>
      <c r="N34" s="12">
        <f>L34+'[1]2025 Νοέμβριος'!N34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  <c r="S34"/>
      <c r="T34"/>
      <c r="U34"/>
      <c r="V34"/>
    </row>
    <row r="35" spans="1:22" ht="23.25" customHeight="1" x14ac:dyDescent="0.25">
      <c r="A35" s="67">
        <v>28</v>
      </c>
      <c r="B35" s="67">
        <v>28</v>
      </c>
      <c r="C35" s="44">
        <f>[1]ΑΝΤΙΣΤΟΙΧΙΣΗ!F214</f>
        <v>0</v>
      </c>
      <c r="D35" s="10">
        <f>'[1]2025_ΕΣΟΔΑ'!N29</f>
        <v>0</v>
      </c>
      <c r="E35" s="11" t="e">
        <f t="shared" si="2"/>
        <v>#DIV/0!</v>
      </c>
      <c r="F35" s="12">
        <f>D35+'[1]2025 Νοέμβριος'!F35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Νοέμβριος'!J35</f>
        <v>0</v>
      </c>
      <c r="K35" s="11">
        <f t="shared" si="5"/>
        <v>0</v>
      </c>
      <c r="L35" s="68">
        <f>'[1]2024_60-69 ΕΞΟΔΑ+ΟΜ 2'!N141</f>
        <v>0</v>
      </c>
      <c r="M35" s="11">
        <f t="shared" si="6"/>
        <v>0</v>
      </c>
      <c r="N35" s="12">
        <f>L35+'[1]2025 Νοέμβριος'!N35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  <c r="S35"/>
      <c r="T35"/>
      <c r="U35"/>
      <c r="V35"/>
    </row>
    <row r="36" spans="1:22" ht="23.25" customHeight="1" x14ac:dyDescent="0.25">
      <c r="A36" s="67">
        <v>29</v>
      </c>
      <c r="B36" s="67">
        <v>29</v>
      </c>
      <c r="C36" s="44">
        <f>[1]ΑΝΤΙΣΤΟΙΧΙΣΗ!F215</f>
        <v>0</v>
      </c>
      <c r="D36" s="10">
        <f>'[1]2025_ΕΣΟΔΑ'!N30</f>
        <v>0</v>
      </c>
      <c r="E36" s="11" t="e">
        <f t="shared" si="2"/>
        <v>#DIV/0!</v>
      </c>
      <c r="F36" s="12">
        <f>D36+'[1]2025 Νοέμβριος'!F36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Νοέμβριος'!J36</f>
        <v>0</v>
      </c>
      <c r="K36" s="11">
        <f t="shared" si="5"/>
        <v>0</v>
      </c>
      <c r="L36" s="68">
        <f>'[1]2024_60-69 ΕΞΟΔΑ+ΟΜ 2'!N142</f>
        <v>0</v>
      </c>
      <c r="M36" s="11">
        <f t="shared" si="6"/>
        <v>0</v>
      </c>
      <c r="N36" s="12">
        <f>L36+'[1]2025 Νοέμβριος'!N36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  <c r="S36"/>
      <c r="T36"/>
      <c r="U36"/>
      <c r="V36"/>
    </row>
    <row r="37" spans="1:22" ht="23.25" customHeight="1" x14ac:dyDescent="0.25">
      <c r="A37" s="67">
        <v>30</v>
      </c>
      <c r="B37" s="67">
        <v>30</v>
      </c>
      <c r="C37" s="44">
        <f>[1]ΑΝΤΙΣΤΟΙΧΙΣΗ!F216</f>
        <v>0</v>
      </c>
      <c r="D37" s="10">
        <f>'[1]2025_ΕΣΟΔΑ'!N31</f>
        <v>0</v>
      </c>
      <c r="E37" s="11" t="e">
        <f t="shared" si="2"/>
        <v>#DIV/0!</v>
      </c>
      <c r="F37" s="12">
        <f>D37+'[1]2025 Νοέμβριος'!F37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Νοέμβριος'!J37</f>
        <v>0</v>
      </c>
      <c r="K37" s="11">
        <f t="shared" si="5"/>
        <v>0</v>
      </c>
      <c r="L37" s="68">
        <f>'[1]2024_60-69 ΕΞΟΔΑ+ΟΜ 2'!N143</f>
        <v>0</v>
      </c>
      <c r="M37" s="11">
        <f t="shared" si="6"/>
        <v>0</v>
      </c>
      <c r="N37" s="12">
        <f>L37+'[1]2025 Νοέμβριος'!N37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  <c r="S37"/>
      <c r="T37"/>
      <c r="U37"/>
      <c r="V37"/>
    </row>
    <row r="38" spans="1:22" ht="15" customHeight="1" x14ac:dyDescent="0.25">
      <c r="A38" s="60"/>
      <c r="B38" s="60"/>
      <c r="C38" s="6" t="s">
        <v>17</v>
      </c>
      <c r="D38" s="7">
        <f>'[1]2025_ΕΣΟΔΑ'!N32</f>
        <v>0</v>
      </c>
      <c r="E38" s="8"/>
      <c r="F38" s="7" t="str">
        <f>'[1]2025_ΕΣΟΔΑ'!N34</f>
        <v>Δεκέμβριος</v>
      </c>
      <c r="G38" s="8"/>
      <c r="H38" s="7">
        <f>SUM(H8:H31)</f>
        <v>0</v>
      </c>
      <c r="I38" s="8"/>
      <c r="J38" s="7">
        <f>SUM(J8:J31)</f>
        <v>712926.932741886</v>
      </c>
      <c r="K38" s="8"/>
      <c r="L38" s="7">
        <f>SUM(L8:L31)</f>
        <v>100106.19</v>
      </c>
      <c r="M38" s="8"/>
      <c r="N38" s="7">
        <f>SUM(N8:N31)</f>
        <v>723554.94495575246</v>
      </c>
      <c r="O38" s="8"/>
      <c r="P38" s="7">
        <f>SUM(P8:P31)</f>
        <v>-507715.37911504437</v>
      </c>
      <c r="Q38" s="8"/>
      <c r="S38"/>
      <c r="T38"/>
      <c r="U38"/>
      <c r="V38"/>
    </row>
    <row r="39" spans="1:22" ht="36.75" customHeight="1" x14ac:dyDescent="0.25">
      <c r="A39" s="60"/>
      <c r="B39" s="60"/>
      <c r="C39" s="6" t="s">
        <v>18</v>
      </c>
      <c r="D39" s="7">
        <f>D7-D38</f>
        <v>0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  <c r="S39"/>
      <c r="T39"/>
      <c r="U39"/>
      <c r="V39"/>
    </row>
    <row r="40" spans="1:22" ht="36.75" customHeight="1" x14ac:dyDescent="0.25">
      <c r="A40" s="58">
        <v>39</v>
      </c>
      <c r="B40" s="58"/>
      <c r="C40" s="58" t="s">
        <v>160</v>
      </c>
      <c r="D40" s="182" t="str">
        <f>[1]ΑΝΤΙΣΤΟΙΧΙΣΗ!$F$32</f>
        <v xml:space="preserve">ΠΡΑΓΜΑΤΟΠΟΙΗΘΕΝΤΑ ΜΗΝΟΣ ΤΡΕΧ. ΕΤΟΥΣ </v>
      </c>
      <c r="E40" s="182"/>
      <c r="F40" s="182"/>
      <c r="G40" s="182"/>
      <c r="H40" s="182" t="str">
        <f>[1]ΑΝΤΙΣΤΟΙΧΙΣΗ!$F$35</f>
        <v>ΠΡΟΥΠΟΛΟΓΙΣΜΟΣ ΤΡΕΧΟΝΤΟΣ ΕΤΟΥΣ</v>
      </c>
      <c r="I40" s="182"/>
      <c r="J40" s="182"/>
      <c r="K40" s="182"/>
      <c r="L40" s="182" t="str">
        <f>[1]ΑΝΤΙΣΤΟΙΧΙΣΗ!$F$68</f>
        <v>ΠΡΑΓΜΑΤΟΠΟΙΗΘΕΝΤΑ ΠΡΟΗΓΟΥΜΕΝΟΥ ΕΤΟΥΣ</v>
      </c>
      <c r="M40" s="182"/>
      <c r="N40" s="182"/>
      <c r="O40" s="182">
        <f>[1]ΑΝΤΙΣΤΟΙΧΙΣΗ!$D$33</f>
        <v>2024</v>
      </c>
      <c r="P40" s="183" t="str">
        <f>[1]ΑΝΤΙΣΤΟΙΧΙΣΗ!$F$100</f>
        <v xml:space="preserve">ΣΥΓΚΡΙΣΕΙΣ </v>
      </c>
      <c r="Q40" s="183">
        <f>[1]ΑΝΤΙΣΤΟΙΧΙΣΗ!$H$141</f>
        <v>2024</v>
      </c>
      <c r="S40"/>
      <c r="T40"/>
      <c r="U40"/>
      <c r="V40"/>
    </row>
    <row r="41" spans="1:22" ht="41.25" customHeight="1" x14ac:dyDescent="0.25">
      <c r="A41" s="60">
        <v>39</v>
      </c>
      <c r="B41" s="60"/>
      <c r="C41" s="5" t="s">
        <v>161</v>
      </c>
      <c r="D41" s="180" t="str">
        <f>[1]ΑΝΤΙΣΤΟΙΧΙΣΗ!$F$117</f>
        <v xml:space="preserve">ΔΕΚΕΜΒΡΙΟΣ ΤΡΕΧΟΝ ΕΤΟΣ </v>
      </c>
      <c r="E41" s="180"/>
      <c r="F41" s="180"/>
      <c r="G41" s="61">
        <f>[1]ΑΝΤΙΣΤΟΙΧΙΣΗ!$D$34</f>
        <v>2025</v>
      </c>
      <c r="H41" s="180" t="str">
        <f>[1]ΑΝΤΙΣΤΟΙΧΙΣΗ!$F$117</f>
        <v xml:space="preserve">ΔΕΚΕΜΒΡΙΟΣ ΤΡΕΧΟΝ ΕΤΟΣ </v>
      </c>
      <c r="I41" s="180"/>
      <c r="J41" s="180"/>
      <c r="K41" s="61">
        <f>[1]ΑΝΤΙΣΤΟΙΧΙΣΗ!$D$34</f>
        <v>2025</v>
      </c>
      <c r="L41" s="180" t="str">
        <f>[1]ΑΝΤΙΣΤΟΙΧΙΣΗ!$F$131</f>
        <v>ΔΕΚΕΜΒΡΙΟΣ ΠΡΟΗΓΟΥΜΕΝΟΥ ΕΤΟΥΣ</v>
      </c>
      <c r="M41" s="180"/>
      <c r="N41" s="180"/>
      <c r="O41" s="61">
        <f>[1]ΑΝΤΙΣΤΟΙΧΙΣΗ!$D$33</f>
        <v>2024</v>
      </c>
      <c r="P41" s="180"/>
      <c r="Q41" s="180"/>
      <c r="S41"/>
      <c r="T41"/>
      <c r="U41"/>
      <c r="V41"/>
    </row>
    <row r="42" spans="1:22" ht="80.2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  <c r="S42"/>
      <c r="T42"/>
      <c r="U42"/>
      <c r="V42"/>
    </row>
    <row r="43" spans="1:22" ht="22.5" customHeight="1" x14ac:dyDescent="0.25">
      <c r="A43" s="60">
        <v>42</v>
      </c>
      <c r="B43" s="70" t="s">
        <v>30</v>
      </c>
      <c r="C43" s="6" t="s">
        <v>31</v>
      </c>
      <c r="D43" s="7">
        <f>SUM(D44:D77)</f>
        <v>7839.9766666666674</v>
      </c>
      <c r="E43" s="8"/>
      <c r="F43" s="7">
        <f>SUM(F44:F77)</f>
        <v>610957.39333333331</v>
      </c>
      <c r="G43" s="8"/>
      <c r="H43" s="7">
        <f>SUM(H44:H77)</f>
        <v>0</v>
      </c>
      <c r="I43" s="8"/>
      <c r="J43" s="7">
        <f>SUM(J44:J77)</f>
        <v>0</v>
      </c>
      <c r="K43" s="8"/>
      <c r="L43" s="7">
        <f>SUM(L44:L77)</f>
        <v>62478.32</v>
      </c>
      <c r="M43" s="8"/>
      <c r="N43" s="7">
        <f>SUM(N44:N77)</f>
        <v>1236030.2280000004</v>
      </c>
      <c r="O43" s="8"/>
      <c r="P43" s="7">
        <f>SUM(P44:P77)</f>
        <v>0</v>
      </c>
      <c r="Q43" s="8"/>
      <c r="S43"/>
      <c r="T43"/>
      <c r="U43"/>
      <c r="V43"/>
    </row>
    <row r="44" spans="1:22" ht="21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2'!O4</f>
        <v>0</v>
      </c>
      <c r="E44" s="15">
        <f>D44/$D$43</f>
        <v>0</v>
      </c>
      <c r="F44" s="10">
        <f>D44+'[1]2025 Νοέμβριος'!F44</f>
        <v>270182.24333333323</v>
      </c>
      <c r="G44" s="15">
        <f>F44/$F$43</f>
        <v>0.44222763531715548</v>
      </c>
      <c r="H44" s="14"/>
      <c r="I44" s="16" t="e">
        <f>H44/$H$43</f>
        <v>#DIV/0!</v>
      </c>
      <c r="J44" s="10"/>
      <c r="K44" s="17" t="e">
        <f>J44/$J$43</f>
        <v>#DIV/0!</v>
      </c>
      <c r="L44" s="14">
        <f>'[1]2024_60-69 ΕΞΟΔΑ+ΟΜ 2'!O4</f>
        <v>6109.88</v>
      </c>
      <c r="M44" s="15">
        <f>L44/$L$43</f>
        <v>9.7792002089684874E-2</v>
      </c>
      <c r="N44" s="10">
        <f>L44+'[1]2025 Νοέμβριος'!N44</f>
        <v>542296.98899999994</v>
      </c>
      <c r="O44" s="15">
        <f>N44/$N$43</f>
        <v>0.43874087924005029</v>
      </c>
      <c r="P44" s="10"/>
      <c r="Q44" s="15">
        <f>N44/F44</f>
        <v>2.0071525882289358</v>
      </c>
      <c r="S44"/>
      <c r="T44"/>
      <c r="U44"/>
      <c r="V44"/>
    </row>
    <row r="45" spans="1:22" ht="28.5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2'!O5</f>
        <v>0</v>
      </c>
      <c r="E45" s="15">
        <f t="shared" ref="E45:E77" si="8">D45/$D$43</f>
        <v>0</v>
      </c>
      <c r="F45" s="10">
        <f>D45+'[1]2025 Νοέμβριος'!F45</f>
        <v>17090.259999999998</v>
      </c>
      <c r="G45" s="15">
        <f t="shared" ref="G45:G77" si="9">F45/$F$43</f>
        <v>2.7972916256495308E-2</v>
      </c>
      <c r="H45" s="14"/>
      <c r="I45" s="16" t="e">
        <f t="shared" ref="I45:I77" si="10">H45/$H$43</f>
        <v>#DIV/0!</v>
      </c>
      <c r="J45" s="10">
        <f>H45</f>
        <v>0</v>
      </c>
      <c r="K45" s="17" t="e">
        <f t="shared" ref="K45:K77" si="11">J45/$J$43</f>
        <v>#DIV/0!</v>
      </c>
      <c r="L45" s="14">
        <f>'[1]2024_60-69 ΕΞΟΔΑ+ΟΜ 2'!O5</f>
        <v>7261.55</v>
      </c>
      <c r="M45" s="15">
        <f t="shared" ref="M45:M77" si="12">L45/$L$43</f>
        <v>0.11622511616829646</v>
      </c>
      <c r="N45" s="10">
        <f>L45+'[1]2025 Νοέμβριος'!N45</f>
        <v>57460.800000000003</v>
      </c>
      <c r="O45" s="15">
        <f t="shared" ref="O45:O77" si="13">N45/$N$43</f>
        <v>4.6488183458891899E-2</v>
      </c>
      <c r="P45" s="10"/>
      <c r="Q45" s="15">
        <f t="shared" ref="Q45:Q77" si="14">N45/F45</f>
        <v>3.3621957770098296</v>
      </c>
      <c r="S45"/>
      <c r="T45"/>
      <c r="U45"/>
      <c r="V45"/>
    </row>
    <row r="46" spans="1:22" ht="28.5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2'!O6</f>
        <v>0</v>
      </c>
      <c r="E46" s="15">
        <f t="shared" si="8"/>
        <v>0</v>
      </c>
      <c r="F46" s="10">
        <f>D46+'[1]2025 Νοέμβριος'!F46</f>
        <v>24880</v>
      </c>
      <c r="G46" s="15">
        <f t="shared" si="9"/>
        <v>4.0722970654724001E-2</v>
      </c>
      <c r="H46" s="14"/>
      <c r="I46" s="16" t="e">
        <f t="shared" si="10"/>
        <v>#DIV/0!</v>
      </c>
      <c r="J46" s="10">
        <f t="shared" ref="J46:J77" si="15">H46</f>
        <v>0</v>
      </c>
      <c r="K46" s="17" t="e">
        <f t="shared" si="11"/>
        <v>#DIV/0!</v>
      </c>
      <c r="L46" s="14">
        <f>'[1]2024_60-69 ΕΞΟΔΑ+ΟΜ 2'!O6</f>
        <v>4350.17</v>
      </c>
      <c r="M46" s="15">
        <f t="shared" si="12"/>
        <v>6.9626872169418125E-2</v>
      </c>
      <c r="N46" s="10">
        <f>L46+'[1]2025 Νοέμβριος'!N46</f>
        <v>62435.23</v>
      </c>
      <c r="O46" s="15">
        <f t="shared" si="13"/>
        <v>5.0512704775048579E-2</v>
      </c>
      <c r="P46" s="10"/>
      <c r="Q46" s="15">
        <f t="shared" si="14"/>
        <v>2.5094545819935692</v>
      </c>
      <c r="S46"/>
      <c r="T46"/>
      <c r="U46"/>
      <c r="V46"/>
    </row>
    <row r="47" spans="1:22" ht="24" customHeight="1" x14ac:dyDescent="0.25">
      <c r="A47" s="67">
        <v>46</v>
      </c>
      <c r="B47" s="67">
        <v>4</v>
      </c>
      <c r="C47" s="45" t="str">
        <f>[1]ΑΝΤΙΣΤΟΙΧΙΣΗ!L187</f>
        <v>Μικτές Αποδοχές Developent Department (A.K.Ddep)</v>
      </c>
      <c r="D47" s="79">
        <f>'[1]2025_60-69 ΕΞΟΔΑ+ΟΜ 2'!O37</f>
        <v>0</v>
      </c>
      <c r="E47" s="15" t="e">
        <f ca="1">D47/$D$84</f>
        <v>#DIV/0!</v>
      </c>
      <c r="F47" s="79">
        <f>D47+'[1]2025 Νοέμβριος'!F81</f>
        <v>46297.34</v>
      </c>
      <c r="G47" s="15" t="e">
        <f>F47/$F$84</f>
        <v>#VALUE!</v>
      </c>
      <c r="H47" s="14"/>
      <c r="I47" s="26" t="e">
        <f ca="1">H47/$H$84</f>
        <v>#DIV/0!</v>
      </c>
      <c r="J47" s="27"/>
      <c r="K47" s="27" t="e">
        <f ca="1">J47/$J$84</f>
        <v>#DIV/0!</v>
      </c>
      <c r="L47" s="79">
        <f>'[1]2024_60-69 ΕΞΟΔΑ+ΟΜ 2'!O35</f>
        <v>3226.49</v>
      </c>
      <c r="M47" s="15">
        <f ca="1">L47/$L$84</f>
        <v>0.22354702643080238</v>
      </c>
      <c r="N47" s="10">
        <f>L47+'[1]2025 Νοέμβριος'!N81</f>
        <v>81068.210000000006</v>
      </c>
      <c r="O47" s="15">
        <f ca="1">N47/$N$84</f>
        <v>0.47654496974428112</v>
      </c>
      <c r="P47" s="27"/>
      <c r="Q47" s="28" t="e">
        <f ca="1">SUM(D47:P47)</f>
        <v>#DIV/0!</v>
      </c>
      <c r="S47"/>
      <c r="T47"/>
      <c r="U47"/>
      <c r="V47"/>
    </row>
    <row r="48" spans="1:22" ht="24" customHeight="1" x14ac:dyDescent="0.25">
      <c r="A48" s="67">
        <v>47</v>
      </c>
      <c r="B48" s="67">
        <v>5</v>
      </c>
      <c r="C48" s="44" t="str">
        <f>[1]ΑΝΤΙΣΤΟΙΧΙΣΗ!L188</f>
        <v>Μικτές Αποδοχές Reservation department (Α.Κ.RDep )</v>
      </c>
      <c r="D48" s="79">
        <f>'[1]2025_60-69 ΕΞΟΔΑ+ΟΜ 2'!O38</f>
        <v>0</v>
      </c>
      <c r="E48" s="15" t="e">
        <f ca="1">D48/$D$84</f>
        <v>#DIV/0!</v>
      </c>
      <c r="F48" s="79">
        <f>D48+'[1]2025 Νοέμβριος'!F82</f>
        <v>9451.0400000000009</v>
      </c>
      <c r="G48" s="15" t="e">
        <f>F48/$F$84</f>
        <v>#VALUE!</v>
      </c>
      <c r="H48" s="14"/>
      <c r="I48" s="26" t="e">
        <f ca="1">H48/$H$84</f>
        <v>#DIV/0!</v>
      </c>
      <c r="J48" s="27"/>
      <c r="K48" s="27" t="e">
        <f ca="1">J48/$J$84</f>
        <v>#DIV/0!</v>
      </c>
      <c r="L48" s="79">
        <f>'[1]2024_60-69 ΕΞΟΔΑ+ΟΜ 2'!O36</f>
        <v>3371.38</v>
      </c>
      <c r="M48" s="15">
        <f ca="1">L48/$L$84</f>
        <v>0.23358571511713305</v>
      </c>
      <c r="N48" s="10">
        <f>L48+'[1]2025 Νοέμβριος'!N82</f>
        <v>22731.649999999998</v>
      </c>
      <c r="O48" s="15">
        <f ca="1">N48/$N$84</f>
        <v>0.13362393793433439</v>
      </c>
      <c r="P48" s="27"/>
      <c r="Q48" s="28" t="e">
        <f ca="1">SUM(D48:P48)</f>
        <v>#DIV/0!</v>
      </c>
      <c r="S48"/>
      <c r="T48"/>
      <c r="U48"/>
      <c r="V48"/>
    </row>
    <row r="49" spans="1:22" ht="28.5" x14ac:dyDescent="0.25">
      <c r="A49" s="67">
        <v>48</v>
      </c>
      <c r="B49" s="67">
        <v>6</v>
      </c>
      <c r="C49" s="71" t="str">
        <f>[1]ΑΝΤΙΣΤΟΙΧΙΣΗ!I190</f>
        <v>Ασφαλιστικές εισφορές (Α.Κ.HOUSE KEEPING)</v>
      </c>
      <c r="D49" s="14">
        <f>'[1]2025_60-69 ΕΞΟΔΑ+ΟΜ 2'!O7</f>
        <v>0</v>
      </c>
      <c r="E49" s="15">
        <f t="shared" si="8"/>
        <v>0</v>
      </c>
      <c r="F49" s="10">
        <f>D49+'[1]2025 Νοέμβριος'!F47</f>
        <v>14200.8</v>
      </c>
      <c r="G49" s="15">
        <f t="shared" si="9"/>
        <v>2.3243519359871564E-2</v>
      </c>
      <c r="H49" s="14"/>
      <c r="I49" s="16" t="e">
        <f t="shared" si="10"/>
        <v>#DIV/0!</v>
      </c>
      <c r="J49" s="10">
        <f t="shared" si="15"/>
        <v>0</v>
      </c>
      <c r="K49" s="17" t="e">
        <f t="shared" si="11"/>
        <v>#DIV/0!</v>
      </c>
      <c r="L49" s="14">
        <f>'[1]2024_60-69 ΕΞΟΔΑ+ΟΜ 2'!O7</f>
        <v>1394.91</v>
      </c>
      <c r="M49" s="15">
        <f t="shared" si="12"/>
        <v>2.2326304548521792E-2</v>
      </c>
      <c r="N49" s="10">
        <f>L49+'[1]2025 Νοέμβριος'!N47</f>
        <v>31108.589999999997</v>
      </c>
      <c r="O49" s="15">
        <f t="shared" si="13"/>
        <v>2.5168146615909451E-2</v>
      </c>
      <c r="P49" s="10"/>
      <c r="Q49" s="15">
        <f t="shared" si="14"/>
        <v>2.1906223593037009</v>
      </c>
      <c r="S49"/>
      <c r="T49"/>
      <c r="U49"/>
      <c r="V49" s="160"/>
    </row>
    <row r="50" spans="1:22" ht="28.5" x14ac:dyDescent="0.25">
      <c r="A50" s="67">
        <v>49</v>
      </c>
      <c r="B50" s="67">
        <v>7</v>
      </c>
      <c r="C50" s="71" t="str">
        <f>[1]ΑΝΤΙΣΤΟΙΧΙΣΗ!I191</f>
        <v>Ασφαλιστικές εισφορές (Α.Κ. OPERATION DEP )</v>
      </c>
      <c r="D50" s="14">
        <f>'[1]2025_60-69 ΕΞΟΔΑ+ΟΜ 2'!O8</f>
        <v>0</v>
      </c>
      <c r="E50" s="15">
        <f t="shared" si="8"/>
        <v>0</v>
      </c>
      <c r="F50" s="10">
        <f>D50+'[1]2025 Νοέμβριος'!F48</f>
        <v>3672.9500000000003</v>
      </c>
      <c r="G50" s="15">
        <f t="shared" si="9"/>
        <v>6.0117940139175451E-3</v>
      </c>
      <c r="H50" s="14"/>
      <c r="I50" s="16" t="e">
        <f t="shared" si="10"/>
        <v>#DIV/0!</v>
      </c>
      <c r="J50" s="10">
        <f t="shared" si="15"/>
        <v>0</v>
      </c>
      <c r="K50" s="17" t="e">
        <f t="shared" si="11"/>
        <v>#DIV/0!</v>
      </c>
      <c r="L50" s="14">
        <f>'[1]2024_60-69 ΕΞΟΔΑ+ΟΜ 2'!O8</f>
        <v>1422.38</v>
      </c>
      <c r="M50" s="15">
        <f t="shared" si="12"/>
        <v>2.276597706212331E-2</v>
      </c>
      <c r="N50" s="10">
        <f>L50+'[1]2025 Νοέμβριος'!N48</f>
        <v>13366.239999999998</v>
      </c>
      <c r="O50" s="15">
        <f t="shared" si="13"/>
        <v>1.0813845565595661E-2</v>
      </c>
      <c r="P50" s="10"/>
      <c r="Q50" s="15">
        <f t="shared" si="14"/>
        <v>3.6391020841557866</v>
      </c>
      <c r="S50"/>
      <c r="T50"/>
      <c r="U50"/>
      <c r="V50" s="160"/>
    </row>
    <row r="51" spans="1:22" ht="28.5" x14ac:dyDescent="0.25">
      <c r="A51" s="67">
        <v>50</v>
      </c>
      <c r="B51" s="67">
        <v>8</v>
      </c>
      <c r="C51" s="71" t="str">
        <f>[1]ΑΝΤΙΣΤΟΙΧΙΣΗ!I192</f>
        <v>Ασφαλιστικές εισφορές (Α.Κ. MAINTENANCE DEP )</v>
      </c>
      <c r="D51" s="14">
        <f>'[1]2025_60-69 ΕΞΟΔΑ+ΟΜ 2'!O9</f>
        <v>0</v>
      </c>
      <c r="E51" s="15">
        <f t="shared" si="8"/>
        <v>0</v>
      </c>
      <c r="F51" s="10">
        <f>D51+'[1]2025 Νοέμβριος'!F49</f>
        <v>4508.5199999999995</v>
      </c>
      <c r="G51" s="15">
        <f t="shared" si="9"/>
        <v>7.3794343913278224E-3</v>
      </c>
      <c r="H51" s="14"/>
      <c r="I51" s="16" t="e">
        <f t="shared" si="10"/>
        <v>#DIV/0!</v>
      </c>
      <c r="J51" s="10">
        <f t="shared" si="15"/>
        <v>0</v>
      </c>
      <c r="K51" s="17" t="e">
        <f t="shared" si="11"/>
        <v>#DIV/0!</v>
      </c>
      <c r="L51" s="14">
        <f>'[1]2024_60-69 ΕΞΟΔΑ+ΟΜ 2'!O9</f>
        <v>1123.74</v>
      </c>
      <c r="M51" s="15">
        <f t="shared" si="12"/>
        <v>1.7986079011087366E-2</v>
      </c>
      <c r="N51" s="10">
        <f>L51+'[1]2025 Νοέμβριος'!N49</f>
        <v>12847.28</v>
      </c>
      <c r="O51" s="15">
        <f t="shared" si="13"/>
        <v>1.0393985283667348E-2</v>
      </c>
      <c r="P51" s="10"/>
      <c r="Q51" s="15">
        <f t="shared" si="14"/>
        <v>2.8495559518422899</v>
      </c>
      <c r="S51"/>
      <c r="T51"/>
      <c r="U51"/>
      <c r="V51" s="160"/>
    </row>
    <row r="52" spans="1:22" ht="24" customHeight="1" x14ac:dyDescent="0.25">
      <c r="A52" s="67">
        <v>51</v>
      </c>
      <c r="B52" s="67">
        <v>9</v>
      </c>
      <c r="C52" s="44" t="str">
        <f>[1]ΑΝΤΙΣΤΟΙΧΙΣΗ!L191</f>
        <v>Ασφαλιστικές εισφορές (Α.Κ.DDep)</v>
      </c>
      <c r="D52" s="79">
        <f>'[1]2025_60-69 ΕΞΟΔΑ+ΟΜ 2'!O41</f>
        <v>0</v>
      </c>
      <c r="E52" s="15" t="e">
        <f ca="1">D52/$D$84</f>
        <v>#DIV/0!</v>
      </c>
      <c r="F52" s="79">
        <f>D52+'[1]2025 Νοέμβριος'!F85</f>
        <v>6270.86</v>
      </c>
      <c r="G52" s="15" t="e">
        <f>F52/$F$84</f>
        <v>#VALUE!</v>
      </c>
      <c r="H52" s="14"/>
      <c r="I52" s="26" t="e">
        <f ca="1">H52/$H$84</f>
        <v>#DIV/0!</v>
      </c>
      <c r="J52" s="27"/>
      <c r="K52" s="27" t="e">
        <f ca="1">J52/$J$84</f>
        <v>#DIV/0!</v>
      </c>
      <c r="L52" s="79">
        <f>'[1]2024_60-69 ΕΞΟΔΑ+ΟΜ 2'!O39</f>
        <v>696.89</v>
      </c>
      <c r="M52" s="15">
        <f ca="1">L52/$L$84</f>
        <v>4.8283951677941625E-2</v>
      </c>
      <c r="N52" s="10">
        <f>L52+'[1]2025 Νοέμβριος'!N85</f>
        <v>696.89</v>
      </c>
      <c r="O52" s="15">
        <f ca="1">N52/$N$84</f>
        <v>4.0965431944913061E-3</v>
      </c>
      <c r="P52" s="27"/>
      <c r="Q52" s="28" t="e">
        <f ca="1">SUM(D52:P52)</f>
        <v>#DIV/0!</v>
      </c>
      <c r="S52"/>
      <c r="T52"/>
      <c r="U52"/>
      <c r="V52"/>
    </row>
    <row r="53" spans="1:22" ht="24" customHeight="1" x14ac:dyDescent="0.25">
      <c r="A53" s="67">
        <v>52</v>
      </c>
      <c r="B53" s="67">
        <v>10</v>
      </c>
      <c r="C53" s="71" t="str">
        <f>[1]ΑΝΤΙΣΤΟΙΧΙΣΗ!L192</f>
        <v>Ασφαλιστικές εισφορές (Α.Κ.RDep)</v>
      </c>
      <c r="D53" s="79">
        <f>'[1]2025_60-69 ΕΞΟΔΑ+ΟΜ 2'!O42</f>
        <v>0</v>
      </c>
      <c r="E53" s="15" t="e">
        <f ca="1">D53/$D$84</f>
        <v>#DIV/0!</v>
      </c>
      <c r="F53" s="79">
        <f>D53+'[1]2025 Νοέμβριος'!F86</f>
        <v>1913.23</v>
      </c>
      <c r="G53" s="15" t="e">
        <f>F53/$F$84</f>
        <v>#VALUE!</v>
      </c>
      <c r="H53" s="14"/>
      <c r="I53" s="26" t="e">
        <f ca="1">H53/$H$84</f>
        <v>#DIV/0!</v>
      </c>
      <c r="J53" s="27"/>
      <c r="K53" s="27" t="e">
        <f ca="1">J53/$J$84</f>
        <v>#DIV/0!</v>
      </c>
      <c r="L53" s="79">
        <f>'[1]2024_60-69 ΕΞΟΔΑ+ΟΜ 2'!O40</f>
        <v>729.19</v>
      </c>
      <c r="M53" s="15">
        <f ca="1">L53/$L$84</f>
        <v>5.0521853842124667E-2</v>
      </c>
      <c r="N53" s="10">
        <f>L53+'[1]2025 Νοέμβριος'!N86</f>
        <v>4704.8900000000003</v>
      </c>
      <c r="O53" s="15">
        <f ca="1">N53/$N$84</f>
        <v>2.7656854181191008E-2</v>
      </c>
      <c r="P53" s="27"/>
      <c r="Q53" s="28" t="e">
        <f ca="1">SUM(D53:P53)</f>
        <v>#DIV/0!</v>
      </c>
      <c r="S53"/>
      <c r="T53"/>
      <c r="U53"/>
      <c r="V53" s="160"/>
    </row>
    <row r="54" spans="1:22" ht="15" x14ac:dyDescent="0.25">
      <c r="A54" s="67">
        <v>53</v>
      </c>
      <c r="B54" s="67">
        <v>11</v>
      </c>
      <c r="C54" s="45" t="str">
        <f>[1]ΑΝΤΙΣΤΟΙΧΙΣΗ!I193</f>
        <v xml:space="preserve">Ενοίκια </v>
      </c>
      <c r="D54" s="14">
        <f>'[1]2025_60-69 ΕΞΟΔΑ+ΟΜ 2'!O10</f>
        <v>0</v>
      </c>
      <c r="E54" s="15">
        <f t="shared" si="8"/>
        <v>0</v>
      </c>
      <c r="F54" s="10">
        <f>D54+'[1]2025 Νοέμβριος'!F50</f>
        <v>3032.88</v>
      </c>
      <c r="G54" s="15">
        <f t="shared" si="9"/>
        <v>4.9641432170136387E-3</v>
      </c>
      <c r="H54" s="14"/>
      <c r="I54" s="16" t="e">
        <f t="shared" si="10"/>
        <v>#DIV/0!</v>
      </c>
      <c r="J54" s="10">
        <f t="shared" si="15"/>
        <v>0</v>
      </c>
      <c r="K54" s="17" t="e">
        <f t="shared" si="11"/>
        <v>#DIV/0!</v>
      </c>
      <c r="L54" s="14">
        <f>'[1]2024_60-69 ΕΞΟΔΑ+ΟΜ 2'!O10</f>
        <v>15699.14</v>
      </c>
      <c r="M54" s="15">
        <f t="shared" si="12"/>
        <v>0.25127340171758777</v>
      </c>
      <c r="N54" s="10">
        <f>L54+'[1]2025 Νοέμβριος'!N50</f>
        <v>23347.699999999997</v>
      </c>
      <c r="O54" s="15">
        <f t="shared" si="13"/>
        <v>1.8889262957410446E-2</v>
      </c>
      <c r="P54" s="10"/>
      <c r="Q54" s="15">
        <f t="shared" si="14"/>
        <v>7.6981944554350967</v>
      </c>
      <c r="S54"/>
      <c r="T54"/>
      <c r="U54"/>
      <c r="V54"/>
    </row>
    <row r="55" spans="1:22" ht="15" x14ac:dyDescent="0.25">
      <c r="A55" s="67">
        <v>54</v>
      </c>
      <c r="B55" s="67">
        <v>12</v>
      </c>
      <c r="C55" s="45" t="str">
        <f>[1]ΑΝΤΙΣΤΟΙΧΙΣΗ!I194</f>
        <v xml:space="preserve">Διαφορά Ενοικίου </v>
      </c>
      <c r="D55" s="14">
        <f>'[1]2025_60-69 ΕΞΟΔΑ+ΟΜ 2'!O11</f>
        <v>0</v>
      </c>
      <c r="E55" s="15">
        <f t="shared" si="8"/>
        <v>0</v>
      </c>
      <c r="F55" s="10">
        <f>D55+'[1]2025 Νοέμβριος'!F51</f>
        <v>47267</v>
      </c>
      <c r="G55" s="15">
        <f t="shared" si="9"/>
        <v>7.7365460367236308E-2</v>
      </c>
      <c r="H55" s="14"/>
      <c r="I55" s="16" t="e">
        <f t="shared" si="10"/>
        <v>#DIV/0!</v>
      </c>
      <c r="J55" s="10">
        <f t="shared" si="15"/>
        <v>0</v>
      </c>
      <c r="K55" s="17" t="e">
        <f t="shared" si="11"/>
        <v>#DIV/0!</v>
      </c>
      <c r="L55" s="14">
        <f>'[1]2024_60-69 ΕΞΟΔΑ+ΟΜ 2'!O11</f>
        <v>0</v>
      </c>
      <c r="M55" s="15">
        <f t="shared" si="12"/>
        <v>0</v>
      </c>
      <c r="N55" s="10">
        <f>L55+'[1]2025 Νοέμβριος'!N51</f>
        <v>102901.51999999999</v>
      </c>
      <c r="O55" s="15">
        <f t="shared" si="13"/>
        <v>8.3251620930422709E-2</v>
      </c>
      <c r="P55" s="10"/>
      <c r="Q55" s="15">
        <f t="shared" si="14"/>
        <v>2.1770266782321701</v>
      </c>
      <c r="S55"/>
      <c r="T55"/>
      <c r="U55"/>
      <c r="V55"/>
    </row>
    <row r="56" spans="1:22" ht="15" x14ac:dyDescent="0.25">
      <c r="A56" s="67">
        <v>55</v>
      </c>
      <c r="B56" s="67">
        <v>13</v>
      </c>
      <c r="C56" s="45" t="str">
        <f>[1]ΑΝΤΙΣΤΟΙΧΙΣΗ!I195</f>
        <v xml:space="preserve">Χαρτόσημο ενοικίων </v>
      </c>
      <c r="D56" s="14">
        <f>'[1]2025_60-69 ΕΞΟΔΑ+ΟΜ 2'!O12</f>
        <v>0</v>
      </c>
      <c r="E56" s="15">
        <f t="shared" si="8"/>
        <v>0</v>
      </c>
      <c r="F56" s="10">
        <f>D56+'[1]2025 Νοέμβριος'!F52</f>
        <v>0</v>
      </c>
      <c r="G56" s="15">
        <f t="shared" si="9"/>
        <v>0</v>
      </c>
      <c r="H56" s="14"/>
      <c r="I56" s="16" t="e">
        <f t="shared" si="10"/>
        <v>#DIV/0!</v>
      </c>
      <c r="J56" s="10">
        <f t="shared" si="15"/>
        <v>0</v>
      </c>
      <c r="K56" s="17" t="e">
        <f t="shared" si="11"/>
        <v>#DIV/0!</v>
      </c>
      <c r="L56" s="14">
        <f>'[1]2024_60-69 ΕΞΟΔΑ+ΟΜ 2'!O12</f>
        <v>557.59999999999991</v>
      </c>
      <c r="M56" s="15">
        <f t="shared" si="12"/>
        <v>8.9246957984785748E-3</v>
      </c>
      <c r="N56" s="10">
        <f>L56+'[1]2025 Νοέμβριος'!N52</f>
        <v>557.59999999999991</v>
      </c>
      <c r="O56" s="15">
        <f t="shared" si="13"/>
        <v>4.5112165331283446E-4</v>
      </c>
      <c r="P56" s="10"/>
      <c r="Q56" s="15" t="e">
        <f t="shared" si="14"/>
        <v>#DIV/0!</v>
      </c>
      <c r="S56"/>
      <c r="T56"/>
      <c r="U56"/>
      <c r="V56"/>
    </row>
    <row r="57" spans="1:22" ht="15" x14ac:dyDescent="0.25">
      <c r="A57" s="67">
        <v>56</v>
      </c>
      <c r="B57" s="67">
        <v>14</v>
      </c>
      <c r="C57" s="45" t="str">
        <f>[1]ΑΝΤΙΣΤΟΙΧΙΣΗ!I196</f>
        <v xml:space="preserve">Κοινόχρηστες Δαπάνες </v>
      </c>
      <c r="D57" s="14">
        <f>'[1]2025_60-69 ΕΞΟΔΑ+ΟΜ 2'!O13</f>
        <v>0</v>
      </c>
      <c r="E57" s="15">
        <f t="shared" si="8"/>
        <v>0</v>
      </c>
      <c r="F57" s="10">
        <f>D57+'[1]2025 Νοέμβριος'!F53</f>
        <v>1664.65</v>
      </c>
      <c r="G57" s="15">
        <f t="shared" si="9"/>
        <v>2.7246580828129544E-3</v>
      </c>
      <c r="H57" s="14"/>
      <c r="I57" s="16" t="e">
        <f t="shared" si="10"/>
        <v>#DIV/0!</v>
      </c>
      <c r="J57" s="10">
        <f t="shared" si="15"/>
        <v>0</v>
      </c>
      <c r="K57" s="17" t="e">
        <f t="shared" si="11"/>
        <v>#DIV/0!</v>
      </c>
      <c r="L57" s="14">
        <f>'[1]2024_60-69 ΕΞΟΔΑ+ΟΜ 2'!O13</f>
        <v>1227.25</v>
      </c>
      <c r="M57" s="15">
        <f t="shared" si="12"/>
        <v>1.9642813699215986E-2</v>
      </c>
      <c r="N57" s="10">
        <f>L57+'[1]2025 Νοέμβριος'!N53</f>
        <v>4839.07</v>
      </c>
      <c r="O57" s="15">
        <f t="shared" si="13"/>
        <v>3.9150094313065605E-3</v>
      </c>
      <c r="P57" s="10"/>
      <c r="Q57" s="15">
        <f t="shared" si="14"/>
        <v>2.9069594208992879</v>
      </c>
      <c r="S57"/>
      <c r="T57"/>
      <c r="U57"/>
      <c r="V57"/>
    </row>
    <row r="58" spans="1:22" ht="15" x14ac:dyDescent="0.25">
      <c r="A58" s="67">
        <v>57</v>
      </c>
      <c r="B58" s="67">
        <v>15</v>
      </c>
      <c r="C58" s="45" t="str">
        <f>[1]ΑΝΤΙΣΤΟΙΧΙΣΗ!I197</f>
        <v xml:space="preserve">Ενέργεια </v>
      </c>
      <c r="D58" s="14">
        <f>'[1]2025_60-69 ΕΞΟΔΑ+ΟΜ 2'!O14</f>
        <v>0</v>
      </c>
      <c r="E58" s="15">
        <f t="shared" si="8"/>
        <v>0</v>
      </c>
      <c r="F58" s="10">
        <f>D58+'[1]2025 Νοέμβριος'!F54</f>
        <v>2427.5</v>
      </c>
      <c r="G58" s="15">
        <f t="shared" si="9"/>
        <v>3.9732721569269496E-3</v>
      </c>
      <c r="H58" s="14"/>
      <c r="I58" s="16" t="e">
        <f t="shared" si="10"/>
        <v>#DIV/0!</v>
      </c>
      <c r="J58" s="10">
        <f t="shared" si="15"/>
        <v>0</v>
      </c>
      <c r="K58" s="17" t="e">
        <f t="shared" si="11"/>
        <v>#DIV/0!</v>
      </c>
      <c r="L58" s="14">
        <f>'[1]2024_60-69 ΕΞΟΔΑ+ΟΜ 2'!O14</f>
        <v>2113.17</v>
      </c>
      <c r="M58" s="15">
        <f t="shared" si="12"/>
        <v>3.3822452332265017E-2</v>
      </c>
      <c r="N58" s="10">
        <f>L58+'[1]2025 Νοέμβριος'!N54</f>
        <v>7558.6000000000013</v>
      </c>
      <c r="O58" s="15">
        <f t="shared" si="13"/>
        <v>6.115222612500703E-3</v>
      </c>
      <c r="P58" s="10"/>
      <c r="Q58" s="15">
        <f t="shared" si="14"/>
        <v>3.1137384140061797</v>
      </c>
      <c r="S58"/>
      <c r="T58"/>
      <c r="U58"/>
      <c r="V58"/>
    </row>
    <row r="59" spans="1:22" ht="15" x14ac:dyDescent="0.25">
      <c r="A59" s="67">
        <v>58</v>
      </c>
      <c r="B59" s="67">
        <v>16</v>
      </c>
      <c r="C59" s="45" t="str">
        <f>[1]ΑΝΤΙΣΤΟΙΧΙΣΗ!I198</f>
        <v>Φυσικό αέριο</v>
      </c>
      <c r="D59" s="14">
        <f>'[1]2025_60-69 ΕΞΟΔΑ+ΟΜ 2'!O15</f>
        <v>0</v>
      </c>
      <c r="E59" s="15">
        <f t="shared" si="8"/>
        <v>0</v>
      </c>
      <c r="F59" s="10">
        <f>D59+'[1]2025 Νοέμβριος'!F55</f>
        <v>3383.5</v>
      </c>
      <c r="G59" s="15">
        <f t="shared" si="9"/>
        <v>5.5380293894798493E-3</v>
      </c>
      <c r="H59" s="14"/>
      <c r="I59" s="16" t="e">
        <f t="shared" si="10"/>
        <v>#DIV/0!</v>
      </c>
      <c r="J59" s="10">
        <f t="shared" si="15"/>
        <v>0</v>
      </c>
      <c r="K59" s="17" t="e">
        <f t="shared" si="11"/>
        <v>#DIV/0!</v>
      </c>
      <c r="L59" s="14">
        <f>'[1]2024_60-69 ΕΞΟΔΑ+ΟΜ 2'!O15</f>
        <v>472.22</v>
      </c>
      <c r="M59" s="15">
        <f t="shared" si="12"/>
        <v>7.5581417682165598E-3</v>
      </c>
      <c r="N59" s="10">
        <f>L59+'[1]2025 Νοέμβριος'!N55</f>
        <v>13539.719000000001</v>
      </c>
      <c r="O59" s="15">
        <f t="shared" si="13"/>
        <v>1.0954197311103298E-2</v>
      </c>
      <c r="P59" s="10"/>
      <c r="Q59" s="15">
        <f t="shared" si="14"/>
        <v>4.0016902615634704</v>
      </c>
      <c r="S59"/>
      <c r="T59"/>
      <c r="U59"/>
      <c r="V59"/>
    </row>
    <row r="60" spans="1:22" ht="28.5" x14ac:dyDescent="0.25">
      <c r="A60" s="67">
        <v>59</v>
      </c>
      <c r="B60" s="67">
        <v>17</v>
      </c>
      <c r="C60" s="45" t="str">
        <f>[1]ΑΝΤΙΣΤΟΙΧΙΣΗ!I199</f>
        <v xml:space="preserve">Τηλεπικοινωνίες (Τηλεφωνία &amp; Διαδίκτυο) </v>
      </c>
      <c r="D60" s="14">
        <f>'[1]2025_60-69 ΕΞΟΔΑ+ΟΜ 2'!O16</f>
        <v>0</v>
      </c>
      <c r="E60" s="15">
        <f t="shared" si="8"/>
        <v>0</v>
      </c>
      <c r="F60" s="10">
        <f>D60+'[1]2025 Νοέμβριος'!F56</f>
        <v>1079.08</v>
      </c>
      <c r="G60" s="15">
        <f t="shared" si="9"/>
        <v>1.7662115423673461E-3</v>
      </c>
      <c r="H60" s="14"/>
      <c r="I60" s="16" t="e">
        <f t="shared" si="10"/>
        <v>#DIV/0!</v>
      </c>
      <c r="J60" s="10"/>
      <c r="K60" s="17" t="e">
        <f t="shared" si="11"/>
        <v>#DIV/0!</v>
      </c>
      <c r="L60" s="14">
        <f>'[1]2024_60-69 ΕΞΟΔΑ+ΟΜ 2'!O16</f>
        <v>606.06000000000006</v>
      </c>
      <c r="M60" s="15">
        <f t="shared" si="12"/>
        <v>9.7003248486835121E-3</v>
      </c>
      <c r="N60" s="10">
        <f>L60+'[1]2025 Νοέμβριος'!N56</f>
        <v>606.06000000000006</v>
      </c>
      <c r="O60" s="15">
        <f t="shared" si="13"/>
        <v>4.9032781421588334E-4</v>
      </c>
      <c r="P60" s="10"/>
      <c r="Q60" s="15">
        <f t="shared" si="14"/>
        <v>0.56164510508952081</v>
      </c>
      <c r="S60"/>
      <c r="T60"/>
      <c r="U60"/>
      <c r="V60"/>
    </row>
    <row r="61" spans="1:22" ht="15" x14ac:dyDescent="0.25">
      <c r="A61" s="67">
        <v>60</v>
      </c>
      <c r="B61" s="67">
        <v>18</v>
      </c>
      <c r="C61" s="45" t="str">
        <f>[1]ΑΝΤΙΣΤΟΙΧΙΣΗ!I200</f>
        <v xml:space="preserve">Ύδρευση </v>
      </c>
      <c r="D61" s="14">
        <f>'[1]2025_60-69 ΕΞΟΔΑ+ΟΜ 2'!O17</f>
        <v>0</v>
      </c>
      <c r="E61" s="15">
        <f t="shared" si="8"/>
        <v>0</v>
      </c>
      <c r="F61" s="10">
        <f>D61+'[1]2025 Νοέμβριος'!F57</f>
        <v>1678.29</v>
      </c>
      <c r="G61" s="15">
        <f t="shared" si="9"/>
        <v>2.7469836985577465E-3</v>
      </c>
      <c r="H61" s="14"/>
      <c r="I61" s="16" t="e">
        <f t="shared" si="10"/>
        <v>#DIV/0!</v>
      </c>
      <c r="J61" s="10">
        <f t="shared" si="15"/>
        <v>0</v>
      </c>
      <c r="K61" s="17" t="e">
        <f t="shared" si="11"/>
        <v>#DIV/0!</v>
      </c>
      <c r="L61" s="14">
        <f>'[1]2024_60-69 ΕΞΟΔΑ+ΟΜ 2'!O17</f>
        <v>150.47999999999999</v>
      </c>
      <c r="M61" s="15">
        <f t="shared" si="12"/>
        <v>2.408515465844792E-3</v>
      </c>
      <c r="N61" s="10">
        <f>L61+'[1]2025 Νοέμβριος'!N57</f>
        <v>3798.0699999999997</v>
      </c>
      <c r="O61" s="15">
        <f t="shared" si="13"/>
        <v>3.0727970190062362E-3</v>
      </c>
      <c r="P61" s="10"/>
      <c r="Q61" s="15">
        <f t="shared" si="14"/>
        <v>2.2630594235799535</v>
      </c>
      <c r="S61"/>
      <c r="T61"/>
      <c r="U61"/>
      <c r="V61"/>
    </row>
    <row r="62" spans="1:22" ht="15" x14ac:dyDescent="0.25">
      <c r="A62" s="67">
        <v>61</v>
      </c>
      <c r="B62" s="67">
        <v>19</v>
      </c>
      <c r="C62" s="45" t="str">
        <f>[1]ΑΝΤΙΣΤΟΙΧΙΣΗ!I201</f>
        <v xml:space="preserve">Ασφάλιστρα </v>
      </c>
      <c r="D62" s="14">
        <f>'[1]2025_60-69 ΕΞΟΔΑ+ΟΜ 2'!O18</f>
        <v>0</v>
      </c>
      <c r="E62" s="15">
        <f t="shared" si="8"/>
        <v>0</v>
      </c>
      <c r="F62" s="10">
        <f>D62+'[1]2025 Νοέμβριος'!F58</f>
        <v>287.06</v>
      </c>
      <c r="G62" s="15">
        <f t="shared" si="9"/>
        <v>4.6985273135631317E-4</v>
      </c>
      <c r="H62" s="14"/>
      <c r="I62" s="16" t="e">
        <f t="shared" si="10"/>
        <v>#DIV/0!</v>
      </c>
      <c r="J62" s="10">
        <f t="shared" si="15"/>
        <v>0</v>
      </c>
      <c r="K62" s="17" t="e">
        <f t="shared" si="11"/>
        <v>#DIV/0!</v>
      </c>
      <c r="L62" s="14">
        <f>'[1]2024_60-69 ΕΞΟΔΑ+ΟΜ 2'!O18</f>
        <v>172.65</v>
      </c>
      <c r="M62" s="15">
        <f t="shared" si="12"/>
        <v>2.7633585538151474E-3</v>
      </c>
      <c r="N62" s="10">
        <f>L62+'[1]2025 Νοέμβριος'!N58</f>
        <v>1520.0900000000001</v>
      </c>
      <c r="O62" s="15">
        <f t="shared" si="13"/>
        <v>1.229816201550048E-3</v>
      </c>
      <c r="P62" s="10"/>
      <c r="Q62" s="15">
        <f t="shared" si="14"/>
        <v>5.2953737894516832</v>
      </c>
      <c r="S62"/>
      <c r="T62"/>
      <c r="U62"/>
      <c r="V62"/>
    </row>
    <row r="63" spans="1:22" ht="15" x14ac:dyDescent="0.25">
      <c r="A63" s="67">
        <v>62</v>
      </c>
      <c r="B63" s="67">
        <v>20</v>
      </c>
      <c r="C63" s="45" t="str">
        <f>[1]ΑΝΤΙΣΤΟΙΧΙΣΗ!I202</f>
        <v xml:space="preserve">Αναλώσιμα τρόφιμα  </v>
      </c>
      <c r="D63" s="14">
        <f>'[1]2025_60-69 ΕΞΟΔΑ+ΟΜ 2'!O19</f>
        <v>0</v>
      </c>
      <c r="E63" s="15">
        <f t="shared" si="8"/>
        <v>0</v>
      </c>
      <c r="F63" s="10">
        <f>D63+'[1]2025 Νοέμβριος'!F59</f>
        <v>3780.7</v>
      </c>
      <c r="G63" s="15">
        <f t="shared" si="9"/>
        <v>6.1881565576493176E-3</v>
      </c>
      <c r="H63" s="14"/>
      <c r="I63" s="16" t="e">
        <f t="shared" si="10"/>
        <v>#DIV/0!</v>
      </c>
      <c r="J63" s="10">
        <f t="shared" si="15"/>
        <v>0</v>
      </c>
      <c r="K63" s="17" t="e">
        <f t="shared" si="11"/>
        <v>#DIV/0!</v>
      </c>
      <c r="L63" s="14">
        <f>'[1]2024_60-69 ΕΞΟΔΑ+ΟΜ 2'!O19</f>
        <v>62.970000000000027</v>
      </c>
      <c r="M63" s="15">
        <f t="shared" si="12"/>
        <v>1.0078696098102513E-3</v>
      </c>
      <c r="N63" s="10">
        <f>L63+'[1]2025 Νοέμβριος'!N59</f>
        <v>1506.05</v>
      </c>
      <c r="O63" s="15">
        <f t="shared" si="13"/>
        <v>1.2184572560469771E-3</v>
      </c>
      <c r="P63" s="10"/>
      <c r="Q63" s="15">
        <f t="shared" si="14"/>
        <v>0.3983521570079615</v>
      </c>
      <c r="S63"/>
      <c r="T63"/>
      <c r="U63"/>
      <c r="V63"/>
    </row>
    <row r="64" spans="1:22" ht="15" x14ac:dyDescent="0.25">
      <c r="A64" s="67">
        <v>63</v>
      </c>
      <c r="B64" s="67">
        <v>21</v>
      </c>
      <c r="C64" s="45">
        <f>[1]ΑΝΤΙΣΤΟΙΧΙΣΗ!I203</f>
        <v>0</v>
      </c>
      <c r="D64" s="14">
        <f>'[1]2025_60-69 ΕΞΟΔΑ+ΟΜ 2'!O20</f>
        <v>0</v>
      </c>
      <c r="E64" s="15">
        <f t="shared" si="8"/>
        <v>0</v>
      </c>
      <c r="F64" s="10">
        <f>D64+'[1]2025 Νοέμβριος'!F60</f>
        <v>363.25000000000006</v>
      </c>
      <c r="G64" s="15">
        <f t="shared" si="9"/>
        <v>5.9455864510966623E-4</v>
      </c>
      <c r="H64" s="14"/>
      <c r="I64" s="16" t="e">
        <f t="shared" si="10"/>
        <v>#DIV/0!</v>
      </c>
      <c r="J64" s="10">
        <f t="shared" si="15"/>
        <v>0</v>
      </c>
      <c r="K64" s="17" t="e">
        <f t="shared" si="11"/>
        <v>#DIV/0!</v>
      </c>
      <c r="L64" s="14">
        <f>'[1]2024_60-69 ΕΞΟΔΑ+ΟΜ 2'!O20</f>
        <v>0</v>
      </c>
      <c r="M64" s="15">
        <f t="shared" si="12"/>
        <v>0</v>
      </c>
      <c r="N64" s="10">
        <f>L64+'[1]2025 Νοέμβριος'!N60</f>
        <v>1238.2499999999998</v>
      </c>
      <c r="O64" s="15">
        <f t="shared" si="13"/>
        <v>1.0017958881180368E-3</v>
      </c>
      <c r="P64" s="10"/>
      <c r="Q64" s="15">
        <f t="shared" si="14"/>
        <v>3.4088093599449403</v>
      </c>
      <c r="S64"/>
      <c r="T64"/>
      <c r="U64"/>
      <c r="V64"/>
    </row>
    <row r="65" spans="1:22" ht="15" x14ac:dyDescent="0.25">
      <c r="A65" s="67">
        <v>64</v>
      </c>
      <c r="B65" s="67">
        <v>22</v>
      </c>
      <c r="C65" s="45" t="str">
        <f>[1]ΑΝΤΙΣΤΟΙΧΙΣΗ!I204</f>
        <v xml:space="preserve">Εντυπα και γραφική ύλη </v>
      </c>
      <c r="D65" s="14">
        <f>'[1]2025_60-69 ΕΞΟΔΑ+ΟΜ 2'!O21</f>
        <v>0</v>
      </c>
      <c r="E65" s="15">
        <f t="shared" si="8"/>
        <v>0</v>
      </c>
      <c r="F65" s="10">
        <f>D65+'[1]2025 Νοέμβριος'!F61</f>
        <v>0</v>
      </c>
      <c r="G65" s="15">
        <f t="shared" si="9"/>
        <v>0</v>
      </c>
      <c r="H65" s="14"/>
      <c r="I65" s="16" t="e">
        <f t="shared" si="10"/>
        <v>#DIV/0!</v>
      </c>
      <c r="J65" s="10">
        <f t="shared" si="15"/>
        <v>0</v>
      </c>
      <c r="K65" s="17" t="e">
        <f t="shared" si="11"/>
        <v>#DIV/0!</v>
      </c>
      <c r="L65" s="14">
        <f>'[1]2024_60-69 ΕΞΟΔΑ+ΟΜ 2'!O21</f>
        <v>0</v>
      </c>
      <c r="M65" s="15">
        <f t="shared" si="12"/>
        <v>0</v>
      </c>
      <c r="N65" s="10">
        <f>L65+'[1]2025 Νοέμβριος'!N61</f>
        <v>0</v>
      </c>
      <c r="O65" s="15">
        <f t="shared" si="13"/>
        <v>0</v>
      </c>
      <c r="P65" s="10"/>
      <c r="Q65" s="15" t="e">
        <f t="shared" si="14"/>
        <v>#DIV/0!</v>
      </c>
      <c r="S65"/>
      <c r="T65"/>
      <c r="U65"/>
      <c r="V65"/>
    </row>
    <row r="66" spans="1:22" ht="15" x14ac:dyDescent="0.25">
      <c r="A66" s="67">
        <v>65</v>
      </c>
      <c r="B66" s="67">
        <v>23</v>
      </c>
      <c r="C66" s="72" t="str">
        <f>[1]ΑΝΤΙΣΤΟΙΧΙΣΗ!I205</f>
        <v xml:space="preserve">Υλικά Καθαριότητας </v>
      </c>
      <c r="D66" s="14">
        <f>'[1]2025_60-69 ΕΞΟΔΑ+ΟΜ 2'!O22</f>
        <v>0</v>
      </c>
      <c r="E66" s="15">
        <f t="shared" si="8"/>
        <v>0</v>
      </c>
      <c r="F66" s="10">
        <f>D66+'[1]2025 Νοέμβριος'!F62</f>
        <v>0</v>
      </c>
      <c r="G66" s="15">
        <f t="shared" si="9"/>
        <v>0</v>
      </c>
      <c r="H66" s="14"/>
      <c r="I66" s="16" t="e">
        <f t="shared" si="10"/>
        <v>#DIV/0!</v>
      </c>
      <c r="J66" s="10">
        <f t="shared" si="15"/>
        <v>0</v>
      </c>
      <c r="K66" s="17" t="e">
        <f t="shared" si="11"/>
        <v>#DIV/0!</v>
      </c>
      <c r="L66" s="14">
        <f>'[1]2024_60-69 ΕΞΟΔΑ+ΟΜ 2'!O22</f>
        <v>11.79</v>
      </c>
      <c r="M66" s="15">
        <f t="shared" si="12"/>
        <v>1.8870545814932282E-4</v>
      </c>
      <c r="N66" s="10">
        <f>L66+'[1]2025 Νοέμβριος'!N62</f>
        <v>48.47</v>
      </c>
      <c r="O66" s="15">
        <f t="shared" si="13"/>
        <v>3.9214251320073694E-5</v>
      </c>
      <c r="P66" s="10"/>
      <c r="Q66" s="15" t="e">
        <f t="shared" si="14"/>
        <v>#DIV/0!</v>
      </c>
      <c r="S66"/>
      <c r="T66"/>
      <c r="U66"/>
      <c r="V66"/>
    </row>
    <row r="67" spans="1:22" ht="15" x14ac:dyDescent="0.25">
      <c r="A67" s="67">
        <v>66</v>
      </c>
      <c r="B67" s="67">
        <v>24</v>
      </c>
      <c r="C67" s="73" t="str">
        <f>[1]ΑΝΤΙΣΤΟΙΧΙΣΗ!I206</f>
        <v>Υλικά Φαρμακείου</v>
      </c>
      <c r="D67" s="14">
        <f>'[1]2025_60-69 ΕΞΟΔΑ+ΟΜ 2'!O23</f>
        <v>0</v>
      </c>
      <c r="E67" s="15">
        <f t="shared" si="8"/>
        <v>0</v>
      </c>
      <c r="F67" s="10">
        <f>D67+'[1]2025 Νοέμβριος'!F63</f>
        <v>0</v>
      </c>
      <c r="G67" s="15">
        <f t="shared" si="9"/>
        <v>0</v>
      </c>
      <c r="H67" s="14"/>
      <c r="I67" s="16" t="e">
        <f t="shared" si="10"/>
        <v>#DIV/0!</v>
      </c>
      <c r="J67" s="10">
        <f t="shared" si="15"/>
        <v>0</v>
      </c>
      <c r="K67" s="17" t="e">
        <f t="shared" si="11"/>
        <v>#DIV/0!</v>
      </c>
      <c r="L67" s="14">
        <f>'[1]2024_60-69 ΕΞΟΔΑ+ΟΜ 2'!O23</f>
        <v>0</v>
      </c>
      <c r="M67" s="15">
        <f t="shared" si="12"/>
        <v>0</v>
      </c>
      <c r="N67" s="10">
        <f>L67+'[1]2025 Νοέμβριος'!N63</f>
        <v>101.1</v>
      </c>
      <c r="O67" s="15">
        <f t="shared" si="13"/>
        <v>8.1794116122538678E-5</v>
      </c>
      <c r="P67" s="10"/>
      <c r="Q67" s="15" t="e">
        <f t="shared" si="14"/>
        <v>#DIV/0!</v>
      </c>
      <c r="S67"/>
      <c r="T67"/>
      <c r="U67"/>
      <c r="V67"/>
    </row>
    <row r="68" spans="1:22" ht="15" x14ac:dyDescent="0.25">
      <c r="A68" s="67">
        <v>67</v>
      </c>
      <c r="B68" s="67">
        <v>25</v>
      </c>
      <c r="C68" s="74" t="str">
        <f>[1]ΑΝΤΙΣΤΟΙΧΙΣΗ!I207</f>
        <v>Διάφορα αναλώσιμα</v>
      </c>
      <c r="D68" s="14">
        <f>'[1]2025_60-69 ΕΞΟΔΑ+ΟΜ 2'!O24</f>
        <v>0</v>
      </c>
      <c r="E68" s="15">
        <f t="shared" si="8"/>
        <v>0</v>
      </c>
      <c r="F68" s="10">
        <f>D68+'[1]2025 Νοέμβριος'!F64</f>
        <v>188.71</v>
      </c>
      <c r="G68" s="15">
        <f t="shared" si="9"/>
        <v>3.0887587589441181E-4</v>
      </c>
      <c r="H68" s="14"/>
      <c r="I68" s="16" t="e">
        <f t="shared" si="10"/>
        <v>#DIV/0!</v>
      </c>
      <c r="J68" s="10">
        <f t="shared" si="15"/>
        <v>0</v>
      </c>
      <c r="K68" s="17" t="e">
        <f t="shared" si="11"/>
        <v>#DIV/0!</v>
      </c>
      <c r="L68" s="14">
        <f>'[1]2024_60-69 ΕΞΟΔΑ+ΟΜ 2'!O24</f>
        <v>6551.71</v>
      </c>
      <c r="M68" s="15">
        <f t="shared" si="12"/>
        <v>0.10486373513244274</v>
      </c>
      <c r="N68" s="10">
        <f>L68+'[1]2025 Νοέμβριος'!N64</f>
        <v>7076.05</v>
      </c>
      <c r="O68" s="15">
        <f t="shared" si="13"/>
        <v>5.7248195389603355E-3</v>
      </c>
      <c r="P68" s="10"/>
      <c r="Q68" s="15">
        <f t="shared" si="14"/>
        <v>37.496952996661541</v>
      </c>
      <c r="S68"/>
      <c r="T68"/>
      <c r="U68"/>
      <c r="V68"/>
    </row>
    <row r="69" spans="1:22" ht="42.75" x14ac:dyDescent="0.25">
      <c r="A69" s="67">
        <v>68</v>
      </c>
      <c r="B69" s="67">
        <v>26</v>
      </c>
      <c r="C69" s="74" t="str">
        <f>[1]ΑΝΤΙΣΤΟΙΧΙΣΗ!I208</f>
        <v>Αμοιβές συνεργατών ( Μέσα ανεύρεσης Πελατείας Booking Airbnb κλπ)</v>
      </c>
      <c r="D69" s="14">
        <f>'[1]2025_60-69 ΕΞΟΔΑ+ΟΜ 2'!O25</f>
        <v>0</v>
      </c>
      <c r="E69" s="15">
        <f t="shared" si="8"/>
        <v>0</v>
      </c>
      <c r="F69" s="10">
        <f>D69+'[1]2025 Νοέμβριος'!F65</f>
        <v>36346.14</v>
      </c>
      <c r="G69" s="15">
        <f t="shared" si="9"/>
        <v>5.9490465941820343E-2</v>
      </c>
      <c r="H69" s="14"/>
      <c r="I69" s="16" t="e">
        <f t="shared" si="10"/>
        <v>#DIV/0!</v>
      </c>
      <c r="J69" s="10">
        <f t="shared" si="15"/>
        <v>0</v>
      </c>
      <c r="K69" s="17" t="e">
        <f t="shared" si="11"/>
        <v>#DIV/0!</v>
      </c>
      <c r="L69" s="14">
        <f>'[1]2024_60-69 ΕΞΟΔΑ+ΟΜ 2'!O25</f>
        <v>0</v>
      </c>
      <c r="M69" s="15">
        <f t="shared" si="12"/>
        <v>0</v>
      </c>
      <c r="N69" s="10">
        <f>L69+'[1]2025 Νοέμβριος'!N65</f>
        <v>88373.839999999982</v>
      </c>
      <c r="O69" s="15">
        <f t="shared" si="13"/>
        <v>7.149812196987787E-2</v>
      </c>
      <c r="P69" s="10"/>
      <c r="Q69" s="15">
        <f t="shared" si="14"/>
        <v>2.4314504924044198</v>
      </c>
      <c r="S69"/>
      <c r="T69"/>
      <c r="U69"/>
      <c r="V69"/>
    </row>
    <row r="70" spans="1:22" ht="15" customHeight="1" x14ac:dyDescent="0.25">
      <c r="A70" s="67">
        <v>69</v>
      </c>
      <c r="B70" s="67">
        <v>27</v>
      </c>
      <c r="C70" s="72" t="str">
        <f>[1]ΑΝΤΙΣΤΟΙΧΙΣΗ!I209</f>
        <v>Εξοδα για Αναψυχή Πελατών (Κρουαζιέρες Ποδήλατα - Μαθήματα)</v>
      </c>
      <c r="D70" s="14">
        <f>'[1]2025_60-69 ΕΞΟΔΑ+ΟΜ 2'!O26</f>
        <v>0</v>
      </c>
      <c r="E70" s="15">
        <f t="shared" si="8"/>
        <v>0</v>
      </c>
      <c r="F70" s="10">
        <f>D70+'[1]2025 Νοέμβριος'!F66</f>
        <v>2900.09</v>
      </c>
      <c r="G70" s="15">
        <f t="shared" si="9"/>
        <v>4.7467958185714839E-3</v>
      </c>
      <c r="H70" s="14"/>
      <c r="I70" s="16" t="e">
        <f t="shared" si="10"/>
        <v>#DIV/0!</v>
      </c>
      <c r="J70" s="10">
        <f t="shared" si="15"/>
        <v>0</v>
      </c>
      <c r="K70" s="17" t="e">
        <f t="shared" si="11"/>
        <v>#DIV/0!</v>
      </c>
      <c r="L70" s="14">
        <f>'[1]2024_60-69 ΕΞΟΔΑ+ΟΜ 2'!O26</f>
        <v>0</v>
      </c>
      <c r="M70" s="15">
        <f t="shared" si="12"/>
        <v>0</v>
      </c>
      <c r="N70" s="10">
        <f>L70+'[1]2025 Νοέμβριος'!N66</f>
        <v>2236.25</v>
      </c>
      <c r="O70" s="15">
        <f t="shared" si="13"/>
        <v>1.8092195072109509E-3</v>
      </c>
      <c r="P70" s="10"/>
      <c r="Q70" s="15">
        <f t="shared" si="14"/>
        <v>0.77109675906609787</v>
      </c>
      <c r="S70"/>
      <c r="T70"/>
      <c r="U70"/>
      <c r="V70"/>
    </row>
    <row r="71" spans="1:22" ht="15" x14ac:dyDescent="0.25">
      <c r="A71" s="67">
        <v>70</v>
      </c>
      <c r="B71" s="67">
        <v>28</v>
      </c>
      <c r="C71" s="74" t="str">
        <f>[1]ΑΝΤΙΣΤΟΙΧΙΣΗ!I210</f>
        <v>Εξοδα για Μεταφορά Πελατών</v>
      </c>
      <c r="D71" s="14">
        <f>'[1]2025_60-69 ΕΞΟΔΑ+ΟΜ 2'!O27</f>
        <v>0</v>
      </c>
      <c r="E71" s="15">
        <f t="shared" si="8"/>
        <v>0</v>
      </c>
      <c r="F71" s="10">
        <f>D71+'[1]2025 Νοέμβριος'!F67</f>
        <v>0</v>
      </c>
      <c r="G71" s="15">
        <f t="shared" si="9"/>
        <v>0</v>
      </c>
      <c r="H71" s="14"/>
      <c r="I71" s="16" t="e">
        <f t="shared" si="10"/>
        <v>#DIV/0!</v>
      </c>
      <c r="J71" s="10">
        <f t="shared" si="15"/>
        <v>0</v>
      </c>
      <c r="K71" s="17" t="e">
        <f t="shared" si="11"/>
        <v>#DIV/0!</v>
      </c>
      <c r="L71" s="14">
        <f>'[1]2024_60-69 ΕΞΟΔΑ+ΟΜ 2'!O27</f>
        <v>0</v>
      </c>
      <c r="M71" s="15">
        <f t="shared" si="12"/>
        <v>0</v>
      </c>
      <c r="N71" s="10">
        <f>L71+'[1]2025 Νοέμβριος'!N67</f>
        <v>228.5</v>
      </c>
      <c r="O71" s="15">
        <f t="shared" si="13"/>
        <v>1.8486602902077241E-4</v>
      </c>
      <c r="P71" s="10"/>
      <c r="Q71" s="15" t="e">
        <f t="shared" si="14"/>
        <v>#DIV/0!</v>
      </c>
      <c r="S71"/>
      <c r="T71"/>
      <c r="U71"/>
      <c r="V71"/>
    </row>
    <row r="72" spans="1:22" ht="28.5" customHeight="1" x14ac:dyDescent="0.25">
      <c r="A72" s="67">
        <v>71</v>
      </c>
      <c r="B72" s="67">
        <v>29</v>
      </c>
      <c r="C72" s="74" t="str">
        <f>[1]ΑΝΤΙΣΤΟΙΧΙΣΗ!I211</f>
        <v xml:space="preserve">Έξοδα για σύσταση πελατείας αποθήκευσης Αποσκευών ( Radical) </v>
      </c>
      <c r="D72" s="14">
        <f>'[1]2025_60-69 ΕΞΟΔΑ+ΟΜ 2'!O28</f>
        <v>0</v>
      </c>
      <c r="E72" s="15">
        <f t="shared" si="8"/>
        <v>0</v>
      </c>
      <c r="F72" s="10">
        <f>D72+'[1]2025 Νοέμβριος'!F68</f>
        <v>399.06</v>
      </c>
      <c r="G72" s="15">
        <f t="shared" si="9"/>
        <v>6.5317157031648547E-4</v>
      </c>
      <c r="H72" s="14"/>
      <c r="I72" s="16" t="e">
        <f t="shared" si="10"/>
        <v>#DIV/0!</v>
      </c>
      <c r="J72" s="10">
        <f t="shared" si="15"/>
        <v>0</v>
      </c>
      <c r="K72" s="17" t="e">
        <f t="shared" si="11"/>
        <v>#DIV/0!</v>
      </c>
      <c r="L72" s="14">
        <f>'[1]2024_60-69 ΕΞΟΔΑ+ΟΜ 2'!O28</f>
        <v>812.86</v>
      </c>
      <c r="M72" s="15">
        <f t="shared" si="12"/>
        <v>1.3010273003499453E-2</v>
      </c>
      <c r="N72" s="10">
        <f>L72+'[1]2025 Νοέμβριος'!N68</f>
        <v>1592.6100000000001</v>
      </c>
      <c r="O72" s="15">
        <f t="shared" si="13"/>
        <v>1.2884879058151963E-3</v>
      </c>
      <c r="P72" s="10"/>
      <c r="Q72" s="15">
        <f t="shared" si="14"/>
        <v>3.9909036235152611</v>
      </c>
      <c r="S72"/>
      <c r="T72"/>
      <c r="U72"/>
      <c r="V72"/>
    </row>
    <row r="73" spans="1:22" ht="23.25" customHeight="1" x14ac:dyDescent="0.25">
      <c r="A73" s="67">
        <v>72</v>
      </c>
      <c r="B73" s="67">
        <v>30</v>
      </c>
      <c r="C73" s="45" t="str">
        <f>[1]ΑΝΤΙΣΤΟΙΧΙΣΗ!I212</f>
        <v>Αμοιβές Τρίτων ( Καθαριστήριο και άλλα άμεσα έξοδα )</v>
      </c>
      <c r="D73" s="14">
        <f>'[1]2025_60-69 ΕΞΟΔΑ+ΟΜ 2'!O29</f>
        <v>0</v>
      </c>
      <c r="E73" s="15">
        <f t="shared" si="8"/>
        <v>0</v>
      </c>
      <c r="F73" s="10">
        <f>D73+'[1]2025 Νοέμβριος'!F69</f>
        <v>5994.46</v>
      </c>
      <c r="G73" s="15">
        <f t="shared" si="9"/>
        <v>9.8115843517249529E-3</v>
      </c>
      <c r="H73" s="14"/>
      <c r="I73" s="16" t="e">
        <f t="shared" si="10"/>
        <v>#DIV/0!</v>
      </c>
      <c r="J73" s="10">
        <f t="shared" si="15"/>
        <v>0</v>
      </c>
      <c r="K73" s="17" t="e">
        <f t="shared" si="11"/>
        <v>#DIV/0!</v>
      </c>
      <c r="L73" s="14">
        <f>'[1]2024_60-69 ΕΞΟΔΑ+ΟΜ 2'!O29</f>
        <v>1186.6300000000001</v>
      </c>
      <c r="M73" s="15">
        <f t="shared" si="12"/>
        <v>1.899266817673715E-2</v>
      </c>
      <c r="N73" s="10">
        <f>L73+'[1]2025 Νοέμβριος'!N69</f>
        <v>19324.120000000003</v>
      </c>
      <c r="O73" s="15">
        <f t="shared" si="13"/>
        <v>1.5634018944073912E-2</v>
      </c>
      <c r="P73" s="10"/>
      <c r="Q73" s="15">
        <f t="shared" si="14"/>
        <v>3.2236631823383597</v>
      </c>
      <c r="S73"/>
      <c r="T73"/>
      <c r="U73"/>
      <c r="V73"/>
    </row>
    <row r="74" spans="1:22" ht="15" x14ac:dyDescent="0.25">
      <c r="A74" s="67">
        <v>73</v>
      </c>
      <c r="B74" s="67">
        <v>31</v>
      </c>
      <c r="C74" s="45" t="str">
        <f>[1]ΑΝΤΙΣΤΟΙΧΙΣΗ!I213</f>
        <v>Επισκευές - Συντηρήσεις</v>
      </c>
      <c r="D74" s="14">
        <f>'[1]2025_60-69 ΕΞΟΔΑ+ΟΜ 2'!O30</f>
        <v>0</v>
      </c>
      <c r="E74" s="15">
        <f t="shared" si="8"/>
        <v>0</v>
      </c>
      <c r="F74" s="10">
        <f>D74+'[1]2025 Νοέμβριος'!F70</f>
        <v>1811.8300000000002</v>
      </c>
      <c r="G74" s="15">
        <f t="shared" si="9"/>
        <v>2.9655586785107954E-3</v>
      </c>
      <c r="H74" s="14"/>
      <c r="I74" s="16" t="e">
        <f t="shared" si="10"/>
        <v>#DIV/0!</v>
      </c>
      <c r="J74" s="10">
        <f t="shared" si="15"/>
        <v>0</v>
      </c>
      <c r="K74" s="17" t="e">
        <f t="shared" si="11"/>
        <v>#DIV/0!</v>
      </c>
      <c r="L74" s="14">
        <f>'[1]2024_60-69 ΕΞΟΔΑ+ΟΜ 2'!O30</f>
        <v>0</v>
      </c>
      <c r="M74" s="15">
        <f t="shared" si="12"/>
        <v>0</v>
      </c>
      <c r="N74" s="10">
        <f>L74+'[1]2025 Νοέμβριος'!N70</f>
        <v>7866.1100000000006</v>
      </c>
      <c r="O74" s="15">
        <f t="shared" si="13"/>
        <v>6.3640110264358346E-3</v>
      </c>
      <c r="P74" s="10"/>
      <c r="Q74" s="15">
        <f t="shared" si="14"/>
        <v>4.3415276267641003</v>
      </c>
      <c r="S74"/>
      <c r="T74"/>
      <c r="U74"/>
      <c r="V74"/>
    </row>
    <row r="75" spans="1:22" ht="30.75" customHeight="1" x14ac:dyDescent="0.25">
      <c r="A75" s="67">
        <v>74</v>
      </c>
      <c r="B75" s="67">
        <v>32</v>
      </c>
      <c r="C75" s="74" t="str">
        <f>[1]ΑΝΤΙΣΤΟΙΧΙΣΗ!I214</f>
        <v>Φόρος Παρεπιδημούντων</v>
      </c>
      <c r="D75" s="14">
        <f>'[1]2025_60-69 ΕΞΟΔΑ+ΟΜ 2'!O31</f>
        <v>7839.9766666666674</v>
      </c>
      <c r="E75" s="15">
        <f t="shared" si="8"/>
        <v>1</v>
      </c>
      <c r="F75" s="10">
        <f>D75+'[1]2025 Νοέμβριος'!F71</f>
        <v>7839.9766666666674</v>
      </c>
      <c r="G75" s="15">
        <f t="shared" si="9"/>
        <v>1.2832280535787282E-2</v>
      </c>
      <c r="H75" s="14"/>
      <c r="I75" s="16" t="e">
        <f t="shared" si="10"/>
        <v>#DIV/0!</v>
      </c>
      <c r="J75" s="10">
        <f t="shared" si="15"/>
        <v>0</v>
      </c>
      <c r="K75" s="17" t="e">
        <f t="shared" si="11"/>
        <v>#DIV/0!</v>
      </c>
      <c r="L75" s="14">
        <f>'[1]2024_60-69 ΕΞΟΔΑ+ΟΜ 2'!O31</f>
        <v>2414.42</v>
      </c>
      <c r="M75" s="15">
        <f t="shared" si="12"/>
        <v>3.8644124874036311E-2</v>
      </c>
      <c r="N75" s="10">
        <f>L75+'[1]2025 Νοέμβριος'!N71</f>
        <v>5334.75</v>
      </c>
      <c r="O75" s="15">
        <f t="shared" si="13"/>
        <v>4.3160352224007248E-3</v>
      </c>
      <c r="P75" s="10"/>
      <c r="Q75" s="15">
        <f t="shared" si="14"/>
        <v>0.68045483128563722</v>
      </c>
      <c r="S75"/>
      <c r="T75"/>
      <c r="U75"/>
      <c r="V75"/>
    </row>
    <row r="76" spans="1:22" ht="30.75" customHeight="1" x14ac:dyDescent="0.25">
      <c r="A76" s="67">
        <v>75</v>
      </c>
      <c r="B76" s="67">
        <v>33</v>
      </c>
      <c r="C76" s="74" t="str">
        <f>[1]ΑΝΤΙΣΤΟΙΧΙΣΗ!I215</f>
        <v>Αποσβέσεις ( Κτήρια - Μηχανήματα - Εξοπλισμός )</v>
      </c>
      <c r="D76" s="14">
        <f>'[1]2025_60-69 ΕΞΟΔΑ+ΟΜ 2'!O32</f>
        <v>0</v>
      </c>
      <c r="E76" s="15">
        <f t="shared" si="8"/>
        <v>0</v>
      </c>
      <c r="F76" s="10">
        <f>D76+'[1]2025 Νοέμβριος'!F72</f>
        <v>86239.743333333347</v>
      </c>
      <c r="G76" s="15">
        <f t="shared" si="9"/>
        <v>0.1411550858936601</v>
      </c>
      <c r="H76" s="14"/>
      <c r="I76" s="16" t="e">
        <f t="shared" si="10"/>
        <v>#DIV/0!</v>
      </c>
      <c r="J76" s="10">
        <f t="shared" si="15"/>
        <v>0</v>
      </c>
      <c r="K76" s="17" t="e">
        <f t="shared" si="11"/>
        <v>#DIV/0!</v>
      </c>
      <c r="L76" s="14">
        <f>'[1]2024_60-69 ΕΞΟΔΑ+ΟΜ 2'!O32</f>
        <v>752.79</v>
      </c>
      <c r="M76" s="15">
        <f t="shared" si="12"/>
        <v>1.2048819494506254E-2</v>
      </c>
      <c r="N76" s="10">
        <f>L76+'[1]2025 Νοέμβριος'!N72</f>
        <v>86992.569999999963</v>
      </c>
      <c r="O76" s="15">
        <f t="shared" si="13"/>
        <v>7.0380616937468568E-2</v>
      </c>
      <c r="P76" s="10"/>
      <c r="Q76" s="15">
        <f t="shared" si="14"/>
        <v>1.0087294632099819</v>
      </c>
      <c r="S76"/>
      <c r="T76"/>
      <c r="U76"/>
      <c r="V76"/>
    </row>
    <row r="77" spans="1:22" ht="30.75" customHeight="1" x14ac:dyDescent="0.25">
      <c r="A77" s="67">
        <v>76</v>
      </c>
      <c r="B77" s="67">
        <v>34</v>
      </c>
      <c r="C77" s="74" t="str">
        <f>[1]ΑΝΤΙΣΤΟΙΧΙΣΗ!I216</f>
        <v>Αναλώσιμα τρόφιμα  (Ομάδα 2**)</v>
      </c>
      <c r="D77" s="14">
        <f>'[1]2025_60-69 ΕΞΟΔΑ+ΟΜ 2'!O33</f>
        <v>0</v>
      </c>
      <c r="E77" s="15">
        <f t="shared" si="8"/>
        <v>0</v>
      </c>
      <c r="F77" s="10">
        <f>D77+'[1]2025 Νοέμβριος'!F73</f>
        <v>5806.2300000000005</v>
      </c>
      <c r="G77" s="15">
        <f t="shared" si="9"/>
        <v>9.5034941279975131E-3</v>
      </c>
      <c r="H77" s="14"/>
      <c r="I77" s="16" t="e">
        <f t="shared" si="10"/>
        <v>#DIV/0!</v>
      </c>
      <c r="J77" s="10">
        <f t="shared" si="15"/>
        <v>0</v>
      </c>
      <c r="K77" s="17" t="e">
        <f t="shared" si="11"/>
        <v>#DIV/0!</v>
      </c>
      <c r="L77" s="14">
        <f>'[1]2024_60-69 ΕΞΟΔΑ+ΟΜ 2'!O33</f>
        <v>0</v>
      </c>
      <c r="M77" s="15">
        <f t="shared" si="12"/>
        <v>0</v>
      </c>
      <c r="N77" s="10">
        <f>L77+'[1]2025 Νοέμβριος'!N73</f>
        <v>26726.36</v>
      </c>
      <c r="O77" s="15">
        <f t="shared" si="13"/>
        <v>2.162273979597204E-2</v>
      </c>
      <c r="P77" s="10"/>
      <c r="Q77" s="15">
        <f t="shared" si="14"/>
        <v>4.6030487941400873</v>
      </c>
      <c r="S77"/>
      <c r="T77"/>
      <c r="U77"/>
      <c r="V77"/>
    </row>
    <row r="78" spans="1:22" ht="36.75" customHeight="1" x14ac:dyDescent="0.25">
      <c r="A78" s="60">
        <v>77</v>
      </c>
      <c r="B78" s="60"/>
      <c r="C78" s="75" t="s">
        <v>163</v>
      </c>
      <c r="D78" s="7">
        <f>'[1]2025_60-69 ΕΞΟΔΑ+ΟΜ 2'!O3</f>
        <v>7839.9766666666674</v>
      </c>
      <c r="E78" s="21"/>
      <c r="F78" s="7">
        <f>'[1]2025_60-69 ΕΞΟΔΑ+ΟΜ 2'!AB3</f>
        <v>279304.08</v>
      </c>
      <c r="G78" s="21"/>
      <c r="H78" s="7">
        <f>SUM(H44:H75)</f>
        <v>0</v>
      </c>
      <c r="I78" s="21"/>
      <c r="J78" s="7">
        <f>SUM(J44:J75)</f>
        <v>0</v>
      </c>
      <c r="K78" s="21"/>
      <c r="L78" s="7">
        <f>SUM(L44:L75)</f>
        <v>61725.53</v>
      </c>
      <c r="M78" s="21"/>
      <c r="N78" s="7">
        <f>SUM(N44:N75)</f>
        <v>1122311.2980000002</v>
      </c>
      <c r="O78" s="21"/>
      <c r="P78" s="7">
        <f>SUM(P44:P75)</f>
        <v>0</v>
      </c>
      <c r="Q78" s="21"/>
      <c r="S78"/>
      <c r="T78"/>
      <c r="U78"/>
      <c r="V78"/>
    </row>
    <row r="79" spans="1:22" ht="22.5" customHeight="1" x14ac:dyDescent="0.25">
      <c r="A79" s="60">
        <v>78</v>
      </c>
      <c r="B79" s="60"/>
      <c r="C79" s="22" t="s">
        <v>18</v>
      </c>
      <c r="D79" s="7">
        <f>D43-D78</f>
        <v>0</v>
      </c>
      <c r="E79" s="21"/>
      <c r="F79" s="7">
        <f>F43-F78</f>
        <v>331653.3133333333</v>
      </c>
      <c r="G79" s="21"/>
      <c r="H79" s="7">
        <f>H43-H78</f>
        <v>0</v>
      </c>
      <c r="I79" s="21"/>
      <c r="J79" s="7">
        <f>J43-J78</f>
        <v>0</v>
      </c>
      <c r="K79" s="21"/>
      <c r="L79" s="7">
        <f>L43-L78</f>
        <v>752.79000000000087</v>
      </c>
      <c r="M79" s="21"/>
      <c r="N79" s="7">
        <f>N43-N78</f>
        <v>113718.93000000017</v>
      </c>
      <c r="O79" s="21"/>
      <c r="P79" s="7">
        <f>P43-P78</f>
        <v>0</v>
      </c>
      <c r="Q79" s="21"/>
      <c r="S79"/>
      <c r="T79"/>
      <c r="U79"/>
      <c r="V79"/>
    </row>
    <row r="80" spans="1:22" ht="36" customHeight="1" x14ac:dyDescent="0.25">
      <c r="A80" s="76">
        <v>79</v>
      </c>
      <c r="B80" s="76">
        <v>28</v>
      </c>
      <c r="C80" s="13" t="s">
        <v>32</v>
      </c>
      <c r="D80" s="23">
        <f>D38-D78</f>
        <v>-7839.9766666666674</v>
      </c>
      <c r="E80" s="24"/>
      <c r="F80" s="23" t="e">
        <f>F38-F78</f>
        <v>#VALUE!</v>
      </c>
      <c r="G80" s="24"/>
      <c r="H80" s="25">
        <f>H38-H78</f>
        <v>0</v>
      </c>
      <c r="I80" s="24" t="e">
        <f t="shared" ref="I80" si="16">H80/$I$39</f>
        <v>#DIV/0!</v>
      </c>
      <c r="J80" s="25">
        <f>J38-J78</f>
        <v>712926.932741886</v>
      </c>
      <c r="K80" s="24"/>
      <c r="L80" s="77">
        <f>L38-L78</f>
        <v>38380.660000000003</v>
      </c>
      <c r="M80" s="24"/>
      <c r="N80" s="23">
        <f>N38-N78</f>
        <v>-398756.35304424772</v>
      </c>
      <c r="O80" s="24"/>
      <c r="P80" s="23">
        <f>P38-P78</f>
        <v>-507715.37911504437</v>
      </c>
      <c r="Q80" s="24"/>
      <c r="S80"/>
      <c r="T80"/>
      <c r="U80"/>
      <c r="V80"/>
    </row>
    <row r="81" spans="1:22" ht="31.5" customHeight="1" x14ac:dyDescent="0.25">
      <c r="A81" s="78">
        <v>80</v>
      </c>
      <c r="B81" s="78"/>
      <c r="C81" s="78" t="s">
        <v>160</v>
      </c>
      <c r="D81" s="182" t="str">
        <f>[1]ΑΝΤΙΣΤΟΙΧΙΣΗ!$F$32</f>
        <v xml:space="preserve">ΠΡΑΓΜΑΤΟΠΟΙΗΘΕΝΤΑ ΜΗΝΟΣ ΤΡΕΧ. ΕΤΟΥΣ </v>
      </c>
      <c r="E81" s="182"/>
      <c r="F81" s="182"/>
      <c r="G81" s="182"/>
      <c r="H81" s="182" t="str">
        <f>[1]ΑΝΤΙΣΤΟΙΧΙΣΗ!$F$35</f>
        <v>ΠΡΟΥΠΟΛΟΓΙΣΜΟΣ ΤΡΕΧΟΝΤΟΣ ΕΤΟΥΣ</v>
      </c>
      <c r="I81" s="182"/>
      <c r="J81" s="182"/>
      <c r="K81" s="182"/>
      <c r="L81" s="182" t="str">
        <f>[1]ΑΝΤΙΣΤΟΙΧΙΣΗ!$F$68</f>
        <v>ΠΡΑΓΜΑΤΟΠΟΙΗΘΕΝΤΑ ΠΡΟΗΓΟΥΜΕΝΟΥ ΕΤΟΥΣ</v>
      </c>
      <c r="M81" s="182"/>
      <c r="N81" s="182"/>
      <c r="O81" s="182">
        <f>[1]ΑΝΤΙΣΤΟΙΧΙΣΗ!$D$33</f>
        <v>2024</v>
      </c>
      <c r="P81" s="183" t="str">
        <f>[1]ΑΝΤΙΣΤΟΙΧΙΣΗ!$F$100</f>
        <v xml:space="preserve">ΣΥΓΚΡΙΣΕΙΣ </v>
      </c>
      <c r="Q81" s="183">
        <f>[1]ΑΝΤΙΣΤΟΙΧΙΣΗ!$H$141</f>
        <v>2024</v>
      </c>
      <c r="S81"/>
      <c r="T81"/>
      <c r="U81"/>
      <c r="V81"/>
    </row>
    <row r="82" spans="1:22" ht="24.75" customHeight="1" x14ac:dyDescent="0.25">
      <c r="A82" s="19">
        <v>81</v>
      </c>
      <c r="B82" s="19"/>
      <c r="C82" s="5" t="s">
        <v>3</v>
      </c>
      <c r="D82" s="180" t="str">
        <f>[1]ΑΝΤΙΣΤΟΙΧΙΣΗ!$F$117</f>
        <v xml:space="preserve">ΔΕΚΕΜΒΡΙΟΣ ΤΡΕΧΟΝ ΕΤΟΣ </v>
      </c>
      <c r="E82" s="180"/>
      <c r="F82" s="180"/>
      <c r="G82" s="61">
        <f>[1]ΑΝΤΙΣΤΟΙΧΙΣΗ!$D$34</f>
        <v>2025</v>
      </c>
      <c r="H82" s="180" t="str">
        <f>[1]ΑΝΤΙΣΤΟΙΧΙΣΗ!$F$117</f>
        <v xml:space="preserve">ΔΕΚΕΜΒΡΙΟΣ ΤΡΕΧΟΝ ΕΤΟΣ </v>
      </c>
      <c r="I82" s="180"/>
      <c r="J82" s="180"/>
      <c r="K82" s="61">
        <f>[1]ΑΝΤΙΣΤΟΙΧΙΣΗ!$D$34</f>
        <v>2025</v>
      </c>
      <c r="L82" s="180" t="str">
        <f>[1]ΑΝΤΙΣΤΟΙΧΙΣΗ!$F$131</f>
        <v>ΔΕΚΕΜΒΡΙΟΣ ΠΡΟΗΓΟΥΜΕΝΟΥ ΕΤΟΥΣ</v>
      </c>
      <c r="M82" s="180"/>
      <c r="N82" s="180"/>
      <c r="O82" s="61">
        <f>[1]ΑΝΤΙΣΤΟΙΧΙΣΗ!$D$33</f>
        <v>2024</v>
      </c>
      <c r="P82" s="180"/>
      <c r="Q82" s="180"/>
      <c r="S82"/>
      <c r="T82"/>
      <c r="U82"/>
      <c r="V82"/>
    </row>
    <row r="83" spans="1:22" ht="15" customHeight="1" x14ac:dyDescent="0.25">
      <c r="A83" s="69">
        <v>82</v>
      </c>
      <c r="B83" s="69" t="s">
        <v>33</v>
      </c>
      <c r="C83" s="62" t="s">
        <v>164</v>
      </c>
      <c r="D83" s="62" t="s">
        <v>162</v>
      </c>
      <c r="E83" s="63" t="s">
        <v>35</v>
      </c>
      <c r="F83" s="63" t="s">
        <v>36</v>
      </c>
      <c r="G83" s="63" t="s">
        <v>27</v>
      </c>
      <c r="H83" s="63" t="s">
        <v>38</v>
      </c>
      <c r="I83" s="63" t="s">
        <v>39</v>
      </c>
      <c r="J83" s="63" t="s">
        <v>36</v>
      </c>
      <c r="K83" s="63" t="s">
        <v>27</v>
      </c>
      <c r="L83" s="63" t="s">
        <v>38</v>
      </c>
      <c r="M83" s="63" t="s">
        <v>39</v>
      </c>
      <c r="N83" s="63" t="s">
        <v>36</v>
      </c>
      <c r="O83" s="63" t="s">
        <v>27</v>
      </c>
      <c r="P83" s="63" t="s">
        <v>28</v>
      </c>
      <c r="Q83" s="63" t="s">
        <v>40</v>
      </c>
      <c r="S83"/>
      <c r="T83"/>
      <c r="U83"/>
      <c r="V83"/>
    </row>
    <row r="84" spans="1:22" ht="15" customHeight="1" x14ac:dyDescent="0.25">
      <c r="A84" s="19">
        <v>83</v>
      </c>
      <c r="B84" s="19" t="s">
        <v>2</v>
      </c>
      <c r="C84" s="75" t="s">
        <v>165</v>
      </c>
      <c r="D84" s="7">
        <f ca="1">SUM(D47:D110)</f>
        <v>0</v>
      </c>
      <c r="E84" s="8"/>
      <c r="F84" s="7" t="e">
        <f>SUM(F47:F110)</f>
        <v>#VALUE!</v>
      </c>
      <c r="G84" s="8"/>
      <c r="H84" s="7">
        <f ca="1">SUM(H47:H110)</f>
        <v>0</v>
      </c>
      <c r="I84" s="8"/>
      <c r="J84" s="7">
        <f ca="1">SUM(J47:J110)</f>
        <v>0</v>
      </c>
      <c r="K84" s="8"/>
      <c r="L84" s="7">
        <f ca="1">SUM(L47:L110)</f>
        <v>14433.16</v>
      </c>
      <c r="M84" s="8"/>
      <c r="N84" s="7">
        <f ca="1">SUM(N47:N110)</f>
        <v>170116.60000000006</v>
      </c>
      <c r="O84" s="8"/>
      <c r="P84" s="7">
        <f ca="1">SUM(P47:P110)</f>
        <v>0</v>
      </c>
      <c r="Q84" s="8"/>
      <c r="S84"/>
      <c r="T84"/>
      <c r="U84"/>
      <c r="V84"/>
    </row>
    <row r="85" spans="1:22" ht="24" customHeight="1" x14ac:dyDescent="0.25">
      <c r="A85" s="67">
        <v>84</v>
      </c>
      <c r="B85" s="67">
        <v>1</v>
      </c>
      <c r="C85" s="44" t="str">
        <f>[1]ΑΝΤΙΣΤΟΙΧΙΣΗ!L189</f>
        <v>Μικτές Αποδοχές Marketing (Α.Κ.MDep )</v>
      </c>
      <c r="D85" s="79">
        <f>'[1]2025_60-69 ΕΞΟΔΑ+ΟΜ 2'!O39</f>
        <v>0</v>
      </c>
      <c r="E85" s="15" t="e">
        <f t="shared" ref="E85:E105" ca="1" si="17">D85/$D$84</f>
        <v>#DIV/0!</v>
      </c>
      <c r="F85" s="79">
        <f>D85+'[1]2025 Νοέμβριος'!F83</f>
        <v>10153.07</v>
      </c>
      <c r="G85" s="15" t="e">
        <f t="shared" ref="G85:G105" si="18">F85/$F$84</f>
        <v>#VALUE!</v>
      </c>
      <c r="H85" s="14"/>
      <c r="I85" s="26" t="e">
        <f t="shared" ref="I85:I105" ca="1" si="19">H85/$H$84</f>
        <v>#DIV/0!</v>
      </c>
      <c r="J85" s="27"/>
      <c r="K85" s="27" t="e">
        <f t="shared" ref="K85:K105" ca="1" si="20">J85/$J$84</f>
        <v>#DIV/0!</v>
      </c>
      <c r="L85" s="79">
        <f>'[1]2024_60-69 ΕΞΟΔΑ+ΟΜ 2'!O37</f>
        <v>4349.45</v>
      </c>
      <c r="M85" s="15">
        <f t="shared" ref="M85:M105" ca="1" si="21">L85/$L$84</f>
        <v>0.30135119405591015</v>
      </c>
      <c r="N85" s="10">
        <f>L85+'[1]2025 Νοέμβριος'!N83</f>
        <v>17778.8</v>
      </c>
      <c r="O85" s="15">
        <f t="shared" ref="O85:O105" ca="1" si="22">N85/$N$84</f>
        <v>0.10450949525208</v>
      </c>
      <c r="P85" s="27"/>
      <c r="Q85" s="28" t="e">
        <f t="shared" ref="Q85:Q105" ca="1" si="23">SUM(D85:P85)</f>
        <v>#DIV/0!</v>
      </c>
      <c r="S85"/>
      <c r="T85"/>
      <c r="U85"/>
      <c r="V85"/>
    </row>
    <row r="86" spans="1:22" ht="24" customHeight="1" x14ac:dyDescent="0.25">
      <c r="A86" s="67">
        <v>85</v>
      </c>
      <c r="B86" s="67">
        <v>2</v>
      </c>
      <c r="C86" s="44" t="str">
        <f>[1]ΑΝΤΙΣΤΟΙΧΙΣΗ!L190</f>
        <v>Μικτές Αποδοχές Sales (Α.Κ.SDep )</v>
      </c>
      <c r="D86" s="79">
        <f>'[1]2025_60-69 ΕΞΟΔΑ+ΟΜ 2'!O40</f>
        <v>0</v>
      </c>
      <c r="E86" s="15" t="e">
        <f t="shared" ca="1" si="17"/>
        <v>#DIV/0!</v>
      </c>
      <c r="F86" s="79">
        <f>D86+'[1]2025 Νοέμβριος'!F84</f>
        <v>5921.02</v>
      </c>
      <c r="G86" s="15" t="e">
        <f t="shared" si="18"/>
        <v>#VALUE!</v>
      </c>
      <c r="H86" s="14"/>
      <c r="I86" s="26" t="e">
        <f t="shared" ca="1" si="19"/>
        <v>#DIV/0!</v>
      </c>
      <c r="J86" s="27"/>
      <c r="K86" s="27" t="e">
        <f t="shared" ca="1" si="20"/>
        <v>#DIV/0!</v>
      </c>
      <c r="L86" s="79">
        <f>'[1]2024_60-69 ΕΞΟΔΑ+ΟΜ 2'!O38</f>
        <v>0</v>
      </c>
      <c r="M86" s="15">
        <f t="shared" ca="1" si="21"/>
        <v>0</v>
      </c>
      <c r="N86" s="10">
        <f>L86+'[1]2025 Νοέμβριος'!N84</f>
        <v>19549.61</v>
      </c>
      <c r="O86" s="15">
        <f t="shared" ca="1" si="22"/>
        <v>0.11491888504707944</v>
      </c>
      <c r="P86" s="27"/>
      <c r="Q86" s="28" t="e">
        <f t="shared" ca="1" si="23"/>
        <v>#DIV/0!</v>
      </c>
      <c r="S86"/>
      <c r="T86"/>
      <c r="U86"/>
      <c r="V86"/>
    </row>
    <row r="87" spans="1:22" ht="24" customHeight="1" x14ac:dyDescent="0.25">
      <c r="A87" s="67">
        <v>86</v>
      </c>
      <c r="B87" s="67">
        <v>3</v>
      </c>
      <c r="C87" s="71" t="str">
        <f>[1]ΑΝΤΙΣΤΟΙΧΙΣΗ!L193</f>
        <v>Ασφαλιστικές εισφορές (Α.Κ.MDep)</v>
      </c>
      <c r="D87" s="79">
        <f>'[1]2025_60-69 ΕΞΟΔΑ+ΟΜ 2'!O43</f>
        <v>0</v>
      </c>
      <c r="E87" s="15" t="e">
        <f t="shared" ca="1" si="17"/>
        <v>#DIV/0!</v>
      </c>
      <c r="F87" s="79">
        <f>D87+'[1]2025 Νοέμβριος'!F87</f>
        <v>2080.4</v>
      </c>
      <c r="G87" s="15" t="e">
        <f t="shared" si="18"/>
        <v>#VALUE!</v>
      </c>
      <c r="H87" s="14"/>
      <c r="I87" s="26" t="e">
        <f t="shared" ca="1" si="19"/>
        <v>#DIV/0!</v>
      </c>
      <c r="J87" s="27"/>
      <c r="K87" s="27" t="e">
        <f t="shared" ca="1" si="20"/>
        <v>#DIV/0!</v>
      </c>
      <c r="L87" s="79">
        <f>'[1]2024_60-69 ΕΞΟΔΑ+ΟΜ 2'!O41</f>
        <v>679.83</v>
      </c>
      <c r="M87" s="15">
        <f t="shared" ca="1" si="21"/>
        <v>4.7101951339831333E-2</v>
      </c>
      <c r="N87" s="10">
        <f>L87+'[1]2025 Νοέμβριος'!N87</f>
        <v>3845.13</v>
      </c>
      <c r="O87" s="15">
        <f t="shared" ca="1" si="22"/>
        <v>2.2602908828415327E-2</v>
      </c>
      <c r="P87" s="27"/>
      <c r="Q87" s="28" t="e">
        <f t="shared" ca="1" si="23"/>
        <v>#DIV/0!</v>
      </c>
      <c r="S87"/>
      <c r="T87"/>
      <c r="U87"/>
      <c r="V87" s="160"/>
    </row>
    <row r="88" spans="1:22" ht="24" customHeight="1" x14ac:dyDescent="0.25">
      <c r="A88" s="67">
        <v>87</v>
      </c>
      <c r="B88" s="67">
        <v>4</v>
      </c>
      <c r="C88" s="71" t="str">
        <f>[1]ΑΝΤΙΣΤΟΙΧΙΣΗ!L194</f>
        <v>Ασφαλιστικές εισφορές (Α.Κ.SDep)</v>
      </c>
      <c r="D88" s="79">
        <f>'[1]2025_60-69 ΕΞΟΔΑ+ΟΜ 2'!O44</f>
        <v>0</v>
      </c>
      <c r="E88" s="15" t="e">
        <f t="shared" ca="1" si="17"/>
        <v>#DIV/0!</v>
      </c>
      <c r="F88" s="79">
        <f>D88+'[1]2025 Νοέμβριος'!F88</f>
        <v>901.2</v>
      </c>
      <c r="G88" s="15" t="e">
        <f t="shared" si="18"/>
        <v>#VALUE!</v>
      </c>
      <c r="H88" s="14"/>
      <c r="I88" s="26" t="e">
        <f t="shared" ca="1" si="19"/>
        <v>#DIV/0!</v>
      </c>
      <c r="J88" s="27"/>
      <c r="K88" s="27" t="e">
        <f t="shared" ca="1" si="20"/>
        <v>#DIV/0!</v>
      </c>
      <c r="L88" s="79">
        <f>'[1]2024_60-69 ΕΞΟΔΑ+ΟΜ 2'!O42</f>
        <v>0</v>
      </c>
      <c r="M88" s="15">
        <f t="shared" ca="1" si="21"/>
        <v>0</v>
      </c>
      <c r="N88" s="10">
        <f>L88+'[1]2025 Νοέμβριος'!N88</f>
        <v>3428.9300000000003</v>
      </c>
      <c r="O88" s="15">
        <f t="shared" ca="1" si="22"/>
        <v>2.0156351584736582E-2</v>
      </c>
      <c r="P88" s="27"/>
      <c r="Q88" s="28" t="e">
        <f t="shared" ca="1" si="23"/>
        <v>#DIV/0!</v>
      </c>
      <c r="S88"/>
      <c r="T88"/>
      <c r="U88"/>
      <c r="V88" s="160"/>
    </row>
    <row r="89" spans="1:22" ht="28.5" customHeight="1" x14ac:dyDescent="0.25">
      <c r="A89" s="67">
        <v>88</v>
      </c>
      <c r="B89" s="67">
        <v>5</v>
      </c>
      <c r="C89" s="72" t="str">
        <f>[1]ΑΝΤΙΣΤΟΙΧΙΣΗ!L195</f>
        <v>Ενοίκιο</v>
      </c>
      <c r="D89" s="79">
        <f>'[1]2025_60-69 ΕΞΟΔΑ+ΟΜ 2'!O45</f>
        <v>0</v>
      </c>
      <c r="E89" s="15" t="e">
        <f t="shared" ca="1" si="17"/>
        <v>#DIV/0!</v>
      </c>
      <c r="F89" s="79">
        <f>D89+'[1]2025 Νοέμβριος'!F89</f>
        <v>880.69999999999993</v>
      </c>
      <c r="G89" s="15" t="e">
        <f t="shared" si="18"/>
        <v>#VALUE!</v>
      </c>
      <c r="H89" s="80"/>
      <c r="I89" s="26" t="e">
        <f t="shared" ca="1" si="19"/>
        <v>#DIV/0!</v>
      </c>
      <c r="J89" s="80"/>
      <c r="K89" s="27" t="e">
        <f t="shared" ca="1" si="20"/>
        <v>#DIV/0!</v>
      </c>
      <c r="L89" s="79">
        <f>'[1]2024_60-69 ΕΞΟΔΑ+ΟΜ 2'!O43</f>
        <v>0</v>
      </c>
      <c r="M89" s="15">
        <f t="shared" ca="1" si="21"/>
        <v>0</v>
      </c>
      <c r="N89" s="10">
        <f>L89+'[1]2025 Νοέμβριος'!N89</f>
        <v>0</v>
      </c>
      <c r="O89" s="15">
        <f t="shared" ca="1" si="22"/>
        <v>0</v>
      </c>
      <c r="P89" s="80"/>
      <c r="Q89" s="28" t="e">
        <f t="shared" ca="1" si="23"/>
        <v>#DIV/0!</v>
      </c>
      <c r="S89"/>
      <c r="T89"/>
      <c r="U89"/>
      <c r="V89"/>
    </row>
    <row r="90" spans="1:22" ht="42.75" customHeight="1" x14ac:dyDescent="0.25">
      <c r="A90" s="67">
        <v>89</v>
      </c>
      <c r="B90" s="67">
        <v>6</v>
      </c>
      <c r="C90" s="45" t="str">
        <f>[1]ΑΝΤΙΣΤΟΙΧΙΣΗ!L196</f>
        <v xml:space="preserve">Χαρτόσημο ενοικίων </v>
      </c>
      <c r="D90" s="79">
        <f>'[1]2025_60-69 ΕΞΟΔΑ+ΟΜ 2'!O46</f>
        <v>0</v>
      </c>
      <c r="E90" s="15" t="e">
        <f t="shared" ca="1" si="17"/>
        <v>#DIV/0!</v>
      </c>
      <c r="F90" s="79">
        <f>D90+'[1]2025 Νοέμβριος'!F90</f>
        <v>0</v>
      </c>
      <c r="G90" s="15" t="e">
        <f t="shared" si="18"/>
        <v>#VALUE!</v>
      </c>
      <c r="H90" s="80"/>
      <c r="I90" s="26" t="e">
        <f t="shared" ca="1" si="19"/>
        <v>#DIV/0!</v>
      </c>
      <c r="J90" s="80"/>
      <c r="K90" s="27" t="e">
        <f t="shared" ca="1" si="20"/>
        <v>#DIV/0!</v>
      </c>
      <c r="L90" s="79">
        <f>'[1]2024_60-69 ΕΞΟΔΑ+ΟΜ 2'!O44</f>
        <v>0</v>
      </c>
      <c r="M90" s="15">
        <f t="shared" ca="1" si="21"/>
        <v>0</v>
      </c>
      <c r="N90" s="10">
        <f>L90+'[1]2025 Νοέμβριος'!N90</f>
        <v>0</v>
      </c>
      <c r="O90" s="15">
        <f t="shared" ca="1" si="22"/>
        <v>0</v>
      </c>
      <c r="P90" s="80"/>
      <c r="Q90" s="28" t="e">
        <f t="shared" ca="1" si="23"/>
        <v>#DIV/0!</v>
      </c>
      <c r="S90"/>
      <c r="T90"/>
      <c r="U90"/>
      <c r="V90"/>
    </row>
    <row r="91" spans="1:22" ht="15" customHeight="1" x14ac:dyDescent="0.25">
      <c r="A91" s="67">
        <v>90</v>
      </c>
      <c r="B91" s="67">
        <v>7</v>
      </c>
      <c r="C91" s="45" t="str">
        <f>[1]ΑΝΤΙΣΤΟΙΧΙΣΗ!L197</f>
        <v xml:space="preserve">Κοινόχρηστες Δαπάνες </v>
      </c>
      <c r="D91" s="79">
        <f>'[1]2025_60-69 ΕΞΟΔΑ+ΟΜ 2'!O47</f>
        <v>0</v>
      </c>
      <c r="E91" s="15" t="e">
        <f t="shared" ca="1" si="17"/>
        <v>#DIV/0!</v>
      </c>
      <c r="F91" s="79">
        <f>D91+'[1]2025 Νοέμβριος'!F91</f>
        <v>0</v>
      </c>
      <c r="G91" s="15" t="e">
        <f t="shared" si="18"/>
        <v>#VALUE!</v>
      </c>
      <c r="H91" s="80"/>
      <c r="I91" s="26" t="e">
        <f t="shared" ca="1" si="19"/>
        <v>#DIV/0!</v>
      </c>
      <c r="J91" s="80"/>
      <c r="K91" s="27" t="e">
        <f t="shared" ca="1" si="20"/>
        <v>#DIV/0!</v>
      </c>
      <c r="L91" s="79">
        <f>'[1]2024_60-69 ΕΞΟΔΑ+ΟΜ 2'!O45</f>
        <v>0</v>
      </c>
      <c r="M91" s="15">
        <f t="shared" ca="1" si="21"/>
        <v>0</v>
      </c>
      <c r="N91" s="10">
        <f>L91+'[1]2025 Νοέμβριος'!N91</f>
        <v>0</v>
      </c>
      <c r="O91" s="15">
        <f t="shared" ca="1" si="22"/>
        <v>0</v>
      </c>
      <c r="P91" s="80"/>
      <c r="Q91" s="28" t="e">
        <f t="shared" ca="1" si="23"/>
        <v>#DIV/0!</v>
      </c>
      <c r="S91"/>
      <c r="T91"/>
      <c r="U91"/>
      <c r="V91"/>
    </row>
    <row r="92" spans="1:22" ht="15" customHeight="1" x14ac:dyDescent="0.25">
      <c r="A92" s="67">
        <v>91</v>
      </c>
      <c r="B92" s="67">
        <v>8</v>
      </c>
      <c r="C92" s="71" t="str">
        <f>[1]ΑΝΤΙΣΤΟΙΧΙΣΗ!L198</f>
        <v xml:space="preserve">Ενέργεια </v>
      </c>
      <c r="D92" s="79">
        <f>'[1]2025_60-69 ΕΞΟΔΑ+ΟΜ 2'!O48</f>
        <v>0</v>
      </c>
      <c r="E92" s="15" t="e">
        <f t="shared" ca="1" si="17"/>
        <v>#DIV/0!</v>
      </c>
      <c r="F92" s="79">
        <f>D92+'[1]2025 Νοέμβριος'!F92</f>
        <v>0</v>
      </c>
      <c r="G92" s="15" t="e">
        <f t="shared" si="18"/>
        <v>#VALUE!</v>
      </c>
      <c r="H92" s="14"/>
      <c r="I92" s="26" t="e">
        <f t="shared" ca="1" si="19"/>
        <v>#DIV/0!</v>
      </c>
      <c r="J92" s="27"/>
      <c r="K92" s="27" t="e">
        <f t="shared" ca="1" si="20"/>
        <v>#DIV/0!</v>
      </c>
      <c r="L92" s="79">
        <f>'[1]2024_60-69 ΕΞΟΔΑ+ΟΜ 2'!O46</f>
        <v>0</v>
      </c>
      <c r="M92" s="15">
        <f t="shared" ca="1" si="21"/>
        <v>0</v>
      </c>
      <c r="N92" s="10">
        <f>L92+'[1]2025 Νοέμβριος'!N92</f>
        <v>0</v>
      </c>
      <c r="O92" s="15">
        <f t="shared" ca="1" si="22"/>
        <v>0</v>
      </c>
      <c r="P92" s="27"/>
      <c r="Q92" s="28" t="e">
        <f t="shared" ca="1" si="23"/>
        <v>#DIV/0!</v>
      </c>
      <c r="S92"/>
      <c r="T92"/>
      <c r="U92"/>
      <c r="V92" s="160"/>
    </row>
    <row r="93" spans="1:22" ht="15" customHeight="1" x14ac:dyDescent="0.25">
      <c r="A93" s="67">
        <v>92</v>
      </c>
      <c r="B93" s="67">
        <v>9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2'!O49</f>
        <v>0</v>
      </c>
      <c r="E93" s="15" t="e">
        <f t="shared" ca="1" si="17"/>
        <v>#DIV/0!</v>
      </c>
      <c r="F93" s="79">
        <f>D93+'[1]2025 Νοέμβριος'!F93</f>
        <v>0</v>
      </c>
      <c r="G93" s="15" t="e">
        <f t="shared" si="18"/>
        <v>#VALUE!</v>
      </c>
      <c r="H93" s="14"/>
      <c r="I93" s="26" t="e">
        <f t="shared" ca="1" si="19"/>
        <v>#DIV/0!</v>
      </c>
      <c r="J93" s="27"/>
      <c r="K93" s="27" t="e">
        <f t="shared" ca="1" si="20"/>
        <v>#DIV/0!</v>
      </c>
      <c r="L93" s="79">
        <f>'[1]2024_60-69 ΕΞΟΔΑ+ΟΜ 2'!O47</f>
        <v>0</v>
      </c>
      <c r="M93" s="15">
        <f t="shared" ca="1" si="21"/>
        <v>0</v>
      </c>
      <c r="N93" s="10">
        <f>L93+'[1]2025 Νοέμβριος'!N93</f>
        <v>0</v>
      </c>
      <c r="O93" s="15">
        <f t="shared" ca="1" si="22"/>
        <v>0</v>
      </c>
      <c r="P93" s="27"/>
      <c r="Q93" s="28" t="e">
        <f t="shared" ca="1" si="23"/>
        <v>#DIV/0!</v>
      </c>
      <c r="S93"/>
      <c r="T93"/>
      <c r="U93"/>
      <c r="V93"/>
    </row>
    <row r="94" spans="1:22" ht="15" customHeight="1" x14ac:dyDescent="0.25">
      <c r="A94" s="67">
        <v>93</v>
      </c>
      <c r="B94" s="67">
        <v>10</v>
      </c>
      <c r="C94" s="45" t="str">
        <f>[1]ΑΝΤΙΣΤΟΙΧΙΣΗ!L200</f>
        <v xml:space="preserve">Ύδρευση </v>
      </c>
      <c r="D94" s="79">
        <f>'[1]2025_60-69 ΕΞΟΔΑ+ΟΜ 2'!O50</f>
        <v>0</v>
      </c>
      <c r="E94" s="15" t="e">
        <f t="shared" ca="1" si="17"/>
        <v>#DIV/0!</v>
      </c>
      <c r="F94" s="79">
        <f>D94+'[1]2025 Νοέμβριος'!F94</f>
        <v>0</v>
      </c>
      <c r="G94" s="15" t="e">
        <f t="shared" si="18"/>
        <v>#VALUE!</v>
      </c>
      <c r="H94" s="81"/>
      <c r="I94" s="26" t="e">
        <f t="shared" ca="1" si="19"/>
        <v>#DIV/0!</v>
      </c>
      <c r="J94" s="81"/>
      <c r="K94" s="27" t="e">
        <f t="shared" ca="1" si="20"/>
        <v>#DIV/0!</v>
      </c>
      <c r="L94" s="79">
        <f>'[1]2024_60-69 ΕΞΟΔΑ+ΟΜ 2'!O48</f>
        <v>0</v>
      </c>
      <c r="M94" s="15">
        <f t="shared" ca="1" si="21"/>
        <v>0</v>
      </c>
      <c r="N94" s="10">
        <f>L94+'[1]2025 Νοέμβριος'!N94</f>
        <v>0</v>
      </c>
      <c r="O94" s="15">
        <f t="shared" ca="1" si="22"/>
        <v>0</v>
      </c>
      <c r="P94" s="81"/>
      <c r="Q94" s="28" t="e">
        <f t="shared" ca="1" si="23"/>
        <v>#DIV/0!</v>
      </c>
      <c r="S94"/>
      <c r="T94"/>
      <c r="U94"/>
      <c r="V94"/>
    </row>
    <row r="95" spans="1:22" ht="28.5" customHeight="1" x14ac:dyDescent="0.25">
      <c r="A95" s="67">
        <v>94</v>
      </c>
      <c r="B95" s="67">
        <v>11</v>
      </c>
      <c r="C95" s="45" t="str">
        <f>[1]ΑΝΤΙΣΤΟΙΧΙΣΗ!L201</f>
        <v xml:space="preserve">Ασφάλιστρα </v>
      </c>
      <c r="D95" s="79">
        <f>'[1]2025_60-69 ΕΞΟΔΑ+ΟΜ 2'!O51</f>
        <v>0</v>
      </c>
      <c r="E95" s="15" t="e">
        <f t="shared" ca="1" si="17"/>
        <v>#DIV/0!</v>
      </c>
      <c r="F95" s="79">
        <f>D95+'[1]2025 Νοέμβριος'!F95</f>
        <v>0</v>
      </c>
      <c r="G95" s="15" t="e">
        <f t="shared" si="18"/>
        <v>#VALUE!</v>
      </c>
      <c r="H95" s="14"/>
      <c r="I95" s="26" t="e">
        <f t="shared" ca="1" si="19"/>
        <v>#DIV/0!</v>
      </c>
      <c r="J95" s="27"/>
      <c r="K95" s="27" t="e">
        <f t="shared" ca="1" si="20"/>
        <v>#DIV/0!</v>
      </c>
      <c r="L95" s="79">
        <f>'[1]2024_60-69 ΕΞΟΔΑ+ΟΜ 2'!O49</f>
        <v>0</v>
      </c>
      <c r="M95" s="15">
        <f t="shared" ca="1" si="21"/>
        <v>0</v>
      </c>
      <c r="N95" s="10">
        <f>L95+'[1]2025 Νοέμβριος'!N95</f>
        <v>0</v>
      </c>
      <c r="O95" s="15">
        <f t="shared" ca="1" si="22"/>
        <v>0</v>
      </c>
      <c r="P95" s="27"/>
      <c r="Q95" s="28" t="e">
        <f t="shared" ca="1" si="23"/>
        <v>#DIV/0!</v>
      </c>
      <c r="S95"/>
      <c r="T95"/>
      <c r="U95"/>
      <c r="V95"/>
    </row>
    <row r="96" spans="1:22" ht="15" customHeight="1" x14ac:dyDescent="0.25">
      <c r="A96" s="67">
        <v>95</v>
      </c>
      <c r="B96" s="67">
        <v>12</v>
      </c>
      <c r="C96" s="45" t="str">
        <f>[1]ΑΝΤΙΣΤΟΙΧΙΣΗ!L202</f>
        <v xml:space="preserve">Έντυπα και γραφική Ύλη </v>
      </c>
      <c r="D96" s="79">
        <f>'[1]2025_60-69 ΕΞΟΔΑ+ΟΜ 2'!O52</f>
        <v>0</v>
      </c>
      <c r="E96" s="15" t="e">
        <f t="shared" ca="1" si="17"/>
        <v>#DIV/0!</v>
      </c>
      <c r="F96" s="79">
        <f>D96+'[1]2025 Νοέμβριος'!F96</f>
        <v>0</v>
      </c>
      <c r="G96" s="15" t="e">
        <f t="shared" si="18"/>
        <v>#VALUE!</v>
      </c>
      <c r="H96" s="14"/>
      <c r="I96" s="26" t="e">
        <f t="shared" ca="1" si="19"/>
        <v>#DIV/0!</v>
      </c>
      <c r="J96" s="27"/>
      <c r="K96" s="27" t="e">
        <f t="shared" ca="1" si="20"/>
        <v>#DIV/0!</v>
      </c>
      <c r="L96" s="79">
        <f>'[1]2024_60-69 ΕΞΟΔΑ+ΟΜ 2'!O50</f>
        <v>0</v>
      </c>
      <c r="M96" s="15">
        <f t="shared" ca="1" si="21"/>
        <v>0</v>
      </c>
      <c r="N96" s="10">
        <f>L96+'[1]2025 Νοέμβριος'!N96</f>
        <v>246.76</v>
      </c>
      <c r="O96" s="15">
        <f t="shared" ca="1" si="22"/>
        <v>1.4505345157380285E-3</v>
      </c>
      <c r="P96" s="27"/>
      <c r="Q96" s="28" t="e">
        <f t="shared" ca="1" si="23"/>
        <v>#DIV/0!</v>
      </c>
      <c r="S96"/>
      <c r="T96"/>
      <c r="U96"/>
      <c r="V96"/>
    </row>
    <row r="97" spans="1:22" ht="15" customHeight="1" x14ac:dyDescent="0.25">
      <c r="A97" s="67">
        <v>96</v>
      </c>
      <c r="B97" s="67">
        <v>13</v>
      </c>
      <c r="C97" s="45">
        <f>[1]ΑΝΤΙΣΤΟΙΧΙΣΗ!L203</f>
        <v>0</v>
      </c>
      <c r="D97" s="79">
        <f>'[1]2025_60-69 ΕΞΟΔΑ+ΟΜ 2'!O53</f>
        <v>0</v>
      </c>
      <c r="E97" s="15" t="e">
        <f t="shared" ca="1" si="17"/>
        <v>#DIV/0!</v>
      </c>
      <c r="F97" s="79">
        <f>D97+'[1]2025 Νοέμβριος'!F97</f>
        <v>554.78</v>
      </c>
      <c r="G97" s="15" t="e">
        <f t="shared" si="18"/>
        <v>#VALUE!</v>
      </c>
      <c r="H97" s="14"/>
      <c r="I97" s="26" t="e">
        <f t="shared" ca="1" si="19"/>
        <v>#DIV/0!</v>
      </c>
      <c r="J97" s="27"/>
      <c r="K97" s="27" t="e">
        <f t="shared" ca="1" si="20"/>
        <v>#DIV/0!</v>
      </c>
      <c r="L97" s="79">
        <f>'[1]2024_60-69 ΕΞΟΔΑ+ΟΜ 2'!O51</f>
        <v>0</v>
      </c>
      <c r="M97" s="15">
        <f t="shared" ca="1" si="21"/>
        <v>0</v>
      </c>
      <c r="N97" s="10">
        <f>L97+'[1]2025 Νοέμβριος'!N97</f>
        <v>386.19</v>
      </c>
      <c r="O97" s="15">
        <f t="shared" ca="1" si="22"/>
        <v>2.270148827333722E-3</v>
      </c>
      <c r="P97" s="27"/>
      <c r="Q97" s="28" t="e">
        <f t="shared" ca="1" si="23"/>
        <v>#DIV/0!</v>
      </c>
      <c r="S97"/>
      <c r="T97"/>
      <c r="U97"/>
      <c r="V97"/>
    </row>
    <row r="98" spans="1:22" ht="15" customHeight="1" x14ac:dyDescent="0.25">
      <c r="A98" s="67">
        <v>97</v>
      </c>
      <c r="B98" s="67">
        <v>14</v>
      </c>
      <c r="C98" s="72" t="str">
        <f>[1]ΑΝΤΙΣΤΟΙΧΙΣΗ!L204</f>
        <v xml:space="preserve">Υλικά Καθαριότητας </v>
      </c>
      <c r="D98" s="79">
        <f>'[1]2025_60-69 ΕΞΟΔΑ+ΟΜ 2'!O54</f>
        <v>0</v>
      </c>
      <c r="E98" s="15" t="e">
        <f t="shared" ca="1" si="17"/>
        <v>#DIV/0!</v>
      </c>
      <c r="F98" s="79">
        <f>D98+'[1]2025 Νοέμβριος'!F98</f>
        <v>0</v>
      </c>
      <c r="G98" s="15" t="e">
        <f t="shared" si="18"/>
        <v>#VALUE!</v>
      </c>
      <c r="H98" s="14"/>
      <c r="I98" s="26" t="e">
        <f t="shared" ca="1" si="19"/>
        <v>#DIV/0!</v>
      </c>
      <c r="J98" s="27"/>
      <c r="K98" s="27" t="e">
        <f t="shared" ca="1" si="20"/>
        <v>#DIV/0!</v>
      </c>
      <c r="L98" s="79">
        <f>'[1]2024_60-69 ΕΞΟΔΑ+ΟΜ 2'!O52</f>
        <v>0</v>
      </c>
      <c r="M98" s="15">
        <f t="shared" ca="1" si="21"/>
        <v>0</v>
      </c>
      <c r="N98" s="10">
        <f>L98+'[1]2025 Νοέμβριος'!N98</f>
        <v>0</v>
      </c>
      <c r="O98" s="15">
        <f t="shared" ca="1" si="22"/>
        <v>0</v>
      </c>
      <c r="P98" s="27"/>
      <c r="Q98" s="28" t="e">
        <f t="shared" ca="1" si="23"/>
        <v>#DIV/0!</v>
      </c>
      <c r="S98"/>
      <c r="T98"/>
      <c r="U98"/>
      <c r="V98"/>
    </row>
    <row r="99" spans="1:22" ht="15" customHeight="1" x14ac:dyDescent="0.25">
      <c r="A99" s="67">
        <v>98</v>
      </c>
      <c r="B99" s="67">
        <v>15</v>
      </c>
      <c r="C99" s="46" t="str">
        <f>[1]ΑΝΤΙΣΤΟΙΧΙΣΗ!L205</f>
        <v>Υλικά Φαρμακείου</v>
      </c>
      <c r="D99" s="79">
        <f>'[1]2025_60-69 ΕΞΟΔΑ+ΟΜ 2'!O55</f>
        <v>0</v>
      </c>
      <c r="E99" s="15" t="e">
        <f t="shared" ca="1" si="17"/>
        <v>#DIV/0!</v>
      </c>
      <c r="F99" s="79">
        <f>D99+'[1]2025 Νοέμβριος'!F99</f>
        <v>0</v>
      </c>
      <c r="G99" s="15" t="e">
        <f t="shared" si="18"/>
        <v>#VALUE!</v>
      </c>
      <c r="H99" s="14"/>
      <c r="I99" s="26" t="e">
        <f t="shared" ca="1" si="19"/>
        <v>#DIV/0!</v>
      </c>
      <c r="J99" s="27"/>
      <c r="K99" s="27" t="e">
        <f t="shared" ca="1" si="20"/>
        <v>#DIV/0!</v>
      </c>
      <c r="L99" s="79">
        <f>'[1]2024_60-69 ΕΞΟΔΑ+ΟΜ 2'!O53</f>
        <v>0</v>
      </c>
      <c r="M99" s="15">
        <f t="shared" ca="1" si="21"/>
        <v>0</v>
      </c>
      <c r="N99" s="10">
        <f>L99+'[1]2025 Νοέμβριος'!N99</f>
        <v>0</v>
      </c>
      <c r="O99" s="15">
        <f t="shared" ca="1" si="22"/>
        <v>0</v>
      </c>
      <c r="P99" s="27"/>
      <c r="Q99" s="28" t="e">
        <f t="shared" ca="1" si="23"/>
        <v>#DIV/0!</v>
      </c>
      <c r="S99"/>
      <c r="T99"/>
      <c r="U99"/>
      <c r="V99"/>
    </row>
    <row r="100" spans="1:22" ht="15" customHeight="1" x14ac:dyDescent="0.25">
      <c r="A100" s="67">
        <v>99</v>
      </c>
      <c r="B100" s="67">
        <v>16</v>
      </c>
      <c r="C100" s="46" t="str">
        <f>[1]ΑΝΤΙΣΤΟΙΧΙΣΗ!L206</f>
        <v xml:space="preserve">Αγορές εφαρμογών για Marketing </v>
      </c>
      <c r="D100" s="79">
        <f>'[1]2025_60-69 ΕΞΟΔΑ+ΟΜ 2'!O56</f>
        <v>0</v>
      </c>
      <c r="E100" s="15" t="e">
        <f t="shared" ca="1" si="17"/>
        <v>#DIV/0!</v>
      </c>
      <c r="F100" s="79">
        <f>D100+'[1]2025 Νοέμβριος'!F100</f>
        <v>4747.45</v>
      </c>
      <c r="G100" s="15" t="e">
        <f t="shared" si="18"/>
        <v>#VALUE!</v>
      </c>
      <c r="H100" s="14"/>
      <c r="I100" s="26" t="e">
        <f t="shared" ca="1" si="19"/>
        <v>#DIV/0!</v>
      </c>
      <c r="J100" s="27"/>
      <c r="K100" s="27" t="e">
        <f t="shared" ca="1" si="20"/>
        <v>#DIV/0!</v>
      </c>
      <c r="L100" s="79">
        <f>'[1]2024_60-69 ΕΞΟΔΑ+ΟΜ 2'!O54</f>
        <v>230.38</v>
      </c>
      <c r="M100" s="15">
        <f t="shared" ca="1" si="21"/>
        <v>1.5961854507259673E-2</v>
      </c>
      <c r="N100" s="10">
        <f>L100+'[1]2025 Νοέμβριος'!N100</f>
        <v>350.26</v>
      </c>
      <c r="O100" s="15">
        <f t="shared" ca="1" si="22"/>
        <v>2.0589407500502589E-3</v>
      </c>
      <c r="P100" s="27"/>
      <c r="Q100" s="28" t="e">
        <f t="shared" ca="1" si="23"/>
        <v>#DIV/0!</v>
      </c>
      <c r="S100"/>
      <c r="T100"/>
      <c r="U100"/>
      <c r="V100"/>
    </row>
    <row r="101" spans="1:22" ht="25.5" customHeight="1" x14ac:dyDescent="0.25">
      <c r="A101" s="67">
        <v>100</v>
      </c>
      <c r="B101" s="67">
        <v>17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2'!O57</f>
        <v>0</v>
      </c>
      <c r="E101" s="15" t="e">
        <f t="shared" ca="1" si="17"/>
        <v>#DIV/0!</v>
      </c>
      <c r="F101" s="79">
        <f>D101+'[1]2025 Νοέμβριος'!F101</f>
        <v>878.12</v>
      </c>
      <c r="G101" s="15" t="e">
        <f t="shared" si="18"/>
        <v>#VALUE!</v>
      </c>
      <c r="H101" s="14"/>
      <c r="I101" s="26" t="e">
        <f t="shared" ca="1" si="19"/>
        <v>#DIV/0!</v>
      </c>
      <c r="J101" s="27"/>
      <c r="K101" s="27" t="e">
        <f t="shared" ca="1" si="20"/>
        <v>#DIV/0!</v>
      </c>
      <c r="L101" s="79">
        <f>'[1]2024_60-69 ΕΞΟΔΑ+ΟΜ 2'!O55</f>
        <v>0</v>
      </c>
      <c r="M101" s="15">
        <f t="shared" ca="1" si="21"/>
        <v>0</v>
      </c>
      <c r="N101" s="10">
        <f>L101+'[1]2025 Νοέμβριος'!N101</f>
        <v>2291.9300000000003</v>
      </c>
      <c r="O101" s="15">
        <f t="shared" ca="1" si="22"/>
        <v>1.3472700488958746E-2</v>
      </c>
      <c r="P101" s="27"/>
      <c r="Q101" s="28" t="e">
        <f t="shared" ca="1" si="23"/>
        <v>#DIV/0!</v>
      </c>
      <c r="S101"/>
      <c r="T101"/>
      <c r="U101"/>
      <c r="V101"/>
    </row>
    <row r="102" spans="1:22" ht="24" customHeight="1" x14ac:dyDescent="0.25">
      <c r="A102" s="67">
        <v>101</v>
      </c>
      <c r="B102" s="67">
        <v>18</v>
      </c>
      <c r="C102" s="82" t="str">
        <f>[1]ΑΝΤΙΣΤΟΙΧΙΣΗ!L208</f>
        <v xml:space="preserve">Αμοιβές Τρίτων </v>
      </c>
      <c r="D102" s="79">
        <f>'[1]2025_60-69 ΕΞΟΔΑ+ΟΜ 2'!O58</f>
        <v>0</v>
      </c>
      <c r="E102" s="15" t="e">
        <f t="shared" ca="1" si="17"/>
        <v>#DIV/0!</v>
      </c>
      <c r="F102" s="79">
        <f>D102+'[1]2025 Νοέμβριος'!F102</f>
        <v>0</v>
      </c>
      <c r="G102" s="15" t="e">
        <f t="shared" si="18"/>
        <v>#VALUE!</v>
      </c>
      <c r="H102" s="14"/>
      <c r="I102" s="26" t="e">
        <f t="shared" ca="1" si="19"/>
        <v>#DIV/0!</v>
      </c>
      <c r="J102" s="27"/>
      <c r="K102" s="27" t="e">
        <f t="shared" ca="1" si="20"/>
        <v>#DIV/0!</v>
      </c>
      <c r="L102" s="79">
        <f>'[1]2024_60-69 ΕΞΟΔΑ+ΟΜ 2'!O56</f>
        <v>0</v>
      </c>
      <c r="M102" s="15">
        <f t="shared" ca="1" si="21"/>
        <v>0</v>
      </c>
      <c r="N102" s="10">
        <f>L102+'[1]2025 Νοέμβριος'!N102</f>
        <v>0</v>
      </c>
      <c r="O102" s="15">
        <f t="shared" ca="1" si="22"/>
        <v>0</v>
      </c>
      <c r="P102" s="27"/>
      <c r="Q102" s="28" t="e">
        <f t="shared" ca="1" si="23"/>
        <v>#DIV/0!</v>
      </c>
      <c r="S102"/>
      <c r="T102"/>
      <c r="U102"/>
      <c r="V102"/>
    </row>
    <row r="103" spans="1:22" ht="15" hidden="1" customHeight="1" x14ac:dyDescent="0.25">
      <c r="A103" s="67">
        <v>102</v>
      </c>
      <c r="B103" s="67">
        <v>19</v>
      </c>
      <c r="C103" s="72" t="str">
        <f>[1]ΑΝΤΙΣΤΟΙΧΙΣΗ!L209</f>
        <v>Επισκευές - Συντηρήσεις</v>
      </c>
      <c r="D103" s="79">
        <f>'[1]2025_60-69 ΕΞΟΔΑ+ΟΜ 2'!O59</f>
        <v>0</v>
      </c>
      <c r="E103" s="15" t="e">
        <f t="shared" ca="1" si="17"/>
        <v>#DIV/0!</v>
      </c>
      <c r="F103" s="79">
        <f>D103+'[1]2025 Νοέμβριος'!F103</f>
        <v>0</v>
      </c>
      <c r="G103" s="15" t="e">
        <f t="shared" si="18"/>
        <v>#VALUE!</v>
      </c>
      <c r="H103" s="14"/>
      <c r="I103" s="26" t="e">
        <f t="shared" ca="1" si="19"/>
        <v>#DIV/0!</v>
      </c>
      <c r="J103" s="27"/>
      <c r="K103" s="27" t="e">
        <f t="shared" ca="1" si="20"/>
        <v>#DIV/0!</v>
      </c>
      <c r="L103" s="79">
        <f>'[1]2024_60-69 ΕΞΟΔΑ+ΟΜ 2'!O57</f>
        <v>1074.8699999999999</v>
      </c>
      <c r="M103" s="15">
        <f t="shared" ca="1" si="21"/>
        <v>7.4472256941653797E-2</v>
      </c>
      <c r="N103" s="10">
        <f>L103+'[1]2025 Νοέμβριος'!N103</f>
        <v>2471.1</v>
      </c>
      <c r="O103" s="15">
        <f t="shared" ca="1" si="22"/>
        <v>1.4525919281245915E-2</v>
      </c>
      <c r="P103" s="27"/>
      <c r="Q103" s="28" t="e">
        <f t="shared" ca="1" si="23"/>
        <v>#DIV/0!</v>
      </c>
      <c r="S103"/>
      <c r="T103"/>
      <c r="U103"/>
      <c r="V103"/>
    </row>
    <row r="104" spans="1:22" ht="28.5" hidden="1" customHeight="1" x14ac:dyDescent="0.25">
      <c r="A104" s="67">
        <v>103</v>
      </c>
      <c r="B104" s="67">
        <v>20</v>
      </c>
      <c r="C104" s="82" t="str">
        <f>[1]ΑΝΤΙΣΤΟΙΧΙΣΗ!L210</f>
        <v xml:space="preserve">Εξοδα προβολής και διαφήμισης </v>
      </c>
      <c r="D104" s="79">
        <f>'[1]2025_60-69 ΕΞΟΔΑ+ΟΜ 2'!O60</f>
        <v>0</v>
      </c>
      <c r="E104" s="15" t="e">
        <f t="shared" ca="1" si="17"/>
        <v>#DIV/0!</v>
      </c>
      <c r="F104" s="79">
        <f>D104+'[1]2025 Νοέμβριος'!F104</f>
        <v>2545.4699999999998</v>
      </c>
      <c r="G104" s="15" t="e">
        <f t="shared" si="18"/>
        <v>#VALUE!</v>
      </c>
      <c r="H104" s="14"/>
      <c r="I104" s="26" t="e">
        <f t="shared" ca="1" si="19"/>
        <v>#DIV/0!</v>
      </c>
      <c r="J104" s="27"/>
      <c r="K104" s="27" t="e">
        <f t="shared" ca="1" si="20"/>
        <v>#DIV/0!</v>
      </c>
      <c r="L104" s="79">
        <f>'[1]2024_60-69 ΕΞΟΔΑ+ΟΜ 2'!O58</f>
        <v>0</v>
      </c>
      <c r="M104" s="15">
        <f t="shared" ca="1" si="21"/>
        <v>0</v>
      </c>
      <c r="N104" s="10">
        <f>L104+'[1]2025 Νοέμβριος'!N104</f>
        <v>10491.57</v>
      </c>
      <c r="O104" s="15">
        <f t="shared" ca="1" si="22"/>
        <v>6.1672817349982284E-2</v>
      </c>
      <c r="P104" s="27"/>
      <c r="Q104" s="28" t="e">
        <f t="shared" ca="1" si="23"/>
        <v>#DIV/0!</v>
      </c>
      <c r="S104"/>
      <c r="T104"/>
      <c r="U104"/>
      <c r="V104"/>
    </row>
    <row r="105" spans="1:22" ht="31.5" customHeight="1" x14ac:dyDescent="0.25">
      <c r="A105" s="67">
        <v>104</v>
      </c>
      <c r="B105" s="67">
        <v>21</v>
      </c>
      <c r="C105" s="82" t="str">
        <f>[1]ΑΝΤΙΣΤΟΙΧΙΣΗ!L211</f>
        <v>Εξοδα εκθέσεων και επιδείξεων</v>
      </c>
      <c r="D105" s="79">
        <f>'[1]2025_60-69 ΕΞΟΔΑ+ΟΜ 2'!O61</f>
        <v>0</v>
      </c>
      <c r="E105" s="15" t="e">
        <f t="shared" ca="1" si="17"/>
        <v>#DIV/0!</v>
      </c>
      <c r="F105" s="79">
        <f>D105+'[1]2025 Νοέμβριος'!F105</f>
        <v>0</v>
      </c>
      <c r="G105" s="15" t="e">
        <f t="shared" si="18"/>
        <v>#VALUE!</v>
      </c>
      <c r="H105" s="14"/>
      <c r="I105" s="26" t="e">
        <f t="shared" ca="1" si="19"/>
        <v>#DIV/0!</v>
      </c>
      <c r="J105" s="27"/>
      <c r="K105" s="27" t="e">
        <f t="shared" ca="1" si="20"/>
        <v>#DIV/0!</v>
      </c>
      <c r="L105" s="79">
        <f>'[1]2024_60-69 ΕΞΟΔΑ+ΟΜ 2'!O59</f>
        <v>74.680000000000007</v>
      </c>
      <c r="M105" s="15">
        <f t="shared" ca="1" si="21"/>
        <v>5.174196087343313E-3</v>
      </c>
      <c r="N105" s="10">
        <f>L105+'[1]2025 Νοέμβριος'!N105</f>
        <v>74.680000000000007</v>
      </c>
      <c r="O105" s="15">
        <f t="shared" ca="1" si="22"/>
        <v>4.3899302008152042E-4</v>
      </c>
      <c r="P105" s="27"/>
      <c r="Q105" s="28" t="e">
        <f t="shared" ca="1" si="23"/>
        <v>#DIV/0!</v>
      </c>
      <c r="S105"/>
      <c r="T105"/>
      <c r="U105"/>
      <c r="V105"/>
    </row>
    <row r="106" spans="1:22" ht="45" customHeight="1" x14ac:dyDescent="0.25">
      <c r="A106" s="67">
        <v>105</v>
      </c>
      <c r="B106" s="67">
        <v>22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  <c r="S106"/>
      <c r="T106"/>
      <c r="U106"/>
      <c r="V106"/>
    </row>
    <row r="107" spans="1:22" ht="30" customHeight="1" x14ac:dyDescent="0.25">
      <c r="A107" s="67">
        <v>106</v>
      </c>
      <c r="B107" s="67">
        <v>23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  <c r="S107"/>
      <c r="T107"/>
      <c r="U107"/>
      <c r="V107"/>
    </row>
    <row r="108" spans="1:22" ht="15" customHeight="1" x14ac:dyDescent="0.25">
      <c r="A108" s="67">
        <v>107</v>
      </c>
      <c r="B108" s="67">
        <v>24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  <c r="S108"/>
      <c r="T108"/>
      <c r="U108"/>
      <c r="V108"/>
    </row>
    <row r="109" spans="1:22" ht="28.5" customHeight="1" x14ac:dyDescent="0.25">
      <c r="A109" s="67">
        <v>108</v>
      </c>
      <c r="B109" s="67">
        <v>25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  <c r="S109"/>
      <c r="T109"/>
      <c r="U109"/>
      <c r="V109"/>
    </row>
    <row r="110" spans="1:22" ht="15" customHeight="1" x14ac:dyDescent="0.25">
      <c r="A110" s="67">
        <v>109</v>
      </c>
      <c r="B110" s="67">
        <v>26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  <c r="S110"/>
      <c r="T110"/>
      <c r="U110"/>
      <c r="V110"/>
    </row>
    <row r="111" spans="1:22" ht="15" customHeight="1" x14ac:dyDescent="0.25">
      <c r="A111" s="60"/>
      <c r="B111" s="60"/>
      <c r="C111" s="20" t="s">
        <v>41</v>
      </c>
      <c r="D111" s="7">
        <f>'[1]2025_60-69 ΕΞΟΔΑ+ΟΜ 2'!O36</f>
        <v>0</v>
      </c>
      <c r="E111" s="8"/>
      <c r="F111" s="7">
        <f>'[1]2025_60-69 ΕΞΟΔΑ+ΟΜ 2'!AB36</f>
        <v>46297.34</v>
      </c>
      <c r="G111" s="8"/>
      <c r="H111" s="7">
        <f ca="1">SUM(H47:H110)</f>
        <v>0</v>
      </c>
      <c r="I111" s="8"/>
      <c r="J111" s="7">
        <f ca="1">SUM(J47:J110)</f>
        <v>0</v>
      </c>
      <c r="K111" s="8"/>
      <c r="L111" s="7">
        <f ca="1">SUM(L47:L110)</f>
        <v>14433.16</v>
      </c>
      <c r="M111" s="8"/>
      <c r="N111" s="7">
        <f ca="1">SUM(N47:N110)</f>
        <v>170116.60000000006</v>
      </c>
      <c r="O111" s="8"/>
      <c r="P111" s="7">
        <f ca="1">SUM(P47:P110)</f>
        <v>0</v>
      </c>
      <c r="Q111" s="8"/>
      <c r="S111"/>
      <c r="T111"/>
      <c r="U111"/>
      <c r="V111"/>
    </row>
    <row r="112" spans="1:22" ht="15" customHeight="1" x14ac:dyDescent="0.25">
      <c r="A112" s="60"/>
      <c r="B112" s="60"/>
      <c r="C112" s="22" t="s">
        <v>18</v>
      </c>
      <c r="D112" s="7">
        <f ca="1">D84-D111</f>
        <v>0</v>
      </c>
      <c r="E112" s="8"/>
      <c r="F112" s="7" t="e">
        <f>F84-F111</f>
        <v>#VALUE!</v>
      </c>
      <c r="G112" s="8"/>
      <c r="H112" s="7">
        <f ca="1">H84-H111</f>
        <v>0</v>
      </c>
      <c r="I112" s="8"/>
      <c r="J112" s="7">
        <f ca="1">J84-J111</f>
        <v>0</v>
      </c>
      <c r="K112" s="8"/>
      <c r="L112" s="7">
        <f ca="1">L84-L111</f>
        <v>0</v>
      </c>
      <c r="M112" s="8"/>
      <c r="N112" s="7">
        <f ca="1">N84-N111</f>
        <v>0</v>
      </c>
      <c r="O112" s="8"/>
      <c r="P112" s="7">
        <f ca="1">P84-P111</f>
        <v>0</v>
      </c>
      <c r="Q112" s="8"/>
      <c r="S112"/>
      <c r="T112"/>
      <c r="U112"/>
      <c r="V112"/>
    </row>
    <row r="113" spans="1:22" ht="15" customHeight="1" x14ac:dyDescent="0.25">
      <c r="A113" s="85">
        <v>112</v>
      </c>
      <c r="B113" s="85"/>
      <c r="C113" s="78" t="s">
        <v>160</v>
      </c>
      <c r="D113" s="182" t="str">
        <f>[1]ΑΝΤΙΣΤΟΙΧΙΣΗ!$F$32</f>
        <v xml:space="preserve">ΠΡΑΓΜΑΤΟΠΟΙΗΘΕΝΤΑ ΜΗΝΟΣ ΤΡΕΧ. ΕΤΟΥΣ </v>
      </c>
      <c r="E113" s="182"/>
      <c r="F113" s="182"/>
      <c r="G113" s="182"/>
      <c r="H113" s="182" t="str">
        <f>[1]ΑΝΤΙΣΤΟΙΧΙΣΗ!$F$35</f>
        <v>ΠΡΟΥΠΟΛΟΓΙΣΜΟΣ ΤΡΕΧΟΝΤΟΣ ΕΤΟΥΣ</v>
      </c>
      <c r="I113" s="182"/>
      <c r="J113" s="182"/>
      <c r="K113" s="182"/>
      <c r="L113" s="182" t="str">
        <f>[1]ΑΝΤΙΣΤΟΙΧΙΣΗ!$F$68</f>
        <v>ΠΡΑΓΜΑΤΟΠΟΙΗΘΕΝΤΑ ΠΡΟΗΓΟΥΜΕΝΟΥ ΕΤΟΥΣ</v>
      </c>
      <c r="M113" s="182"/>
      <c r="N113" s="182"/>
      <c r="O113" s="182">
        <f>[1]ΑΝΤΙΣΤΟΙΧΙΣΗ!$D$33</f>
        <v>2024</v>
      </c>
      <c r="P113" s="183" t="str">
        <f>[1]ΑΝΤΙΣΤΟΙΧΙΣΗ!$F$100</f>
        <v xml:space="preserve">ΣΥΓΚΡΙΣΕΙΣ </v>
      </c>
      <c r="Q113" s="183">
        <f>[1]ΑΝΤΙΣΤΟΙΧΙΣΗ!$H$141</f>
        <v>2024</v>
      </c>
      <c r="S113"/>
      <c r="T113"/>
      <c r="U113"/>
      <c r="V113"/>
    </row>
    <row r="114" spans="1:22" ht="15" customHeight="1" x14ac:dyDescent="0.25">
      <c r="A114" s="60"/>
      <c r="B114" s="19"/>
      <c r="C114" s="5" t="s">
        <v>161</v>
      </c>
      <c r="D114" s="180" t="str">
        <f>[1]ΑΝΤΙΣΤΟΙΧΙΣΗ!$F$117</f>
        <v xml:space="preserve">ΔΕΚΕΜΒΡΙΟΣ ΤΡΕΧΟΝ ΕΤΟΣ </v>
      </c>
      <c r="E114" s="180"/>
      <c r="F114" s="180"/>
      <c r="G114" s="61">
        <f>[1]ΑΝΤΙΣΤΟΙΧΙΣΗ!$D$34</f>
        <v>2025</v>
      </c>
      <c r="H114" s="180" t="str">
        <f>[1]ΑΝΤΙΣΤΟΙΧΙΣΗ!$F$117</f>
        <v xml:space="preserve">ΔΕΚΕΜΒΡΙΟΣ ΤΡΕΧΟΝ ΕΤΟΣ </v>
      </c>
      <c r="I114" s="180"/>
      <c r="J114" s="180"/>
      <c r="K114" s="61">
        <f>[1]ΑΝΤΙΣΤΟΙΧΙΣΗ!$D$34</f>
        <v>2025</v>
      </c>
      <c r="L114" s="180" t="str">
        <f>[1]ΑΝΤΙΣΤΟΙΧΙΣΗ!$F$131</f>
        <v>ΔΕΚΕΜΒΡΙΟΣ ΠΡΟΗΓΟΥΜΕΝΟΥ ΕΤΟΥΣ</v>
      </c>
      <c r="M114" s="180"/>
      <c r="N114" s="180"/>
      <c r="O114" s="61">
        <f>[1]ΑΝΤΙΣΤΟΙΧΙΣΗ!$D$33</f>
        <v>2024</v>
      </c>
      <c r="P114" s="180"/>
      <c r="Q114" s="180"/>
      <c r="S114"/>
      <c r="T114"/>
      <c r="U114"/>
      <c r="V114"/>
    </row>
    <row r="115" spans="1:22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  <c r="S115"/>
      <c r="T115"/>
      <c r="U115"/>
      <c r="V115"/>
    </row>
    <row r="116" spans="1:22" ht="28.5" customHeight="1" x14ac:dyDescent="0.25">
      <c r="A116" s="60"/>
      <c r="B116" s="19" t="s">
        <v>2</v>
      </c>
      <c r="C116" s="6" t="s">
        <v>167</v>
      </c>
      <c r="D116" s="7">
        <f>SUM(D117:D156)</f>
        <v>777.67000000000007</v>
      </c>
      <c r="E116" s="8"/>
      <c r="F116" s="7">
        <f>SUM(F117:F156)</f>
        <v>102730.14999999997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14896.930000000002</v>
      </c>
      <c r="M116" s="8"/>
      <c r="N116" s="7">
        <f>SUM(N117:N156)</f>
        <v>194417.45</v>
      </c>
      <c r="O116" s="8"/>
      <c r="P116" s="7">
        <f>SUM(P117:P156)</f>
        <v>0</v>
      </c>
      <c r="Q116" s="8"/>
      <c r="S116"/>
      <c r="T116"/>
      <c r="U116"/>
      <c r="V116"/>
    </row>
    <row r="117" spans="1:22" ht="28.5" customHeight="1" x14ac:dyDescent="0.25">
      <c r="A117" s="67">
        <v>59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2'!O74</f>
        <v>0</v>
      </c>
      <c r="E117" s="15">
        <f>D117/$D$116</f>
        <v>0</v>
      </c>
      <c r="F117" s="10">
        <f>D117+'[1]2025 Νοέμβριος'!F117</f>
        <v>52011.51</v>
      </c>
      <c r="G117" s="15">
        <f t="shared" ref="G117:G153" si="24">F117/$F$116</f>
        <v>0.5062925538413019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2'!O66</f>
        <v>2202.9499999999998</v>
      </c>
      <c r="M117" s="15">
        <f>L117/$L$116</f>
        <v>0.14787946241272526</v>
      </c>
      <c r="N117" s="10">
        <f>L117+'[1]2025 Νοέμβριος'!N117</f>
        <v>97449.919999999984</v>
      </c>
      <c r="O117" s="15">
        <f>N117/$N$116</f>
        <v>0.50124060365980516</v>
      </c>
      <c r="P117" s="10"/>
      <c r="Q117" s="30" t="e">
        <f t="shared" ref="Q117:Q153" si="25">SUM(D117:P117)</f>
        <v>#DIV/0!</v>
      </c>
      <c r="S117"/>
      <c r="T117"/>
      <c r="U117"/>
      <c r="V117"/>
    </row>
    <row r="118" spans="1:22" ht="15" customHeight="1" x14ac:dyDescent="0.25">
      <c r="A118" s="67">
        <v>60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2'!O75</f>
        <v>0</v>
      </c>
      <c r="E118" s="15">
        <f t="shared" ref="E118:E150" si="26">D118/$D$116</f>
        <v>0</v>
      </c>
      <c r="F118" s="10">
        <f>D118+'[1]2025 Νοέμβριος'!F118</f>
        <v>6449.25</v>
      </c>
      <c r="G118" s="15">
        <f t="shared" si="24"/>
        <v>6.2778551379512271E-2</v>
      </c>
      <c r="H118" s="14"/>
      <c r="I118" s="29" t="e">
        <f t="shared" ref="I118:I153" si="27">H118/$H$116</f>
        <v>#DIV/0!</v>
      </c>
      <c r="J118" s="10"/>
      <c r="K118" s="10" t="e">
        <f t="shared" ref="K118:K153" si="28">J118/$J$116</f>
        <v>#DIV/0!</v>
      </c>
      <c r="L118" s="14">
        <f>'[1]2024_60-69 ΕΞΟΔΑ+ΟΜ 2'!O67</f>
        <v>491.04</v>
      </c>
      <c r="M118" s="15">
        <f t="shared" ref="M118:M153" si="29">L118/$L$116</f>
        <v>3.2962496299573131E-2</v>
      </c>
      <c r="N118" s="10">
        <f>L118+'[1]2025 Νοέμβριος'!N118</f>
        <v>14025.310000000001</v>
      </c>
      <c r="O118" s="15">
        <f t="shared" ref="O118:O153" si="30">N118/$N$116</f>
        <v>7.2140180832533291E-2</v>
      </c>
      <c r="P118" s="10"/>
      <c r="Q118" s="30" t="e">
        <f t="shared" si="25"/>
        <v>#DIV/0!</v>
      </c>
      <c r="S118"/>
      <c r="T118"/>
      <c r="U118"/>
      <c r="V118" s="160"/>
    </row>
    <row r="119" spans="1:22" ht="28.5" customHeight="1" x14ac:dyDescent="0.25">
      <c r="A119" s="67">
        <v>61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2'!O76</f>
        <v>0</v>
      </c>
      <c r="E119" s="15">
        <f t="shared" si="26"/>
        <v>0</v>
      </c>
      <c r="F119" s="10">
        <f>D119+'[1]2025 Νοέμβριος'!F119</f>
        <v>1329.02</v>
      </c>
      <c r="G119" s="15">
        <f t="shared" si="24"/>
        <v>1.2937000481358204E-2</v>
      </c>
      <c r="H119" s="14"/>
      <c r="I119" s="29" t="e">
        <f t="shared" si="27"/>
        <v>#DIV/0!</v>
      </c>
      <c r="J119" s="10"/>
      <c r="K119" s="10" t="e">
        <f t="shared" si="28"/>
        <v>#DIV/0!</v>
      </c>
      <c r="L119" s="14">
        <f>'[1]2024_60-69 ΕΞΟΔΑ+ΟΜ 2'!O68</f>
        <v>875.5</v>
      </c>
      <c r="M119" s="15">
        <f t="shared" si="29"/>
        <v>5.8770498351002516E-2</v>
      </c>
      <c r="N119" s="10">
        <f>L119+'[1]2025 Νοέμβριος'!N119</f>
        <v>3804.9400000000005</v>
      </c>
      <c r="O119" s="15">
        <f t="shared" si="30"/>
        <v>1.9570979868319436E-2</v>
      </c>
      <c r="P119" s="10"/>
      <c r="Q119" s="30" t="e">
        <f t="shared" si="25"/>
        <v>#DIV/0!</v>
      </c>
      <c r="S119"/>
      <c r="T119"/>
      <c r="U119"/>
      <c r="V119"/>
    </row>
    <row r="120" spans="1:22" ht="28.5" customHeight="1" x14ac:dyDescent="0.25">
      <c r="A120" s="67">
        <v>62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2'!O77</f>
        <v>0</v>
      </c>
      <c r="E120" s="15">
        <f t="shared" si="26"/>
        <v>0</v>
      </c>
      <c r="F120" s="10">
        <f>D120+'[1]2025 Νοέμβριος'!F120</f>
        <v>4377.5</v>
      </c>
      <c r="G120" s="15">
        <f t="shared" si="24"/>
        <v>4.2611638355438998E-2</v>
      </c>
      <c r="H120" s="14"/>
      <c r="I120" s="29" t="e">
        <f t="shared" si="27"/>
        <v>#DIV/0!</v>
      </c>
      <c r="J120" s="10"/>
      <c r="K120" s="10" t="e">
        <f t="shared" si="28"/>
        <v>#DIV/0!</v>
      </c>
      <c r="L120" s="14">
        <f>'[1]2024_60-69 ΕΞΟΔΑ+ΟΜ 2'!O69</f>
        <v>0</v>
      </c>
      <c r="M120" s="15">
        <f t="shared" si="29"/>
        <v>0</v>
      </c>
      <c r="N120" s="10">
        <f>L120+'[1]2025 Νοέμβριος'!N120</f>
        <v>9477.5</v>
      </c>
      <c r="O120" s="15">
        <f t="shared" si="30"/>
        <v>4.8748196213868659E-2</v>
      </c>
      <c r="P120" s="10"/>
      <c r="Q120" s="30" t="e">
        <f t="shared" si="25"/>
        <v>#DIV/0!</v>
      </c>
      <c r="S120"/>
      <c r="T120"/>
      <c r="U120"/>
      <c r="V120"/>
    </row>
    <row r="121" spans="1:22" ht="28.5" customHeight="1" x14ac:dyDescent="0.25">
      <c r="A121" s="67">
        <v>63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2'!O78</f>
        <v>0</v>
      </c>
      <c r="E121" s="15">
        <f t="shared" si="26"/>
        <v>0</v>
      </c>
      <c r="F121" s="10">
        <f>D121+'[1]2025 Νοέμβριος'!F121</f>
        <v>0</v>
      </c>
      <c r="G121" s="15">
        <f t="shared" si="24"/>
        <v>0</v>
      </c>
      <c r="H121" s="14"/>
      <c r="I121" s="29" t="e">
        <f t="shared" si="27"/>
        <v>#DIV/0!</v>
      </c>
      <c r="J121" s="10"/>
      <c r="K121" s="10" t="e">
        <f t="shared" si="28"/>
        <v>#DIV/0!</v>
      </c>
      <c r="L121" s="14">
        <f>'[1]2024_60-69 ΕΞΟΔΑ+ΟΜ 2'!O70</f>
        <v>241.31</v>
      </c>
      <c r="M121" s="15">
        <f t="shared" si="29"/>
        <v>1.6198639585471634E-2</v>
      </c>
      <c r="N121" s="10">
        <f>L121+'[1]2025 Νοέμβριος'!N121</f>
        <v>241.31</v>
      </c>
      <c r="O121" s="15">
        <f t="shared" si="30"/>
        <v>1.241195170495241E-3</v>
      </c>
      <c r="P121" s="10"/>
      <c r="Q121" s="30" t="e">
        <f t="shared" si="25"/>
        <v>#DIV/0!</v>
      </c>
      <c r="S121"/>
      <c r="T121"/>
      <c r="U121"/>
      <c r="V121"/>
    </row>
    <row r="122" spans="1:22" ht="15" customHeight="1" x14ac:dyDescent="0.25">
      <c r="A122" s="67">
        <v>64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2'!O79</f>
        <v>0</v>
      </c>
      <c r="E122" s="15">
        <f t="shared" si="26"/>
        <v>0</v>
      </c>
      <c r="F122" s="10">
        <f>D122+'[1]2025 Νοέμβριος'!F122</f>
        <v>1242.75</v>
      </c>
      <c r="G122" s="15">
        <f t="shared" si="24"/>
        <v>1.2097227542255127E-2</v>
      </c>
      <c r="H122" s="14"/>
      <c r="I122" s="29" t="e">
        <f t="shared" si="27"/>
        <v>#DIV/0!</v>
      </c>
      <c r="J122" s="10"/>
      <c r="K122" s="10" t="e">
        <f t="shared" si="28"/>
        <v>#DIV/0!</v>
      </c>
      <c r="L122" s="14">
        <f>'[1]2024_60-69 ΕΞΟΔΑ+ΟΜ 2'!O71</f>
        <v>965.25</v>
      </c>
      <c r="M122" s="15">
        <f t="shared" si="29"/>
        <v>6.4795229621136693E-2</v>
      </c>
      <c r="N122" s="10">
        <f>L122+'[1]2025 Νοέμβριος'!N122</f>
        <v>3619.66</v>
      </c>
      <c r="O122" s="15">
        <f t="shared" si="30"/>
        <v>1.8617978993140789E-2</v>
      </c>
      <c r="P122" s="10"/>
      <c r="Q122" s="30" t="e">
        <f t="shared" si="25"/>
        <v>#DIV/0!</v>
      </c>
      <c r="S122"/>
      <c r="T122"/>
      <c r="U122"/>
      <c r="V122"/>
    </row>
    <row r="123" spans="1:22" ht="15" customHeight="1" x14ac:dyDescent="0.25">
      <c r="A123" s="67">
        <v>65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2'!O80</f>
        <v>0</v>
      </c>
      <c r="E123" s="15">
        <f t="shared" si="26"/>
        <v>0</v>
      </c>
      <c r="F123" s="10">
        <f>D123+'[1]2025 Νοέμβριος'!F123</f>
        <v>4826.25</v>
      </c>
      <c r="G123" s="15">
        <f t="shared" si="24"/>
        <v>4.6979878837906899E-2</v>
      </c>
      <c r="H123" s="14"/>
      <c r="I123" s="29" t="e">
        <f t="shared" si="27"/>
        <v>#DIV/0!</v>
      </c>
      <c r="J123" s="10"/>
      <c r="K123" s="10" t="e">
        <f t="shared" si="28"/>
        <v>#DIV/0!</v>
      </c>
      <c r="L123" s="14">
        <f>'[1]2024_60-69 ΕΞΟΔΑ+ΟΜ 2'!O72</f>
        <v>31.52</v>
      </c>
      <c r="M123" s="15">
        <f t="shared" si="29"/>
        <v>2.1158721964861212E-3</v>
      </c>
      <c r="N123" s="10">
        <f>L123+'[1]2025 Νοέμβριος'!N123</f>
        <v>10649.27</v>
      </c>
      <c r="O123" s="15">
        <f t="shared" si="30"/>
        <v>5.477527865940017E-2</v>
      </c>
      <c r="P123" s="10"/>
      <c r="Q123" s="30" t="e">
        <f t="shared" si="25"/>
        <v>#DIV/0!</v>
      </c>
      <c r="S123"/>
      <c r="T123"/>
      <c r="U123"/>
      <c r="V123"/>
    </row>
    <row r="124" spans="1:22" ht="28.5" customHeight="1" x14ac:dyDescent="0.25">
      <c r="A124" s="67">
        <v>66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2'!O81</f>
        <v>0</v>
      </c>
      <c r="E124" s="15">
        <f t="shared" si="26"/>
        <v>0</v>
      </c>
      <c r="F124" s="10">
        <f>D124+'[1]2025 Νοέμβριος'!F124</f>
        <v>157.6</v>
      </c>
      <c r="G124" s="15">
        <f t="shared" si="24"/>
        <v>1.5341163232020984E-3</v>
      </c>
      <c r="H124" s="14"/>
      <c r="I124" s="29" t="e">
        <f t="shared" si="27"/>
        <v>#DIV/0!</v>
      </c>
      <c r="J124" s="10"/>
      <c r="K124" s="10" t="e">
        <f t="shared" si="28"/>
        <v>#DIV/0!</v>
      </c>
      <c r="L124" s="14">
        <f>'[1]2024_60-69 ΕΞΟΔΑ+ΟΜ 2'!O73</f>
        <v>8.69</v>
      </c>
      <c r="M124" s="15">
        <f t="shared" si="29"/>
        <v>5.8334166838402263E-4</v>
      </c>
      <c r="N124" s="10">
        <f>L124+'[1]2025 Νοέμβριος'!N124</f>
        <v>349.89</v>
      </c>
      <c r="O124" s="15">
        <f t="shared" si="30"/>
        <v>1.7996841332915332E-3</v>
      </c>
      <c r="P124" s="10"/>
      <c r="Q124" s="30" t="e">
        <f t="shared" si="25"/>
        <v>#DIV/0!</v>
      </c>
      <c r="S124"/>
      <c r="T124"/>
      <c r="U124"/>
      <c r="V124"/>
    </row>
    <row r="125" spans="1:22" ht="15" customHeight="1" x14ac:dyDescent="0.25">
      <c r="A125" s="67">
        <v>67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2'!O82</f>
        <v>0</v>
      </c>
      <c r="E125" s="15">
        <f t="shared" si="26"/>
        <v>0</v>
      </c>
      <c r="F125" s="10">
        <f>D125+'[1]2025 Νοέμβριος'!F125</f>
        <v>44.75</v>
      </c>
      <c r="G125" s="15">
        <f t="shared" si="24"/>
        <v>4.3560726816810856E-4</v>
      </c>
      <c r="H125" s="14"/>
      <c r="I125" s="29" t="e">
        <f t="shared" si="27"/>
        <v>#DIV/0!</v>
      </c>
      <c r="J125" s="10"/>
      <c r="K125" s="10" t="e">
        <f t="shared" si="28"/>
        <v>#DIV/0!</v>
      </c>
      <c r="L125" s="14">
        <f>'[1]2024_60-69 ΕΞΟΔΑ+ΟΜ 2'!O74</f>
        <v>0</v>
      </c>
      <c r="M125" s="15">
        <f t="shared" si="29"/>
        <v>0</v>
      </c>
      <c r="N125" s="10">
        <f>L125+'[1]2025 Νοέμβριος'!N125</f>
        <v>112.46</v>
      </c>
      <c r="O125" s="15">
        <f t="shared" si="30"/>
        <v>5.7844601912019722E-4</v>
      </c>
      <c r="P125" s="10"/>
      <c r="Q125" s="30" t="e">
        <f t="shared" si="25"/>
        <v>#DIV/0!</v>
      </c>
      <c r="S125"/>
      <c r="T125"/>
      <c r="U125"/>
      <c r="V125"/>
    </row>
    <row r="126" spans="1:22" ht="28.5" customHeight="1" x14ac:dyDescent="0.25">
      <c r="A126" s="67">
        <v>68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2'!O83</f>
        <v>0</v>
      </c>
      <c r="E126" s="15">
        <f t="shared" si="26"/>
        <v>0</v>
      </c>
      <c r="F126" s="10">
        <f>D126+'[1]2025 Νοέμβριος'!F126</f>
        <v>0</v>
      </c>
      <c r="G126" s="15">
        <f t="shared" si="24"/>
        <v>0</v>
      </c>
      <c r="H126" s="14"/>
      <c r="I126" s="29" t="e">
        <f t="shared" si="27"/>
        <v>#DIV/0!</v>
      </c>
      <c r="J126" s="10"/>
      <c r="K126" s="10" t="e">
        <f t="shared" si="28"/>
        <v>#DIV/0!</v>
      </c>
      <c r="L126" s="14">
        <f>'[1]2024_60-69 ΕΞΟΔΑ+ΟΜ 2'!O75</f>
        <v>34.75</v>
      </c>
      <c r="M126" s="15">
        <f t="shared" si="29"/>
        <v>2.3326953942859364E-3</v>
      </c>
      <c r="N126" s="10">
        <f>L126+'[1]2025 Νοέμβριος'!N126</f>
        <v>34.75</v>
      </c>
      <c r="O126" s="15">
        <f t="shared" si="30"/>
        <v>1.7873909980817049E-4</v>
      </c>
      <c r="P126" s="10"/>
      <c r="Q126" s="30" t="e">
        <f t="shared" si="25"/>
        <v>#DIV/0!</v>
      </c>
      <c r="S126"/>
      <c r="T126"/>
      <c r="U126"/>
      <c r="V126"/>
    </row>
    <row r="127" spans="1:22" ht="15" customHeight="1" x14ac:dyDescent="0.25">
      <c r="A127" s="67">
        <v>69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2'!O84</f>
        <v>0</v>
      </c>
      <c r="E127" s="15">
        <f t="shared" si="26"/>
        <v>0</v>
      </c>
      <c r="F127" s="10">
        <f>D127+'[1]2025 Νοέμβριος'!F127</f>
        <v>173.75</v>
      </c>
      <c r="G127" s="15">
        <f t="shared" si="24"/>
        <v>1.6913243093677956E-3</v>
      </c>
      <c r="H127" s="14"/>
      <c r="I127" s="29" t="e">
        <f t="shared" si="27"/>
        <v>#DIV/0!</v>
      </c>
      <c r="J127" s="10"/>
      <c r="K127" s="10" t="e">
        <f t="shared" si="28"/>
        <v>#DIV/0!</v>
      </c>
      <c r="L127" s="14">
        <f>'[1]2024_60-69 ΕΞΟΔΑ+ΟΜ 2'!O76</f>
        <v>0</v>
      </c>
      <c r="M127" s="15">
        <f t="shared" si="29"/>
        <v>0</v>
      </c>
      <c r="N127" s="10">
        <f>L127+'[1]2025 Νοέμβριος'!N127</f>
        <v>382.25</v>
      </c>
      <c r="O127" s="15">
        <f t="shared" si="30"/>
        <v>1.9661300978898754E-3</v>
      </c>
      <c r="P127" s="10"/>
      <c r="Q127" s="30" t="e">
        <f t="shared" si="25"/>
        <v>#DIV/0!</v>
      </c>
      <c r="S127"/>
      <c r="T127"/>
      <c r="U127"/>
      <c r="V127"/>
    </row>
    <row r="128" spans="1:22" ht="15" customHeight="1" x14ac:dyDescent="0.25">
      <c r="A128" s="67">
        <v>70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2'!O85</f>
        <v>0</v>
      </c>
      <c r="E128" s="15">
        <f t="shared" si="26"/>
        <v>0</v>
      </c>
      <c r="F128" s="10">
        <f>D128+'[1]2025 Νοέμβριος'!F128</f>
        <v>0</v>
      </c>
      <c r="G128" s="15">
        <f t="shared" si="24"/>
        <v>0</v>
      </c>
      <c r="H128" s="14"/>
      <c r="I128" s="29" t="e">
        <f t="shared" si="27"/>
        <v>#DIV/0!</v>
      </c>
      <c r="J128" s="10"/>
      <c r="K128" s="10" t="e">
        <f t="shared" si="28"/>
        <v>#DIV/0!</v>
      </c>
      <c r="L128" s="14">
        <f>'[1]2024_60-69 ΕΞΟΔΑ+ΟΜ 2'!O77</f>
        <v>0</v>
      </c>
      <c r="M128" s="15">
        <f t="shared" si="29"/>
        <v>0</v>
      </c>
      <c r="N128" s="10">
        <f>L128+'[1]2025 Νοέμβριος'!N128</f>
        <v>0</v>
      </c>
      <c r="O128" s="15">
        <f t="shared" si="30"/>
        <v>0</v>
      </c>
      <c r="P128" s="10"/>
      <c r="Q128" s="30" t="e">
        <f t="shared" si="25"/>
        <v>#DIV/0!</v>
      </c>
      <c r="S128"/>
      <c r="T128"/>
      <c r="U128"/>
      <c r="V128"/>
    </row>
    <row r="129" spans="1:22" ht="15" customHeight="1" x14ac:dyDescent="0.25">
      <c r="A129" s="67">
        <v>71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2'!O86</f>
        <v>0</v>
      </c>
      <c r="E129" s="15">
        <f t="shared" si="26"/>
        <v>0</v>
      </c>
      <c r="F129" s="10">
        <f>D129+'[1]2025 Νοέμβριος'!F129</f>
        <v>0</v>
      </c>
      <c r="G129" s="15">
        <f t="shared" si="24"/>
        <v>0</v>
      </c>
      <c r="H129" s="14"/>
      <c r="I129" s="29" t="e">
        <f t="shared" si="27"/>
        <v>#DIV/0!</v>
      </c>
      <c r="J129" s="10"/>
      <c r="K129" s="10" t="e">
        <f t="shared" si="28"/>
        <v>#DIV/0!</v>
      </c>
      <c r="L129" s="14">
        <f>'[1]2024_60-69 ΕΞΟΔΑ+ΟΜ 2'!O78</f>
        <v>0</v>
      </c>
      <c r="M129" s="15">
        <f t="shared" si="29"/>
        <v>0</v>
      </c>
      <c r="N129" s="10">
        <f>L129+'[1]2025 Νοέμβριος'!N129</f>
        <v>0</v>
      </c>
      <c r="O129" s="15">
        <f t="shared" si="30"/>
        <v>0</v>
      </c>
      <c r="P129" s="10"/>
      <c r="Q129" s="30" t="e">
        <f t="shared" si="25"/>
        <v>#DIV/0!</v>
      </c>
      <c r="S129"/>
      <c r="T129"/>
      <c r="U129"/>
      <c r="V129"/>
    </row>
    <row r="130" spans="1:22" ht="15" customHeight="1" x14ac:dyDescent="0.25">
      <c r="A130" s="67">
        <v>72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2'!O87</f>
        <v>0</v>
      </c>
      <c r="E130" s="15">
        <f t="shared" si="26"/>
        <v>0</v>
      </c>
      <c r="F130" s="10">
        <f>D130+'[1]2025 Νοέμβριος'!F130</f>
        <v>0</v>
      </c>
      <c r="G130" s="15">
        <f t="shared" si="24"/>
        <v>0</v>
      </c>
      <c r="H130" s="14"/>
      <c r="I130" s="29" t="e">
        <f t="shared" si="27"/>
        <v>#DIV/0!</v>
      </c>
      <c r="J130" s="10"/>
      <c r="K130" s="10" t="e">
        <f t="shared" si="28"/>
        <v>#DIV/0!</v>
      </c>
      <c r="L130" s="14">
        <f>'[1]2024_60-69 ΕΞΟΔΑ+ΟΜ 2'!O79</f>
        <v>47</v>
      </c>
      <c r="M130" s="15">
        <f t="shared" si="29"/>
        <v>3.1550124757248636E-3</v>
      </c>
      <c r="N130" s="10">
        <f>L130+'[1]2025 Νοέμβριος'!N130</f>
        <v>47</v>
      </c>
      <c r="O130" s="15">
        <f t="shared" si="30"/>
        <v>2.4174784722256153E-4</v>
      </c>
      <c r="P130" s="10"/>
      <c r="Q130" s="30" t="e">
        <f t="shared" si="25"/>
        <v>#DIV/0!</v>
      </c>
      <c r="S130"/>
      <c r="T130"/>
      <c r="U130"/>
      <c r="V130"/>
    </row>
    <row r="131" spans="1:22" ht="15" customHeight="1" x14ac:dyDescent="0.25">
      <c r="A131" s="67">
        <v>73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2'!O88</f>
        <v>0</v>
      </c>
      <c r="E131" s="15">
        <f t="shared" si="26"/>
        <v>0</v>
      </c>
      <c r="F131" s="10">
        <f>D131+'[1]2025 Νοέμβριος'!F131</f>
        <v>172.5</v>
      </c>
      <c r="G131" s="15">
        <f t="shared" si="24"/>
        <v>1.679156508580977E-3</v>
      </c>
      <c r="H131" s="14"/>
      <c r="I131" s="29" t="e">
        <f t="shared" si="27"/>
        <v>#DIV/0!</v>
      </c>
      <c r="J131" s="10"/>
      <c r="K131" s="10" t="e">
        <f t="shared" si="28"/>
        <v>#DIV/0!</v>
      </c>
      <c r="L131" s="14">
        <f>'[1]2024_60-69 ΕΞΟΔΑ+ΟΜ 2'!O80</f>
        <v>191.38</v>
      </c>
      <c r="M131" s="15">
        <f t="shared" si="29"/>
        <v>1.2846942289451583E-2</v>
      </c>
      <c r="N131" s="10">
        <f>L131+'[1]2025 Νοέμβριος'!N131</f>
        <v>606.46</v>
      </c>
      <c r="O131" s="15">
        <f t="shared" si="30"/>
        <v>3.1193702005658441E-3</v>
      </c>
      <c r="P131" s="10"/>
      <c r="Q131" s="30" t="e">
        <f t="shared" si="25"/>
        <v>#DIV/0!</v>
      </c>
      <c r="S131"/>
      <c r="T131"/>
      <c r="U131"/>
      <c r="V131" s="160"/>
    </row>
    <row r="132" spans="1:22" ht="15" customHeight="1" x14ac:dyDescent="0.25">
      <c r="A132" s="67">
        <v>74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2'!O89</f>
        <v>0</v>
      </c>
      <c r="E132" s="15">
        <f t="shared" si="26"/>
        <v>0</v>
      </c>
      <c r="F132" s="10">
        <f>D132+'[1]2025 Νοέμβριος'!F132</f>
        <v>751.64</v>
      </c>
      <c r="G132" s="15">
        <f t="shared" si="24"/>
        <v>7.3166446267235105E-3</v>
      </c>
      <c r="H132" s="14"/>
      <c r="I132" s="29" t="e">
        <f t="shared" si="27"/>
        <v>#DIV/0!</v>
      </c>
      <c r="J132" s="10"/>
      <c r="K132" s="10" t="e">
        <f t="shared" si="28"/>
        <v>#DIV/0!</v>
      </c>
      <c r="L132" s="14">
        <f>'[1]2024_60-69 ΕΞΟΔΑ+ΟΜ 2'!O81</f>
        <v>27.15</v>
      </c>
      <c r="M132" s="15">
        <f t="shared" si="29"/>
        <v>1.8225231641687243E-3</v>
      </c>
      <c r="N132" s="10">
        <f>L132+'[1]2025 Νοέμβριος'!N132</f>
        <v>1717.9400000000003</v>
      </c>
      <c r="O132" s="15">
        <f t="shared" si="30"/>
        <v>8.8363467373942014E-3</v>
      </c>
      <c r="P132" s="10"/>
      <c r="Q132" s="30" t="e">
        <f t="shared" si="25"/>
        <v>#DIV/0!</v>
      </c>
      <c r="S132"/>
      <c r="T132"/>
      <c r="U132"/>
      <c r="V132" s="160"/>
    </row>
    <row r="133" spans="1:22" ht="57" customHeight="1" x14ac:dyDescent="0.25">
      <c r="A133" s="67">
        <v>75</v>
      </c>
      <c r="B133" s="67">
        <v>17</v>
      </c>
      <c r="C133" s="71">
        <f>[1]ΑΝΤΙΣΤΟΙΧΙΣΗ!O203</f>
        <v>0</v>
      </c>
      <c r="D133" s="14">
        <f>'[1]2025_60-69 ΕΞΟΔΑ+ΟΜ 2'!O90</f>
        <v>0</v>
      </c>
      <c r="E133" s="15">
        <f t="shared" si="26"/>
        <v>0</v>
      </c>
      <c r="F133" s="10">
        <f>D133+'[1]2025 Νοέμβριος'!F133</f>
        <v>88.68</v>
      </c>
      <c r="G133" s="15">
        <f t="shared" si="24"/>
        <v>8.6323245902006406E-4</v>
      </c>
      <c r="H133" s="14"/>
      <c r="I133" s="29" t="e">
        <f t="shared" si="27"/>
        <v>#DIV/0!</v>
      </c>
      <c r="J133" s="10"/>
      <c r="K133" s="10" t="e">
        <f t="shared" si="28"/>
        <v>#DIV/0!</v>
      </c>
      <c r="L133" s="14">
        <f>'[1]2024_60-69 ΕΞΟΔΑ+ΟΜ 2'!O82</f>
        <v>17.489999999999998</v>
      </c>
      <c r="M133" s="15">
        <f t="shared" si="29"/>
        <v>1.1740674085197417E-3</v>
      </c>
      <c r="N133" s="10">
        <f>L133+'[1]2025 Νοέμβριος'!N133</f>
        <v>191.04000000000002</v>
      </c>
      <c r="O133" s="15">
        <f t="shared" si="30"/>
        <v>9.8262784539145023E-4</v>
      </c>
      <c r="P133" s="10"/>
      <c r="Q133" s="30" t="e">
        <f t="shared" si="25"/>
        <v>#DIV/0!</v>
      </c>
      <c r="S133"/>
      <c r="T133"/>
      <c r="U133"/>
      <c r="V133" s="160"/>
    </row>
    <row r="134" spans="1:22" ht="57" customHeight="1" x14ac:dyDescent="0.25">
      <c r="A134" s="67">
        <v>76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2'!O91</f>
        <v>0</v>
      </c>
      <c r="E134" s="15">
        <f t="shared" si="26"/>
        <v>0</v>
      </c>
      <c r="F134" s="10">
        <f>D134+'[1]2025 Νοέμβριος'!F134</f>
        <v>46.31</v>
      </c>
      <c r="G134" s="15">
        <f t="shared" si="24"/>
        <v>4.5079268355005829E-4</v>
      </c>
      <c r="H134" s="14"/>
      <c r="I134" s="29" t="e">
        <f t="shared" si="27"/>
        <v>#DIV/0!</v>
      </c>
      <c r="J134" s="10"/>
      <c r="K134" s="10" t="e">
        <f t="shared" si="28"/>
        <v>#DIV/0!</v>
      </c>
      <c r="L134" s="14">
        <f>'[1]2024_60-69 ΕΞΟΔΑ+ΟΜ 2'!O83</f>
        <v>48.53</v>
      </c>
      <c r="M134" s="15">
        <f t="shared" si="29"/>
        <v>3.2577182009984602E-3</v>
      </c>
      <c r="N134" s="10">
        <f>L134+'[1]2025 Νοέμβριος'!N134</f>
        <v>101.16</v>
      </c>
      <c r="O134" s="15">
        <f t="shared" si="30"/>
        <v>5.2032366436243242E-4</v>
      </c>
      <c r="P134" s="10"/>
      <c r="Q134" s="30" t="e">
        <f t="shared" si="25"/>
        <v>#DIV/0!</v>
      </c>
      <c r="S134"/>
      <c r="T134"/>
      <c r="U134"/>
      <c r="V134" s="160"/>
    </row>
    <row r="135" spans="1:22" ht="15" customHeight="1" x14ac:dyDescent="0.25">
      <c r="A135" s="67">
        <v>77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2'!O92</f>
        <v>0</v>
      </c>
      <c r="E135" s="15">
        <f t="shared" si="26"/>
        <v>0</v>
      </c>
      <c r="F135" s="10">
        <f>D135+'[1]2025 Νοέμβριος'!F135</f>
        <v>62.370000000000005</v>
      </c>
      <c r="G135" s="15">
        <f t="shared" si="24"/>
        <v>6.0712458805910457E-4</v>
      </c>
      <c r="H135" s="14"/>
      <c r="I135" s="29" t="e">
        <f t="shared" si="27"/>
        <v>#DIV/0!</v>
      </c>
      <c r="J135" s="10"/>
      <c r="K135" s="10" t="e">
        <f t="shared" si="28"/>
        <v>#DIV/0!</v>
      </c>
      <c r="L135" s="14">
        <f>'[1]2024_60-69 ΕΞΟΔΑ+ΟΜ 2'!O84</f>
        <v>408.08</v>
      </c>
      <c r="M135" s="15">
        <f t="shared" si="29"/>
        <v>2.7393563640293668E-2</v>
      </c>
      <c r="N135" s="10">
        <f>L135+'[1]2025 Νοέμβριος'!N135</f>
        <v>490.01</v>
      </c>
      <c r="O135" s="15">
        <f t="shared" si="30"/>
        <v>2.5204013322878164E-3</v>
      </c>
      <c r="P135" s="10"/>
      <c r="Q135" s="30" t="e">
        <f t="shared" si="25"/>
        <v>#DIV/0!</v>
      </c>
      <c r="S135"/>
      <c r="T135"/>
      <c r="U135"/>
      <c r="V135"/>
    </row>
    <row r="136" spans="1:22" ht="15" customHeight="1" x14ac:dyDescent="0.25">
      <c r="A136" s="67">
        <v>78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2'!O93</f>
        <v>0</v>
      </c>
      <c r="E136" s="15">
        <f t="shared" si="26"/>
        <v>0</v>
      </c>
      <c r="F136" s="10">
        <f>D136+'[1]2025 Νοέμβριος'!F136</f>
        <v>1482.8000000000002</v>
      </c>
      <c r="G136" s="15">
        <f t="shared" si="24"/>
        <v>1.4433932005355785E-2</v>
      </c>
      <c r="H136" s="14"/>
      <c r="I136" s="29" t="e">
        <f t="shared" si="27"/>
        <v>#DIV/0!</v>
      </c>
      <c r="J136" s="10"/>
      <c r="K136" s="10" t="e">
        <f t="shared" si="28"/>
        <v>#DIV/0!</v>
      </c>
      <c r="L136" s="14">
        <f>'[1]2024_60-69 ΕΞΟΔΑ+ΟΜ 2'!O85</f>
        <v>12.28</v>
      </c>
      <c r="M136" s="15">
        <f t="shared" si="29"/>
        <v>8.2433091918938982E-4</v>
      </c>
      <c r="N136" s="10">
        <f>L136+'[1]2025 Νοέμβριος'!N136</f>
        <v>3620.5099999999998</v>
      </c>
      <c r="O136" s="15">
        <f t="shared" si="30"/>
        <v>1.8622351028675665E-2</v>
      </c>
      <c r="P136" s="10"/>
      <c r="Q136" s="30" t="e">
        <f t="shared" si="25"/>
        <v>#DIV/0!</v>
      </c>
      <c r="S136"/>
      <c r="T136"/>
      <c r="U136"/>
      <c r="V136"/>
    </row>
    <row r="137" spans="1:22" ht="15" customHeight="1" x14ac:dyDescent="0.25">
      <c r="A137" s="67">
        <v>79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2'!O94</f>
        <v>0</v>
      </c>
      <c r="E137" s="15">
        <f t="shared" si="26"/>
        <v>0</v>
      </c>
      <c r="F137" s="10">
        <f>D137+'[1]2025 Νοέμβριος'!F137</f>
        <v>25.62</v>
      </c>
      <c r="G137" s="15">
        <f t="shared" si="24"/>
        <v>2.4939124492663557E-4</v>
      </c>
      <c r="H137" s="14"/>
      <c r="I137" s="29" t="e">
        <f t="shared" si="27"/>
        <v>#DIV/0!</v>
      </c>
      <c r="J137" s="10"/>
      <c r="K137" s="10" t="e">
        <f t="shared" si="28"/>
        <v>#DIV/0!</v>
      </c>
      <c r="L137" s="14">
        <f>'[1]2024_60-69 ΕΞΟΔΑ+ΟΜ 2'!O86</f>
        <v>0</v>
      </c>
      <c r="M137" s="15">
        <f t="shared" si="29"/>
        <v>0</v>
      </c>
      <c r="N137" s="10">
        <f>L137+'[1]2025 Νοέμβριος'!N137</f>
        <v>99.52000000000001</v>
      </c>
      <c r="O137" s="15">
        <f t="shared" si="30"/>
        <v>5.1188820756573039E-4</v>
      </c>
      <c r="P137" s="10"/>
      <c r="Q137" s="30" t="e">
        <f t="shared" si="25"/>
        <v>#DIV/0!</v>
      </c>
      <c r="S137"/>
      <c r="T137"/>
      <c r="U137"/>
      <c r="V137"/>
    </row>
    <row r="138" spans="1:22" ht="15" customHeight="1" x14ac:dyDescent="0.25">
      <c r="A138" s="67">
        <v>80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2'!O95</f>
        <v>0</v>
      </c>
      <c r="E138" s="15">
        <f t="shared" si="26"/>
        <v>0</v>
      </c>
      <c r="F138" s="10">
        <f>D138+'[1]2025 Νοέμβριος'!F138</f>
        <v>299.25</v>
      </c>
      <c r="G138" s="15">
        <f t="shared" si="24"/>
        <v>2.9129715083643908E-3</v>
      </c>
      <c r="H138" s="14"/>
      <c r="I138" s="29" t="e">
        <f t="shared" si="27"/>
        <v>#DIV/0!</v>
      </c>
      <c r="J138" s="10"/>
      <c r="K138" s="10" t="e">
        <f t="shared" si="28"/>
        <v>#DIV/0!</v>
      </c>
      <c r="L138" s="14">
        <f>'[1]2024_60-69 ΕΞΟΔΑ+ΟΜ 2'!O87</f>
        <v>0</v>
      </c>
      <c r="M138" s="15">
        <f t="shared" si="29"/>
        <v>0</v>
      </c>
      <c r="N138" s="10">
        <f>L138+'[1]2025 Νοέμβριος'!N138</f>
        <v>544.29999999999995</v>
      </c>
      <c r="O138" s="15">
        <f t="shared" si="30"/>
        <v>2.7996458136859623E-3</v>
      </c>
      <c r="P138" s="10"/>
      <c r="Q138" s="30" t="e">
        <f t="shared" si="25"/>
        <v>#DIV/0!</v>
      </c>
      <c r="S138"/>
      <c r="T138"/>
      <c r="U138"/>
      <c r="V138"/>
    </row>
    <row r="139" spans="1:22" ht="15" customHeight="1" x14ac:dyDescent="0.25">
      <c r="A139" s="67">
        <v>81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2'!O96</f>
        <v>0</v>
      </c>
      <c r="E139" s="15">
        <f t="shared" si="26"/>
        <v>0</v>
      </c>
      <c r="F139" s="10">
        <f>D139+'[1]2025 Νοέμβριος'!F139</f>
        <v>0</v>
      </c>
      <c r="G139" s="15">
        <f t="shared" si="24"/>
        <v>0</v>
      </c>
      <c r="H139" s="14"/>
      <c r="I139" s="29" t="e">
        <f t="shared" si="27"/>
        <v>#DIV/0!</v>
      </c>
      <c r="J139" s="10"/>
      <c r="K139" s="10" t="e">
        <f t="shared" si="28"/>
        <v>#DIV/0!</v>
      </c>
      <c r="L139" s="14">
        <f>'[1]2024_60-69 ΕΞΟΔΑ+ΟΜ 2'!O88</f>
        <v>0</v>
      </c>
      <c r="M139" s="15">
        <f t="shared" si="29"/>
        <v>0</v>
      </c>
      <c r="N139" s="10">
        <f>L139+'[1]2025 Νοέμβριος'!N139</f>
        <v>0</v>
      </c>
      <c r="O139" s="15">
        <f t="shared" si="30"/>
        <v>0</v>
      </c>
      <c r="P139" s="10"/>
      <c r="Q139" s="30" t="e">
        <f t="shared" si="25"/>
        <v>#DIV/0!</v>
      </c>
      <c r="S139"/>
      <c r="T139"/>
      <c r="U139"/>
      <c r="V139"/>
    </row>
    <row r="140" spans="1:22" ht="15" customHeight="1" x14ac:dyDescent="0.25">
      <c r="A140" s="67">
        <v>82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2'!O97</f>
        <v>0</v>
      </c>
      <c r="E140" s="15">
        <f t="shared" si="26"/>
        <v>0</v>
      </c>
      <c r="F140" s="10">
        <f>D140+'[1]2025 Νοέμβριος'!F140</f>
        <v>0</v>
      </c>
      <c r="G140" s="15">
        <f t="shared" si="24"/>
        <v>0</v>
      </c>
      <c r="H140" s="14"/>
      <c r="I140" s="29" t="e">
        <f t="shared" si="27"/>
        <v>#DIV/0!</v>
      </c>
      <c r="J140" s="10"/>
      <c r="K140" s="10" t="e">
        <f t="shared" si="28"/>
        <v>#DIV/0!</v>
      </c>
      <c r="L140" s="14">
        <f>'[1]2024_60-69 ΕΞΟΔΑ+ΟΜ 2'!O89</f>
        <v>0</v>
      </c>
      <c r="M140" s="15">
        <f t="shared" si="29"/>
        <v>0</v>
      </c>
      <c r="N140" s="10">
        <f>L140+'[1]2025 Νοέμβριος'!N140</f>
        <v>0</v>
      </c>
      <c r="O140" s="15">
        <f t="shared" si="30"/>
        <v>0</v>
      </c>
      <c r="P140" s="10"/>
      <c r="Q140" s="30" t="e">
        <f t="shared" si="25"/>
        <v>#DIV/0!</v>
      </c>
      <c r="S140"/>
      <c r="T140"/>
      <c r="U140"/>
      <c r="V140"/>
    </row>
    <row r="141" spans="1:22" ht="15" customHeight="1" x14ac:dyDescent="0.25">
      <c r="A141" s="67">
        <v>83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2'!O98</f>
        <v>0</v>
      </c>
      <c r="E141" s="15">
        <f t="shared" si="26"/>
        <v>0</v>
      </c>
      <c r="F141" s="10">
        <f>D141+'[1]2025 Νοέμβριος'!F141</f>
        <v>0</v>
      </c>
      <c r="G141" s="15">
        <f t="shared" si="24"/>
        <v>0</v>
      </c>
      <c r="H141" s="14"/>
      <c r="I141" s="29" t="e">
        <f t="shared" si="27"/>
        <v>#DIV/0!</v>
      </c>
      <c r="J141" s="10"/>
      <c r="K141" s="10" t="e">
        <f t="shared" si="28"/>
        <v>#DIV/0!</v>
      </c>
      <c r="L141" s="14">
        <f>'[1]2024_60-69 ΕΞΟΔΑ+ΟΜ 2'!O90</f>
        <v>781.97</v>
      </c>
      <c r="M141" s="15">
        <f t="shared" si="29"/>
        <v>5.2492023524310039E-2</v>
      </c>
      <c r="N141" s="10">
        <f>L141+'[1]2025 Νοέμβριος'!N141</f>
        <v>781.97</v>
      </c>
      <c r="O141" s="15">
        <f t="shared" si="30"/>
        <v>4.0221183849494992E-3</v>
      </c>
      <c r="P141" s="10"/>
      <c r="Q141" s="30" t="e">
        <f t="shared" si="25"/>
        <v>#DIV/0!</v>
      </c>
      <c r="S141"/>
      <c r="T141"/>
      <c r="U141"/>
      <c r="V141"/>
    </row>
    <row r="142" spans="1:22" ht="15" customHeight="1" x14ac:dyDescent="0.25">
      <c r="A142" s="67">
        <v>84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2'!O99</f>
        <v>0</v>
      </c>
      <c r="E142" s="15">
        <f t="shared" si="26"/>
        <v>0</v>
      </c>
      <c r="F142" s="10">
        <f>D142+'[1]2025 Νοέμβριος'!F142</f>
        <v>1086.5899999999999</v>
      </c>
      <c r="G142" s="15">
        <f t="shared" si="24"/>
        <v>1.0577128525559441E-2</v>
      </c>
      <c r="H142" s="14"/>
      <c r="I142" s="29" t="e">
        <f t="shared" si="27"/>
        <v>#DIV/0!</v>
      </c>
      <c r="J142" s="10"/>
      <c r="K142" s="10" t="e">
        <f t="shared" si="28"/>
        <v>#DIV/0!</v>
      </c>
      <c r="L142" s="14">
        <f>'[1]2024_60-69 ΕΞΟΔΑ+ΟΜ 2'!O91</f>
        <v>4042</v>
      </c>
      <c r="M142" s="15">
        <f t="shared" si="29"/>
        <v>0.27133107291233827</v>
      </c>
      <c r="N142" s="10">
        <f>L142+'[1]2025 Νοέμβριος'!N142</f>
        <v>5234.2300000000005</v>
      </c>
      <c r="O142" s="15">
        <f t="shared" si="30"/>
        <v>2.692263477378188E-2</v>
      </c>
      <c r="P142" s="10"/>
      <c r="Q142" s="30" t="e">
        <f t="shared" si="25"/>
        <v>#DIV/0!</v>
      </c>
      <c r="S142"/>
      <c r="T142"/>
      <c r="U142"/>
      <c r="V142"/>
    </row>
    <row r="143" spans="1:22" ht="42.75" customHeight="1" x14ac:dyDescent="0.25">
      <c r="A143" s="67">
        <v>85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2'!O100</f>
        <v>0</v>
      </c>
      <c r="E143" s="15">
        <f t="shared" si="26"/>
        <v>0</v>
      </c>
      <c r="F143" s="10">
        <f>D143+'[1]2025 Νοέμβριος'!F143</f>
        <v>5242.7299999999996</v>
      </c>
      <c r="G143" s="15">
        <f t="shared" si="24"/>
        <v>5.1033995375262292E-2</v>
      </c>
      <c r="H143" s="14"/>
      <c r="I143" s="29" t="e">
        <f t="shared" si="27"/>
        <v>#DIV/0!</v>
      </c>
      <c r="J143" s="10"/>
      <c r="K143" s="10" t="e">
        <f t="shared" si="28"/>
        <v>#DIV/0!</v>
      </c>
      <c r="L143" s="14">
        <f>'[1]2024_60-69 ΕΞΟΔΑ+ΟΜ 2'!O92</f>
        <v>28.84</v>
      </c>
      <c r="M143" s="15">
        <f t="shared" si="29"/>
        <v>1.9359693574447887E-3</v>
      </c>
      <c r="N143" s="10">
        <f>L143+'[1]2025 Νοέμβριος'!N143</f>
        <v>10518.84</v>
      </c>
      <c r="O143" s="15">
        <f t="shared" si="30"/>
        <v>5.4104402665501476E-2</v>
      </c>
      <c r="P143" s="10"/>
      <c r="Q143" s="30" t="e">
        <f t="shared" si="25"/>
        <v>#DIV/0!</v>
      </c>
      <c r="S143"/>
      <c r="T143"/>
      <c r="U143"/>
      <c r="V143"/>
    </row>
    <row r="144" spans="1:22" ht="15" customHeight="1" x14ac:dyDescent="0.25">
      <c r="A144" s="67">
        <v>86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2'!O101</f>
        <v>0</v>
      </c>
      <c r="E144" s="15">
        <f t="shared" si="26"/>
        <v>0</v>
      </c>
      <c r="F144" s="10">
        <f>D144+'[1]2025 Νοέμβριος'!F144</f>
        <v>4600.62</v>
      </c>
      <c r="G144" s="15">
        <f t="shared" si="24"/>
        <v>4.4783542124682982E-2</v>
      </c>
      <c r="H144" s="14"/>
      <c r="I144" s="29" t="e">
        <f t="shared" si="27"/>
        <v>#DIV/0!</v>
      </c>
      <c r="J144" s="10"/>
      <c r="K144" s="10" t="e">
        <f t="shared" si="28"/>
        <v>#DIV/0!</v>
      </c>
      <c r="L144" s="14">
        <f>'[1]2024_60-69 ΕΞΟΔΑ+ΟΜ 2'!O93</f>
        <v>1565.32</v>
      </c>
      <c r="M144" s="15">
        <f t="shared" si="29"/>
        <v>0.10507668358514134</v>
      </c>
      <c r="N144" s="10">
        <f>L144+'[1]2025 Νοέμβριος'!N144</f>
        <v>4702.9800000000005</v>
      </c>
      <c r="O144" s="15">
        <f t="shared" si="30"/>
        <v>2.419011256448431E-2</v>
      </c>
      <c r="P144" s="10"/>
      <c r="Q144" s="30" t="e">
        <f t="shared" si="25"/>
        <v>#DIV/0!</v>
      </c>
      <c r="S144"/>
      <c r="T144"/>
      <c r="U144"/>
      <c r="V144"/>
    </row>
    <row r="145" spans="1:22" ht="15" customHeight="1" x14ac:dyDescent="0.25">
      <c r="A145" s="67">
        <v>87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2'!O102</f>
        <v>0</v>
      </c>
      <c r="E145" s="15">
        <f t="shared" si="26"/>
        <v>0</v>
      </c>
      <c r="F145" s="10">
        <f>D145+'[1]2025 Νοέμβριος'!F145</f>
        <v>2050.08</v>
      </c>
      <c r="G145" s="15">
        <f t="shared" si="24"/>
        <v>1.9955972029632982E-2</v>
      </c>
      <c r="H145" s="14"/>
      <c r="I145" s="29" t="e">
        <f t="shared" si="27"/>
        <v>#DIV/0!</v>
      </c>
      <c r="J145" s="10"/>
      <c r="K145" s="10" t="e">
        <f t="shared" si="28"/>
        <v>#DIV/0!</v>
      </c>
      <c r="L145" s="14">
        <f>'[1]2024_60-69 ΕΞΟΔΑ+ΟΜ 2'!O94</f>
        <v>63.53</v>
      </c>
      <c r="M145" s="15">
        <f t="shared" si="29"/>
        <v>4.2646370762298002E-3</v>
      </c>
      <c r="N145" s="10">
        <f>L145+'[1]2025 Νοέμβριος'!N145</f>
        <v>3194.8900000000003</v>
      </c>
      <c r="O145" s="15">
        <f t="shared" si="30"/>
        <v>1.6433144247082761E-2</v>
      </c>
      <c r="P145" s="10"/>
      <c r="Q145" s="30" t="e">
        <f t="shared" si="25"/>
        <v>#DIV/0!</v>
      </c>
      <c r="S145"/>
      <c r="T145"/>
      <c r="U145"/>
      <c r="V145"/>
    </row>
    <row r="146" spans="1:22" ht="15" customHeight="1" x14ac:dyDescent="0.25">
      <c r="A146" s="67">
        <v>88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2'!O103</f>
        <v>0</v>
      </c>
      <c r="E146" s="15">
        <f t="shared" si="26"/>
        <v>0</v>
      </c>
      <c r="F146" s="10">
        <f>D146+'[1]2025 Νοέμβριος'!F146</f>
        <v>345.75</v>
      </c>
      <c r="G146" s="15">
        <f t="shared" si="24"/>
        <v>3.3656136976340451E-3</v>
      </c>
      <c r="H146" s="14"/>
      <c r="I146" s="29" t="e">
        <f t="shared" si="27"/>
        <v>#DIV/0!</v>
      </c>
      <c r="J146" s="10"/>
      <c r="K146" s="10" t="e">
        <f t="shared" si="28"/>
        <v>#DIV/0!</v>
      </c>
      <c r="L146" s="14">
        <f>'[1]2024_60-69 ΕΞΟΔΑ+ΟΜ 2'!O95</f>
        <v>0</v>
      </c>
      <c r="M146" s="15">
        <f t="shared" si="29"/>
        <v>0</v>
      </c>
      <c r="N146" s="10">
        <f>L146+'[1]2025 Νοέμβριος'!N146</f>
        <v>1131.3799999999999</v>
      </c>
      <c r="O146" s="15">
        <f t="shared" si="30"/>
        <v>5.8193336040566306E-3</v>
      </c>
      <c r="P146" s="10"/>
      <c r="Q146" s="30" t="e">
        <f t="shared" si="25"/>
        <v>#DIV/0!</v>
      </c>
      <c r="S146"/>
      <c r="T146"/>
      <c r="U146"/>
      <c r="V146"/>
    </row>
    <row r="147" spans="1:22" ht="15" customHeight="1" x14ac:dyDescent="0.25">
      <c r="A147" s="67">
        <v>89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2'!O104</f>
        <v>0</v>
      </c>
      <c r="E147" s="15">
        <f t="shared" si="26"/>
        <v>0</v>
      </c>
      <c r="F147" s="10">
        <f>D147+'[1]2025 Νοέμβριος'!F147</f>
        <v>0</v>
      </c>
      <c r="G147" s="15">
        <f t="shared" si="24"/>
        <v>0</v>
      </c>
      <c r="H147" s="14"/>
      <c r="I147" s="29" t="e">
        <f t="shared" si="27"/>
        <v>#DIV/0!</v>
      </c>
      <c r="J147" s="10"/>
      <c r="K147" s="10" t="e">
        <f t="shared" si="28"/>
        <v>#DIV/0!</v>
      </c>
      <c r="L147" s="14">
        <f>'[1]2024_60-69 ΕΞΟΔΑ+ΟΜ 2'!O96</f>
        <v>0</v>
      </c>
      <c r="M147" s="15">
        <f t="shared" si="29"/>
        <v>0</v>
      </c>
      <c r="N147" s="10">
        <f>L147+'[1]2025 Νοέμβριος'!N147</f>
        <v>6236.68</v>
      </c>
      <c r="O147" s="15">
        <f t="shared" si="30"/>
        <v>3.2078807740766067E-2</v>
      </c>
      <c r="P147" s="10"/>
      <c r="Q147" s="30" t="e">
        <f t="shared" si="25"/>
        <v>#DIV/0!</v>
      </c>
      <c r="S147"/>
      <c r="T147"/>
      <c r="U147"/>
      <c r="V147"/>
    </row>
    <row r="148" spans="1:22" ht="30" customHeight="1" x14ac:dyDescent="0.25">
      <c r="A148" s="67">
        <v>90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2'!O105</f>
        <v>0</v>
      </c>
      <c r="E148" s="15">
        <f t="shared" si="26"/>
        <v>0</v>
      </c>
      <c r="F148" s="10">
        <f>D148+'[1]2025 Νοέμβριος'!F148</f>
        <v>0</v>
      </c>
      <c r="G148" s="15">
        <f t="shared" si="24"/>
        <v>0</v>
      </c>
      <c r="H148" s="14"/>
      <c r="I148" s="29" t="e">
        <f t="shared" si="27"/>
        <v>#DIV/0!</v>
      </c>
      <c r="J148" s="10"/>
      <c r="K148" s="10" t="e">
        <f t="shared" si="28"/>
        <v>#DIV/0!</v>
      </c>
      <c r="L148" s="14">
        <f>'[1]2024_60-69 ΕΞΟΔΑ+ΟΜ 2'!O97</f>
        <v>1104.3399999999999</v>
      </c>
      <c r="M148" s="15">
        <f t="shared" si="29"/>
        <v>7.4132052711531823E-2</v>
      </c>
      <c r="N148" s="10">
        <f>L148+'[1]2025 Νοέμβριος'!N148</f>
        <v>1104.3399999999999</v>
      </c>
      <c r="O148" s="15">
        <f t="shared" si="30"/>
        <v>5.6802514383353956E-3</v>
      </c>
      <c r="P148" s="10"/>
      <c r="Q148" s="30" t="e">
        <f t="shared" si="25"/>
        <v>#DIV/0!</v>
      </c>
      <c r="S148"/>
      <c r="T148"/>
      <c r="U148"/>
      <c r="V148"/>
    </row>
    <row r="149" spans="1:22" ht="30" customHeight="1" x14ac:dyDescent="0.25">
      <c r="A149" s="67">
        <v>91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2'!O106</f>
        <v>777.67000000000007</v>
      </c>
      <c r="E149" s="15">
        <f t="shared" si="26"/>
        <v>1</v>
      </c>
      <c r="F149" s="10">
        <f>D149+'[1]2025 Νοέμβριος'!F149</f>
        <v>4915.04</v>
      </c>
      <c r="G149" s="15">
        <f t="shared" si="24"/>
        <v>4.7844182063396204E-2</v>
      </c>
      <c r="H149" s="14"/>
      <c r="I149" s="29" t="e">
        <f t="shared" si="27"/>
        <v>#DIV/0!</v>
      </c>
      <c r="J149" s="10"/>
      <c r="K149" s="10" t="e">
        <f t="shared" si="28"/>
        <v>#DIV/0!</v>
      </c>
      <c r="L149" s="14">
        <f>'[1]2024_60-69 ΕΞΟΔΑ+ΟΜ 2'!O98</f>
        <v>0</v>
      </c>
      <c r="M149" s="15">
        <f t="shared" si="29"/>
        <v>0</v>
      </c>
      <c r="N149" s="10">
        <f>L149+'[1]2025 Νοέμβριος'!N149</f>
        <v>4529.2800000000007</v>
      </c>
      <c r="O149" s="15">
        <f t="shared" si="30"/>
        <v>2.3296674244004334E-2</v>
      </c>
      <c r="P149" s="10"/>
      <c r="Q149" s="30" t="e">
        <f t="shared" si="25"/>
        <v>#DIV/0!</v>
      </c>
      <c r="S149"/>
      <c r="T149"/>
      <c r="U149"/>
      <c r="V149"/>
    </row>
    <row r="150" spans="1:22" ht="30" customHeight="1" x14ac:dyDescent="0.25">
      <c r="A150" s="67">
        <v>92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2'!O107</f>
        <v>0</v>
      </c>
      <c r="E150" s="15">
        <f t="shared" si="26"/>
        <v>0</v>
      </c>
      <c r="F150" s="10">
        <f>D150+'[1]2025 Νοέμβριος'!F150</f>
        <v>0</v>
      </c>
      <c r="G150" s="15">
        <f t="shared" si="24"/>
        <v>0</v>
      </c>
      <c r="H150" s="14"/>
      <c r="I150" s="29" t="e">
        <f t="shared" si="27"/>
        <v>#DIV/0!</v>
      </c>
      <c r="J150" s="10"/>
      <c r="K150" s="10" t="e">
        <f t="shared" si="28"/>
        <v>#DIV/0!</v>
      </c>
      <c r="L150" s="14">
        <f>'[1]2024_60-69 ΕΞΟΔΑ+ΟΜ 2'!O99</f>
        <v>0</v>
      </c>
      <c r="M150" s="15">
        <f t="shared" si="29"/>
        <v>0</v>
      </c>
      <c r="N150" s="10">
        <f>L150+'[1]2025 Νοέμβριος'!N150</f>
        <v>0</v>
      </c>
      <c r="O150" s="15">
        <f t="shared" si="30"/>
        <v>0</v>
      </c>
      <c r="P150" s="10"/>
      <c r="Q150" s="30" t="e">
        <f t="shared" si="25"/>
        <v>#DIV/0!</v>
      </c>
      <c r="S150"/>
      <c r="T150"/>
      <c r="U150"/>
      <c r="V150"/>
    </row>
    <row r="151" spans="1:22" ht="15" x14ac:dyDescent="0.25">
      <c r="A151" s="67">
        <v>93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2'!O108</f>
        <v>0</v>
      </c>
      <c r="E151" s="15" t="e">
        <f>D151/$D$157</f>
        <v>#DIV/0!</v>
      </c>
      <c r="F151" s="10">
        <f>D151+'[1]2025 Νοέμβριος'!F151</f>
        <v>2393.4199999999996</v>
      </c>
      <c r="G151" s="15">
        <f t="shared" si="24"/>
        <v>2.3298126207350039E-2</v>
      </c>
      <c r="H151" s="14"/>
      <c r="I151" s="29" t="e">
        <f t="shared" si="27"/>
        <v>#DIV/0!</v>
      </c>
      <c r="J151" s="10"/>
      <c r="K151" s="10" t="e">
        <f t="shared" si="28"/>
        <v>#DIV/0!</v>
      </c>
      <c r="L151" s="14">
        <f>'[1]2024_60-69 ΕΞΟΔΑ+ΟΜ 2'!O100</f>
        <v>488.85</v>
      </c>
      <c r="M151" s="15">
        <f t="shared" si="29"/>
        <v>3.2815486143789353E-2</v>
      </c>
      <c r="N151" s="10">
        <f>L151+'[1]2025 Νοέμβριος'!N151</f>
        <v>1418.47</v>
      </c>
      <c r="O151" s="15">
        <f t="shared" si="30"/>
        <v>7.2960014648890828E-3</v>
      </c>
      <c r="P151" s="10"/>
      <c r="Q151" s="30" t="e">
        <f t="shared" si="25"/>
        <v>#DIV/0!</v>
      </c>
      <c r="S151"/>
      <c r="T151"/>
      <c r="U151"/>
      <c r="V151"/>
    </row>
    <row r="152" spans="1:22" ht="15" x14ac:dyDescent="0.25">
      <c r="A152" s="67">
        <v>94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2'!O109</f>
        <v>0</v>
      </c>
      <c r="E152" s="15" t="e">
        <f>D152/$D$157</f>
        <v>#DIV/0!</v>
      </c>
      <c r="F152" s="10">
        <f>D152+'[1]2025 Νοέμβριος'!F152</f>
        <v>0</v>
      </c>
      <c r="G152" s="15">
        <f t="shared" si="24"/>
        <v>0</v>
      </c>
      <c r="H152" s="14"/>
      <c r="I152" s="29" t="e">
        <f t="shared" si="27"/>
        <v>#DIV/0!</v>
      </c>
      <c r="J152" s="10"/>
      <c r="K152" s="10" t="e">
        <f t="shared" si="28"/>
        <v>#DIV/0!</v>
      </c>
      <c r="L152" s="14">
        <f>'[1]2024_60-69 ΕΞΟΔΑ+ΟΜ 2'!O101</f>
        <v>308.29000000000002</v>
      </c>
      <c r="M152" s="15">
        <f t="shared" si="29"/>
        <v>2.0694868003004643E-2</v>
      </c>
      <c r="N152" s="10">
        <f>L152+'[1]2025 Νοέμβριος'!N152</f>
        <v>7088.32</v>
      </c>
      <c r="O152" s="15">
        <f t="shared" si="30"/>
        <v>3.6459278732438878E-2</v>
      </c>
      <c r="P152" s="10"/>
      <c r="Q152" s="30" t="e">
        <f t="shared" si="25"/>
        <v>#DIV/0!</v>
      </c>
      <c r="S152"/>
      <c r="T152"/>
      <c r="U152"/>
      <c r="V152"/>
    </row>
    <row r="153" spans="1:22" ht="42.75" x14ac:dyDescent="0.25">
      <c r="A153" s="67">
        <v>95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2'!O110</f>
        <v>0</v>
      </c>
      <c r="E153" s="15" t="e">
        <f t="shared" ref="E153" si="31">D153/$D$157</f>
        <v>#DIV/0!</v>
      </c>
      <c r="F153" s="10">
        <f>D153+'[1]2025 Νοέμβριος'!F153</f>
        <v>8554.3700000000008</v>
      </c>
      <c r="G153" s="15">
        <f t="shared" si="24"/>
        <v>8.3270296013390463E-2</v>
      </c>
      <c r="H153" s="14"/>
      <c r="I153" s="29" t="e">
        <f t="shared" si="27"/>
        <v>#DIV/0!</v>
      </c>
      <c r="J153" s="10"/>
      <c r="K153" s="10" t="e">
        <f t="shared" si="28"/>
        <v>#DIV/0!</v>
      </c>
      <c r="L153" s="14">
        <f>'[1]2024_60-69 ΕΞΟΔΑ+ΟΜ 2'!O102</f>
        <v>910.87</v>
      </c>
      <c r="M153" s="15">
        <f t="shared" si="29"/>
        <v>6.1144813058798014E-2</v>
      </c>
      <c r="N153" s="10">
        <f>L153+'[1]2025 Νοέμβριος'!N153</f>
        <v>910.87</v>
      </c>
      <c r="O153" s="15">
        <f t="shared" si="30"/>
        <v>4.6851247148854179E-3</v>
      </c>
      <c r="P153" s="10"/>
      <c r="Q153" s="30" t="e">
        <f t="shared" si="25"/>
        <v>#DIV/0!</v>
      </c>
      <c r="S153"/>
      <c r="T153"/>
      <c r="U153"/>
      <c r="V153"/>
    </row>
    <row r="154" spans="1:22" ht="15" x14ac:dyDescent="0.25">
      <c r="A154" s="67">
        <v>96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  <c r="S154"/>
      <c r="T154"/>
      <c r="U154"/>
      <c r="V154"/>
    </row>
    <row r="155" spans="1:22" ht="15" x14ac:dyDescent="0.25">
      <c r="A155" s="67">
        <v>97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  <c r="S155"/>
      <c r="T155"/>
      <c r="U155"/>
      <c r="V155"/>
    </row>
    <row r="156" spans="1:22" ht="15" x14ac:dyDescent="0.25">
      <c r="A156" s="67">
        <v>98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  <c r="S156"/>
      <c r="T156"/>
      <c r="U156"/>
      <c r="V156"/>
    </row>
    <row r="157" spans="1:22" ht="30" x14ac:dyDescent="0.25">
      <c r="A157" s="86"/>
      <c r="B157" s="86"/>
      <c r="C157" s="6" t="s">
        <v>43</v>
      </c>
      <c r="D157" s="7">
        <f>'[1]2025_60-69 ΕΞΟΔΑ+ΟΜ 2'!O73</f>
        <v>0</v>
      </c>
      <c r="E157" s="8"/>
      <c r="F157" s="7">
        <f>'[1]2025_60-69 ΕΞΟΔΑ+ΟΜ 2'!AB73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14896.930000000002</v>
      </c>
      <c r="M157" s="8"/>
      <c r="N157" s="7">
        <f>SUM(N117:N156)</f>
        <v>194417.45</v>
      </c>
      <c r="O157" s="8"/>
      <c r="P157" s="7">
        <f>SUM(P117:P156)</f>
        <v>0</v>
      </c>
      <c r="Q157" s="8"/>
      <c r="R157"/>
      <c r="S157"/>
      <c r="T157"/>
      <c r="U157"/>
      <c r="V157"/>
    </row>
    <row r="158" spans="1:22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>
        <f>F116-F157</f>
        <v>102730.14999999997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  <c r="R158"/>
      <c r="S158"/>
      <c r="T158"/>
      <c r="U158"/>
      <c r="V158"/>
    </row>
    <row r="159" spans="1:22" ht="30" x14ac:dyDescent="0.25">
      <c r="A159" s="87"/>
      <c r="B159" s="87"/>
      <c r="C159" s="2" t="s">
        <v>14</v>
      </c>
      <c r="D159" s="31">
        <f>D7-D78-D111-D157</f>
        <v>-7839.9766666666674</v>
      </c>
      <c r="E159" s="4"/>
      <c r="F159" s="31">
        <f>F7-F78-F111-F157</f>
        <v>-109761.85415929204</v>
      </c>
      <c r="G159" s="4"/>
      <c r="H159" s="31">
        <f ca="1">H7-H78-H111-H157</f>
        <v>0</v>
      </c>
      <c r="I159" s="4"/>
      <c r="J159" s="31">
        <f ca="1">J7-J78-J111-J157</f>
        <v>712926.932741886</v>
      </c>
      <c r="K159" s="4"/>
      <c r="L159" s="31">
        <f ca="1">L7-L78-L111-L157</f>
        <v>17074.519999999997</v>
      </c>
      <c r="M159" s="4"/>
      <c r="N159" s="31">
        <f ca="1">N7-N78-N111-N157</f>
        <v>-654088.7630442474</v>
      </c>
      <c r="O159" s="4"/>
      <c r="P159" s="31"/>
      <c r="Q159" s="4"/>
      <c r="R159"/>
      <c r="S159"/>
      <c r="T159"/>
      <c r="U159"/>
      <c r="V159"/>
    </row>
    <row r="161" spans="14:15" ht="15.75" x14ac:dyDescent="0.25">
      <c r="O161" s="161"/>
    </row>
    <row r="163" spans="14:15" ht="15.75" x14ac:dyDescent="0.25">
      <c r="N163" s="162"/>
    </row>
    <row r="164" spans="14:15" ht="15.75" x14ac:dyDescent="0.25">
      <c r="N164" s="163"/>
      <c r="O164" s="164"/>
    </row>
  </sheetData>
  <mergeCells count="33">
    <mergeCell ref="D114:F114"/>
    <mergeCell ref="H114:J114"/>
    <mergeCell ref="L114:N114"/>
    <mergeCell ref="P114:Q114"/>
    <mergeCell ref="D82:F82"/>
    <mergeCell ref="H82:J82"/>
    <mergeCell ref="L82:N82"/>
    <mergeCell ref="P82:Q82"/>
    <mergeCell ref="D113:G113"/>
    <mergeCell ref="H113:K113"/>
    <mergeCell ref="L113:O113"/>
    <mergeCell ref="P113:Q113"/>
    <mergeCell ref="D41:F41"/>
    <mergeCell ref="H41:J41"/>
    <mergeCell ref="L41:N41"/>
    <mergeCell ref="P41:Q41"/>
    <mergeCell ref="D81:G81"/>
    <mergeCell ref="H81:K81"/>
    <mergeCell ref="L81:O81"/>
    <mergeCell ref="P81:Q81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AD354"/>
  <sheetViews>
    <sheetView tabSelected="1" topLeftCell="A96" zoomScale="70" zoomScaleNormal="70" workbookViewId="0">
      <selection activeCell="A126" sqref="A126:XFD127"/>
    </sheetView>
  </sheetViews>
  <sheetFormatPr defaultRowHeight="15" x14ac:dyDescent="0.25"/>
  <cols>
    <col min="1" max="1" width="52.85546875" bestFit="1" customWidth="1"/>
    <col min="2" max="2" width="22.28515625" customWidth="1"/>
    <col min="3" max="4" width="43.85546875" bestFit="1" customWidth="1"/>
    <col min="5" max="5" width="27.7109375" bestFit="1" customWidth="1"/>
    <col min="6" max="6" width="31" bestFit="1" customWidth="1"/>
    <col min="7" max="7" width="36.7109375" bestFit="1" customWidth="1"/>
    <col min="8" max="8" width="26.85546875" customWidth="1"/>
    <col min="9" max="9" width="35.140625" bestFit="1" customWidth="1"/>
    <col min="10" max="10" width="26.85546875" customWidth="1"/>
    <col min="11" max="11" width="32.85546875" bestFit="1" customWidth="1"/>
    <col min="12" max="12" width="37.28515625" bestFit="1" customWidth="1"/>
    <col min="13" max="13" width="33.42578125" bestFit="1" customWidth="1"/>
    <col min="14" max="14" width="39.140625" bestFit="1" customWidth="1"/>
    <col min="15" max="15" width="42.7109375" customWidth="1"/>
    <col min="16" max="16" width="24.28515625" bestFit="1" customWidth="1"/>
    <col min="17" max="17" width="43.85546875" bestFit="1" customWidth="1"/>
    <col min="18" max="18" width="27.5703125" bestFit="1" customWidth="1"/>
    <col min="19" max="19" width="43.85546875" bestFit="1" customWidth="1"/>
    <col min="20" max="20" width="29.7109375" bestFit="1" customWidth="1"/>
    <col min="21" max="21" width="43.85546875" bestFit="1" customWidth="1"/>
    <col min="22" max="22" width="27.85546875" bestFit="1" customWidth="1"/>
    <col min="23" max="23" width="43.85546875" bestFit="1" customWidth="1"/>
    <col min="24" max="24" width="27.7109375" bestFit="1" customWidth="1"/>
    <col min="25" max="25" width="43.85546875" bestFit="1" customWidth="1"/>
    <col min="26" max="26" width="26.5703125" customWidth="1"/>
    <col min="27" max="27" width="45.140625" bestFit="1" customWidth="1"/>
    <col min="28" max="28" width="11" customWidth="1"/>
    <col min="30" max="30" width="14.140625" bestFit="1" customWidth="1"/>
  </cols>
  <sheetData>
    <row r="2" spans="1:15" ht="18" x14ac:dyDescent="0.25">
      <c r="A2" s="34" t="s">
        <v>44</v>
      </c>
      <c r="B2" s="34" t="s">
        <v>45</v>
      </c>
      <c r="C2" s="34" t="s">
        <v>46</v>
      </c>
      <c r="D2" s="34" t="s">
        <v>47</v>
      </c>
      <c r="E2" s="34" t="s">
        <v>48</v>
      </c>
      <c r="F2" s="34" t="s">
        <v>49</v>
      </c>
      <c r="G2" s="34" t="s">
        <v>50</v>
      </c>
      <c r="H2" s="34" t="s">
        <v>51</v>
      </c>
      <c r="I2" s="34" t="s">
        <v>52</v>
      </c>
      <c r="J2" s="34" t="s">
        <v>53</v>
      </c>
      <c r="K2" s="34" t="s">
        <v>54</v>
      </c>
      <c r="L2" s="34" t="s">
        <v>55</v>
      </c>
      <c r="M2" s="34" t="s">
        <v>56</v>
      </c>
      <c r="N2" s="34" t="s">
        <v>57</v>
      </c>
      <c r="O2" s="34" t="s">
        <v>58</v>
      </c>
    </row>
    <row r="3" spans="1:15" x14ac:dyDescent="0.25">
      <c r="A3" s="35" t="s">
        <v>59</v>
      </c>
      <c r="B3" s="35">
        <v>2025</v>
      </c>
      <c r="C3" s="36">
        <f>'2025 Ιανουάριος'!D7</f>
        <v>20753.899999999998</v>
      </c>
      <c r="D3" s="36">
        <f>C3</f>
        <v>20753.899999999998</v>
      </c>
      <c r="E3" s="36">
        <f>'2025 Ιανουάριος'!D43</f>
        <v>50596.416666666664</v>
      </c>
      <c r="F3" s="36">
        <f>'2025 Ιανουάριος'!D46</f>
        <v>1618.22</v>
      </c>
      <c r="G3" s="36">
        <f t="shared" ref="G3:G14" si="0">C3-E3</f>
        <v>-29842.516666666666</v>
      </c>
      <c r="H3" s="36">
        <f t="shared" ref="H3:H14" si="1">D3-F3</f>
        <v>19135.679999999997</v>
      </c>
      <c r="I3" s="36">
        <f ca="1">'2025 Ιανουάριος'!D84</f>
        <v>9618.77</v>
      </c>
      <c r="J3" s="36" t="e">
        <f>'2025 Ιανουάριος'!F84</f>
        <v>#VALUE!</v>
      </c>
      <c r="K3" s="36">
        <f>'2025 Ιανουάριος'!D116</f>
        <v>7568.28</v>
      </c>
      <c r="L3" s="36">
        <f>'2025 Ιανουάριος'!F116</f>
        <v>7568.28</v>
      </c>
      <c r="M3" s="36">
        <f t="shared" ref="M3:M14" ca="1" si="2">E3+I3+K3</f>
        <v>63774.386666666658</v>
      </c>
      <c r="N3" s="36">
        <f t="shared" ref="N3:N14" ca="1" si="3">C3-E3-I3-K3</f>
        <v>-43020.486666666664</v>
      </c>
      <c r="O3" s="36">
        <f ca="1">N3</f>
        <v>-43020.486666666664</v>
      </c>
    </row>
    <row r="4" spans="1:15" x14ac:dyDescent="0.25">
      <c r="A4" s="35" t="s">
        <v>60</v>
      </c>
      <c r="B4" s="35">
        <v>2025</v>
      </c>
      <c r="C4" s="36">
        <f>'2025 Φεβρουάριος'!D7</f>
        <v>22578.774424778763</v>
      </c>
      <c r="D4" s="36">
        <f t="shared" ref="D4:D14" si="4">D3+C4</f>
        <v>43332.674424778757</v>
      </c>
      <c r="E4" s="36">
        <f>'2025 Φεβρουάριος'!D44</f>
        <v>2149.4899999999998</v>
      </c>
      <c r="F4" s="36">
        <f>'2025 Φεβρουάριος'!D49</f>
        <v>439.85</v>
      </c>
      <c r="G4" s="36">
        <f t="shared" si="0"/>
        <v>20429.284424778765</v>
      </c>
      <c r="H4" s="36">
        <f t="shared" si="1"/>
        <v>42892.824424778759</v>
      </c>
      <c r="I4" s="36">
        <f>'2025 Φεβρουάριος'!D47</f>
        <v>1739.37</v>
      </c>
      <c r="J4" s="36">
        <f>'2025 Φεβρουάριος'!F47</f>
        <v>11358.14</v>
      </c>
      <c r="K4" s="36">
        <f>'2025 Φεβρουάριος'!D117</f>
        <v>0</v>
      </c>
      <c r="L4" s="36">
        <f>'2025 Φεβρουάριος'!F117</f>
        <v>9731.61</v>
      </c>
      <c r="M4" s="36">
        <f t="shared" si="2"/>
        <v>3888.8599999999997</v>
      </c>
      <c r="N4" s="36">
        <f t="shared" si="3"/>
        <v>18689.914424778766</v>
      </c>
      <c r="O4" s="36">
        <f t="shared" ref="O4:O14" ca="1" si="5">O3+N4</f>
        <v>-24330.572241887898</v>
      </c>
    </row>
    <row r="5" spans="1:15" x14ac:dyDescent="0.25">
      <c r="A5" s="35" t="s">
        <v>61</v>
      </c>
      <c r="B5" s="35">
        <v>2025</v>
      </c>
      <c r="C5" s="36">
        <f>'2025 Μάρτιος'!D7</f>
        <v>31932.008938053095</v>
      </c>
      <c r="D5" s="36">
        <f t="shared" si="4"/>
        <v>75264.683362831856</v>
      </c>
      <c r="E5" s="36">
        <f>'2025 Μάρτιος'!D44</f>
        <v>3372.31</v>
      </c>
      <c r="F5" s="36">
        <f>'2025 Μάρτιος'!D49</f>
        <v>741.13</v>
      </c>
      <c r="G5" s="36">
        <f t="shared" si="0"/>
        <v>28559.698938053094</v>
      </c>
      <c r="H5" s="36">
        <f t="shared" si="1"/>
        <v>74523.553362831852</v>
      </c>
      <c r="I5" s="36">
        <f>'2025 Μάρτιος'!D47</f>
        <v>1747.2</v>
      </c>
      <c r="J5" s="36">
        <f>'2025 Μάρτιος'!F47</f>
        <v>25594.959999999999</v>
      </c>
      <c r="K5" s="36">
        <f>'2025 Μάρτιος'!D117</f>
        <v>0</v>
      </c>
      <c r="L5" s="36">
        <f>'2025 Μάρτιος'!F117</f>
        <v>19238.64</v>
      </c>
      <c r="M5" s="36">
        <f t="shared" si="2"/>
        <v>5119.51</v>
      </c>
      <c r="N5" s="36">
        <f t="shared" si="3"/>
        <v>26812.498938053093</v>
      </c>
      <c r="O5" s="36">
        <f t="shared" ca="1" si="5"/>
        <v>2481.9266961651956</v>
      </c>
    </row>
    <row r="6" spans="1:15" x14ac:dyDescent="0.25">
      <c r="A6" s="35" t="s">
        <v>62</v>
      </c>
      <c r="B6" s="35">
        <v>2025</v>
      </c>
      <c r="C6" s="36">
        <f>'2025 Απρίλιος'!D7</f>
        <v>66557.7524778761</v>
      </c>
      <c r="D6" s="36">
        <f t="shared" si="4"/>
        <v>141822.43584070797</v>
      </c>
      <c r="E6" s="36">
        <f>'2025 Απρίλιος'!D44</f>
        <v>5695.58</v>
      </c>
      <c r="F6" s="36">
        <f>'2025 Απρίλιος'!D49</f>
        <v>1209.9000000000001</v>
      </c>
      <c r="G6" s="36">
        <f t="shared" si="0"/>
        <v>60862.172477876098</v>
      </c>
      <c r="H6" s="36">
        <f t="shared" si="1"/>
        <v>140612.53584070798</v>
      </c>
      <c r="I6" s="36">
        <f>'2025 Απρίλιος'!D47</f>
        <v>2675.96</v>
      </c>
      <c r="J6" s="36">
        <f>'2025 Απρίλιος'!F47</f>
        <v>28270.92</v>
      </c>
      <c r="K6" s="36">
        <f>'2025 Απρίλιος'!D117</f>
        <v>0</v>
      </c>
      <c r="L6" s="36">
        <f>'2025 Απρίλιος'!F117</f>
        <v>29446.39</v>
      </c>
      <c r="M6" s="36">
        <f t="shared" si="2"/>
        <v>8371.5400000000009</v>
      </c>
      <c r="N6" s="36">
        <f t="shared" si="3"/>
        <v>58186.212477876099</v>
      </c>
      <c r="O6" s="36">
        <f t="shared" ca="1" si="5"/>
        <v>60668.139174041295</v>
      </c>
    </row>
    <row r="7" spans="1:15" x14ac:dyDescent="0.25">
      <c r="A7" s="35" t="s">
        <v>63</v>
      </c>
      <c r="B7" s="35">
        <v>2025</v>
      </c>
      <c r="C7" s="36">
        <f>'2025 Μάιος'!D7</f>
        <v>74017.130000000019</v>
      </c>
      <c r="D7" s="36">
        <f t="shared" si="4"/>
        <v>215839.56584070798</v>
      </c>
      <c r="E7" s="36">
        <f>'2025 Μάιος'!D44</f>
        <v>3675.16</v>
      </c>
      <c r="F7" s="36">
        <f>'2025 Μάιος'!D49</f>
        <v>797.23</v>
      </c>
      <c r="G7" s="36">
        <f t="shared" si="0"/>
        <v>70341.970000000016</v>
      </c>
      <c r="H7" s="36">
        <f t="shared" si="1"/>
        <v>215042.33584070796</v>
      </c>
      <c r="I7" s="36">
        <f>'2025 Μάιος'!D47</f>
        <v>1632.17</v>
      </c>
      <c r="J7" s="36">
        <f>'2025 Μάιος'!F47</f>
        <v>40156.689999999995</v>
      </c>
      <c r="K7" s="36">
        <f>'2025 Μάιος'!D117</f>
        <v>0</v>
      </c>
      <c r="L7" s="36">
        <f>'2025 Μάιος'!F117</f>
        <v>39488.04</v>
      </c>
      <c r="M7" s="36">
        <f t="shared" si="2"/>
        <v>5307.33</v>
      </c>
      <c r="N7" s="36">
        <f t="shared" si="3"/>
        <v>68709.800000000017</v>
      </c>
      <c r="O7" s="36">
        <f t="shared" ca="1" si="5"/>
        <v>129377.93917404131</v>
      </c>
    </row>
    <row r="8" spans="1:15" x14ac:dyDescent="0.25">
      <c r="A8" s="35" t="s">
        <v>64</v>
      </c>
      <c r="B8" s="35">
        <v>2025</v>
      </c>
      <c r="C8" s="36">
        <f>'2025 Ιούνιος'!D7</f>
        <v>0</v>
      </c>
      <c r="D8" s="36">
        <f t="shared" si="4"/>
        <v>215839.56584070798</v>
      </c>
      <c r="E8" s="36">
        <f>'2025 Ιούνιος'!D44</f>
        <v>0</v>
      </c>
      <c r="F8" s="36">
        <f>'2025 Ιούνιος'!D49</f>
        <v>0</v>
      </c>
      <c r="G8" s="36">
        <f t="shared" si="0"/>
        <v>0</v>
      </c>
      <c r="H8" s="36">
        <f t="shared" si="1"/>
        <v>215839.56584070798</v>
      </c>
      <c r="I8" s="36">
        <f>'2025 Ιούνιος'!D47</f>
        <v>0</v>
      </c>
      <c r="J8" s="36">
        <f>'2025 Ιούνιος'!F47</f>
        <v>46297.34</v>
      </c>
      <c r="K8" s="36">
        <f>'2025 Ιούνιος'!D117</f>
        <v>0</v>
      </c>
      <c r="L8" s="36">
        <f>'2025 Ιούνιος'!F117</f>
        <v>47345.49</v>
      </c>
      <c r="M8" s="36">
        <f t="shared" si="2"/>
        <v>0</v>
      </c>
      <c r="N8" s="36">
        <f t="shared" si="3"/>
        <v>0</v>
      </c>
      <c r="O8" s="36">
        <f t="shared" ca="1" si="5"/>
        <v>129377.93917404131</v>
      </c>
    </row>
    <row r="9" spans="1:15" x14ac:dyDescent="0.25">
      <c r="A9" s="35" t="s">
        <v>65</v>
      </c>
      <c r="B9" s="35">
        <v>2025</v>
      </c>
      <c r="C9" s="36">
        <f>'2025 Ιούλιος'!D7</f>
        <v>0</v>
      </c>
      <c r="D9" s="36">
        <f t="shared" si="4"/>
        <v>215839.56584070798</v>
      </c>
      <c r="E9" s="36">
        <f>'2025 Ιούλιος'!D44</f>
        <v>0</v>
      </c>
      <c r="F9" s="36">
        <f>'2025 Ιούλιος'!D49</f>
        <v>0</v>
      </c>
      <c r="G9" s="36">
        <f t="shared" si="0"/>
        <v>0</v>
      </c>
      <c r="H9" s="36">
        <f t="shared" si="1"/>
        <v>215839.56584070798</v>
      </c>
      <c r="I9" s="36">
        <f>'2025 Ιούλιος'!D47</f>
        <v>0</v>
      </c>
      <c r="J9" s="36">
        <f>'2025 Ιούλιος'!F47</f>
        <v>46297.34</v>
      </c>
      <c r="K9" s="36">
        <f>'2025 Ιούλιος'!D117</f>
        <v>0</v>
      </c>
      <c r="L9" s="36">
        <f>'2025 Ιούλιος'!F117</f>
        <v>48123.159999999996</v>
      </c>
      <c r="M9" s="36">
        <f t="shared" si="2"/>
        <v>0</v>
      </c>
      <c r="N9" s="36">
        <f t="shared" si="3"/>
        <v>0</v>
      </c>
      <c r="O9" s="36">
        <f t="shared" ca="1" si="5"/>
        <v>129377.93917404131</v>
      </c>
    </row>
    <row r="10" spans="1:15" x14ac:dyDescent="0.25">
      <c r="A10" s="35" t="s">
        <v>66</v>
      </c>
      <c r="B10" s="35">
        <v>2025</v>
      </c>
      <c r="C10" s="36">
        <f>'2025 Aύγουστος'!D7</f>
        <v>0</v>
      </c>
      <c r="D10" s="36">
        <f t="shared" si="4"/>
        <v>215839.56584070798</v>
      </c>
      <c r="E10" s="36">
        <f>'2025 Aύγουστος'!D44</f>
        <v>0</v>
      </c>
      <c r="F10" s="36">
        <f>'2025 Aύγουστος'!D49</f>
        <v>0</v>
      </c>
      <c r="G10" s="36">
        <f t="shared" si="0"/>
        <v>0</v>
      </c>
      <c r="H10" s="36">
        <f t="shared" si="1"/>
        <v>215839.56584070798</v>
      </c>
      <c r="I10" s="36">
        <f>'2025 Aύγουστος'!D47</f>
        <v>0</v>
      </c>
      <c r="J10" s="36" t="e">
        <f>'2025 Aύγουστος'!F47</f>
        <v>#REF!</v>
      </c>
      <c r="K10" s="36">
        <f>'2025 Aύγουστος'!D117</f>
        <v>0</v>
      </c>
      <c r="L10" s="36">
        <f>'2025 Aύγουστος'!F117</f>
        <v>48900.83</v>
      </c>
      <c r="M10" s="36">
        <f t="shared" si="2"/>
        <v>0</v>
      </c>
      <c r="N10" s="36">
        <f t="shared" si="3"/>
        <v>0</v>
      </c>
      <c r="O10" s="36">
        <f t="shared" ca="1" si="5"/>
        <v>129377.93917404131</v>
      </c>
    </row>
    <row r="11" spans="1:15" x14ac:dyDescent="0.25">
      <c r="A11" s="35" t="s">
        <v>67</v>
      </c>
      <c r="B11" s="35">
        <v>2025</v>
      </c>
      <c r="C11" s="36">
        <f>'2025 Σεπτέμβριος'!D7</f>
        <v>0</v>
      </c>
      <c r="D11" s="36">
        <f t="shared" si="4"/>
        <v>215839.56584070798</v>
      </c>
      <c r="E11" s="36">
        <f>'2025 Σεπτέμβριος'!D44</f>
        <v>0</v>
      </c>
      <c r="F11" s="36">
        <f>'2025 Σεπτέμβριος'!D49</f>
        <v>0</v>
      </c>
      <c r="G11" s="36">
        <f t="shared" si="0"/>
        <v>0</v>
      </c>
      <c r="H11" s="36">
        <f t="shared" si="1"/>
        <v>215839.56584070798</v>
      </c>
      <c r="I11" s="36">
        <f>'2025 Σεπτέμβριος'!D47</f>
        <v>0</v>
      </c>
      <c r="J11" s="36" t="e">
        <f>'2025 Σεπτέμβριος'!F47</f>
        <v>#REF!</v>
      </c>
      <c r="K11" s="36">
        <f>'2025 Σεπτέμβριος'!D117</f>
        <v>0</v>
      </c>
      <c r="L11" s="36" t="e">
        <f>'2025 Σεπτέμβριος'!F117</f>
        <v>#REF!</v>
      </c>
      <c r="M11" s="36">
        <f t="shared" si="2"/>
        <v>0</v>
      </c>
      <c r="N11" s="36">
        <f t="shared" si="3"/>
        <v>0</v>
      </c>
      <c r="O11" s="36">
        <f t="shared" ca="1" si="5"/>
        <v>129377.93917404131</v>
      </c>
    </row>
    <row r="12" spans="1:15" x14ac:dyDescent="0.25">
      <c r="A12" s="35" t="s">
        <v>68</v>
      </c>
      <c r="B12" s="35">
        <v>2025</v>
      </c>
      <c r="C12" s="36">
        <f>'2025 Οκτώβριος'!D7</f>
        <v>0</v>
      </c>
      <c r="D12" s="36">
        <f t="shared" si="4"/>
        <v>215839.56584070798</v>
      </c>
      <c r="E12" s="36">
        <f>'2025 Οκτώβριος'!D44</f>
        <v>0</v>
      </c>
      <c r="F12" s="36">
        <f>'2025 Οκτώβριος'!D49</f>
        <v>0</v>
      </c>
      <c r="G12" s="36">
        <f t="shared" si="0"/>
        <v>0</v>
      </c>
      <c r="H12" s="36">
        <f t="shared" si="1"/>
        <v>215839.56584070798</v>
      </c>
      <c r="I12" s="36">
        <f>'2025 Οκτώβριος'!D47</f>
        <v>0</v>
      </c>
      <c r="J12" s="36" t="e">
        <f>'2025 Οκτώβριος'!F47</f>
        <v>#REF!</v>
      </c>
      <c r="K12" s="36">
        <f>'2025 Οκτώβριος'!D117</f>
        <v>0</v>
      </c>
      <c r="L12" s="36" t="e">
        <f>'2025 Οκτώβριος'!F117</f>
        <v>#REF!</v>
      </c>
      <c r="M12" s="36">
        <f t="shared" si="2"/>
        <v>0</v>
      </c>
      <c r="N12" s="36">
        <f t="shared" si="3"/>
        <v>0</v>
      </c>
      <c r="O12" s="36">
        <f t="shared" ca="1" si="5"/>
        <v>129377.93917404131</v>
      </c>
    </row>
    <row r="13" spans="1:15" x14ac:dyDescent="0.25">
      <c r="A13" s="35" t="s">
        <v>69</v>
      </c>
      <c r="B13" s="35">
        <v>2025</v>
      </c>
      <c r="C13" s="36">
        <f>'2025 Νοέμβριος'!D7</f>
        <v>0</v>
      </c>
      <c r="D13" s="36">
        <f t="shared" si="4"/>
        <v>215839.56584070798</v>
      </c>
      <c r="E13" s="36">
        <f>'2025 Νοέμβριος'!D44</f>
        <v>0</v>
      </c>
      <c r="F13" s="36">
        <f>'2025 Νοέμβριος'!D49</f>
        <v>0</v>
      </c>
      <c r="G13" s="36">
        <f t="shared" si="0"/>
        <v>0</v>
      </c>
      <c r="H13" s="36">
        <f t="shared" si="1"/>
        <v>215839.56584070798</v>
      </c>
      <c r="I13" s="36">
        <f>'2025 Νοέμβριος'!D47</f>
        <v>0</v>
      </c>
      <c r="J13" s="36">
        <f>'2025 Νοέμβριος'!F47</f>
        <v>46297.34</v>
      </c>
      <c r="K13" s="36">
        <f>'2025 Νοέμβριος'!D117</f>
        <v>0</v>
      </c>
      <c r="L13" s="36">
        <f>'2025 Νοέμβριος'!F117</f>
        <v>51233.840000000004</v>
      </c>
      <c r="M13" s="36">
        <f t="shared" si="2"/>
        <v>0</v>
      </c>
      <c r="N13" s="36">
        <f t="shared" si="3"/>
        <v>0</v>
      </c>
      <c r="O13" s="36">
        <f t="shared" ca="1" si="5"/>
        <v>129377.93917404131</v>
      </c>
    </row>
    <row r="14" spans="1:15" x14ac:dyDescent="0.25">
      <c r="A14" s="35" t="s">
        <v>70</v>
      </c>
      <c r="B14" s="35">
        <v>2025</v>
      </c>
      <c r="C14" s="36">
        <f>'2025 Δεκέμβριος'!D7</f>
        <v>0</v>
      </c>
      <c r="D14" s="36">
        <f t="shared" si="4"/>
        <v>215839.56584070798</v>
      </c>
      <c r="E14" s="36">
        <f>'2025 Δεκέμβριος'!D44</f>
        <v>0</v>
      </c>
      <c r="F14" s="36">
        <f>'2025 Δεκέμβριος'!D49</f>
        <v>0</v>
      </c>
      <c r="G14" s="36">
        <f t="shared" si="0"/>
        <v>0</v>
      </c>
      <c r="H14" s="36">
        <f t="shared" si="1"/>
        <v>215839.56584070798</v>
      </c>
      <c r="I14" s="36">
        <f>'2025 Δεκέμβριος'!D47</f>
        <v>0</v>
      </c>
      <c r="J14" s="36">
        <f>'2025 Δεκέμβριος'!F47</f>
        <v>46297.34</v>
      </c>
      <c r="K14" s="36">
        <f>'2025 Δεκέμβριος'!D117</f>
        <v>0</v>
      </c>
      <c r="L14" s="36">
        <f>'2025 Δεκέμβριος'!F117</f>
        <v>52011.51</v>
      </c>
      <c r="M14" s="36">
        <f t="shared" si="2"/>
        <v>0</v>
      </c>
      <c r="N14" s="36">
        <f t="shared" si="3"/>
        <v>0</v>
      </c>
      <c r="O14" s="36">
        <f t="shared" ca="1" si="5"/>
        <v>129377.93917404131</v>
      </c>
    </row>
    <row r="15" spans="1:15" x14ac:dyDescent="0.25">
      <c r="A15" s="35" t="s">
        <v>71</v>
      </c>
      <c r="B15" s="35"/>
      <c r="C15" s="36">
        <f t="shared" ref="C15:O15" si="6">SUM(C3:C14)</f>
        <v>215839.56584070798</v>
      </c>
      <c r="D15" s="36">
        <f>'2025 Δεκέμβριος'!F7</f>
        <v>215839.56584070798</v>
      </c>
      <c r="E15" s="36">
        <f>SUM(E3:E14)</f>
        <v>65488.956666666665</v>
      </c>
      <c r="F15" s="36">
        <f>'2025 Δεκέμβριος'!D49</f>
        <v>0</v>
      </c>
      <c r="G15" s="36">
        <f>SUM(G3:G14)</f>
        <v>150350.60917404131</v>
      </c>
      <c r="H15" s="36">
        <f>D15-F15</f>
        <v>215839.56584070798</v>
      </c>
      <c r="I15" s="36">
        <f ca="1">SUM(I3:I14)</f>
        <v>17413.47</v>
      </c>
      <c r="J15" s="36">
        <f>'2025 Δεκέμβριος'!F47</f>
        <v>46297.34</v>
      </c>
      <c r="K15" s="36">
        <f t="shared" si="6"/>
        <v>7568.28</v>
      </c>
      <c r="L15" s="36">
        <f>'2025 Δεκέμβριος'!F117</f>
        <v>52011.51</v>
      </c>
      <c r="M15" s="36">
        <f t="shared" ca="1" si="6"/>
        <v>86461.626666666663</v>
      </c>
      <c r="N15" s="36">
        <f t="shared" ca="1" si="6"/>
        <v>129377.93917404131</v>
      </c>
      <c r="O15" s="36">
        <f t="shared" ca="1" si="6"/>
        <v>1030822.5203539823</v>
      </c>
    </row>
    <row r="16" spans="1:15" x14ac:dyDescent="0.25">
      <c r="A16" t="s">
        <v>72</v>
      </c>
      <c r="C16" s="37"/>
      <c r="D16" s="37">
        <f>D14-D15</f>
        <v>0</v>
      </c>
      <c r="E16" s="37"/>
      <c r="F16" s="37">
        <f>F14-F15</f>
        <v>0</v>
      </c>
      <c r="G16" s="37" t="e">
        <f>'2025 Δεκέμβριος'!F80-G15</f>
        <v>#VALUE!</v>
      </c>
      <c r="H16" s="37">
        <f>D16-F16</f>
        <v>0</v>
      </c>
      <c r="I16" s="37">
        <f ca="1">'2025 Δεκέμβριος'!F84-I15</f>
        <v>75181.209999999977</v>
      </c>
      <c r="J16" s="37">
        <f>J14-J15</f>
        <v>0</v>
      </c>
      <c r="K16" s="37">
        <f>'2025 Δεκέμβριος'!F107-K15</f>
        <v>-7568.28</v>
      </c>
      <c r="L16" s="37">
        <f>L14-L15</f>
        <v>0</v>
      </c>
      <c r="M16" s="37"/>
      <c r="N16" s="37"/>
      <c r="O16" s="37"/>
    </row>
    <row r="18" spans="1:17" ht="18" x14ac:dyDescent="0.25">
      <c r="A18" s="34" t="s">
        <v>44</v>
      </c>
      <c r="B18" s="34" t="s">
        <v>73</v>
      </c>
      <c r="C18" s="34" t="s">
        <v>74</v>
      </c>
      <c r="D18" s="34" t="s">
        <v>75</v>
      </c>
      <c r="E18" s="34" t="s">
        <v>76</v>
      </c>
      <c r="F18" s="34" t="s">
        <v>77</v>
      </c>
      <c r="G18" s="34" t="s">
        <v>78</v>
      </c>
      <c r="H18" s="34" t="s">
        <v>79</v>
      </c>
      <c r="I18" s="34" t="s">
        <v>80</v>
      </c>
      <c r="J18" s="34" t="s">
        <v>81</v>
      </c>
      <c r="K18" s="34" t="s">
        <v>82</v>
      </c>
      <c r="L18" s="34" t="s">
        <v>83</v>
      </c>
      <c r="M18" s="34" t="s">
        <v>56</v>
      </c>
      <c r="N18" s="34" t="s">
        <v>84</v>
      </c>
      <c r="O18" s="34" t="s">
        <v>85</v>
      </c>
    </row>
    <row r="19" spans="1:17" x14ac:dyDescent="0.25">
      <c r="A19" s="35" t="s">
        <v>59</v>
      </c>
      <c r="B19" s="35">
        <v>2024</v>
      </c>
      <c r="C19" s="36">
        <f>'2025 Ιανουάριος'!L7</f>
        <v>17258.986283185841</v>
      </c>
      <c r="D19" s="36">
        <f>C19</f>
        <v>17258.986283185841</v>
      </c>
      <c r="E19" s="36">
        <f>'2025 Ιανουάριος'!L43</f>
        <v>39502.679999999993</v>
      </c>
      <c r="F19" s="36">
        <f>'2025 Ιανουάριος'!N46</f>
        <v>2700.28</v>
      </c>
      <c r="G19" s="36">
        <f t="shared" ref="G19:G29" si="7">C19-E19</f>
        <v>-22243.693716814152</v>
      </c>
      <c r="H19" s="36">
        <f t="shared" ref="H19:H29" si="8">D19-F19</f>
        <v>14558.70628318584</v>
      </c>
      <c r="I19" s="36">
        <f ca="1">'2025 Ιανουάριος'!L84</f>
        <v>4416.7800000000007</v>
      </c>
      <c r="J19" s="36">
        <f ca="1">'2025 Ιανουάριος'!N84</f>
        <v>4416.7800000000007</v>
      </c>
      <c r="K19" s="36">
        <f>'2025 Ιανουάριος'!L116</f>
        <v>12633.890000000001</v>
      </c>
      <c r="L19" s="36">
        <f>'2025 Ιανουάριος'!N116</f>
        <v>12633.890000000001</v>
      </c>
      <c r="M19" s="36">
        <f t="shared" ref="M19:M30" ca="1" si="9">K19+I19+E19</f>
        <v>54902.95</v>
      </c>
      <c r="N19" s="36">
        <f t="shared" ref="N19:N30" ca="1" si="10">C19-E19-I19-K19</f>
        <v>-37643.963716814156</v>
      </c>
      <c r="O19" s="36">
        <f ca="1">N19</f>
        <v>-37643.963716814156</v>
      </c>
    </row>
    <row r="20" spans="1:17" x14ac:dyDescent="0.25">
      <c r="A20" s="35" t="s">
        <v>60</v>
      </c>
      <c r="B20" s="35">
        <v>2024</v>
      </c>
      <c r="C20" s="36">
        <f>'2025 Φεβρουάριος'!L7</f>
        <v>17070.640707964558</v>
      </c>
      <c r="D20" s="36">
        <f t="shared" ref="D20:D23" si="11">D19+C20</f>
        <v>34329.626991150399</v>
      </c>
      <c r="E20" s="36">
        <f>'2025 Φεβρουάριος'!L44</f>
        <v>2874.37</v>
      </c>
      <c r="F20" s="36">
        <f>'2025 Φεβρουάριος'!N49</f>
        <v>3399.17</v>
      </c>
      <c r="G20" s="36">
        <f t="shared" si="7"/>
        <v>14196.270707964559</v>
      </c>
      <c r="H20" s="36">
        <f t="shared" si="8"/>
        <v>30930.4569911504</v>
      </c>
      <c r="I20" s="36">
        <f>'2025 Φεβρουάριος'!L47</f>
        <v>1349.58</v>
      </c>
      <c r="J20" s="36">
        <f>'2025 Φεβρουάριος'!N47</f>
        <v>5766.3600000000006</v>
      </c>
      <c r="K20" s="36">
        <f>'2025 Φεβρουάριος'!L117</f>
        <v>1042.0999999999999</v>
      </c>
      <c r="L20" s="36">
        <f>'2025 Φεβρουάριος'!N117</f>
        <v>13675.990000000002</v>
      </c>
      <c r="M20" s="36">
        <f t="shared" si="9"/>
        <v>5266.0499999999993</v>
      </c>
      <c r="N20" s="36">
        <f t="shared" si="10"/>
        <v>11804.590707964559</v>
      </c>
      <c r="O20" s="36">
        <f t="shared" ref="O20:O23" ca="1" si="12">O19+N20</f>
        <v>-25839.373008849598</v>
      </c>
    </row>
    <row r="21" spans="1:17" x14ac:dyDescent="0.25">
      <c r="A21" s="35" t="s">
        <v>61</v>
      </c>
      <c r="B21" s="35">
        <v>2024</v>
      </c>
      <c r="C21" s="36">
        <f>'2025 Μάρτιος'!L7</f>
        <v>30179.528053097343</v>
      </c>
      <c r="D21" s="36">
        <f t="shared" si="11"/>
        <v>64509.155044247746</v>
      </c>
      <c r="E21" s="36">
        <f>'2025 Μάρτιος'!L44</f>
        <v>3424.67</v>
      </c>
      <c r="F21" s="36">
        <f>'2025 Μάρτιος'!N49</f>
        <v>6169.01</v>
      </c>
      <c r="G21" s="36">
        <f t="shared" si="7"/>
        <v>26754.858053097341</v>
      </c>
      <c r="H21" s="36">
        <f t="shared" si="8"/>
        <v>58340.145044247743</v>
      </c>
      <c r="I21" s="36">
        <f>'2025 Μάρτιος'!L47</f>
        <v>2190.1999999999998</v>
      </c>
      <c r="J21" s="36">
        <f>'2025 Μάρτιος'!N47</f>
        <v>11294.349999999999</v>
      </c>
      <c r="K21" s="36">
        <f>'2025 Μάρτιος'!L117</f>
        <v>1934.32</v>
      </c>
      <c r="L21" s="36">
        <f>'2025 Μάρτιος'!N117</f>
        <v>20951.560000000001</v>
      </c>
      <c r="M21" s="36">
        <f t="shared" si="9"/>
        <v>7549.19</v>
      </c>
      <c r="N21" s="36">
        <f t="shared" si="10"/>
        <v>22630.338053097341</v>
      </c>
      <c r="O21" s="36">
        <f t="shared" ca="1" si="12"/>
        <v>-3209.0349557522568</v>
      </c>
    </row>
    <row r="22" spans="1:17" x14ac:dyDescent="0.25">
      <c r="A22" s="35" t="s">
        <v>62</v>
      </c>
      <c r="B22" s="35">
        <v>2024</v>
      </c>
      <c r="C22" s="36">
        <f>'2025 Απρίλιος'!L7</f>
        <v>66796.407964601778</v>
      </c>
      <c r="D22" s="36">
        <f t="shared" si="11"/>
        <v>131305.56300884951</v>
      </c>
      <c r="E22" s="36">
        <f>'2025 Απρίλιος'!L44</f>
        <v>5421.86</v>
      </c>
      <c r="F22" s="36">
        <f>'2025 Απρίλιος'!N49</f>
        <v>9493.14</v>
      </c>
      <c r="G22" s="36">
        <f t="shared" si="7"/>
        <v>61374.547964601777</v>
      </c>
      <c r="H22" s="36">
        <f t="shared" si="8"/>
        <v>121812.42300884951</v>
      </c>
      <c r="I22" s="36">
        <f>'2025 Απρίλιος'!L47</f>
        <v>2234.79</v>
      </c>
      <c r="J22" s="36">
        <f>'2025 Απρίλιος'!N47</f>
        <v>16768.190000000002</v>
      </c>
      <c r="K22" s="36">
        <f>'2025 Απρίλιος'!L117</f>
        <v>1313.16</v>
      </c>
      <c r="L22" s="36">
        <f>'2025 Απρίλιος'!N117</f>
        <v>29952.219999999998</v>
      </c>
      <c r="M22" s="36">
        <f t="shared" si="9"/>
        <v>8969.81</v>
      </c>
      <c r="N22" s="36">
        <f t="shared" si="10"/>
        <v>57826.597964601773</v>
      </c>
      <c r="O22" s="36">
        <f t="shared" ca="1" si="12"/>
        <v>54617.563008849516</v>
      </c>
    </row>
    <row r="23" spans="1:17" x14ac:dyDescent="0.25">
      <c r="A23" s="35" t="s">
        <v>63</v>
      </c>
      <c r="B23" s="35">
        <v>2024</v>
      </c>
      <c r="C23" s="36">
        <f>'2025 Μάιος'!L7</f>
        <v>72395.445044247826</v>
      </c>
      <c r="D23" s="36">
        <f t="shared" si="11"/>
        <v>203701.00805309735</v>
      </c>
      <c r="E23" s="36">
        <f>'2025 Μάιος'!L44</f>
        <v>5098.67</v>
      </c>
      <c r="F23" s="36">
        <f>'2025 Μάιος'!N49</f>
        <v>13086.71</v>
      </c>
      <c r="G23" s="36">
        <f t="shared" si="7"/>
        <v>67296.775044247828</v>
      </c>
      <c r="H23" s="36">
        <f t="shared" si="8"/>
        <v>190614.29805309736</v>
      </c>
      <c r="I23" s="36">
        <f>'2025 Μάιος'!L47</f>
        <v>1573.33</v>
      </c>
      <c r="J23" s="36">
        <f>'2025 Μάιος'!N47</f>
        <v>25195.020000000004</v>
      </c>
      <c r="K23" s="36">
        <f>'2025 Μάιος'!L117</f>
        <v>1079</v>
      </c>
      <c r="L23" s="36">
        <f>'2025 Μάιος'!N117</f>
        <v>37208.740000000005</v>
      </c>
      <c r="M23" s="36">
        <f t="shared" si="9"/>
        <v>7751</v>
      </c>
      <c r="N23" s="36">
        <f t="shared" si="10"/>
        <v>64644.445044247826</v>
      </c>
      <c r="O23" s="36">
        <f t="shared" ca="1" si="12"/>
        <v>119262.00805309735</v>
      </c>
    </row>
    <row r="24" spans="1:17" x14ac:dyDescent="0.25">
      <c r="A24" s="35" t="s">
        <v>64</v>
      </c>
      <c r="B24" s="35">
        <v>2024</v>
      </c>
      <c r="C24" s="36">
        <f>'2025 Ιούνιος'!L7</f>
        <v>85729.999999999985</v>
      </c>
      <c r="D24" s="36">
        <f>D23+C24</f>
        <v>289431.00805309735</v>
      </c>
      <c r="E24" s="36">
        <f>'2025 Ιούνιος'!L44</f>
        <v>4919.01</v>
      </c>
      <c r="F24" s="36">
        <f>'2025 Ιούνιος'!N49</f>
        <v>15856.71</v>
      </c>
      <c r="G24" s="36">
        <f t="shared" ref="G24:H26" si="13">C24-E24</f>
        <v>80810.989999999991</v>
      </c>
      <c r="H24" s="36">
        <f t="shared" si="13"/>
        <v>273574.29805309733</v>
      </c>
      <c r="I24" s="36">
        <f>'2025 Ιούνιος'!L47</f>
        <v>1603.98</v>
      </c>
      <c r="J24" s="36">
        <f>'2025 Ιούνιος'!N47</f>
        <v>32826.51</v>
      </c>
      <c r="K24" s="36">
        <f>'2025 Ιούνιος'!L117</f>
        <v>1007.3</v>
      </c>
      <c r="L24" s="36">
        <f>'2025 Ιούνιος'!N117</f>
        <v>44446.69</v>
      </c>
      <c r="M24" s="36">
        <f>K24+I24+E24</f>
        <v>7530.29</v>
      </c>
      <c r="N24" s="36">
        <f>C24-E24-I24-K24</f>
        <v>78199.709999999992</v>
      </c>
      <c r="O24" s="36">
        <f ca="1">O23+N24</f>
        <v>197461.71805309734</v>
      </c>
      <c r="P24" s="37">
        <f>F24-N24</f>
        <v>-62342.999999999993</v>
      </c>
      <c r="Q24">
        <f>F24/J24</f>
        <v>0.48304586750160156</v>
      </c>
    </row>
    <row r="25" spans="1:17" x14ac:dyDescent="0.25">
      <c r="A25" s="35" t="s">
        <v>65</v>
      </c>
      <c r="B25" s="35">
        <v>2024</v>
      </c>
      <c r="C25" s="36">
        <f>'2025 Ιούλιος'!L7</f>
        <v>81501.429999999993</v>
      </c>
      <c r="D25" s="36">
        <f>D24+C25</f>
        <v>370932.43805309734</v>
      </c>
      <c r="E25" s="36">
        <f>'2025 Ιούλιος'!L44</f>
        <v>4563.4500000000007</v>
      </c>
      <c r="F25" s="36">
        <f>'2025 Ιούλιος'!N49</f>
        <v>18398.259999999998</v>
      </c>
      <c r="G25" s="36">
        <f t="shared" si="13"/>
        <v>76937.98</v>
      </c>
      <c r="H25" s="36">
        <f t="shared" si="13"/>
        <v>352534.17805309733</v>
      </c>
      <c r="I25" s="36">
        <f>'2025 Ιούλιος'!L47</f>
        <v>1527.26</v>
      </c>
      <c r="J25" s="36">
        <f>'2025 Ιούλιος'!N47</f>
        <v>39672.69000000001</v>
      </c>
      <c r="K25" s="36">
        <f>'2025 Ιούλιος'!L117</f>
        <v>1079</v>
      </c>
      <c r="L25" s="36">
        <f>'2025 Ιούλιος'!N117</f>
        <v>50480.37000000001</v>
      </c>
      <c r="M25" s="36">
        <f>K25+I25+E25</f>
        <v>7169.7100000000009</v>
      </c>
      <c r="N25" s="36">
        <f>C25-E25-I25-K25</f>
        <v>74331.72</v>
      </c>
      <c r="O25" s="36">
        <f ca="1">O24+N25</f>
        <v>271793.43805309734</v>
      </c>
    </row>
    <row r="26" spans="1:17" x14ac:dyDescent="0.25">
      <c r="A26" s="35" t="s">
        <v>66</v>
      </c>
      <c r="B26" s="35">
        <v>2024</v>
      </c>
      <c r="C26" s="36">
        <f>'2025 Aύγουστος'!L7</f>
        <v>70656.83</v>
      </c>
      <c r="D26" s="36">
        <f>D25+C26</f>
        <v>441589.26805309736</v>
      </c>
      <c r="E26" s="36">
        <f>'2025 Aύγουστος'!L44</f>
        <v>5871.9100000000008</v>
      </c>
      <c r="F26" s="36">
        <f>'2025 Aύγουστος'!N49</f>
        <v>22685.059999999998</v>
      </c>
      <c r="G26" s="36">
        <f t="shared" si="13"/>
        <v>64784.92</v>
      </c>
      <c r="H26" s="36">
        <f t="shared" si="13"/>
        <v>418904.20805309736</v>
      </c>
      <c r="I26" s="36">
        <f>'2025 Aύγουστος'!L47</f>
        <v>2460.9699999999998</v>
      </c>
      <c r="J26" s="36">
        <f>'2025 Aύγουστος'!N47</f>
        <v>47382.540000000008</v>
      </c>
      <c r="K26" s="36">
        <f>'2025 Aύγουστος'!L117</f>
        <v>1618.5</v>
      </c>
      <c r="L26" s="36">
        <f>'2025 Aύγουστος'!N117</f>
        <v>58698.240000000013</v>
      </c>
      <c r="M26" s="36">
        <f>K26+I26+E26</f>
        <v>9951.380000000001</v>
      </c>
      <c r="N26" s="36">
        <f>C26-E26-I26-K26</f>
        <v>60705.45</v>
      </c>
      <c r="O26" s="36">
        <f ca="1">O25+N26</f>
        <v>332498.88805309735</v>
      </c>
    </row>
    <row r="27" spans="1:17" x14ac:dyDescent="0.25">
      <c r="A27" s="35" t="s">
        <v>67</v>
      </c>
      <c r="B27" s="35">
        <v>2024</v>
      </c>
      <c r="C27" s="36">
        <f>'2025 Σεπτέμβριος'!L7</f>
        <v>77156.716902654895</v>
      </c>
      <c r="D27" s="36" t="e">
        <f>#REF!+C27</f>
        <v>#REF!</v>
      </c>
      <c r="E27" s="36">
        <f>'2025 Οκτώβριος'!L44</f>
        <v>5747.8799999999992</v>
      </c>
      <c r="F27" s="36" t="e">
        <f>'2025 Οκτώβριος'!N49</f>
        <v>#REF!</v>
      </c>
      <c r="G27" s="36">
        <f t="shared" si="7"/>
        <v>71408.83690265489</v>
      </c>
      <c r="H27" s="36" t="e">
        <f t="shared" si="8"/>
        <v>#REF!</v>
      </c>
      <c r="I27" s="36">
        <f>'2025 Οκτώβριος'!L47</f>
        <v>1739.82</v>
      </c>
      <c r="J27" s="36" t="e">
        <f>'2025 Οκτώβριος'!N47</f>
        <v>#REF!</v>
      </c>
      <c r="K27" s="36">
        <f>'2025 Οκτώβριος'!L117</f>
        <v>1079</v>
      </c>
      <c r="L27" s="36" t="e">
        <f>'2025 Οκτώβριος'!N117</f>
        <v>#REF!</v>
      </c>
      <c r="M27" s="36">
        <f t="shared" si="9"/>
        <v>8566.6999999999989</v>
      </c>
      <c r="N27" s="36">
        <f t="shared" si="10"/>
        <v>68590.016902654883</v>
      </c>
      <c r="O27" s="36" t="e">
        <f>#REF!+N27</f>
        <v>#REF!</v>
      </c>
    </row>
    <row r="28" spans="1:17" x14ac:dyDescent="0.25">
      <c r="A28" s="35" t="s">
        <v>68</v>
      </c>
      <c r="B28" s="35">
        <v>2024</v>
      </c>
      <c r="C28" s="36">
        <f>'2025 Οκτώβριος'!L7</f>
        <v>77095.599999999991</v>
      </c>
      <c r="D28" s="36" t="e">
        <f>D27+C28</f>
        <v>#REF!</v>
      </c>
      <c r="E28" s="36">
        <f>'2025 Νοέμβριος'!L44</f>
        <v>4216.6399999999994</v>
      </c>
      <c r="F28" s="36">
        <f>'2025 Νοέμβριος'!N49</f>
        <v>28390.959999999999</v>
      </c>
      <c r="G28" s="36">
        <f t="shared" si="7"/>
        <v>72878.959999999992</v>
      </c>
      <c r="H28" s="36" t="e">
        <f t="shared" si="8"/>
        <v>#REF!</v>
      </c>
      <c r="I28" s="36">
        <f>'2025 Νοέμβριος'!L47</f>
        <v>1590.96</v>
      </c>
      <c r="J28" s="36">
        <f>'2025 Νοέμβριος'!N47</f>
        <v>71738.759999999995</v>
      </c>
      <c r="K28" s="36">
        <f>'2025 Νοέμβριος'!L117</f>
        <v>1079</v>
      </c>
      <c r="L28" s="36">
        <f>'2025 Νοέμβριος'!N117</f>
        <v>84600.1</v>
      </c>
      <c r="M28" s="36">
        <f t="shared" si="9"/>
        <v>6886.5999999999995</v>
      </c>
      <c r="N28" s="36">
        <f t="shared" si="10"/>
        <v>70208.999999999985</v>
      </c>
      <c r="O28" s="36" t="e">
        <f>O27+N28</f>
        <v>#REF!</v>
      </c>
    </row>
    <row r="29" spans="1:17" x14ac:dyDescent="0.25">
      <c r="A29" s="35" t="s">
        <v>69</v>
      </c>
      <c r="B29" s="35">
        <v>2024</v>
      </c>
      <c r="C29" s="36">
        <f>'2025 Νοέμβριος'!L7</f>
        <v>27607.17</v>
      </c>
      <c r="D29" s="36" t="e">
        <f>D28+C29</f>
        <v>#REF!</v>
      </c>
      <c r="E29" s="36">
        <f>'2025 Δεκέμβριος'!L44</f>
        <v>6109.88</v>
      </c>
      <c r="F29" s="36">
        <f>'2025 Δεκέμβριος'!N49</f>
        <v>31108.589999999997</v>
      </c>
      <c r="G29" s="36">
        <f t="shared" si="7"/>
        <v>21497.289999999997</v>
      </c>
      <c r="H29" s="36" t="e">
        <f t="shared" si="8"/>
        <v>#REF!</v>
      </c>
      <c r="I29" s="36">
        <f>'2025 Δεκέμβριος'!L47</f>
        <v>3226.49</v>
      </c>
      <c r="J29" s="36">
        <f>'2025 Δεκέμβριος'!N47</f>
        <v>81068.210000000006</v>
      </c>
      <c r="K29" s="36">
        <f>'2025 Δεκέμβριος'!L117</f>
        <v>2202.9499999999998</v>
      </c>
      <c r="L29" s="36">
        <f>'2025 Δεκέμβριος'!N117</f>
        <v>97449.919999999984</v>
      </c>
      <c r="M29" s="36">
        <f t="shared" si="9"/>
        <v>11539.32</v>
      </c>
      <c r="N29" s="36">
        <f t="shared" si="10"/>
        <v>16067.849999999995</v>
      </c>
      <c r="O29" s="36" t="e">
        <f>O28+N29</f>
        <v>#REF!</v>
      </c>
    </row>
    <row r="30" spans="1:17" x14ac:dyDescent="0.25">
      <c r="A30" s="35" t="s">
        <v>70</v>
      </c>
      <c r="B30" s="35">
        <v>2024</v>
      </c>
      <c r="C30" s="36">
        <f>'2025 Δεκέμβριος'!L7</f>
        <v>100106.19</v>
      </c>
      <c r="D30" s="36" t="e">
        <f>D29+C30</f>
        <v>#REF!</v>
      </c>
      <c r="E30" s="36">
        <f>'2025 Δεκέμβριος'!L44</f>
        <v>6109.88</v>
      </c>
      <c r="F30" s="36">
        <f>'2025 Δεκέμβριος'!N49</f>
        <v>31108.589999999997</v>
      </c>
      <c r="G30" s="36">
        <f>C30-E30</f>
        <v>93996.31</v>
      </c>
      <c r="H30" s="36" t="e">
        <f>D30-F30</f>
        <v>#REF!</v>
      </c>
      <c r="I30" s="36">
        <f>'2025 Δεκέμβριος'!L47</f>
        <v>3226.49</v>
      </c>
      <c r="J30" s="36">
        <f>'2025 Δεκέμβριος'!N47</f>
        <v>81068.210000000006</v>
      </c>
      <c r="K30" s="36">
        <f>'2025 Δεκέμβριος'!L117</f>
        <v>2202.9499999999998</v>
      </c>
      <c r="L30" s="36">
        <f>'2025 Δεκέμβριος'!N117</f>
        <v>97449.919999999984</v>
      </c>
      <c r="M30" s="36">
        <f t="shared" si="9"/>
        <v>11539.32</v>
      </c>
      <c r="N30" s="36">
        <f t="shared" si="10"/>
        <v>88566.87</v>
      </c>
      <c r="O30" s="36" t="e">
        <f>O29+N30</f>
        <v>#REF!</v>
      </c>
    </row>
    <row r="31" spans="1:17" x14ac:dyDescent="0.25">
      <c r="A31" s="54" t="s">
        <v>71</v>
      </c>
      <c r="B31" s="54"/>
      <c r="C31" s="43">
        <f>SUM(C19:C30)</f>
        <v>723554.94495575223</v>
      </c>
      <c r="D31" s="43">
        <f>'2025 Δεκέμβριος'!N7</f>
        <v>723554.94495575246</v>
      </c>
      <c r="E31" s="43">
        <f>SUM(E19:E30)</f>
        <v>93860.900000000009</v>
      </c>
      <c r="F31" s="43">
        <f>'2025 Δεκέμβριος'!N49</f>
        <v>31108.589999999997</v>
      </c>
      <c r="G31" s="43">
        <f>SUM(G19:G30)</f>
        <v>629694.04495575232</v>
      </c>
      <c r="H31" s="43">
        <f>D31-F31</f>
        <v>692446.3549557525</v>
      </c>
      <c r="I31" s="43">
        <f ca="1">SUM(I19:I30)</f>
        <v>27140.649999999994</v>
      </c>
      <c r="J31" s="43">
        <f>'2025 Δεκέμβριος'!N47</f>
        <v>81068.210000000006</v>
      </c>
      <c r="K31" s="43">
        <f>SUM(K19:K30)</f>
        <v>28271.170000000002</v>
      </c>
      <c r="L31" s="43">
        <f>'2025 Δεκέμβριος'!N117</f>
        <v>97449.919999999984</v>
      </c>
      <c r="M31" s="43">
        <f ca="1">SUM(M19:M30)</f>
        <v>147622.32</v>
      </c>
      <c r="N31" s="43">
        <f ca="1">SUM(N19:N30)</f>
        <v>575932.62495575217</v>
      </c>
      <c r="O31" s="43"/>
    </row>
    <row r="32" spans="1:17" x14ac:dyDescent="0.25">
      <c r="A32" s="39" t="s">
        <v>72</v>
      </c>
      <c r="B32" s="39"/>
      <c r="C32" s="39"/>
      <c r="D32" s="38" t="e">
        <f>D31-D30</f>
        <v>#REF!</v>
      </c>
      <c r="E32" s="39"/>
      <c r="F32" s="38">
        <f>F31-F30</f>
        <v>0</v>
      </c>
      <c r="G32" s="39"/>
      <c r="H32" s="38" t="e">
        <f>H31-H30</f>
        <v>#REF!</v>
      </c>
      <c r="I32" s="39"/>
      <c r="J32" s="38">
        <f>J31-J30</f>
        <v>0</v>
      </c>
      <c r="K32" s="39"/>
      <c r="L32" s="38">
        <f>L31-L30</f>
        <v>0</v>
      </c>
      <c r="M32" s="39"/>
      <c r="N32" s="39"/>
      <c r="O32" s="38"/>
    </row>
    <row r="35" spans="1:30" x14ac:dyDescent="0.25">
      <c r="AD35" t="s">
        <v>158</v>
      </c>
    </row>
    <row r="39" spans="1:30" ht="26.25" x14ac:dyDescent="0.4">
      <c r="A39" s="171" t="s">
        <v>171</v>
      </c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70"/>
      <c r="Y39" s="170"/>
      <c r="Z39" s="170"/>
      <c r="AA39" s="170"/>
    </row>
    <row r="40" spans="1:30" x14ac:dyDescent="0.25">
      <c r="A40" s="35" t="s">
        <v>86</v>
      </c>
      <c r="B40" s="35" t="s">
        <v>87</v>
      </c>
      <c r="C40" s="172" t="s">
        <v>88</v>
      </c>
      <c r="D40" s="35" t="s">
        <v>89</v>
      </c>
      <c r="E40" s="172" t="s">
        <v>90</v>
      </c>
      <c r="F40" s="35" t="s">
        <v>91</v>
      </c>
      <c r="G40" s="172" t="s">
        <v>92</v>
      </c>
      <c r="H40" s="35" t="s">
        <v>93</v>
      </c>
      <c r="I40" s="172" t="s">
        <v>94</v>
      </c>
      <c r="J40" s="35" t="s">
        <v>95</v>
      </c>
      <c r="K40" s="172" t="s">
        <v>96</v>
      </c>
      <c r="L40" s="35" t="s">
        <v>144</v>
      </c>
      <c r="M40" s="172" t="s">
        <v>97</v>
      </c>
      <c r="N40" s="35" t="s">
        <v>98</v>
      </c>
      <c r="O40" s="172" t="s">
        <v>99</v>
      </c>
      <c r="P40" s="35" t="s">
        <v>100</v>
      </c>
      <c r="Q40" s="172" t="s">
        <v>101</v>
      </c>
      <c r="R40" s="35" t="s">
        <v>102</v>
      </c>
      <c r="S40" s="172" t="s">
        <v>103</v>
      </c>
      <c r="T40" s="35" t="s">
        <v>104</v>
      </c>
      <c r="U40" s="172" t="s">
        <v>105</v>
      </c>
      <c r="V40" s="35" t="s">
        <v>106</v>
      </c>
      <c r="W40" s="172" t="s">
        <v>107</v>
      </c>
      <c r="X40" s="35" t="s">
        <v>108</v>
      </c>
      <c r="Y40" s="172" t="s">
        <v>109</v>
      </c>
      <c r="Z40" s="35" t="s">
        <v>110</v>
      </c>
      <c r="AA40" s="35" t="s">
        <v>111</v>
      </c>
    </row>
    <row r="41" spans="1:30" x14ac:dyDescent="0.25">
      <c r="A41" s="35" t="str">
        <f>'2025 Ιανουάριος'!C8</f>
        <v>Εσοδα Φιλοξενείας-Διαμονής</v>
      </c>
      <c r="B41" s="35">
        <v>2025</v>
      </c>
      <c r="C41" s="173">
        <f>'2025 Ιανουάριος'!D8</f>
        <v>19279.13</v>
      </c>
      <c r="D41" s="36">
        <f t="shared" ref="D41:D70" si="14">C41</f>
        <v>19279.13</v>
      </c>
      <c r="E41" s="173">
        <f>'2025 Φεβρουάριος'!D8</f>
        <v>19216.580000000002</v>
      </c>
      <c r="F41" s="36">
        <f>'2025 Φεβρουάριος'!F8</f>
        <v>38495.710000000006</v>
      </c>
      <c r="G41" s="173">
        <f>'2025 Μάρτιος'!D8</f>
        <v>27450.501769911501</v>
      </c>
      <c r="H41" s="36">
        <f>'2025 Μάρτιος'!F8</f>
        <v>65946.211769911504</v>
      </c>
      <c r="I41" s="173">
        <f>'2025 Απρίλιος'!D8</f>
        <v>60725.5</v>
      </c>
      <c r="J41" s="36">
        <f>'2025 Απρίλιος'!F8</f>
        <v>126671.7117699115</v>
      </c>
      <c r="K41" s="173">
        <f>'2025 Μάιος'!D8</f>
        <v>64639.62</v>
      </c>
      <c r="L41" s="36">
        <f>'2025 Μάιος'!F8</f>
        <v>191311.33176991151</v>
      </c>
      <c r="M41" s="173">
        <f>'2025 Ιούνιος'!D8</f>
        <v>0</v>
      </c>
      <c r="N41" s="36">
        <f>'2025 Ιούνιος'!F8</f>
        <v>191311.33176991151</v>
      </c>
      <c r="O41" s="173">
        <f>'2025 Ιούλιος'!D8</f>
        <v>0</v>
      </c>
      <c r="P41" s="36">
        <f>'2025 Ιούλιος'!F8</f>
        <v>191311.33176991151</v>
      </c>
      <c r="Q41" s="173">
        <f>'2025 Aύγουστος'!D8</f>
        <v>0</v>
      </c>
      <c r="R41" s="36">
        <f>'2025 Aύγουστος'!F8</f>
        <v>191311.33176991151</v>
      </c>
      <c r="S41" s="173">
        <f>'2025 Σεπτέμβριος'!D8</f>
        <v>0</v>
      </c>
      <c r="T41" s="36" t="e">
        <f>'2025 Σεπτέμβριος'!F8</f>
        <v>#REF!</v>
      </c>
      <c r="U41" s="173">
        <f>'2025 Οκτώβριος'!D8</f>
        <v>0</v>
      </c>
      <c r="V41" s="36" t="e">
        <f>'2025 Οκτώβριος'!F8</f>
        <v>#REF!</v>
      </c>
      <c r="W41" s="173">
        <f>'2025 Νοέμβριος'!D8</f>
        <v>0</v>
      </c>
      <c r="X41" s="36">
        <f>'2025 Νοέμβριος'!F8</f>
        <v>191311.33176991151</v>
      </c>
      <c r="Y41" s="173">
        <f>'2025 Δεκέμβριος'!D8</f>
        <v>0</v>
      </c>
      <c r="Z41" s="36">
        <f>'2025 Δεκέμβριος'!F8</f>
        <v>191311.33176991151</v>
      </c>
      <c r="AA41" s="36">
        <f t="shared" ref="AA41:AA64" si="15">C41+E41+G41+I41+K41+M41+O41+Q41+S41+U41+W41+Y41</f>
        <v>191311.33176991151</v>
      </c>
    </row>
    <row r="42" spans="1:30" x14ac:dyDescent="0.25">
      <c r="A42" s="35" t="str">
        <f>'2025 Ιανουάριος'!C9</f>
        <v>Early Check in/Check Out</v>
      </c>
      <c r="B42" s="35">
        <v>2025</v>
      </c>
      <c r="C42" s="173">
        <f>'2025 Ιανουάριος'!D9</f>
        <v>0</v>
      </c>
      <c r="D42" s="36">
        <f t="shared" si="14"/>
        <v>0</v>
      </c>
      <c r="E42" s="173">
        <f>'2025 Φεβρουάριος'!D9</f>
        <v>0</v>
      </c>
      <c r="F42" s="36">
        <f>'2025 Φεβρουάριος'!F9</f>
        <v>0</v>
      </c>
      <c r="G42" s="173">
        <f>'2025 Μάρτιος'!D9</f>
        <v>0</v>
      </c>
      <c r="H42" s="36">
        <f>'2025 Μάρτιος'!F9</f>
        <v>0</v>
      </c>
      <c r="I42" s="173">
        <f>'2025 Απρίλιος'!D9</f>
        <v>0</v>
      </c>
      <c r="J42" s="36">
        <f>'2025 Απρίλιος'!F9</f>
        <v>0</v>
      </c>
      <c r="K42" s="173">
        <f>'2025 Μάιος'!D9</f>
        <v>44.25</v>
      </c>
      <c r="L42" s="36">
        <f>'2025 Μάιος'!F9</f>
        <v>44.25</v>
      </c>
      <c r="M42" s="173">
        <f>'2025 Ιούνιος'!D9</f>
        <v>0</v>
      </c>
      <c r="N42" s="36">
        <f>'2025 Ιούνιος'!F9</f>
        <v>44.25</v>
      </c>
      <c r="O42" s="173">
        <f>'2025 Ιούλιος'!D9</f>
        <v>0</v>
      </c>
      <c r="P42" s="36">
        <f>'2025 Ιούλιος'!F9</f>
        <v>44.25</v>
      </c>
      <c r="Q42" s="173">
        <f>'2025 Aύγουστος'!D9</f>
        <v>0</v>
      </c>
      <c r="R42" s="36">
        <f>'2025 Aύγουστος'!F9</f>
        <v>44.25</v>
      </c>
      <c r="S42" s="173">
        <f>'2025 Σεπτέμβριος'!D9</f>
        <v>0</v>
      </c>
      <c r="T42" s="36" t="e">
        <f>'2025 Σεπτέμβριος'!F9</f>
        <v>#REF!</v>
      </c>
      <c r="U42" s="173">
        <f>'2025 Οκτώβριος'!D9</f>
        <v>0</v>
      </c>
      <c r="V42" s="36" t="e">
        <f>'2025 Οκτώβριος'!F9</f>
        <v>#REF!</v>
      </c>
      <c r="W42" s="173">
        <f>'2025 Νοέμβριος'!D9</f>
        <v>0</v>
      </c>
      <c r="X42" s="36">
        <f>'2025 Νοέμβριος'!F9</f>
        <v>44.25</v>
      </c>
      <c r="Y42" s="173">
        <f>'2025 Δεκέμβριος'!D9</f>
        <v>0</v>
      </c>
      <c r="Z42" s="36">
        <f>'2025 Δεκέμβριος'!F9</f>
        <v>44.25</v>
      </c>
      <c r="AA42" s="36">
        <f t="shared" si="15"/>
        <v>44.25</v>
      </c>
    </row>
    <row r="43" spans="1:30" x14ac:dyDescent="0.25">
      <c r="A43" s="35" t="str">
        <f>'2025 Ιανουάριος'!C10</f>
        <v xml:space="preserve">Πρωινό ( Εξτρα ) </v>
      </c>
      <c r="B43" s="35">
        <v>2025</v>
      </c>
      <c r="C43" s="173">
        <f>'2025 Ιανουάριος'!D10</f>
        <v>0</v>
      </c>
      <c r="D43" s="36">
        <f t="shared" si="14"/>
        <v>0</v>
      </c>
      <c r="E43" s="173">
        <f>'2025 Φεβρουάριος'!D10</f>
        <v>0</v>
      </c>
      <c r="F43" s="36">
        <f>'2025 Φεβρουάριος'!F10</f>
        <v>0</v>
      </c>
      <c r="G43" s="173">
        <f>'2025 Μάρτιος'!D10</f>
        <v>0</v>
      </c>
      <c r="H43" s="36">
        <f>'2025 Μάρτιος'!F10</f>
        <v>0</v>
      </c>
      <c r="I43" s="173">
        <f>'2025 Απρίλιος'!D10</f>
        <v>0</v>
      </c>
      <c r="J43" s="36">
        <f>'2025 Απρίλιος'!F10</f>
        <v>0</v>
      </c>
      <c r="K43" s="173">
        <f>'2025 Μάιος'!D10</f>
        <v>0</v>
      </c>
      <c r="L43" s="36">
        <f>'2025 Μάιος'!F10</f>
        <v>0</v>
      </c>
      <c r="M43" s="173">
        <f>'2025 Ιούνιος'!D10</f>
        <v>0</v>
      </c>
      <c r="N43" s="36">
        <f>'2025 Ιούνιος'!F10</f>
        <v>0</v>
      </c>
      <c r="O43" s="173">
        <f>'2025 Ιούλιος'!D10</f>
        <v>0</v>
      </c>
      <c r="P43" s="36">
        <f>'2025 Ιούλιος'!F10</f>
        <v>0</v>
      </c>
      <c r="Q43" s="173">
        <f>'2025 Aύγουστος'!D10</f>
        <v>0</v>
      </c>
      <c r="R43" s="36">
        <f>'2025 Aύγουστος'!F10</f>
        <v>0</v>
      </c>
      <c r="S43" s="173">
        <f>'2025 Σεπτέμβριος'!D10</f>
        <v>0</v>
      </c>
      <c r="T43" s="36" t="e">
        <f>'2025 Σεπτέμβριος'!F10</f>
        <v>#REF!</v>
      </c>
      <c r="U43" s="173">
        <f>'2025 Οκτώβριος'!D10</f>
        <v>0</v>
      </c>
      <c r="V43" s="36" t="e">
        <f>'2025 Οκτώβριος'!F10</f>
        <v>#REF!</v>
      </c>
      <c r="W43" s="173">
        <f>'2025 Νοέμβριος'!D10</f>
        <v>0</v>
      </c>
      <c r="X43" s="36">
        <f>'2025 Νοέμβριος'!F10</f>
        <v>0</v>
      </c>
      <c r="Y43" s="173">
        <f>'2025 Δεκέμβριος'!D10</f>
        <v>0</v>
      </c>
      <c r="Z43" s="36">
        <f>'2025 Δεκέμβριος'!F10</f>
        <v>0</v>
      </c>
      <c r="AA43" s="36">
        <f t="shared" si="15"/>
        <v>0</v>
      </c>
    </row>
    <row r="44" spans="1:30" x14ac:dyDescent="0.25">
      <c r="A44" s="35" t="str">
        <f>'2025 Ιανουάριος'!C11</f>
        <v xml:space="preserve">Έσοδα Καθαριότητας </v>
      </c>
      <c r="B44" s="35">
        <v>2025</v>
      </c>
      <c r="C44" s="173">
        <f>'2025 Ιανουάριος'!D11</f>
        <v>1388.93</v>
      </c>
      <c r="D44" s="36">
        <f t="shared" si="14"/>
        <v>1388.93</v>
      </c>
      <c r="E44" s="173">
        <f>'2025 Φεβρουάριος'!D11</f>
        <v>1411.53442477876</v>
      </c>
      <c r="F44" s="36">
        <f>'2025 Φεβρουάριος'!F11</f>
        <v>2800.4644247787601</v>
      </c>
      <c r="G44" s="173">
        <f>'2025 Μάρτιος'!D11</f>
        <v>2656.6371681415922</v>
      </c>
      <c r="H44" s="36">
        <f>'2025 Μάρτιος'!F11</f>
        <v>5457.1015929203522</v>
      </c>
      <c r="I44" s="173">
        <f>'2025 Απρίλιος'!D11</f>
        <v>3250.4424778761049</v>
      </c>
      <c r="J44" s="36">
        <f>'2025 Απρίλιος'!F11</f>
        <v>8707.5440707964572</v>
      </c>
      <c r="K44" s="173">
        <f>'2025 Μάιος'!D11</f>
        <v>4452.21</v>
      </c>
      <c r="L44" s="36">
        <f>'2025 Μάιος'!F11</f>
        <v>13159.754070796458</v>
      </c>
      <c r="M44" s="173">
        <f>'2025 Ιούνιος'!D11</f>
        <v>0</v>
      </c>
      <c r="N44" s="36">
        <f>'2025 Ιούνιος'!F11</f>
        <v>13159.754070796458</v>
      </c>
      <c r="O44" s="173">
        <f>'2025 Ιούλιος'!D11</f>
        <v>0</v>
      </c>
      <c r="P44" s="36">
        <f>'2025 Ιούλιος'!F11</f>
        <v>13159.754070796458</v>
      </c>
      <c r="Q44" s="173">
        <f>'2025 Aύγουστος'!D11</f>
        <v>0</v>
      </c>
      <c r="R44" s="36">
        <f>'2025 Aύγουστος'!F11</f>
        <v>13159.754070796458</v>
      </c>
      <c r="S44" s="173">
        <f>'2025 Σεπτέμβριος'!D11</f>
        <v>0</v>
      </c>
      <c r="T44" s="36" t="e">
        <f>'2025 Σεπτέμβριος'!F11</f>
        <v>#REF!</v>
      </c>
      <c r="U44" s="173">
        <f>'2025 Οκτώβριος'!D11</f>
        <v>0</v>
      </c>
      <c r="V44" s="36" t="e">
        <f>'2025 Οκτώβριος'!F11</f>
        <v>#REF!</v>
      </c>
      <c r="W44" s="173">
        <f>'2025 Νοέμβριος'!D11</f>
        <v>0</v>
      </c>
      <c r="X44" s="36">
        <f>'2025 Νοέμβριος'!F11</f>
        <v>13159.754070796458</v>
      </c>
      <c r="Y44" s="173">
        <f>'2025 Δεκέμβριος'!D11</f>
        <v>0</v>
      </c>
      <c r="Z44" s="36">
        <f>'2025 Δεκέμβριος'!F11</f>
        <v>13159.754070796458</v>
      </c>
      <c r="AA44" s="36">
        <f t="shared" si="15"/>
        <v>13159.754070796458</v>
      </c>
    </row>
    <row r="45" spans="1:30" x14ac:dyDescent="0.25">
      <c r="A45" s="35" t="str">
        <f>'2025 Ιανουάριος'!C12</f>
        <v>Cancellation Fees</v>
      </c>
      <c r="B45" s="35">
        <v>2025</v>
      </c>
      <c r="C45" s="173">
        <f>'2025 Ιανουάριος'!D12</f>
        <v>0</v>
      </c>
      <c r="D45" s="36">
        <f t="shared" si="14"/>
        <v>0</v>
      </c>
      <c r="E45" s="173">
        <f>'2025 Φεβρουάριος'!D12</f>
        <v>1638.42</v>
      </c>
      <c r="F45" s="36">
        <f>'2025 Φεβρουάριος'!F12</f>
        <v>1638.42</v>
      </c>
      <c r="G45" s="173">
        <f>'2025 Μάρτιος'!D12</f>
        <v>0</v>
      </c>
      <c r="H45" s="36">
        <f>'2025 Μάρτιος'!F12</f>
        <v>1638.42</v>
      </c>
      <c r="I45" s="173">
        <f>'2025 Απρίλιος'!D12</f>
        <v>0</v>
      </c>
      <c r="J45" s="36">
        <f>'2025 Απρίλιος'!F12</f>
        <v>1638.42</v>
      </c>
      <c r="K45" s="173">
        <f>'2025 Μάιος'!D12</f>
        <v>587.21</v>
      </c>
      <c r="L45" s="36">
        <f>'2025 Μάιος'!F12</f>
        <v>2225.63</v>
      </c>
      <c r="M45" s="173">
        <f>'2025 Ιούνιος'!D12</f>
        <v>0</v>
      </c>
      <c r="N45" s="36">
        <f>'2025 Ιούνιος'!F12</f>
        <v>2225.63</v>
      </c>
      <c r="O45" s="173">
        <f>'2025 Ιούλιος'!D12</f>
        <v>0</v>
      </c>
      <c r="P45" s="36">
        <f>'2025 Ιούλιος'!F12</f>
        <v>2225.63</v>
      </c>
      <c r="Q45" s="173">
        <f>'2025 Aύγουστος'!D12</f>
        <v>0</v>
      </c>
      <c r="R45" s="36">
        <f>'2025 Aύγουστος'!F12</f>
        <v>2225.63</v>
      </c>
      <c r="S45" s="173">
        <f>'2025 Σεπτέμβριος'!D12</f>
        <v>0</v>
      </c>
      <c r="T45" s="36" t="e">
        <f>'2025 Σεπτέμβριος'!F12</f>
        <v>#REF!</v>
      </c>
      <c r="U45" s="173">
        <f>'2025 Οκτώβριος'!D12</f>
        <v>0</v>
      </c>
      <c r="V45" s="36" t="e">
        <f>'2025 Οκτώβριος'!F12</f>
        <v>#REF!</v>
      </c>
      <c r="W45" s="173">
        <f>'2025 Νοέμβριος'!D12</f>
        <v>0</v>
      </c>
      <c r="X45" s="36">
        <f>'2025 Νοέμβριος'!F12</f>
        <v>2225.63</v>
      </c>
      <c r="Y45" s="173">
        <f>'2025 Δεκέμβριος'!D12</f>
        <v>0</v>
      </c>
      <c r="Z45" s="36">
        <f>'2025 Δεκέμβριος'!F12</f>
        <v>2225.63</v>
      </c>
      <c r="AA45" s="36">
        <f t="shared" si="15"/>
        <v>2225.63</v>
      </c>
    </row>
    <row r="46" spans="1:30" x14ac:dyDescent="0.25">
      <c r="A46" s="35" t="str">
        <f>'2025 Ιανουάριος'!C13</f>
        <v>Έσοδα Διαχείρισης καταλυμάτων 24%</v>
      </c>
      <c r="B46" s="35">
        <v>2025</v>
      </c>
      <c r="C46" s="173">
        <f>'2025 Ιανουάριος'!D13</f>
        <v>0</v>
      </c>
      <c r="D46" s="36">
        <f t="shared" si="14"/>
        <v>0</v>
      </c>
      <c r="E46" s="173">
        <f>'2025 Φεβρουάριος'!D13</f>
        <v>251.43</v>
      </c>
      <c r="F46" s="36">
        <f>'2025 Φεβρουάριος'!F13</f>
        <v>251.43</v>
      </c>
      <c r="G46" s="173">
        <f>'2025 Μάρτιος'!D13</f>
        <v>354.56</v>
      </c>
      <c r="H46" s="36">
        <f>'2025 Μάρτιος'!F13</f>
        <v>605.99</v>
      </c>
      <c r="I46" s="173">
        <f>'2025 Απρίλιος'!D13</f>
        <v>837.22</v>
      </c>
      <c r="J46" s="36">
        <f>'2025 Απρίλιος'!F13</f>
        <v>1443.21</v>
      </c>
      <c r="K46" s="173">
        <f>'2025 Μάιος'!D13</f>
        <v>1883.5</v>
      </c>
      <c r="L46" s="36">
        <f>'2025 Μάιος'!F13</f>
        <v>3326.71</v>
      </c>
      <c r="M46" s="173">
        <f>'2025 Ιούνιος'!D13</f>
        <v>0</v>
      </c>
      <c r="N46" s="36">
        <f>'2025 Ιούνιος'!F13</f>
        <v>3326.71</v>
      </c>
      <c r="O46" s="173">
        <f>'2025 Ιούλιος'!D13</f>
        <v>0</v>
      </c>
      <c r="P46" s="36">
        <f>'2025 Ιούλιος'!F13</f>
        <v>3326.71</v>
      </c>
      <c r="Q46" s="173">
        <f>'2025 Aύγουστος'!D13</f>
        <v>0</v>
      </c>
      <c r="R46" s="36">
        <f>'2025 Aύγουστος'!F13</f>
        <v>3326.71</v>
      </c>
      <c r="S46" s="173">
        <f>'2025 Σεπτέμβριος'!D13</f>
        <v>0</v>
      </c>
      <c r="T46" s="36" t="e">
        <f>'2025 Σεπτέμβριος'!F13</f>
        <v>#REF!</v>
      </c>
      <c r="U46" s="173">
        <f>'2025 Οκτώβριος'!D13</f>
        <v>0</v>
      </c>
      <c r="V46" s="36" t="e">
        <f>'2025 Οκτώβριος'!F13</f>
        <v>#REF!</v>
      </c>
      <c r="W46" s="173">
        <f>'2025 Νοέμβριος'!D13</f>
        <v>0</v>
      </c>
      <c r="X46" s="36">
        <f>'2025 Νοέμβριος'!F13</f>
        <v>3326.71</v>
      </c>
      <c r="Y46" s="173">
        <f>'2025 Δεκέμβριος'!D13</f>
        <v>0</v>
      </c>
      <c r="Z46" s="36">
        <f>'2025 Δεκέμβριος'!F13</f>
        <v>3326.71</v>
      </c>
      <c r="AA46" s="36">
        <f t="shared" si="15"/>
        <v>3326.71</v>
      </c>
    </row>
    <row r="47" spans="1:30" x14ac:dyDescent="0.25">
      <c r="A47" s="35" t="str">
        <f>'2025 Ιανουάριος'!C14</f>
        <v>Έσοδα από Ενοίκια Ιππάρχου 24%</v>
      </c>
      <c r="B47" s="35">
        <v>2025</v>
      </c>
      <c r="C47" s="173">
        <f>'2025 Ιανουάριος'!D14</f>
        <v>100</v>
      </c>
      <c r="D47" s="36">
        <f t="shared" si="14"/>
        <v>100</v>
      </c>
      <c r="E47" s="173">
        <f>'2025 Φεβρουάριος'!D14</f>
        <v>100</v>
      </c>
      <c r="F47" s="36">
        <f>'2025 Φεβρουάριος'!F14</f>
        <v>200</v>
      </c>
      <c r="G47" s="173">
        <f>'2025 Μάρτιος'!D14</f>
        <v>100</v>
      </c>
      <c r="H47" s="36">
        <f>'2025 Μάρτιος'!F14</f>
        <v>300</v>
      </c>
      <c r="I47" s="173">
        <f>'2025 Απρίλιος'!D14</f>
        <v>100</v>
      </c>
      <c r="J47" s="36">
        <f>'2025 Απρίλιος'!F14</f>
        <v>400</v>
      </c>
      <c r="K47" s="173">
        <f>'2025 Μάιος'!D14</f>
        <v>100</v>
      </c>
      <c r="L47" s="36">
        <f>'2025 Μάιος'!F14</f>
        <v>500</v>
      </c>
      <c r="M47" s="173">
        <f>'2025 Ιούνιος'!D14</f>
        <v>0</v>
      </c>
      <c r="N47" s="36">
        <f>'2025 Ιούνιος'!F14</f>
        <v>500</v>
      </c>
      <c r="O47" s="173">
        <f>'2025 Ιούλιος'!D14</f>
        <v>0</v>
      </c>
      <c r="P47" s="36">
        <f>'2025 Ιούλιος'!F14</f>
        <v>500</v>
      </c>
      <c r="Q47" s="173">
        <f>'2025 Aύγουστος'!D14</f>
        <v>0</v>
      </c>
      <c r="R47" s="36">
        <f>'2025 Aύγουστος'!F14</f>
        <v>500</v>
      </c>
      <c r="S47" s="173">
        <f>'2025 Σεπτέμβριος'!D14</f>
        <v>0</v>
      </c>
      <c r="T47" s="36" t="e">
        <f>'2025 Σεπτέμβριος'!F14</f>
        <v>#REF!</v>
      </c>
      <c r="U47" s="173">
        <f>'2025 Οκτώβριος'!D14</f>
        <v>0</v>
      </c>
      <c r="V47" s="36" t="e">
        <f>'2025 Οκτώβριος'!F14</f>
        <v>#REF!</v>
      </c>
      <c r="W47" s="173">
        <f>'2025 Νοέμβριος'!D14</f>
        <v>0</v>
      </c>
      <c r="X47" s="36">
        <f>'2025 Νοέμβριος'!F14</f>
        <v>500</v>
      </c>
      <c r="Y47" s="173">
        <f>'2025 Δεκέμβριος'!D14</f>
        <v>0</v>
      </c>
      <c r="Z47" s="36">
        <f>'2025 Δεκέμβριος'!F14</f>
        <v>500</v>
      </c>
      <c r="AA47" s="36">
        <f t="shared" si="15"/>
        <v>500</v>
      </c>
    </row>
    <row r="48" spans="1:30" x14ac:dyDescent="0.25">
      <c r="A48" s="35" t="str">
        <f>'2025 Ιανουάριος'!C15</f>
        <v>Πωλ.Φύλαξη Αποσκευών (DIRECT)</v>
      </c>
      <c r="B48" s="35">
        <v>2025</v>
      </c>
      <c r="C48" s="173">
        <f>'2025 Ιανουάριος'!D15</f>
        <v>68.550000000000011</v>
      </c>
      <c r="D48" s="36">
        <f t="shared" si="14"/>
        <v>68.550000000000011</v>
      </c>
      <c r="E48" s="173">
        <f>'2025 Φεβρουάριος'!D15</f>
        <v>29.03</v>
      </c>
      <c r="F48" s="36">
        <f>'2025 Φεβρουάριος'!F15</f>
        <v>97.580000000000013</v>
      </c>
      <c r="G48" s="173">
        <f>'2025 Μάρτιος'!D15</f>
        <v>173.38</v>
      </c>
      <c r="H48" s="36">
        <f>'2025 Μάρτιος'!F15</f>
        <v>270.96000000000004</v>
      </c>
      <c r="I48" s="173">
        <f>'2025 Απρίλιος'!D15</f>
        <v>339.56</v>
      </c>
      <c r="J48" s="36">
        <f>'2025 Απρίλιος'!F15</f>
        <v>610.52</v>
      </c>
      <c r="K48" s="173">
        <f>'2025 Μάιος'!D15</f>
        <v>564.57000000000005</v>
      </c>
      <c r="L48" s="36">
        <f>'2025 Μάιος'!F15</f>
        <v>1175.0900000000001</v>
      </c>
      <c r="M48" s="173">
        <f>'2025 Ιούνιος'!D15</f>
        <v>0</v>
      </c>
      <c r="N48" s="36">
        <f>'2025 Ιούνιος'!F15</f>
        <v>1175.0900000000001</v>
      </c>
      <c r="O48" s="173">
        <f>'2025 Ιούλιος'!D15</f>
        <v>0</v>
      </c>
      <c r="P48" s="36">
        <f>'2025 Ιούλιος'!F15</f>
        <v>1175.0900000000001</v>
      </c>
      <c r="Q48" s="173">
        <f>'2025 Aύγουστος'!D15</f>
        <v>0</v>
      </c>
      <c r="R48" s="36">
        <f>'2025 Aύγουστος'!F15</f>
        <v>1175.0900000000001</v>
      </c>
      <c r="S48" s="173">
        <f>'2025 Σεπτέμβριος'!D15</f>
        <v>0</v>
      </c>
      <c r="T48" s="36" t="e">
        <f>'2025 Σεπτέμβριος'!F15</f>
        <v>#REF!</v>
      </c>
      <c r="U48" s="173">
        <f>'2025 Οκτώβριος'!D15</f>
        <v>0</v>
      </c>
      <c r="V48" s="36" t="e">
        <f>'2025 Οκτώβριος'!F15</f>
        <v>#REF!</v>
      </c>
      <c r="W48" s="173">
        <f>'2025 Νοέμβριος'!D15</f>
        <v>0</v>
      </c>
      <c r="X48" s="36">
        <f>'2025 Νοέμβριος'!F15</f>
        <v>1175.0900000000001</v>
      </c>
      <c r="Y48" s="173">
        <f>'2025 Δεκέμβριος'!D15</f>
        <v>0</v>
      </c>
      <c r="Z48" s="36">
        <f>'2025 Δεκέμβριος'!F15</f>
        <v>1175.0900000000001</v>
      </c>
      <c r="AA48" s="36">
        <f t="shared" si="15"/>
        <v>1175.0900000000001</v>
      </c>
    </row>
    <row r="49" spans="1:27" x14ac:dyDescent="0.25">
      <c r="A49" s="35" t="str">
        <f>'2025 Ιανουάριος'!C16</f>
        <v>Πωλ.Φύλαξη Αποσκευών  (ΤΡΙΤΩΝ) (RADICAL)</v>
      </c>
      <c r="B49" s="35">
        <v>2025</v>
      </c>
      <c r="C49" s="173">
        <f>'2025 Ιανουάριος'!D16</f>
        <v>16.12</v>
      </c>
      <c r="D49" s="36">
        <f t="shared" si="14"/>
        <v>16.12</v>
      </c>
      <c r="E49" s="173">
        <f>'2025 Φεβρουάριος'!D16</f>
        <v>20.16</v>
      </c>
      <c r="F49" s="36">
        <f>'2025 Φεβρουάριος'!F16</f>
        <v>36.28</v>
      </c>
      <c r="G49" s="173">
        <f>'2025 Μάρτιος'!D16</f>
        <v>56.45</v>
      </c>
      <c r="H49" s="36">
        <f>'2025 Μάρτιος'!F16</f>
        <v>92.73</v>
      </c>
      <c r="I49" s="173">
        <f>'2025 Απρίλιος'!D16</f>
        <v>284.66000000000003</v>
      </c>
      <c r="J49" s="36">
        <f>'2025 Απρίλιος'!F16</f>
        <v>377.39000000000004</v>
      </c>
      <c r="K49" s="173">
        <f>'2025 Μάιος'!D16</f>
        <v>295.89999999999992</v>
      </c>
      <c r="L49" s="36">
        <f>'2025 Μάιος'!F16</f>
        <v>673.29</v>
      </c>
      <c r="M49" s="173">
        <f>'2025 Ιούνιος'!D16</f>
        <v>0</v>
      </c>
      <c r="N49" s="36">
        <f>'2025 Ιούνιος'!F16</f>
        <v>673.29</v>
      </c>
      <c r="O49" s="173">
        <f>'2025 Ιούλιος'!D16</f>
        <v>0</v>
      </c>
      <c r="P49" s="36">
        <f>'2025 Ιούλιος'!F16</f>
        <v>673.29</v>
      </c>
      <c r="Q49" s="173">
        <f>'2025 Aύγουστος'!D16</f>
        <v>0</v>
      </c>
      <c r="R49" s="36">
        <f>'2025 Aύγουστος'!F16</f>
        <v>673.29</v>
      </c>
      <c r="S49" s="173">
        <f>'2025 Σεπτέμβριος'!D16</f>
        <v>0</v>
      </c>
      <c r="T49" s="36" t="e">
        <f>'2025 Σεπτέμβριος'!F16</f>
        <v>#REF!</v>
      </c>
      <c r="U49" s="173">
        <f>'2025 Οκτώβριος'!D16</f>
        <v>0</v>
      </c>
      <c r="V49" s="36" t="e">
        <f>'2025 Οκτώβριος'!F16</f>
        <v>#REF!</v>
      </c>
      <c r="W49" s="173">
        <f>'2025 Νοέμβριος'!D16</f>
        <v>0</v>
      </c>
      <c r="X49" s="36">
        <f>'2025 Νοέμβριος'!F16</f>
        <v>673.29</v>
      </c>
      <c r="Y49" s="173">
        <f>'2025 Δεκέμβριος'!D16</f>
        <v>0</v>
      </c>
      <c r="Z49" s="36">
        <f>'2025 Δεκέμβριος'!F16</f>
        <v>673.29</v>
      </c>
      <c r="AA49" s="36">
        <f t="shared" si="15"/>
        <v>673.29</v>
      </c>
    </row>
    <row r="50" spans="1:27" x14ac:dyDescent="0.25">
      <c r="A50" s="35" t="str">
        <f>'2025 Ιανουάριος'!C17</f>
        <v>Πωλ. TRANSFER (Περιορισμένη Μίσθωση)</v>
      </c>
      <c r="B50" s="35">
        <v>2025</v>
      </c>
      <c r="C50" s="173">
        <f>'2025 Ιανουάριος'!D17</f>
        <v>0</v>
      </c>
      <c r="D50" s="36">
        <f t="shared" si="14"/>
        <v>0</v>
      </c>
      <c r="E50" s="173">
        <f>'2025 Φεβρουάριος'!D17</f>
        <v>0</v>
      </c>
      <c r="F50" s="36">
        <f>'2025 Φεβρουάριος'!F17</f>
        <v>0</v>
      </c>
      <c r="G50" s="173">
        <f>'2025 Μάρτιος'!D17</f>
        <v>464.6</v>
      </c>
      <c r="H50" s="36">
        <f>'2025 Μάρτιος'!F17</f>
        <v>464.6</v>
      </c>
      <c r="I50" s="173">
        <f>'2025 Απρίλιος'!D17</f>
        <v>0</v>
      </c>
      <c r="J50" s="36">
        <f>'2025 Απρίλιος'!F17</f>
        <v>464.6</v>
      </c>
      <c r="K50" s="173">
        <f>'2025 Μάιος'!D17</f>
        <v>0</v>
      </c>
      <c r="L50" s="36">
        <f>'2025 Μάιος'!F17</f>
        <v>464.6</v>
      </c>
      <c r="M50" s="173">
        <f>'2025 Ιούνιος'!D17</f>
        <v>0</v>
      </c>
      <c r="N50" s="36">
        <f>'2025 Ιούνιος'!F17</f>
        <v>464.6</v>
      </c>
      <c r="O50" s="173">
        <f>'2025 Ιούλιος'!D17</f>
        <v>0</v>
      </c>
      <c r="P50" s="36">
        <f>'2025 Ιούλιος'!F17</f>
        <v>464.6</v>
      </c>
      <c r="Q50" s="173">
        <f>'2025 Aύγουστος'!D17</f>
        <v>0</v>
      </c>
      <c r="R50" s="36">
        <f>'2025 Aύγουστος'!F17</f>
        <v>464.6</v>
      </c>
      <c r="S50" s="173">
        <f>'2025 Σεπτέμβριος'!D17</f>
        <v>0</v>
      </c>
      <c r="T50" s="36" t="e">
        <f>'2025 Σεπτέμβριος'!F17</f>
        <v>#REF!</v>
      </c>
      <c r="U50" s="173">
        <f>'2025 Οκτώβριος'!D17</f>
        <v>0</v>
      </c>
      <c r="V50" s="36" t="e">
        <f>'2025 Οκτώβριος'!F17</f>
        <v>#REF!</v>
      </c>
      <c r="W50" s="173">
        <f>'2025 Νοέμβριος'!D17</f>
        <v>0</v>
      </c>
      <c r="X50" s="36">
        <f>'2025 Νοέμβριος'!F17</f>
        <v>464.6</v>
      </c>
      <c r="Y50" s="173">
        <f>'2025 Δεκέμβριος'!D17</f>
        <v>0</v>
      </c>
      <c r="Z50" s="36">
        <f>'2025 Δεκέμβριος'!F17</f>
        <v>464.6</v>
      </c>
      <c r="AA50" s="36">
        <f t="shared" si="15"/>
        <v>464.6</v>
      </c>
    </row>
    <row r="51" spans="1:27" x14ac:dyDescent="0.25">
      <c r="A51" s="35" t="str">
        <f>'2025 Ιανουάριος'!C18</f>
        <v>Πωλ.Ενοικ.Μεταφ.Μέσων Αναψυχής (ποδήλατα)</v>
      </c>
      <c r="B51" s="35">
        <v>2025</v>
      </c>
      <c r="C51" s="173">
        <f>'2025 Ιανουάριος'!D18</f>
        <v>0</v>
      </c>
      <c r="D51" s="36">
        <f t="shared" si="14"/>
        <v>0</v>
      </c>
      <c r="E51" s="173">
        <f>'2025 Φεβρουάριος'!D18</f>
        <v>0</v>
      </c>
      <c r="F51" s="36">
        <f>'2025 Φεβρουάριος'!F18</f>
        <v>0</v>
      </c>
      <c r="G51" s="173">
        <f>'2025 Μάρτιος'!D18</f>
        <v>0</v>
      </c>
      <c r="H51" s="36">
        <f>'2025 Μάρτιος'!F18</f>
        <v>0</v>
      </c>
      <c r="I51" s="173">
        <f>'2025 Απρίλιος'!D18</f>
        <v>0</v>
      </c>
      <c r="J51" s="36">
        <f>'2025 Απρίλιος'!F18</f>
        <v>0</v>
      </c>
      <c r="K51" s="173">
        <f>'2025 Μάιος'!D18</f>
        <v>0</v>
      </c>
      <c r="L51" s="36">
        <f>'2025 Μάιος'!F18</f>
        <v>0</v>
      </c>
      <c r="M51" s="173">
        <f>'2025 Ιούνιος'!D18</f>
        <v>0</v>
      </c>
      <c r="N51" s="36">
        <f>'2025 Ιούνιος'!F18</f>
        <v>0</v>
      </c>
      <c r="O51" s="173">
        <f>'2025 Ιούλιος'!D18</f>
        <v>0</v>
      </c>
      <c r="P51" s="36">
        <f>'2025 Ιούλιος'!F18</f>
        <v>0</v>
      </c>
      <c r="Q51" s="173">
        <f>'2025 Aύγουστος'!D18</f>
        <v>0</v>
      </c>
      <c r="R51" s="36">
        <f>'2025 Aύγουστος'!F18</f>
        <v>0</v>
      </c>
      <c r="S51" s="173">
        <f>'2025 Σεπτέμβριος'!D18</f>
        <v>0</v>
      </c>
      <c r="T51" s="36" t="e">
        <f>'2025 Σεπτέμβριος'!F18</f>
        <v>#REF!</v>
      </c>
      <c r="U51" s="173">
        <f>'2025 Οκτώβριος'!D18</f>
        <v>0</v>
      </c>
      <c r="V51" s="36" t="e">
        <f>'2025 Οκτώβριος'!F18</f>
        <v>#REF!</v>
      </c>
      <c r="W51" s="173">
        <f>'2025 Νοέμβριος'!D18</f>
        <v>0</v>
      </c>
      <c r="X51" s="36">
        <f>'2025 Νοέμβριος'!F18</f>
        <v>0</v>
      </c>
      <c r="Y51" s="173">
        <f>'2025 Δεκέμβριος'!D18</f>
        <v>0</v>
      </c>
      <c r="Z51" s="36">
        <f>'2025 Δεκέμβριος'!F18</f>
        <v>0</v>
      </c>
      <c r="AA51" s="36">
        <f t="shared" si="15"/>
        <v>0</v>
      </c>
    </row>
    <row r="52" spans="1:27" x14ac:dyDescent="0.25">
      <c r="A52" s="35" t="str">
        <f>'2025 Ιανουάριος'!C19</f>
        <v>Πωλ.Ενοικ.Μεταφ.Μέσων(αυτοκινητα)</v>
      </c>
      <c r="B52" s="35">
        <v>2025</v>
      </c>
      <c r="C52" s="173">
        <f>'2025 Ιανουάριος'!D19</f>
        <v>0</v>
      </c>
      <c r="D52" s="36">
        <f t="shared" si="14"/>
        <v>0</v>
      </c>
      <c r="E52" s="173">
        <f>'2025 Φεβρουάριος'!D19</f>
        <v>0</v>
      </c>
      <c r="F52" s="36">
        <f>'2025 Φεβρουάριος'!F19</f>
        <v>0</v>
      </c>
      <c r="G52" s="173">
        <f>'2025 Μάρτιος'!D19</f>
        <v>0</v>
      </c>
      <c r="H52" s="36">
        <f>'2025 Μάρτιος'!F19</f>
        <v>0</v>
      </c>
      <c r="I52" s="173">
        <f>'2025 Απρίλιος'!D19</f>
        <v>0</v>
      </c>
      <c r="J52" s="36">
        <f>'2025 Απρίλιος'!F19</f>
        <v>0</v>
      </c>
      <c r="K52" s="173">
        <f>'2025 Μάιος'!D19</f>
        <v>0</v>
      </c>
      <c r="L52" s="36">
        <f>'2025 Μάιος'!F19</f>
        <v>0</v>
      </c>
      <c r="M52" s="173">
        <f>'2025 Ιούνιος'!D19</f>
        <v>0</v>
      </c>
      <c r="N52" s="36">
        <f>'2025 Ιούνιος'!F19</f>
        <v>0</v>
      </c>
      <c r="O52" s="173">
        <f>'2025 Ιούλιος'!D19</f>
        <v>0</v>
      </c>
      <c r="P52" s="36">
        <f>'2025 Ιούλιος'!F19</f>
        <v>0</v>
      </c>
      <c r="Q52" s="173">
        <f>'2025 Aύγουστος'!D19</f>
        <v>0</v>
      </c>
      <c r="R52" s="36">
        <f>'2025 Aύγουστος'!F19</f>
        <v>0</v>
      </c>
      <c r="S52" s="173">
        <f>'2025 Σεπτέμβριος'!D19</f>
        <v>0</v>
      </c>
      <c r="T52" s="36" t="e">
        <f>'2025 Σεπτέμβριος'!F19</f>
        <v>#REF!</v>
      </c>
      <c r="U52" s="173">
        <f>'2025 Οκτώβριος'!D19</f>
        <v>0</v>
      </c>
      <c r="V52" s="36" t="e">
        <f>'2025 Οκτώβριος'!F19</f>
        <v>#REF!</v>
      </c>
      <c r="W52" s="173">
        <f>'2025 Νοέμβριος'!D19</f>
        <v>0</v>
      </c>
      <c r="X52" s="36">
        <f>'2025 Νοέμβριος'!F19</f>
        <v>0</v>
      </c>
      <c r="Y52" s="173">
        <f>'2025 Δεκέμβριος'!D19</f>
        <v>0</v>
      </c>
      <c r="Z52" s="36">
        <f>'2025 Δεκέμβριος'!F19</f>
        <v>0</v>
      </c>
      <c r="AA52" s="36">
        <f t="shared" si="15"/>
        <v>0</v>
      </c>
    </row>
    <row r="53" spans="1:27" x14ac:dyDescent="0.25">
      <c r="A53" s="35" t="str">
        <f>'2025 Ιανουάριος'!C20</f>
        <v>Πωλήσεις Καθαριότητας (ΤΡΙΤΩΝ)</v>
      </c>
      <c r="B53" s="35">
        <v>2025</v>
      </c>
      <c r="C53" s="173">
        <f>'2025 Ιανουάριος'!D20</f>
        <v>0</v>
      </c>
      <c r="D53" s="36">
        <f t="shared" si="14"/>
        <v>0</v>
      </c>
      <c r="E53" s="173">
        <f>'2025 Φεβρουάριος'!D20</f>
        <v>0</v>
      </c>
      <c r="F53" s="36">
        <f>'2025 Φεβρουάριος'!F20</f>
        <v>0</v>
      </c>
      <c r="G53" s="173">
        <f>'2025 Μάρτιος'!D20</f>
        <v>0</v>
      </c>
      <c r="H53" s="36">
        <f>'2025 Μάρτιος'!F20</f>
        <v>0</v>
      </c>
      <c r="I53" s="173">
        <f>'2025 Απρίλιος'!D20</f>
        <v>0</v>
      </c>
      <c r="J53" s="36">
        <f>'2025 Απρίλιος'!F20</f>
        <v>0</v>
      </c>
      <c r="K53" s="173">
        <f>'2025 Μάιος'!D20</f>
        <v>0</v>
      </c>
      <c r="L53" s="36">
        <f>'2025 Μάιος'!F20</f>
        <v>0</v>
      </c>
      <c r="M53" s="173">
        <f>'2025 Ιούνιος'!D20</f>
        <v>0</v>
      </c>
      <c r="N53" s="36">
        <f>'2025 Ιούνιος'!F20</f>
        <v>0</v>
      </c>
      <c r="O53" s="173">
        <f>'2025 Ιούλιος'!D20</f>
        <v>0</v>
      </c>
      <c r="P53" s="36">
        <f>'2025 Ιούλιος'!F20</f>
        <v>0</v>
      </c>
      <c r="Q53" s="173">
        <f>'2025 Aύγουστος'!D20</f>
        <v>0</v>
      </c>
      <c r="R53" s="36">
        <f>'2025 Aύγουστος'!F20</f>
        <v>0</v>
      </c>
      <c r="S53" s="173">
        <f>'2025 Σεπτέμβριος'!D20</f>
        <v>0</v>
      </c>
      <c r="T53" s="36" t="e">
        <f>'2025 Σεπτέμβριος'!F20</f>
        <v>#REF!</v>
      </c>
      <c r="U53" s="173">
        <f>'2025 Οκτώβριος'!D20</f>
        <v>0</v>
      </c>
      <c r="V53" s="36" t="e">
        <f>'2025 Οκτώβριος'!F20</f>
        <v>#REF!</v>
      </c>
      <c r="W53" s="173">
        <f>'2025 Νοέμβριος'!D20</f>
        <v>0</v>
      </c>
      <c r="X53" s="36">
        <f>'2025 Νοέμβριος'!F20</f>
        <v>0</v>
      </c>
      <c r="Y53" s="173">
        <f>'2025 Δεκέμβριος'!D20</f>
        <v>0</v>
      </c>
      <c r="Z53" s="36">
        <f>'2025 Δεκέμβριος'!F20</f>
        <v>0</v>
      </c>
      <c r="AA53" s="36">
        <f t="shared" si="15"/>
        <v>0</v>
      </c>
    </row>
    <row r="54" spans="1:27" x14ac:dyDescent="0.25">
      <c r="A54" s="35" t="str">
        <f>'2025 Ιανουάριος'!C21</f>
        <v>Πωλ.Κρουαζιέρας</v>
      </c>
      <c r="B54" s="35">
        <v>2025</v>
      </c>
      <c r="C54" s="173">
        <f>'2025 Ιανουάριος'!D21</f>
        <v>0</v>
      </c>
      <c r="D54" s="36">
        <f t="shared" si="14"/>
        <v>0</v>
      </c>
      <c r="E54" s="173">
        <f>'2025 Φεβρουάριος'!D21</f>
        <v>0</v>
      </c>
      <c r="F54" s="36">
        <f>'2025 Φεβρουάριος'!F21</f>
        <v>0</v>
      </c>
      <c r="G54" s="173">
        <f>'2025 Μάρτιος'!D21</f>
        <v>230.09</v>
      </c>
      <c r="H54" s="36">
        <f>'2025 Μάρτιος'!F21</f>
        <v>230.09</v>
      </c>
      <c r="I54" s="173">
        <f>'2025 Απρίλιος'!D21</f>
        <v>1274.3399999999999</v>
      </c>
      <c r="J54" s="36">
        <f>'2025 Απρίλιος'!F21</f>
        <v>1504.4299999999998</v>
      </c>
      <c r="K54" s="173">
        <f>'2025 Μάιος'!D21</f>
        <v>1725.63</v>
      </c>
      <c r="L54" s="36">
        <f>'2025 Μάιος'!F21</f>
        <v>3230.06</v>
      </c>
      <c r="M54" s="173">
        <f>'2025 Ιούνιος'!D21</f>
        <v>0</v>
      </c>
      <c r="N54" s="36">
        <f>'2025 Ιούνιος'!F21</f>
        <v>3230.06</v>
      </c>
      <c r="O54" s="173">
        <f>'2025 Ιούλιος'!D21</f>
        <v>0</v>
      </c>
      <c r="P54" s="36">
        <f>'2025 Ιούλιος'!F21</f>
        <v>3230.06</v>
      </c>
      <c r="Q54" s="173">
        <f>'2025 Aύγουστος'!D21</f>
        <v>0</v>
      </c>
      <c r="R54" s="36">
        <f>'2025 Aύγουστος'!F21</f>
        <v>3230.06</v>
      </c>
      <c r="S54" s="173">
        <f>'2025 Σεπτέμβριος'!D21</f>
        <v>0</v>
      </c>
      <c r="T54" s="36" t="e">
        <f>'2025 Σεπτέμβριος'!F21</f>
        <v>#REF!</v>
      </c>
      <c r="U54" s="173">
        <f>'2025 Οκτώβριος'!D21</f>
        <v>0</v>
      </c>
      <c r="V54" s="36" t="e">
        <f>'2025 Οκτώβριος'!F21</f>
        <v>#REF!</v>
      </c>
      <c r="W54" s="173">
        <f>'2025 Νοέμβριος'!D21</f>
        <v>0</v>
      </c>
      <c r="X54" s="36">
        <f>'2025 Νοέμβριος'!F21</f>
        <v>3230.06</v>
      </c>
      <c r="Y54" s="173">
        <f>'2025 Δεκέμβριος'!D21</f>
        <v>0</v>
      </c>
      <c r="Z54" s="36">
        <f>'2025 Δεκέμβριος'!F21</f>
        <v>3230.06</v>
      </c>
      <c r="AA54" s="36">
        <f t="shared" si="15"/>
        <v>3230.06</v>
      </c>
    </row>
    <row r="55" spans="1:27" x14ac:dyDescent="0.25">
      <c r="A55" s="35" t="str">
        <f>'2025 Ιανουάριος'!C22</f>
        <v>Πωλ. Μαθημάτων</v>
      </c>
      <c r="B55" s="35">
        <v>2025</v>
      </c>
      <c r="C55" s="173">
        <f>'2025 Ιανουάριος'!D22</f>
        <v>0</v>
      </c>
      <c r="D55" s="36">
        <f t="shared" si="14"/>
        <v>0</v>
      </c>
      <c r="E55" s="173">
        <f>'2025 Φεβρουάριος'!D22</f>
        <v>0</v>
      </c>
      <c r="F55" s="36">
        <f>'2025 Φεβρουάριος'!F22</f>
        <v>0</v>
      </c>
      <c r="G55" s="173">
        <f>'2025 Μάρτιος'!D22</f>
        <v>0</v>
      </c>
      <c r="H55" s="36">
        <f>'2025 Μάρτιος'!F22</f>
        <v>0</v>
      </c>
      <c r="I55" s="173">
        <f>'2025 Απρίλιος'!D22</f>
        <v>0</v>
      </c>
      <c r="J55" s="36">
        <f>'2025 Απρίλιος'!F22</f>
        <v>0</v>
      </c>
      <c r="K55" s="173">
        <f>'2025 Μάιος'!D22</f>
        <v>0</v>
      </c>
      <c r="L55" s="36">
        <f>'2025 Μάιος'!F22</f>
        <v>0</v>
      </c>
      <c r="M55" s="173">
        <f>'2025 Ιούνιος'!D22</f>
        <v>0</v>
      </c>
      <c r="N55" s="36">
        <f>'2025 Ιούνιος'!F22</f>
        <v>0</v>
      </c>
      <c r="O55" s="173">
        <f>'2025 Ιούλιος'!D22</f>
        <v>0</v>
      </c>
      <c r="P55" s="36">
        <f>'2025 Ιούλιος'!F22</f>
        <v>0</v>
      </c>
      <c r="Q55" s="173">
        <f>'2025 Aύγουστος'!D22</f>
        <v>0</v>
      </c>
      <c r="R55" s="36">
        <f>'2025 Aύγουστος'!F22</f>
        <v>0</v>
      </c>
      <c r="S55" s="173">
        <f>'2025 Σεπτέμβριος'!D22</f>
        <v>0</v>
      </c>
      <c r="T55" s="36" t="e">
        <f>'2025 Σεπτέμβριος'!F22</f>
        <v>#REF!</v>
      </c>
      <c r="U55" s="173">
        <f>'2025 Οκτώβριος'!D22</f>
        <v>0</v>
      </c>
      <c r="V55" s="36" t="e">
        <f>'2025 Οκτώβριος'!F22</f>
        <v>#REF!</v>
      </c>
      <c r="W55" s="173">
        <f>'2025 Νοέμβριος'!D22</f>
        <v>0</v>
      </c>
      <c r="X55" s="36">
        <f>'2025 Νοέμβριος'!F22</f>
        <v>0</v>
      </c>
      <c r="Y55" s="173">
        <f>'2025 Δεκέμβριος'!D22</f>
        <v>0</v>
      </c>
      <c r="Z55" s="36">
        <f>'2025 Δεκέμβριος'!F22</f>
        <v>0</v>
      </c>
      <c r="AA55" s="36">
        <f t="shared" si="15"/>
        <v>0</v>
      </c>
    </row>
    <row r="56" spans="1:27" x14ac:dyDescent="0.25">
      <c r="A56" s="35" t="str">
        <f>'2025 Ιανουάριος'!C23</f>
        <v>Πωλ.Κρουαζ.Transfer.MM. (ΠΑΚΕΤΟ)</v>
      </c>
      <c r="B56" s="35">
        <v>2025</v>
      </c>
      <c r="C56" s="173">
        <f>'2025 Ιανουάριος'!D23</f>
        <v>0</v>
      </c>
      <c r="D56" s="36">
        <f t="shared" si="14"/>
        <v>0</v>
      </c>
      <c r="E56" s="173">
        <f>'2025 Φεβρουάριος'!D23</f>
        <v>0</v>
      </c>
      <c r="F56" s="36">
        <f>'2025 Φεβρουάριος'!F23</f>
        <v>0</v>
      </c>
      <c r="G56" s="173">
        <f>'2025 Μάρτιος'!D23</f>
        <v>495.58</v>
      </c>
      <c r="H56" s="36">
        <f>'2025 Μάρτιος'!F23</f>
        <v>495.58</v>
      </c>
      <c r="I56" s="173">
        <f>'2025 Απρίλιος'!D23</f>
        <v>0</v>
      </c>
      <c r="J56" s="36">
        <f>'2025 Απρίλιος'!F23</f>
        <v>495.58</v>
      </c>
      <c r="K56" s="173">
        <f>'2025 Μάιος'!D23</f>
        <v>0</v>
      </c>
      <c r="L56" s="36">
        <f>'2025 Μάιος'!F23</f>
        <v>495.58</v>
      </c>
      <c r="M56" s="173">
        <f>'2025 Ιούνιος'!D23</f>
        <v>0</v>
      </c>
      <c r="N56" s="36">
        <f>'2025 Ιούνιος'!F23</f>
        <v>495.58</v>
      </c>
      <c r="O56" s="173">
        <f>'2025 Ιούλιος'!D23</f>
        <v>0</v>
      </c>
      <c r="P56" s="36">
        <f>'2025 Ιούλιος'!F23</f>
        <v>495.58</v>
      </c>
      <c r="Q56" s="173">
        <f>'2025 Aύγουστος'!D23</f>
        <v>0</v>
      </c>
      <c r="R56" s="36">
        <f>'2025 Aύγουστος'!F23</f>
        <v>495.58</v>
      </c>
      <c r="S56" s="173">
        <f>'2025 Σεπτέμβριος'!D23</f>
        <v>0</v>
      </c>
      <c r="T56" s="36" t="e">
        <f>'2025 Σεπτέμβριος'!F23</f>
        <v>#REF!</v>
      </c>
      <c r="U56" s="173">
        <f>'2025 Οκτώβριος'!D23</f>
        <v>0</v>
      </c>
      <c r="V56" s="36" t="e">
        <f>'2025 Οκτώβριος'!F23</f>
        <v>#REF!</v>
      </c>
      <c r="W56" s="173">
        <f>'2025 Νοέμβριος'!D23</f>
        <v>0</v>
      </c>
      <c r="X56" s="36">
        <f>'2025 Νοέμβριος'!F23</f>
        <v>495.58</v>
      </c>
      <c r="Y56" s="173">
        <f>'2025 Δεκέμβριος'!D23</f>
        <v>0</v>
      </c>
      <c r="Z56" s="36">
        <f>'2025 Δεκέμβριος'!F23</f>
        <v>495.58</v>
      </c>
      <c r="AA56" s="36">
        <f t="shared" si="15"/>
        <v>495.58</v>
      </c>
    </row>
    <row r="57" spans="1:27" x14ac:dyDescent="0.25">
      <c r="A57" s="35" t="e">
        <f>'2025 Ιανουάριος'!#REF!</f>
        <v>#REF!</v>
      </c>
      <c r="B57" s="35">
        <v>2025</v>
      </c>
      <c r="C57" s="173" t="e">
        <f>'2025 Ιανουάριος'!#REF!</f>
        <v>#REF!</v>
      </c>
      <c r="D57" s="36" t="e">
        <f t="shared" si="14"/>
        <v>#REF!</v>
      </c>
      <c r="E57" s="173" t="e">
        <f>'2025 Φεβρουάριος'!#REF!</f>
        <v>#REF!</v>
      </c>
      <c r="F57" s="36" t="e">
        <f>'2025 Φεβρουάριος'!#REF!</f>
        <v>#REF!</v>
      </c>
      <c r="G57" s="173" t="e">
        <f>'2025 Μάρτιος'!#REF!</f>
        <v>#REF!</v>
      </c>
      <c r="H57" s="36" t="e">
        <f>'2025 Μάρτιος'!#REF!</f>
        <v>#REF!</v>
      </c>
      <c r="I57" s="173" t="e">
        <f>'2025 Απρίλιος'!#REF!</f>
        <v>#REF!</v>
      </c>
      <c r="J57" s="36" t="e">
        <f>'2025 Απρίλιος'!#REF!</f>
        <v>#REF!</v>
      </c>
      <c r="K57" s="173" t="e">
        <f>'2025 Μάιος'!#REF!</f>
        <v>#REF!</v>
      </c>
      <c r="L57" s="36" t="e">
        <f>'2025 Μάιος'!#REF!</f>
        <v>#REF!</v>
      </c>
      <c r="M57" s="173" t="e">
        <f>'2025 Ιούνιος'!#REF!</f>
        <v>#REF!</v>
      </c>
      <c r="N57" s="36" t="e">
        <f>'2025 Ιούνιος'!#REF!</f>
        <v>#REF!</v>
      </c>
      <c r="O57" s="173" t="e">
        <f>'2025 Ιούλιος'!#REF!</f>
        <v>#REF!</v>
      </c>
      <c r="P57" s="36" t="e">
        <f>'2025 Ιούλιος'!#REF!</f>
        <v>#REF!</v>
      </c>
      <c r="Q57" s="173" t="e">
        <f>'2025 Aύγουστος'!#REF!</f>
        <v>#REF!</v>
      </c>
      <c r="R57" s="36" t="e">
        <f>'2025 Aύγουστος'!#REF!</f>
        <v>#REF!</v>
      </c>
      <c r="S57" s="173" t="e">
        <f>'2025 Σεπτέμβριος'!#REF!</f>
        <v>#REF!</v>
      </c>
      <c r="T57" s="36" t="e">
        <f>'2025 Σεπτέμβριος'!#REF!</f>
        <v>#REF!</v>
      </c>
      <c r="U57" s="173" t="e">
        <f>'2025 Οκτώβριος'!#REF!</f>
        <v>#REF!</v>
      </c>
      <c r="V57" s="36" t="e">
        <f>'2025 Οκτώβριος'!#REF!</f>
        <v>#REF!</v>
      </c>
      <c r="W57" s="173" t="e">
        <f>'2025 Νοέμβριος'!#REF!</f>
        <v>#REF!</v>
      </c>
      <c r="X57" s="36" t="e">
        <f>'2025 Νοέμβριος'!#REF!</f>
        <v>#REF!</v>
      </c>
      <c r="Y57" s="173" t="e">
        <f>'2025 Δεκέμβριος'!#REF!</f>
        <v>#REF!</v>
      </c>
      <c r="Z57" s="36" t="e">
        <f>'2025 Δεκέμβριος'!#REF!</f>
        <v>#REF!</v>
      </c>
      <c r="AA57" s="36" t="e">
        <f t="shared" si="15"/>
        <v>#REF!</v>
      </c>
    </row>
    <row r="58" spans="1:27" x14ac:dyDescent="0.25">
      <c r="A58" s="35" t="str">
        <f>'2025 Ιανουάριος'!C25</f>
        <v>Προμ. Συστ.Πελ. Αυτοκ.</v>
      </c>
      <c r="B58" s="35">
        <v>2025</v>
      </c>
      <c r="C58" s="173">
        <f>'2025 Ιανουάριος'!D25</f>
        <v>0</v>
      </c>
      <c r="D58" s="36">
        <f t="shared" si="14"/>
        <v>0</v>
      </c>
      <c r="E58" s="173">
        <f>'2025 Φεβρουάριος'!D25</f>
        <v>0</v>
      </c>
      <c r="F58" s="36">
        <f>'2025 Φεβρουάριος'!F25</f>
        <v>0</v>
      </c>
      <c r="G58" s="173">
        <f>'2025 Μάρτιος'!D25</f>
        <v>0</v>
      </c>
      <c r="H58" s="36">
        <f>'2025 Μάρτιος'!F25</f>
        <v>0</v>
      </c>
      <c r="I58" s="173">
        <f>'2025 Απρίλιος'!D25</f>
        <v>0</v>
      </c>
      <c r="J58" s="36">
        <f>'2025 Απρίλιος'!F25</f>
        <v>0</v>
      </c>
      <c r="K58" s="173">
        <f>'2025 Μάιος'!D25</f>
        <v>0</v>
      </c>
      <c r="L58" s="36">
        <f>'2025 Μάιος'!F25</f>
        <v>0</v>
      </c>
      <c r="M58" s="173">
        <f>'2025 Ιούνιος'!D25</f>
        <v>0</v>
      </c>
      <c r="N58" s="36">
        <f>'2025 Ιούνιος'!F25</f>
        <v>0</v>
      </c>
      <c r="O58" s="173">
        <f>'2025 Ιούλιος'!D25</f>
        <v>0</v>
      </c>
      <c r="P58" s="36">
        <f>'2025 Ιούλιος'!F25</f>
        <v>0</v>
      </c>
      <c r="Q58" s="173">
        <f>'2025 Aύγουστος'!D25</f>
        <v>0</v>
      </c>
      <c r="R58" s="36">
        <f>'2025 Aύγουστος'!F25</f>
        <v>0</v>
      </c>
      <c r="S58" s="173">
        <f>'2025 Σεπτέμβριος'!D25</f>
        <v>0</v>
      </c>
      <c r="T58" s="36" t="e">
        <f>'2025 Σεπτέμβριος'!F25</f>
        <v>#REF!</v>
      </c>
      <c r="U58" s="173">
        <f>'2025 Οκτώβριος'!D25</f>
        <v>0</v>
      </c>
      <c r="V58" s="36" t="e">
        <f>'2025 Οκτώβριος'!F25</f>
        <v>#REF!</v>
      </c>
      <c r="W58" s="173">
        <f>'2025 Νοέμβριος'!D25</f>
        <v>0</v>
      </c>
      <c r="X58" s="36">
        <f>'2025 Νοέμβριος'!F25</f>
        <v>0</v>
      </c>
      <c r="Y58" s="173">
        <f>'2025 Δεκέμβριος'!D25</f>
        <v>0</v>
      </c>
      <c r="Z58" s="36">
        <f>'2025 Δεκέμβριος'!F25</f>
        <v>0</v>
      </c>
      <c r="AA58" s="36">
        <f t="shared" si="15"/>
        <v>0</v>
      </c>
    </row>
    <row r="59" spans="1:27" x14ac:dyDescent="0.25">
      <c r="A59" s="35" t="str">
        <f>'2025 Ιανουάριος'!C26</f>
        <v>Προμ. Συστ.Πελ. Γυμν.</v>
      </c>
      <c r="B59" s="35">
        <v>2025</v>
      </c>
      <c r="C59" s="173">
        <f>'2025 Ιανουάριος'!D26</f>
        <v>0</v>
      </c>
      <c r="D59" s="36">
        <f t="shared" si="14"/>
        <v>0</v>
      </c>
      <c r="E59" s="173">
        <f>'2025 Φεβρουάριος'!D26</f>
        <v>0</v>
      </c>
      <c r="F59" s="36">
        <f>'2025 Φεβρουάριος'!F26</f>
        <v>0</v>
      </c>
      <c r="G59" s="173">
        <f>'2025 Μάρτιος'!D26</f>
        <v>0</v>
      </c>
      <c r="H59" s="36">
        <f>'2025 Μάρτιος'!F26</f>
        <v>0</v>
      </c>
      <c r="I59" s="173">
        <f>'2025 Απρίλιος'!D26</f>
        <v>0</v>
      </c>
      <c r="J59" s="36">
        <f>'2025 Απρίλιος'!F26</f>
        <v>0</v>
      </c>
      <c r="K59" s="173">
        <f>'2025 Μάιος'!D26</f>
        <v>0</v>
      </c>
      <c r="L59" s="36">
        <f>'2025 Μάιος'!F26</f>
        <v>0</v>
      </c>
      <c r="M59" s="173">
        <f>'2025 Ιούνιος'!D26</f>
        <v>0</v>
      </c>
      <c r="N59" s="36">
        <f>'2025 Ιούνιος'!F26</f>
        <v>0</v>
      </c>
      <c r="O59" s="173">
        <f>'2025 Ιούλιος'!D26</f>
        <v>0</v>
      </c>
      <c r="P59" s="36">
        <f>'2025 Ιούλιος'!F26</f>
        <v>0</v>
      </c>
      <c r="Q59" s="173">
        <f>'2025 Aύγουστος'!D26</f>
        <v>0</v>
      </c>
      <c r="R59" s="36">
        <f>'2025 Aύγουστος'!F26</f>
        <v>0</v>
      </c>
      <c r="S59" s="173">
        <f>'2025 Σεπτέμβριος'!D26</f>
        <v>0</v>
      </c>
      <c r="T59" s="36" t="e">
        <f>'2025 Σεπτέμβριος'!F26</f>
        <v>#REF!</v>
      </c>
      <c r="U59" s="173">
        <f>'2025 Οκτώβριος'!D26</f>
        <v>0</v>
      </c>
      <c r="V59" s="36" t="e">
        <f>'2025 Οκτώβριος'!F26</f>
        <v>#REF!</v>
      </c>
      <c r="W59" s="173">
        <f>'2025 Νοέμβριος'!D26</f>
        <v>0</v>
      </c>
      <c r="X59" s="36">
        <f>'2025 Νοέμβριος'!F26</f>
        <v>0</v>
      </c>
      <c r="Y59" s="173">
        <f>'2025 Δεκέμβριος'!D26</f>
        <v>0</v>
      </c>
      <c r="Z59" s="36">
        <f>'2025 Δεκέμβριος'!F26</f>
        <v>0</v>
      </c>
      <c r="AA59" s="36">
        <f t="shared" si="15"/>
        <v>0</v>
      </c>
    </row>
    <row r="60" spans="1:27" x14ac:dyDescent="0.25">
      <c r="A60" s="35" t="str">
        <f>'2025 Ιανουάριος'!C27</f>
        <v>Προμ.Σύστ.Πελ. TRANSFER</v>
      </c>
      <c r="B60" s="35">
        <v>2025</v>
      </c>
      <c r="C60" s="173">
        <f>'2025 Ιανουάριος'!D27</f>
        <v>0</v>
      </c>
      <c r="D60" s="36">
        <f t="shared" si="14"/>
        <v>0</v>
      </c>
      <c r="E60" s="173">
        <f>'2025 Φεβρουάριος'!D27</f>
        <v>0</v>
      </c>
      <c r="F60" s="36">
        <f>'2025 Φεβρουάριος'!F27</f>
        <v>0</v>
      </c>
      <c r="G60" s="173">
        <f>'2025 Μάρτιος'!D27</f>
        <v>0</v>
      </c>
      <c r="H60" s="36">
        <f>'2025 Μάρτιος'!F27</f>
        <v>0</v>
      </c>
      <c r="I60" s="173">
        <f>'2025 Απρίλιος'!D27</f>
        <v>0</v>
      </c>
      <c r="J60" s="36">
        <f>'2025 Απρίλιος'!F27</f>
        <v>0</v>
      </c>
      <c r="K60" s="173">
        <f>'2025 Μάιος'!D27</f>
        <v>0</v>
      </c>
      <c r="L60" s="36">
        <f>'2025 Μάιος'!F27</f>
        <v>0</v>
      </c>
      <c r="M60" s="173">
        <f>'2025 Ιούνιος'!D27</f>
        <v>0</v>
      </c>
      <c r="N60" s="36">
        <f>'2025 Ιούνιος'!F27</f>
        <v>0</v>
      </c>
      <c r="O60" s="173">
        <f>'2025 Ιούλιος'!D27</f>
        <v>0</v>
      </c>
      <c r="P60" s="36">
        <f>'2025 Ιούλιος'!F27</f>
        <v>0</v>
      </c>
      <c r="Q60" s="173">
        <f>'2025 Aύγουστος'!D27</f>
        <v>0</v>
      </c>
      <c r="R60" s="36">
        <f>'2025 Aύγουστος'!F27</f>
        <v>0</v>
      </c>
      <c r="S60" s="173">
        <f>'2025 Σεπτέμβριος'!D27</f>
        <v>0</v>
      </c>
      <c r="T60" s="36" t="e">
        <f>'2025 Σεπτέμβριος'!F27</f>
        <v>#REF!</v>
      </c>
      <c r="U60" s="173">
        <f>'2025 Οκτώβριος'!D27</f>
        <v>0</v>
      </c>
      <c r="V60" s="36" t="e">
        <f>'2025 Οκτώβριος'!F27</f>
        <v>#REF!</v>
      </c>
      <c r="W60" s="173">
        <f>'2025 Νοέμβριος'!D27</f>
        <v>0</v>
      </c>
      <c r="X60" s="36">
        <f>'2025 Νοέμβριος'!F27</f>
        <v>0</v>
      </c>
      <c r="Y60" s="173">
        <f>'2025 Δεκέμβριος'!D27</f>
        <v>0</v>
      </c>
      <c r="Z60" s="36">
        <f>'2025 Δεκέμβριος'!F27</f>
        <v>0</v>
      </c>
      <c r="AA60" s="36">
        <f t="shared" si="15"/>
        <v>0</v>
      </c>
    </row>
    <row r="61" spans="1:27" x14ac:dyDescent="0.25">
      <c r="A61" s="35" t="str">
        <f>'2025 Ιανουάριος'!C28</f>
        <v>Προμ.Σύστ.Πελ.Εκδρ.- Ξεναγ.</v>
      </c>
      <c r="B61" s="35">
        <v>2025</v>
      </c>
      <c r="C61" s="173">
        <f>'2025 Ιανουάριος'!D28</f>
        <v>0</v>
      </c>
      <c r="D61" s="36">
        <f t="shared" si="14"/>
        <v>0</v>
      </c>
      <c r="E61" s="173">
        <f>'2025 Φεβρουάριος'!D28</f>
        <v>14.25</v>
      </c>
      <c r="F61" s="36">
        <f>'2025 Φεβρουάριος'!F28</f>
        <v>14.25</v>
      </c>
      <c r="G61" s="173">
        <f>'2025 Μάρτιος'!D28</f>
        <v>0</v>
      </c>
      <c r="H61" s="36">
        <f>'2025 Μάρτιος'!F28</f>
        <v>14.25</v>
      </c>
      <c r="I61" s="173">
        <f>'2025 Απρίλιος'!D28</f>
        <v>93.63</v>
      </c>
      <c r="J61" s="36">
        <f>'2025 Απρίλιος'!F28</f>
        <v>107.88</v>
      </c>
      <c r="K61" s="173">
        <f>'2025 Μάιος'!D28</f>
        <v>142.82</v>
      </c>
      <c r="L61" s="36">
        <f>'2025 Μάιος'!F28</f>
        <v>250.7</v>
      </c>
      <c r="M61" s="173">
        <f>'2025 Ιούνιος'!D28</f>
        <v>0</v>
      </c>
      <c r="N61" s="36">
        <f>'2025 Ιούνιος'!F28</f>
        <v>250.7</v>
      </c>
      <c r="O61" s="173">
        <f>'2025 Ιούλιος'!D28</f>
        <v>0</v>
      </c>
      <c r="P61" s="36">
        <f>'2025 Ιούλιος'!F28</f>
        <v>250.7</v>
      </c>
      <c r="Q61" s="173">
        <f>'2025 Aύγουστος'!D28</f>
        <v>0</v>
      </c>
      <c r="R61" s="36">
        <f>'2025 Aύγουστος'!F28</f>
        <v>250.7</v>
      </c>
      <c r="S61" s="173">
        <f>'2025 Σεπτέμβριος'!D28</f>
        <v>0</v>
      </c>
      <c r="T61" s="36" t="e">
        <f>'2025 Σεπτέμβριος'!F28</f>
        <v>#REF!</v>
      </c>
      <c r="U61" s="173">
        <f>'2025 Οκτώβριος'!D28</f>
        <v>0</v>
      </c>
      <c r="V61" s="36" t="e">
        <f>'2025 Οκτώβριος'!F28</f>
        <v>#REF!</v>
      </c>
      <c r="W61" s="173">
        <f>'2025 Νοέμβριος'!D28</f>
        <v>0</v>
      </c>
      <c r="X61" s="36">
        <f>'2025 Νοέμβριος'!F28</f>
        <v>250.7</v>
      </c>
      <c r="Y61" s="173">
        <f>'2025 Δεκέμβριος'!D28</f>
        <v>0</v>
      </c>
      <c r="Z61" s="36">
        <f>'2025 Δεκέμβριος'!F28</f>
        <v>250.7</v>
      </c>
      <c r="AA61" s="36">
        <f t="shared" si="15"/>
        <v>250.7</v>
      </c>
    </row>
    <row r="62" spans="1:27" x14ac:dyDescent="0.25">
      <c r="A62" s="35" t="str">
        <f>'2025 Ιανουάριος'!C29</f>
        <v>Προμ.Συστ.Πελ.Κρουαζιέρας</v>
      </c>
      <c r="B62" s="35">
        <v>2025</v>
      </c>
      <c r="C62" s="173">
        <f>'2025 Ιανουάριος'!D29</f>
        <v>0</v>
      </c>
      <c r="D62" s="36">
        <f t="shared" si="14"/>
        <v>0</v>
      </c>
      <c r="E62" s="173">
        <f>'2025 Φεβρουάριος'!D29</f>
        <v>0</v>
      </c>
      <c r="F62" s="36">
        <f>'2025 Φεβρουάριος'!F29</f>
        <v>0</v>
      </c>
      <c r="G62" s="173">
        <f>'2025 Μάρτιος'!D29</f>
        <v>0</v>
      </c>
      <c r="H62" s="36">
        <f>'2025 Μάρτιος'!F29</f>
        <v>0</v>
      </c>
      <c r="I62" s="173">
        <f>'2025 Απρίλιος'!D29</f>
        <v>0</v>
      </c>
      <c r="J62" s="36">
        <f>'2025 Απρίλιος'!F29</f>
        <v>0</v>
      </c>
      <c r="K62" s="173">
        <f>'2025 Μάιος'!D29</f>
        <v>0</v>
      </c>
      <c r="L62" s="36">
        <f>'2025 Μάιος'!F29</f>
        <v>0</v>
      </c>
      <c r="M62" s="173">
        <f>'2025 Ιούνιος'!D29</f>
        <v>0</v>
      </c>
      <c r="N62" s="36">
        <f>'2025 Ιούνιος'!F29</f>
        <v>0</v>
      </c>
      <c r="O62" s="173">
        <f>'2025 Ιούλιος'!D29</f>
        <v>0</v>
      </c>
      <c r="P62" s="36">
        <f>'2025 Ιούλιος'!F29</f>
        <v>0</v>
      </c>
      <c r="Q62" s="173">
        <f>'2025 Aύγουστος'!D29</f>
        <v>0</v>
      </c>
      <c r="R62" s="36">
        <f>'2025 Aύγουστος'!F29</f>
        <v>0</v>
      </c>
      <c r="S62" s="173">
        <f>'2025 Σεπτέμβριος'!D29</f>
        <v>0</v>
      </c>
      <c r="T62" s="36" t="e">
        <f>'2025 Σεπτέμβριος'!F29</f>
        <v>#REF!</v>
      </c>
      <c r="U62" s="173">
        <f>'2025 Οκτώβριος'!D29</f>
        <v>0</v>
      </c>
      <c r="V62" s="36" t="e">
        <f>'2025 Οκτώβριος'!F29</f>
        <v>#REF!</v>
      </c>
      <c r="W62" s="173">
        <f>'2025 Νοέμβριος'!D29</f>
        <v>0</v>
      </c>
      <c r="X62" s="36">
        <f>'2025 Νοέμβριος'!F29</f>
        <v>0</v>
      </c>
      <c r="Y62" s="173">
        <f>'2025 Δεκέμβριος'!D29</f>
        <v>0</v>
      </c>
      <c r="Z62" s="36">
        <f>'2025 Δεκέμβριος'!F29</f>
        <v>0</v>
      </c>
      <c r="AA62" s="36">
        <f t="shared" si="15"/>
        <v>0</v>
      </c>
    </row>
    <row r="63" spans="1:27" x14ac:dyDescent="0.25">
      <c r="A63" s="35" t="str">
        <f>'2025 Ιανουάριος'!C30</f>
        <v>Ασυνήθη έσοδα και κέρδη</v>
      </c>
      <c r="B63" s="35">
        <v>2025</v>
      </c>
      <c r="C63" s="173">
        <f>'2025 Ιανουάριος'!D30</f>
        <v>4</v>
      </c>
      <c r="D63" s="36">
        <f t="shared" si="14"/>
        <v>4</v>
      </c>
      <c r="E63" s="173">
        <f>'2025 Φεβρουάριος'!D30</f>
        <v>0</v>
      </c>
      <c r="F63" s="36">
        <f>'2025 Φεβρουάριος'!F30</f>
        <v>4</v>
      </c>
      <c r="G63" s="173">
        <f>'2025 Μάρτιος'!D30</f>
        <v>100</v>
      </c>
      <c r="H63" s="36">
        <f>'2025 Μάρτιος'!F30</f>
        <v>104</v>
      </c>
      <c r="I63" s="173">
        <f>'2025 Απρίλιος'!D30</f>
        <v>64.680000000000007</v>
      </c>
      <c r="J63" s="36">
        <f>'2025 Απρίλιος'!F30</f>
        <v>168.68</v>
      </c>
      <c r="K63" s="173">
        <f>'2025 Μάιος'!D30</f>
        <v>95.75</v>
      </c>
      <c r="L63" s="36">
        <f>'2025 Μάιος'!F30</f>
        <v>264.43</v>
      </c>
      <c r="M63" s="173">
        <f>'2025 Ιούνιος'!D30</f>
        <v>0</v>
      </c>
      <c r="N63" s="36">
        <f>'2025 Ιούνιος'!F30</f>
        <v>264.43</v>
      </c>
      <c r="O63" s="173">
        <f>'2025 Ιούλιος'!D30</f>
        <v>0</v>
      </c>
      <c r="P63" s="36">
        <f>'2025 Ιούλιος'!F30</f>
        <v>264.43</v>
      </c>
      <c r="Q63" s="173">
        <f>'2025 Aύγουστος'!D30</f>
        <v>0</v>
      </c>
      <c r="R63" s="36">
        <f>'2025 Aύγουστος'!F30</f>
        <v>264.43</v>
      </c>
      <c r="S63" s="173">
        <f>'2025 Σεπτέμβριος'!D30</f>
        <v>0</v>
      </c>
      <c r="T63" s="36" t="e">
        <f>'2025 Σεπτέμβριος'!F30</f>
        <v>#REF!</v>
      </c>
      <c r="U63" s="173">
        <f>'2025 Οκτώβριος'!D30</f>
        <v>0</v>
      </c>
      <c r="V63" s="36" t="e">
        <f>'2025 Οκτώβριος'!F30</f>
        <v>#REF!</v>
      </c>
      <c r="W63" s="173">
        <f>'2025 Νοέμβριος'!D30</f>
        <v>0</v>
      </c>
      <c r="X63" s="36">
        <f>'2025 Νοέμβριος'!F30</f>
        <v>264.43</v>
      </c>
      <c r="Y63" s="173">
        <f>'2025 Δεκέμβριος'!D30</f>
        <v>0</v>
      </c>
      <c r="Z63" s="36">
        <f>'2025 Δεκέμβριος'!F30</f>
        <v>264.43</v>
      </c>
      <c r="AA63" s="36">
        <f t="shared" si="15"/>
        <v>264.43</v>
      </c>
    </row>
    <row r="64" spans="1:27" x14ac:dyDescent="0.25">
      <c r="A64" s="35" t="str">
        <f>'2025 Ιανουάριος'!C31</f>
        <v>Φορος Παρεπιδημούντων</v>
      </c>
      <c r="B64" s="35">
        <v>2025</v>
      </c>
      <c r="C64" s="176">
        <f>'2025 Ιανουάριος'!D31</f>
        <v>-102.83</v>
      </c>
      <c r="D64" s="43">
        <f t="shared" si="14"/>
        <v>-102.83</v>
      </c>
      <c r="E64" s="176">
        <f>'2025 Φεβρουάριος'!D31</f>
        <v>-102.63</v>
      </c>
      <c r="F64" s="43">
        <f>'2025 Φεβρουάριος'!F31</f>
        <v>-205.45999999999998</v>
      </c>
      <c r="G64" s="176">
        <f>'2025 Μάρτιος'!D31</f>
        <v>-149.79</v>
      </c>
      <c r="H64" s="43">
        <f>'2025 Μάρτιος'!F31</f>
        <v>-355.25</v>
      </c>
      <c r="I64" s="176">
        <f>'2025 Απρίλιος'!D31</f>
        <v>-412.28</v>
      </c>
      <c r="J64" s="43">
        <f>'2025 Απρίλιος'!F31</f>
        <v>-767.53</v>
      </c>
      <c r="K64" s="176">
        <f>'2025 Μάιος'!D31</f>
        <v>-514.33000000000004</v>
      </c>
      <c r="L64" s="43">
        <f>'2025 Μάιος'!F31</f>
        <v>-1281.8600000000001</v>
      </c>
      <c r="M64" s="176">
        <f>'2025 Ιούνιος'!D31</f>
        <v>0</v>
      </c>
      <c r="N64" s="43">
        <f>'2025 Ιούνιος'!F31</f>
        <v>-1281.8600000000001</v>
      </c>
      <c r="O64" s="176">
        <f>'2025 Ιούλιος'!D31</f>
        <v>0</v>
      </c>
      <c r="P64" s="43">
        <f>'2025 Ιούλιος'!F31</f>
        <v>-1281.8600000000001</v>
      </c>
      <c r="Q64" s="176">
        <f>'2025 Aύγουστος'!D31</f>
        <v>0</v>
      </c>
      <c r="R64" s="43">
        <f>'2025 Aύγουστος'!F31</f>
        <v>-1281.8600000000001</v>
      </c>
      <c r="S64" s="176">
        <f>'2025 Σεπτέμβριος'!D31</f>
        <v>0</v>
      </c>
      <c r="T64" s="43" t="e">
        <f>'2025 Σεπτέμβριος'!F31</f>
        <v>#REF!</v>
      </c>
      <c r="U64" s="176">
        <f>'2025 Οκτώβριος'!D31</f>
        <v>0</v>
      </c>
      <c r="V64" s="43" t="e">
        <f>'2025 Οκτώβριος'!F31</f>
        <v>#REF!</v>
      </c>
      <c r="W64" s="176">
        <f>'2025 Νοέμβριος'!D31</f>
        <v>0</v>
      </c>
      <c r="X64" s="43">
        <f>'2025 Νοέμβριος'!F31</f>
        <v>-1281.8600000000001</v>
      </c>
      <c r="Y64" s="176">
        <f>'2025 Δεκέμβριος'!D31</f>
        <v>0</v>
      </c>
      <c r="Z64" s="43">
        <f>'2025 Δεκέμβριος'!F31</f>
        <v>-1281.8600000000001</v>
      </c>
      <c r="AA64" s="43">
        <f t="shared" si="15"/>
        <v>-1281.8600000000001</v>
      </c>
    </row>
    <row r="65" spans="1:30" x14ac:dyDescent="0.25">
      <c r="A65" s="156" t="str">
        <f>'2025 Ιανουάριος'!C32</f>
        <v xml:space="preserve">Πρόβλεψη </v>
      </c>
      <c r="B65" s="35">
        <v>2025</v>
      </c>
      <c r="C65" s="176">
        <f>'2025 Ιανουάριος'!D32</f>
        <v>0</v>
      </c>
      <c r="D65" s="43">
        <f t="shared" si="14"/>
        <v>0</v>
      </c>
      <c r="E65" s="176">
        <f>'2025 Φεβρουάριος'!D32</f>
        <v>0</v>
      </c>
      <c r="F65" s="43">
        <f>'2025 Φεβρουάριος'!F32</f>
        <v>0</v>
      </c>
      <c r="G65" s="176">
        <f>'2025 Μάρτιος'!D32</f>
        <v>0</v>
      </c>
      <c r="H65" s="43">
        <f>'2025 Μάρτιος'!F32</f>
        <v>0</v>
      </c>
      <c r="I65" s="176">
        <f>'2025 Απρίλιος'!D32</f>
        <v>0</v>
      </c>
      <c r="J65" s="43">
        <f>'2025 Απρίλιος'!F32</f>
        <v>0</v>
      </c>
      <c r="K65" s="173">
        <f>'2025 Μάιος'!D32</f>
        <v>0</v>
      </c>
      <c r="L65" s="36">
        <f>'2025 Μάιος'!F32</f>
        <v>0</v>
      </c>
      <c r="M65" s="173">
        <f>'2025 Ιούνιος'!D32</f>
        <v>0</v>
      </c>
      <c r="N65" s="36">
        <f>'2025 Ιούνιος'!F32</f>
        <v>0</v>
      </c>
      <c r="O65" s="173">
        <f>'2025 Ιούλιος'!D32</f>
        <v>0</v>
      </c>
      <c r="P65" s="36">
        <f>'2025 Ιούλιος'!F32</f>
        <v>0</v>
      </c>
      <c r="Q65" s="173">
        <f>'2025 Aύγουστος'!D32</f>
        <v>0</v>
      </c>
      <c r="R65" s="36">
        <f>'2025 Aύγουστος'!F32</f>
        <v>0</v>
      </c>
      <c r="S65" s="173">
        <f>'2025 Σεπτέμβριος'!D32</f>
        <v>0</v>
      </c>
      <c r="T65" s="36" t="e">
        <f>'2025 Σεπτέμβριος'!F32</f>
        <v>#REF!</v>
      </c>
      <c r="U65" s="173">
        <f>'2025 Οκτώβριος'!D32</f>
        <v>0</v>
      </c>
      <c r="V65" s="36" t="e">
        <f>'2025 Οκτώβριος'!F32</f>
        <v>#REF!</v>
      </c>
      <c r="W65" s="173">
        <f>'2025 Νοέμβριος'!D32</f>
        <v>0</v>
      </c>
      <c r="X65" s="36">
        <f>'2025 Νοέμβριος'!F32</f>
        <v>0</v>
      </c>
      <c r="Y65" s="173">
        <f>'2025 Δεκέμβριος'!D32</f>
        <v>0</v>
      </c>
      <c r="Z65" s="36">
        <f>'2025 Δεκέμβριος'!F32</f>
        <v>0</v>
      </c>
      <c r="AA65" s="36">
        <f t="shared" ref="AA65:AA70" si="16">C65+E65+G65+I65+K65+M65+O65+Q65+S65+U65+W65+Y65</f>
        <v>0</v>
      </c>
    </row>
    <row r="66" spans="1:30" x14ac:dyDescent="0.25">
      <c r="A66" s="156">
        <f>'2025 Ιανουάριος'!C33</f>
        <v>0</v>
      </c>
      <c r="B66" s="35">
        <v>2025</v>
      </c>
      <c r="C66" s="176">
        <f>'2025 Ιανουάριος'!D33</f>
        <v>0</v>
      </c>
      <c r="D66" s="43">
        <f t="shared" si="14"/>
        <v>0</v>
      </c>
      <c r="E66" s="176">
        <f>'2025 Φεβρουάριος'!D33</f>
        <v>0</v>
      </c>
      <c r="F66" s="43">
        <f>'2025 Φεβρουάριος'!F33</f>
        <v>0</v>
      </c>
      <c r="G66" s="176">
        <f>'2025 Μάρτιος'!D33</f>
        <v>0</v>
      </c>
      <c r="H66" s="43">
        <f>'2025 Μάρτιος'!F33</f>
        <v>0</v>
      </c>
      <c r="I66" s="176">
        <f>'2025 Απρίλιος'!D33</f>
        <v>0</v>
      </c>
      <c r="J66" s="43">
        <f>'2025 Απρίλιος'!F33</f>
        <v>0</v>
      </c>
      <c r="K66" s="173">
        <f>'2025 Μάιος'!D33</f>
        <v>0</v>
      </c>
      <c r="L66" s="36">
        <f>'2025 Μάιος'!F33</f>
        <v>0</v>
      </c>
      <c r="M66" s="173">
        <f>'2025 Ιούνιος'!D33</f>
        <v>0</v>
      </c>
      <c r="N66" s="36">
        <f>'2025 Ιούνιος'!F33</f>
        <v>0</v>
      </c>
      <c r="O66" s="173">
        <f>'2025 Ιούλιος'!D33</f>
        <v>0</v>
      </c>
      <c r="P66" s="36">
        <f>'2025 Ιούλιος'!F33</f>
        <v>0</v>
      </c>
      <c r="Q66" s="173">
        <f>'2025 Aύγουστος'!D33</f>
        <v>0</v>
      </c>
      <c r="R66" s="36">
        <f>'2025 Aύγουστος'!F33</f>
        <v>0</v>
      </c>
      <c r="S66" s="173">
        <f>'2025 Σεπτέμβριος'!D33</f>
        <v>0</v>
      </c>
      <c r="T66" s="36" t="e">
        <f>'2025 Σεπτέμβριος'!F33</f>
        <v>#REF!</v>
      </c>
      <c r="U66" s="173">
        <f>'2025 Οκτώβριος'!D33</f>
        <v>0</v>
      </c>
      <c r="V66" s="36" t="e">
        <f>'2025 Οκτώβριος'!F33</f>
        <v>#REF!</v>
      </c>
      <c r="W66" s="173">
        <f>'2025 Νοέμβριος'!D33</f>
        <v>0</v>
      </c>
      <c r="X66" s="36">
        <f>'2025 Νοέμβριος'!F33</f>
        <v>0</v>
      </c>
      <c r="Y66" s="173">
        <f>'2025 Δεκέμβριος'!D33</f>
        <v>0</v>
      </c>
      <c r="Z66" s="36">
        <f>'2025 Δεκέμβριος'!F33</f>
        <v>0</v>
      </c>
      <c r="AA66" s="36">
        <f t="shared" si="16"/>
        <v>0</v>
      </c>
    </row>
    <row r="67" spans="1:30" x14ac:dyDescent="0.25">
      <c r="A67" s="156">
        <f>'2025 Ιανουάριος'!C34</f>
        <v>0</v>
      </c>
      <c r="B67" s="35">
        <v>2025</v>
      </c>
      <c r="C67" s="176">
        <f>'2025 Ιανουάριος'!D34</f>
        <v>0</v>
      </c>
      <c r="D67" s="43">
        <f t="shared" si="14"/>
        <v>0</v>
      </c>
      <c r="E67" s="176">
        <f>'2025 Φεβρουάριος'!D34</f>
        <v>0</v>
      </c>
      <c r="F67" s="43">
        <f>'2025 Φεβρουάριος'!F34</f>
        <v>0</v>
      </c>
      <c r="G67" s="176">
        <f>'2025 Μάρτιος'!D34</f>
        <v>0</v>
      </c>
      <c r="H67" s="43">
        <f>'2025 Μάρτιος'!F34</f>
        <v>0</v>
      </c>
      <c r="I67" s="176">
        <f>'2025 Απρίλιος'!D34</f>
        <v>0</v>
      </c>
      <c r="J67" s="43">
        <f>'2025 Απρίλιος'!F34</f>
        <v>0</v>
      </c>
      <c r="K67" s="173">
        <f>'2025 Μάιος'!D34</f>
        <v>0</v>
      </c>
      <c r="L67" s="36">
        <f>'2025 Μάιος'!F34</f>
        <v>0</v>
      </c>
      <c r="M67" s="173">
        <f>'2025 Ιούνιος'!D34</f>
        <v>0</v>
      </c>
      <c r="N67" s="36">
        <f>'2025 Ιούνιος'!F34</f>
        <v>0</v>
      </c>
      <c r="O67" s="173">
        <f>'2025 Ιούλιος'!D34</f>
        <v>0</v>
      </c>
      <c r="P67" s="36">
        <f>'2025 Ιούλιος'!F34</f>
        <v>0</v>
      </c>
      <c r="Q67" s="173">
        <f>'2025 Aύγουστος'!D34</f>
        <v>0</v>
      </c>
      <c r="R67" s="36">
        <f>'2025 Aύγουστος'!F34</f>
        <v>0</v>
      </c>
      <c r="S67" s="173">
        <f>'2025 Σεπτέμβριος'!D34</f>
        <v>0</v>
      </c>
      <c r="T67" s="36" t="e">
        <f>'2025 Σεπτέμβριος'!F34</f>
        <v>#REF!</v>
      </c>
      <c r="U67" s="173">
        <f>'2025 Οκτώβριος'!D34</f>
        <v>0</v>
      </c>
      <c r="V67" s="36" t="e">
        <f>'2025 Οκτώβριος'!F34</f>
        <v>#REF!</v>
      </c>
      <c r="W67" s="173">
        <f>'2025 Νοέμβριος'!D34</f>
        <v>0</v>
      </c>
      <c r="X67" s="36">
        <f>'2025 Νοέμβριος'!F34</f>
        <v>0</v>
      </c>
      <c r="Y67" s="173">
        <f>'2025 Δεκέμβριος'!D34</f>
        <v>0</v>
      </c>
      <c r="Z67" s="36">
        <f>'2025 Δεκέμβριος'!F34</f>
        <v>0</v>
      </c>
      <c r="AA67" s="36">
        <f>C67+E67+G67+I67+K67+M67+O67+Q67+S67+U67+W67+Y67</f>
        <v>0</v>
      </c>
    </row>
    <row r="68" spans="1:30" x14ac:dyDescent="0.25">
      <c r="A68" s="156">
        <f>'2025 Ιανουάριος'!C35</f>
        <v>0</v>
      </c>
      <c r="B68" s="35">
        <v>2025</v>
      </c>
      <c r="C68" s="176">
        <f>'2025 Ιανουάριος'!D35</f>
        <v>0</v>
      </c>
      <c r="D68" s="43">
        <f t="shared" si="14"/>
        <v>0</v>
      </c>
      <c r="E68" s="176">
        <f>'2025 Φεβρουάριος'!D35</f>
        <v>0</v>
      </c>
      <c r="F68" s="43">
        <f>'2025 Φεβρουάριος'!F35</f>
        <v>0</v>
      </c>
      <c r="G68" s="176">
        <f>'2025 Μάρτιος'!D35</f>
        <v>0</v>
      </c>
      <c r="H68" s="43">
        <f>'2025 Μάρτιος'!F35</f>
        <v>0</v>
      </c>
      <c r="I68" s="176">
        <f>'2025 Απρίλιος'!D35</f>
        <v>0</v>
      </c>
      <c r="J68" s="43">
        <f>'2025 Απρίλιος'!F35</f>
        <v>0</v>
      </c>
      <c r="K68" s="173">
        <f>'2025 Μάιος'!D35</f>
        <v>0</v>
      </c>
      <c r="L68" s="36">
        <f>'2025 Μάιος'!F35</f>
        <v>0</v>
      </c>
      <c r="M68" s="173">
        <f>'2025 Ιούνιος'!D35</f>
        <v>0</v>
      </c>
      <c r="N68" s="36">
        <f>'2025 Ιούνιος'!F35</f>
        <v>0</v>
      </c>
      <c r="O68" s="173">
        <f>'2025 Ιούλιος'!D35</f>
        <v>0</v>
      </c>
      <c r="P68" s="36">
        <f>'2025 Ιούλιος'!F35</f>
        <v>0</v>
      </c>
      <c r="Q68" s="173">
        <f>'2025 Aύγουστος'!D35</f>
        <v>0</v>
      </c>
      <c r="R68" s="36">
        <f>'2025 Aύγουστος'!F35</f>
        <v>0</v>
      </c>
      <c r="S68" s="173">
        <f>'2025 Σεπτέμβριος'!D35</f>
        <v>0</v>
      </c>
      <c r="T68" s="36" t="e">
        <f>'2025 Σεπτέμβριος'!F35</f>
        <v>#REF!</v>
      </c>
      <c r="U68" s="173">
        <f>'2025 Οκτώβριος'!D35</f>
        <v>0</v>
      </c>
      <c r="V68" s="36" t="e">
        <f>'2025 Οκτώβριος'!F35</f>
        <v>#REF!</v>
      </c>
      <c r="W68" s="173">
        <f>'2025 Νοέμβριος'!D35</f>
        <v>0</v>
      </c>
      <c r="X68" s="36">
        <f>'2025 Νοέμβριος'!F35</f>
        <v>0</v>
      </c>
      <c r="Y68" s="173">
        <f>'2025 Δεκέμβριος'!D35</f>
        <v>0</v>
      </c>
      <c r="Z68" s="36">
        <f>'2025 Δεκέμβριος'!F35</f>
        <v>0</v>
      </c>
      <c r="AA68" s="36">
        <f t="shared" si="16"/>
        <v>0</v>
      </c>
    </row>
    <row r="69" spans="1:30" x14ac:dyDescent="0.25">
      <c r="A69" s="156">
        <f>'2025 Ιανουάριος'!C36</f>
        <v>0</v>
      </c>
      <c r="B69" s="35">
        <v>2025</v>
      </c>
      <c r="C69" s="176">
        <f>'2025 Ιανουάριος'!D36</f>
        <v>0</v>
      </c>
      <c r="D69" s="43">
        <f t="shared" si="14"/>
        <v>0</v>
      </c>
      <c r="E69" s="176">
        <f>'2025 Φεβρουάριος'!D36</f>
        <v>0</v>
      </c>
      <c r="F69" s="43">
        <f>'2025 Φεβρουάριος'!F36</f>
        <v>0</v>
      </c>
      <c r="G69" s="176">
        <f>'2025 Μάρτιος'!D36</f>
        <v>0</v>
      </c>
      <c r="H69" s="43">
        <f>'2025 Μάρτιος'!F36</f>
        <v>0</v>
      </c>
      <c r="I69" s="176">
        <f>'2025 Απρίλιος'!D36</f>
        <v>0</v>
      </c>
      <c r="J69" s="43">
        <f>'2025 Απρίλιος'!F36</f>
        <v>0</v>
      </c>
      <c r="K69" s="173">
        <f>'2025 Μάιος'!D36</f>
        <v>0</v>
      </c>
      <c r="L69" s="36">
        <f>'2025 Μάιος'!F36</f>
        <v>0</v>
      </c>
      <c r="M69" s="173">
        <f>'2025 Ιούνιος'!D36</f>
        <v>0</v>
      </c>
      <c r="N69" s="36">
        <f>'2025 Ιούνιος'!F36</f>
        <v>0</v>
      </c>
      <c r="O69" s="173">
        <f>'2025 Ιούλιος'!D36</f>
        <v>0</v>
      </c>
      <c r="P69" s="36">
        <f>'2025 Ιούλιος'!F36</f>
        <v>0</v>
      </c>
      <c r="Q69" s="173">
        <f>'2025 Aύγουστος'!D36</f>
        <v>0</v>
      </c>
      <c r="R69" s="36">
        <f>'2025 Aύγουστος'!F36</f>
        <v>0</v>
      </c>
      <c r="S69" s="173">
        <f>'2025 Σεπτέμβριος'!D36</f>
        <v>0</v>
      </c>
      <c r="T69" s="36" t="e">
        <f>'2025 Σεπτέμβριος'!F36</f>
        <v>#REF!</v>
      </c>
      <c r="U69" s="173">
        <f>'2025 Οκτώβριος'!D36</f>
        <v>0</v>
      </c>
      <c r="V69" s="36" t="e">
        <f>'2025 Οκτώβριος'!F36</f>
        <v>#REF!</v>
      </c>
      <c r="W69" s="173">
        <f>'2025 Νοέμβριος'!D36</f>
        <v>0</v>
      </c>
      <c r="X69" s="36">
        <f>'2025 Νοέμβριος'!F36</f>
        <v>0</v>
      </c>
      <c r="Y69" s="173">
        <f>'2025 Δεκέμβριος'!D36</f>
        <v>0</v>
      </c>
      <c r="Z69" s="36">
        <f>'2025 Δεκέμβριος'!F36</f>
        <v>0</v>
      </c>
      <c r="AA69" s="36">
        <f t="shared" si="16"/>
        <v>0</v>
      </c>
    </row>
    <row r="70" spans="1:30" x14ac:dyDescent="0.25">
      <c r="A70" s="156">
        <f>'2025 Ιανουάριος'!C37</f>
        <v>0</v>
      </c>
      <c r="B70" s="35">
        <v>2025</v>
      </c>
      <c r="C70" s="176">
        <f>'2025 Ιανουάριος'!D37</f>
        <v>0</v>
      </c>
      <c r="D70" s="43">
        <f t="shared" si="14"/>
        <v>0</v>
      </c>
      <c r="E70" s="176">
        <f>'2025 Φεβρουάριος'!D37</f>
        <v>0</v>
      </c>
      <c r="F70" s="43">
        <f>'2025 Φεβρουάριος'!F37</f>
        <v>0</v>
      </c>
      <c r="G70" s="176">
        <f>'2025 Μάρτιος'!D37</f>
        <v>0</v>
      </c>
      <c r="H70" s="43">
        <f>'2025 Μάρτιος'!F37</f>
        <v>0</v>
      </c>
      <c r="I70" s="176">
        <f>'2025 Απρίλιος'!D37</f>
        <v>0</v>
      </c>
      <c r="J70" s="43">
        <f>'2025 Απρίλιος'!F37</f>
        <v>0</v>
      </c>
      <c r="K70" s="176">
        <f>'2025 Μάιος'!D37</f>
        <v>0</v>
      </c>
      <c r="L70" s="43">
        <f>'2025 Μάιος'!F37</f>
        <v>0</v>
      </c>
      <c r="M70" s="176">
        <f>'2025 Ιούνιος'!D37</f>
        <v>0</v>
      </c>
      <c r="N70" s="43">
        <f>'2025 Ιούνιος'!F37</f>
        <v>0</v>
      </c>
      <c r="O70" s="176">
        <f>'2025 Ιούλιος'!D37</f>
        <v>0</v>
      </c>
      <c r="P70" s="43">
        <f>'2025 Ιούλιος'!F37</f>
        <v>0</v>
      </c>
      <c r="Q70" s="176">
        <f>'2025 Aύγουστος'!D37</f>
        <v>0</v>
      </c>
      <c r="R70" s="43">
        <f>'2025 Aύγουστος'!F37</f>
        <v>0</v>
      </c>
      <c r="S70" s="176">
        <f>'2025 Σεπτέμβριος'!D37</f>
        <v>0</v>
      </c>
      <c r="T70" s="43" t="e">
        <f>'2025 Σεπτέμβριος'!F37</f>
        <v>#REF!</v>
      </c>
      <c r="U70" s="176">
        <f>'2025 Οκτώβριος'!D37</f>
        <v>0</v>
      </c>
      <c r="V70" s="43" t="e">
        <f>'2025 Οκτώβριος'!F37</f>
        <v>#REF!</v>
      </c>
      <c r="W70" s="176">
        <f>'2025 Νοέμβριος'!D37</f>
        <v>0</v>
      </c>
      <c r="X70" s="43">
        <f>'2025 Νοέμβριος'!F37</f>
        <v>0</v>
      </c>
      <c r="Y70" s="176">
        <f>'2025 Δεκέμβριος'!D37</f>
        <v>0</v>
      </c>
      <c r="Z70" s="43">
        <f>'2025 Δεκέμβριος'!F37</f>
        <v>0</v>
      </c>
      <c r="AA70" s="43">
        <f t="shared" si="16"/>
        <v>0</v>
      </c>
    </row>
    <row r="71" spans="1:30" x14ac:dyDescent="0.25">
      <c r="A71" s="35" t="s">
        <v>112</v>
      </c>
      <c r="B71" s="157"/>
      <c r="C71" s="177" t="e">
        <f>SUM(C41:C64)</f>
        <v>#REF!</v>
      </c>
      <c r="D71" s="158">
        <f>'2025 Ιανουάριος'!F7</f>
        <v>20753.899999999998</v>
      </c>
      <c r="E71" s="177">
        <f>'2025 Φεβρουάριος'!D32</f>
        <v>0</v>
      </c>
      <c r="F71" s="158">
        <f>'2025 Φεβρουάριος'!F32</f>
        <v>0</v>
      </c>
      <c r="G71" s="177" t="e">
        <f t="shared" ref="G71:AA71" si="17">SUM(G41:G64)</f>
        <v>#REF!</v>
      </c>
      <c r="H71" s="158" t="e">
        <f t="shared" si="17"/>
        <v>#REF!</v>
      </c>
      <c r="I71" s="177" t="e">
        <f t="shared" si="17"/>
        <v>#REF!</v>
      </c>
      <c r="J71" s="158" t="e">
        <f t="shared" si="17"/>
        <v>#REF!</v>
      </c>
      <c r="K71" s="177" t="e">
        <f t="shared" si="17"/>
        <v>#REF!</v>
      </c>
      <c r="L71" s="158" t="e">
        <f t="shared" si="17"/>
        <v>#REF!</v>
      </c>
      <c r="M71" s="177" t="e">
        <f t="shared" si="17"/>
        <v>#REF!</v>
      </c>
      <c r="N71" s="158" t="e">
        <f t="shared" si="17"/>
        <v>#REF!</v>
      </c>
      <c r="O71" s="177" t="e">
        <f t="shared" si="17"/>
        <v>#REF!</v>
      </c>
      <c r="P71" s="158" t="e">
        <f t="shared" si="17"/>
        <v>#REF!</v>
      </c>
      <c r="Q71" s="177" t="e">
        <f t="shared" si="17"/>
        <v>#REF!</v>
      </c>
      <c r="R71" s="158" t="e">
        <f t="shared" si="17"/>
        <v>#REF!</v>
      </c>
      <c r="S71" s="177" t="e">
        <f t="shared" si="17"/>
        <v>#REF!</v>
      </c>
      <c r="T71" s="158" t="e">
        <f t="shared" si="17"/>
        <v>#REF!</v>
      </c>
      <c r="U71" s="177" t="e">
        <f t="shared" si="17"/>
        <v>#REF!</v>
      </c>
      <c r="V71" s="158" t="e">
        <f t="shared" si="17"/>
        <v>#REF!</v>
      </c>
      <c r="W71" s="177" t="e">
        <f t="shared" si="17"/>
        <v>#REF!</v>
      </c>
      <c r="X71" s="158" t="e">
        <f t="shared" si="17"/>
        <v>#REF!</v>
      </c>
      <c r="Y71" s="177" t="e">
        <f t="shared" si="17"/>
        <v>#REF!</v>
      </c>
      <c r="Z71" s="158" t="e">
        <f t="shared" si="17"/>
        <v>#REF!</v>
      </c>
      <c r="AA71" s="158" t="e">
        <f t="shared" si="17"/>
        <v>#REF!</v>
      </c>
    </row>
    <row r="72" spans="1:30" x14ac:dyDescent="0.25">
      <c r="A72" s="35" t="s">
        <v>113</v>
      </c>
      <c r="B72" s="35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</row>
    <row r="75" spans="1:30" ht="26.25" x14ac:dyDescent="0.4">
      <c r="A75" s="167">
        <v>2024</v>
      </c>
    </row>
    <row r="76" spans="1:30" x14ac:dyDescent="0.25">
      <c r="A76" s="35" t="s">
        <v>86</v>
      </c>
      <c r="B76" s="35" t="s">
        <v>87</v>
      </c>
      <c r="C76" s="172" t="s">
        <v>114</v>
      </c>
      <c r="D76" s="35" t="s">
        <v>115</v>
      </c>
      <c r="E76" s="172" t="s">
        <v>116</v>
      </c>
      <c r="F76" s="35" t="s">
        <v>117</v>
      </c>
      <c r="G76" s="172" t="s">
        <v>118</v>
      </c>
      <c r="H76" s="35" t="s">
        <v>119</v>
      </c>
      <c r="I76" s="172" t="s">
        <v>120</v>
      </c>
      <c r="J76" s="35" t="s">
        <v>121</v>
      </c>
      <c r="K76" s="172" t="s">
        <v>122</v>
      </c>
      <c r="L76" s="35" t="s">
        <v>145</v>
      </c>
      <c r="M76" s="172" t="s">
        <v>123</v>
      </c>
      <c r="N76" s="35" t="s">
        <v>124</v>
      </c>
      <c r="O76" s="172" t="s">
        <v>125</v>
      </c>
      <c r="P76" s="35" t="s">
        <v>126</v>
      </c>
      <c r="Q76" s="172" t="s">
        <v>127</v>
      </c>
      <c r="R76" s="35" t="s">
        <v>128</v>
      </c>
      <c r="S76" s="172" t="s">
        <v>129</v>
      </c>
      <c r="T76" s="35" t="s">
        <v>130</v>
      </c>
      <c r="U76" s="172" t="s">
        <v>131</v>
      </c>
      <c r="V76" s="35" t="s">
        <v>132</v>
      </c>
      <c r="W76" s="172" t="s">
        <v>133</v>
      </c>
      <c r="X76" s="35" t="s">
        <v>134</v>
      </c>
      <c r="Y76" s="172" t="s">
        <v>135</v>
      </c>
      <c r="Z76" s="35" t="s">
        <v>110</v>
      </c>
      <c r="AA76" s="172" t="s">
        <v>159</v>
      </c>
    </row>
    <row r="77" spans="1:30" x14ac:dyDescent="0.25">
      <c r="A77" s="35" t="str">
        <f>'2025 Ιανουάριος'!C8</f>
        <v>Εσοδα Φιλοξενείας-Διαμονής</v>
      </c>
      <c r="B77" s="35">
        <v>2024</v>
      </c>
      <c r="C77" s="173">
        <f>'2025 Ιανουάριος'!L8</f>
        <v>11109.16</v>
      </c>
      <c r="D77" s="36">
        <f t="shared" ref="D77:D99" si="18">C77</f>
        <v>11109.16</v>
      </c>
      <c r="E77" s="173">
        <f>'2025 Φεβρουάριος'!L8</f>
        <v>15707.256637168099</v>
      </c>
      <c r="F77" s="36">
        <f t="shared" ref="F77:F99" si="19">D77+E77</f>
        <v>26816.416637168099</v>
      </c>
      <c r="G77" s="173">
        <f>'2025 Μάρτιος'!L8</f>
        <v>25251.761061946901</v>
      </c>
      <c r="H77" s="36">
        <f t="shared" ref="H77:H95" si="20">F77+G77</f>
        <v>52068.177699114996</v>
      </c>
      <c r="I77" s="173">
        <f>'2025 Απρίλιος'!L8</f>
        <v>61207.442477876102</v>
      </c>
      <c r="J77" s="36">
        <f t="shared" ref="J77:J95" si="21">H77+I77</f>
        <v>113275.6201769911</v>
      </c>
      <c r="K77" s="173">
        <f>'2025 Μάιος'!L8</f>
        <v>64011.902654867299</v>
      </c>
      <c r="L77" s="36">
        <f t="shared" ref="L77:L95" si="22">J77+K77</f>
        <v>177287.5228318584</v>
      </c>
      <c r="M77" s="173">
        <f>'2025 Ιούνιος'!L8</f>
        <v>75778.42</v>
      </c>
      <c r="N77" s="36">
        <f t="shared" ref="N77:N95" si="23">L77+M77</f>
        <v>253065.94283185841</v>
      </c>
      <c r="O77" s="173">
        <f>'2025 Ιούλιος'!L8</f>
        <v>72744.490000000005</v>
      </c>
      <c r="P77" s="36">
        <f t="shared" ref="P77:P95" si="24">N77+O77</f>
        <v>325810.4328318584</v>
      </c>
      <c r="Q77" s="173">
        <f>'2025 Aύγουστος'!L8</f>
        <v>62815.14</v>
      </c>
      <c r="R77" s="36">
        <f t="shared" ref="R77:R95" si="25">P77+Q77</f>
        <v>388625.57283185842</v>
      </c>
      <c r="S77" s="173">
        <f>'2025 Σεπτέμβριος'!L8</f>
        <v>66655.538672566399</v>
      </c>
      <c r="T77" s="36">
        <f t="shared" ref="T77:T95" si="26">R77+S77</f>
        <v>455281.11150442483</v>
      </c>
      <c r="U77" s="173">
        <f>'2025 Οκτώβριος'!L8</f>
        <v>69039.8</v>
      </c>
      <c r="V77" s="36">
        <f t="shared" ref="V77:V95" si="27">T77+U77</f>
        <v>524320.91150442488</v>
      </c>
      <c r="W77" s="173">
        <f>'2025 Νοέμβριος'!L8</f>
        <v>23056.07</v>
      </c>
      <c r="X77" s="36">
        <f t="shared" ref="X77:X95" si="28">V77+W77</f>
        <v>547376.98150442482</v>
      </c>
      <c r="Y77" s="173">
        <f>'2025 Δεκέμβριος'!L8</f>
        <v>35454.42</v>
      </c>
      <c r="Z77" s="36">
        <f t="shared" ref="Z77:Z95" si="29">X77+Y77</f>
        <v>582831.40150442487</v>
      </c>
      <c r="AA77" s="173">
        <f t="shared" ref="AA77:AA95" si="30">C77+E77+G77+I77+K77+M77+O77+Q77+S77+U77+W77+Y77</f>
        <v>582831.40150442487</v>
      </c>
      <c r="AD77" s="37">
        <f t="shared" ref="AD77:AD100" si="31">IF(C41&lt;&gt;0,C77,0) + IF(E41&lt;&gt;0,E77,0) + IF(G41&lt;&gt;0,G77,0) +
IF(I41&lt;&gt;0,I77,0) + IF(K41&lt;&gt;0,K77,0) + IF(M41&lt;&gt;0,M77,0) +
IF(O41&lt;&gt;0,O77,0) + IF(Q41&lt;&gt;0,Q77,0) + IF(S41&lt;&gt;0,S77,0) +
IF(U41&lt;&gt;0,U77,0) + IF(W41&lt;&gt;0,W77,0) + IF(Y41&lt;&gt;0,Y77,0)</f>
        <v>177287.5228318584</v>
      </c>
    </row>
    <row r="78" spans="1:30" x14ac:dyDescent="0.25">
      <c r="A78" s="35" t="str">
        <f>'2025 Ιανουάριος'!C9</f>
        <v>Early Check in/Check Out</v>
      </c>
      <c r="B78" s="35">
        <v>2024</v>
      </c>
      <c r="C78" s="173">
        <f>'2025 Ιανουάριος'!L9</f>
        <v>0</v>
      </c>
      <c r="D78" s="36">
        <f t="shared" si="18"/>
        <v>0</v>
      </c>
      <c r="E78" s="173">
        <f>'2025 Φεβρουάριος'!L9</f>
        <v>0</v>
      </c>
      <c r="F78" s="36">
        <f t="shared" si="19"/>
        <v>0</v>
      </c>
      <c r="G78" s="173">
        <f>'2025 Μάρτιος'!L9</f>
        <v>0</v>
      </c>
      <c r="H78" s="36">
        <f t="shared" si="20"/>
        <v>0</v>
      </c>
      <c r="I78" s="173">
        <f>'2025 Απρίλιος'!L9</f>
        <v>0</v>
      </c>
      <c r="J78" s="36">
        <f t="shared" si="21"/>
        <v>0</v>
      </c>
      <c r="K78" s="173">
        <f>'2025 Μάιος'!L9</f>
        <v>0</v>
      </c>
      <c r="L78" s="36">
        <f t="shared" si="22"/>
        <v>0</v>
      </c>
      <c r="M78" s="173">
        <f>'2025 Ιούνιος'!L9</f>
        <v>0</v>
      </c>
      <c r="N78" s="36">
        <f t="shared" si="23"/>
        <v>0</v>
      </c>
      <c r="O78" s="173">
        <f>'2025 Ιούλιος'!L9</f>
        <v>0</v>
      </c>
      <c r="P78" s="36">
        <f t="shared" si="24"/>
        <v>0</v>
      </c>
      <c r="Q78" s="173">
        <f>'2025 Aύγουστος'!L9</f>
        <v>0</v>
      </c>
      <c r="R78" s="36">
        <f t="shared" si="25"/>
        <v>0</v>
      </c>
      <c r="S78" s="173">
        <f>'2025 Σεπτέμβριος'!L9</f>
        <v>0</v>
      </c>
      <c r="T78" s="36">
        <f t="shared" si="26"/>
        <v>0</v>
      </c>
      <c r="U78" s="173">
        <f>'2025 Οκτώβριος'!L9</f>
        <v>0</v>
      </c>
      <c r="V78" s="36">
        <f t="shared" si="27"/>
        <v>0</v>
      </c>
      <c r="W78" s="173">
        <f>'2025 Νοέμβριος'!L9</f>
        <v>0</v>
      </c>
      <c r="X78" s="36">
        <f t="shared" si="28"/>
        <v>0</v>
      </c>
      <c r="Y78" s="173">
        <f>'2025 Δεκέμβριος'!L9</f>
        <v>0</v>
      </c>
      <c r="Z78" s="36">
        <f t="shared" si="29"/>
        <v>0</v>
      </c>
      <c r="AA78" s="173">
        <f t="shared" si="30"/>
        <v>0</v>
      </c>
      <c r="AD78" s="37">
        <f t="shared" si="31"/>
        <v>0</v>
      </c>
    </row>
    <row r="79" spans="1:30" x14ac:dyDescent="0.25">
      <c r="A79" s="35" t="str">
        <f>'2025 Ιανουάριος'!C10</f>
        <v xml:space="preserve">Πρωινό ( Εξτρα ) </v>
      </c>
      <c r="B79" s="35">
        <v>2024</v>
      </c>
      <c r="C79" s="173">
        <f>'2025 Ιανουάριος'!L10</f>
        <v>0</v>
      </c>
      <c r="D79" s="36">
        <f t="shared" si="18"/>
        <v>0</v>
      </c>
      <c r="E79" s="173">
        <f>'2025 Φεβρουάριος'!L10</f>
        <v>0</v>
      </c>
      <c r="F79" s="36">
        <f t="shared" si="19"/>
        <v>0</v>
      </c>
      <c r="G79" s="173">
        <f>'2025 Μάρτιος'!L10</f>
        <v>0</v>
      </c>
      <c r="H79" s="36">
        <f t="shared" si="20"/>
        <v>0</v>
      </c>
      <c r="I79" s="173">
        <f>'2025 Απρίλιος'!L10</f>
        <v>0</v>
      </c>
      <c r="J79" s="36">
        <f t="shared" si="21"/>
        <v>0</v>
      </c>
      <c r="K79" s="173">
        <f>'2025 Μάιος'!L10</f>
        <v>0</v>
      </c>
      <c r="L79" s="36">
        <f t="shared" si="22"/>
        <v>0</v>
      </c>
      <c r="M79" s="173">
        <f>'2025 Ιούνιος'!L10</f>
        <v>0</v>
      </c>
      <c r="N79" s="36">
        <f t="shared" si="23"/>
        <v>0</v>
      </c>
      <c r="O79" s="173">
        <f>'2025 Ιούλιος'!L10</f>
        <v>0</v>
      </c>
      <c r="P79" s="36">
        <f t="shared" si="24"/>
        <v>0</v>
      </c>
      <c r="Q79" s="173">
        <f>'2025 Aύγουστος'!L10</f>
        <v>0</v>
      </c>
      <c r="R79" s="36">
        <f t="shared" si="25"/>
        <v>0</v>
      </c>
      <c r="S79" s="173">
        <f>'2025 Σεπτέμβριος'!L10</f>
        <v>0</v>
      </c>
      <c r="T79" s="36">
        <f t="shared" si="26"/>
        <v>0</v>
      </c>
      <c r="U79" s="173">
        <f>'2025 Οκτώβριος'!L10</f>
        <v>0</v>
      </c>
      <c r="V79" s="36">
        <f t="shared" si="27"/>
        <v>0</v>
      </c>
      <c r="W79" s="173">
        <f>'2025 Νοέμβριος'!L10</f>
        <v>0</v>
      </c>
      <c r="X79" s="36">
        <f t="shared" si="28"/>
        <v>0</v>
      </c>
      <c r="Y79" s="173">
        <f>'2025 Δεκέμβριος'!L10</f>
        <v>0</v>
      </c>
      <c r="Z79" s="36">
        <f t="shared" si="29"/>
        <v>0</v>
      </c>
      <c r="AA79" s="173">
        <f t="shared" si="30"/>
        <v>0</v>
      </c>
      <c r="AD79" s="37">
        <f t="shared" si="31"/>
        <v>0</v>
      </c>
    </row>
    <row r="80" spans="1:30" x14ac:dyDescent="0.25">
      <c r="A80" s="35" t="str">
        <f>'2025 Ιανουάριος'!C11</f>
        <v xml:space="preserve">Έσοδα Καθαριότητας </v>
      </c>
      <c r="B80" s="35">
        <v>2024</v>
      </c>
      <c r="C80" s="173">
        <f>'2025 Ιανουάριος'!L11</f>
        <v>774.33628318584078</v>
      </c>
      <c r="D80" s="36">
        <f t="shared" si="18"/>
        <v>774.33628318584078</v>
      </c>
      <c r="E80" s="173">
        <f>'2025 Φεβρουάριος'!L11</f>
        <v>1318.5840707964601</v>
      </c>
      <c r="F80" s="36">
        <f t="shared" si="19"/>
        <v>2092.9203539823011</v>
      </c>
      <c r="G80" s="173">
        <f>'2025 Μάρτιος'!L11</f>
        <v>1960.176991150443</v>
      </c>
      <c r="H80" s="36">
        <f t="shared" si="20"/>
        <v>4053.0973451327441</v>
      </c>
      <c r="I80" s="173">
        <f>'2025 Απρίλιος'!L11</f>
        <v>4690.2654867256642</v>
      </c>
      <c r="J80" s="36">
        <f t="shared" si="21"/>
        <v>8743.3628318584088</v>
      </c>
      <c r="K80" s="173">
        <f>'2025 Μάιος'!L11</f>
        <v>5252.212389380531</v>
      </c>
      <c r="L80" s="36">
        <f t="shared" si="22"/>
        <v>13995.57522123894</v>
      </c>
      <c r="M80" s="173">
        <f>'2025 Ιούνιος'!L11</f>
        <v>5990.71</v>
      </c>
      <c r="N80" s="36">
        <f t="shared" si="23"/>
        <v>19986.285221238941</v>
      </c>
      <c r="O80" s="173">
        <f>'2025 Ιούλιος'!L11</f>
        <v>4302.1099999999997</v>
      </c>
      <c r="P80" s="36">
        <f t="shared" si="24"/>
        <v>24288.395221238941</v>
      </c>
      <c r="Q80" s="173">
        <f>'2025 Aύγουστος'!L11</f>
        <v>3860.69</v>
      </c>
      <c r="R80" s="36">
        <f t="shared" si="25"/>
        <v>28149.08522123894</v>
      </c>
      <c r="S80" s="173">
        <f>'2025 Σεπτέμβριος'!L11</f>
        <v>5935.3982300884963</v>
      </c>
      <c r="T80" s="36">
        <f t="shared" si="26"/>
        <v>34084.48345132744</v>
      </c>
      <c r="U80" s="173">
        <f>'2025 Οκτώβριος'!L11</f>
        <v>4419.47</v>
      </c>
      <c r="V80" s="36">
        <f t="shared" si="27"/>
        <v>38503.953451327441</v>
      </c>
      <c r="W80" s="173">
        <f>'2025 Νοέμβριος'!L11</f>
        <v>1185.83</v>
      </c>
      <c r="X80" s="36">
        <f t="shared" si="28"/>
        <v>39689.783451327443</v>
      </c>
      <c r="Y80" s="173">
        <f>'2025 Δεκέμβριος'!L11</f>
        <v>1369.49</v>
      </c>
      <c r="Z80" s="36">
        <f t="shared" si="29"/>
        <v>41059.273451327441</v>
      </c>
      <c r="AA80" s="173">
        <f t="shared" si="30"/>
        <v>41059.273451327441</v>
      </c>
      <c r="AD80" s="37">
        <f t="shared" si="31"/>
        <v>13995.57522123894</v>
      </c>
    </row>
    <row r="81" spans="1:30" x14ac:dyDescent="0.25">
      <c r="A81" s="35" t="str">
        <f>'2025 Ιανουάριος'!C12</f>
        <v>Cancellation Fees</v>
      </c>
      <c r="B81" s="35">
        <v>2024</v>
      </c>
      <c r="C81" s="173">
        <f>'2025 Ιανουάριος'!L12</f>
        <v>0</v>
      </c>
      <c r="D81" s="36">
        <f t="shared" si="18"/>
        <v>0</v>
      </c>
      <c r="E81" s="173">
        <f>'2025 Φεβρουάριος'!L12</f>
        <v>0</v>
      </c>
      <c r="F81" s="36">
        <f t="shared" si="19"/>
        <v>0</v>
      </c>
      <c r="G81" s="173">
        <f>'2025 Μάρτιος'!L12</f>
        <v>943.79</v>
      </c>
      <c r="H81" s="36">
        <f t="shared" si="20"/>
        <v>943.79</v>
      </c>
      <c r="I81" s="173">
        <f>'2025 Απρίλιος'!L12</f>
        <v>524.49</v>
      </c>
      <c r="J81" s="36">
        <f t="shared" si="21"/>
        <v>1468.28</v>
      </c>
      <c r="K81" s="173">
        <f>'2025 Μάιος'!L12</f>
        <v>296.2</v>
      </c>
      <c r="L81" s="36">
        <f t="shared" si="22"/>
        <v>1764.48</v>
      </c>
      <c r="M81" s="173">
        <f>'2025 Ιούνιος'!L12</f>
        <v>292.45</v>
      </c>
      <c r="N81" s="36">
        <f t="shared" si="23"/>
        <v>2056.9299999999998</v>
      </c>
      <c r="O81" s="173">
        <f>'2025 Ιούλιος'!L12</f>
        <v>349.66</v>
      </c>
      <c r="P81" s="36">
        <f t="shared" si="24"/>
        <v>2406.5899999999997</v>
      </c>
      <c r="Q81" s="173">
        <f>'2025 Aύγουστος'!L12</f>
        <v>0</v>
      </c>
      <c r="R81" s="36">
        <f t="shared" si="25"/>
        <v>2406.5899999999997</v>
      </c>
      <c r="S81" s="173">
        <f>'2025 Σεπτέμβριος'!L12</f>
        <v>278.14</v>
      </c>
      <c r="T81" s="36">
        <f t="shared" si="26"/>
        <v>2684.7299999999996</v>
      </c>
      <c r="U81" s="173">
        <f>'2025 Οκτώβριος'!L12</f>
        <v>0</v>
      </c>
      <c r="V81" s="36">
        <f t="shared" si="27"/>
        <v>2684.7299999999996</v>
      </c>
      <c r="W81" s="173">
        <f>'2025 Νοέμβριος'!L12</f>
        <v>0</v>
      </c>
      <c r="X81" s="36">
        <f t="shared" si="28"/>
        <v>2684.7299999999996</v>
      </c>
      <c r="Y81" s="173">
        <f>'2025 Δεκέμβριος'!L12</f>
        <v>0</v>
      </c>
      <c r="Z81" s="36">
        <f t="shared" si="29"/>
        <v>2684.7299999999996</v>
      </c>
      <c r="AA81" s="173">
        <f t="shared" si="30"/>
        <v>2684.7299999999996</v>
      </c>
      <c r="AD81" s="37">
        <f t="shared" si="31"/>
        <v>296.2</v>
      </c>
    </row>
    <row r="82" spans="1:30" x14ac:dyDescent="0.25">
      <c r="A82" s="35" t="str">
        <f>'2025 Ιανουάριος'!C13</f>
        <v>Έσοδα Διαχείρισης καταλυμάτων 24%</v>
      </c>
      <c r="B82" s="35">
        <v>2024</v>
      </c>
      <c r="C82" s="173">
        <f>'2025 Ιανουάριος'!L13</f>
        <v>0</v>
      </c>
      <c r="D82" s="36">
        <f t="shared" si="18"/>
        <v>0</v>
      </c>
      <c r="E82" s="173">
        <f>'2025 Φεβρουάριος'!L13</f>
        <v>0</v>
      </c>
      <c r="F82" s="36">
        <f t="shared" si="19"/>
        <v>0</v>
      </c>
      <c r="G82" s="173">
        <f>'2025 Μάρτιος'!L13</f>
        <v>1721.95</v>
      </c>
      <c r="H82" s="36">
        <f t="shared" si="20"/>
        <v>1721.95</v>
      </c>
      <c r="I82" s="173">
        <f>'2025 Απρίλιος'!L13</f>
        <v>0</v>
      </c>
      <c r="J82" s="36">
        <f t="shared" si="21"/>
        <v>1721.95</v>
      </c>
      <c r="K82" s="173">
        <f>'2025 Μάιος'!L13</f>
        <v>2404.79</v>
      </c>
      <c r="L82" s="36">
        <f t="shared" si="22"/>
        <v>4126.74</v>
      </c>
      <c r="M82" s="173">
        <f>'2025 Ιούνιος'!L13</f>
        <v>2142.91</v>
      </c>
      <c r="N82" s="36">
        <f t="shared" si="23"/>
        <v>6269.65</v>
      </c>
      <c r="O82" s="173">
        <f>'2025 Ιούλιος'!L13</f>
        <v>3007.42</v>
      </c>
      <c r="P82" s="36">
        <f t="shared" si="24"/>
        <v>9277.07</v>
      </c>
      <c r="Q82" s="173">
        <f>'2025 Aύγουστος'!L13</f>
        <v>2335.15</v>
      </c>
      <c r="R82" s="36">
        <f t="shared" si="25"/>
        <v>11612.22</v>
      </c>
      <c r="S82" s="173">
        <f>'2025 Σεπτέμβριος'!L13</f>
        <v>2499.94</v>
      </c>
      <c r="T82" s="36">
        <f t="shared" si="26"/>
        <v>14112.16</v>
      </c>
      <c r="U82" s="173">
        <f>'2025 Οκτώβριος'!L13</f>
        <v>2140.0100000000002</v>
      </c>
      <c r="V82" s="36">
        <f t="shared" si="27"/>
        <v>16252.17</v>
      </c>
      <c r="W82" s="173">
        <f>'2025 Νοέμβριος'!L13</f>
        <v>2493.9499999999998</v>
      </c>
      <c r="X82" s="36">
        <f t="shared" si="28"/>
        <v>18746.12</v>
      </c>
      <c r="Y82" s="173">
        <f>'2025 Δεκέμβριος'!L13</f>
        <v>637.6</v>
      </c>
      <c r="Z82" s="36">
        <f t="shared" si="29"/>
        <v>19383.719999999998</v>
      </c>
      <c r="AA82" s="173">
        <f t="shared" si="30"/>
        <v>19383.719999999998</v>
      </c>
      <c r="AD82" s="37">
        <f t="shared" si="31"/>
        <v>4126.74</v>
      </c>
    </row>
    <row r="83" spans="1:30" x14ac:dyDescent="0.25">
      <c r="A83" s="35" t="str">
        <f>'2025 Ιανουάριος'!C14</f>
        <v>Έσοδα από Ενοίκια Ιππάρχου 24%</v>
      </c>
      <c r="B83" s="35">
        <v>2024</v>
      </c>
      <c r="C83" s="173">
        <f>'2025 Ιανουάριος'!L14</f>
        <v>100</v>
      </c>
      <c r="D83" s="36">
        <f t="shared" si="18"/>
        <v>100</v>
      </c>
      <c r="E83" s="173">
        <f>'2025 Φεβρουάριος'!L14</f>
        <v>100</v>
      </c>
      <c r="F83" s="36">
        <f t="shared" si="19"/>
        <v>200</v>
      </c>
      <c r="G83" s="173">
        <f>'2025 Μάρτιος'!L14</f>
        <v>100</v>
      </c>
      <c r="H83" s="36">
        <f t="shared" si="20"/>
        <v>300</v>
      </c>
      <c r="I83" s="173">
        <f>'2025 Απρίλιος'!L14</f>
        <v>100</v>
      </c>
      <c r="J83" s="36">
        <f t="shared" si="21"/>
        <v>400</v>
      </c>
      <c r="K83" s="173">
        <f>'2025 Μάιος'!L14</f>
        <v>100</v>
      </c>
      <c r="L83" s="36">
        <f t="shared" si="22"/>
        <v>500</v>
      </c>
      <c r="M83" s="173">
        <f>'2025 Ιούνιος'!L14</f>
        <v>100</v>
      </c>
      <c r="N83" s="36">
        <f t="shared" si="23"/>
        <v>600</v>
      </c>
      <c r="O83" s="173">
        <f>'2025 Ιούλιος'!L14</f>
        <v>100</v>
      </c>
      <c r="P83" s="36">
        <f t="shared" si="24"/>
        <v>700</v>
      </c>
      <c r="Q83" s="173">
        <f>'2025 Aύγουστος'!L14</f>
        <v>100</v>
      </c>
      <c r="R83" s="36">
        <f t="shared" si="25"/>
        <v>800</v>
      </c>
      <c r="S83" s="173">
        <f>'2025 Σεπτέμβριος'!L14</f>
        <v>100</v>
      </c>
      <c r="T83" s="36">
        <f t="shared" si="26"/>
        <v>900</v>
      </c>
      <c r="U83" s="173">
        <f>'2025 Οκτώβριος'!L14</f>
        <v>100</v>
      </c>
      <c r="V83" s="36">
        <f t="shared" si="27"/>
        <v>1000</v>
      </c>
      <c r="W83" s="173">
        <f>'2025 Νοέμβριος'!L14</f>
        <v>100</v>
      </c>
      <c r="X83" s="36">
        <f t="shared" si="28"/>
        <v>1100</v>
      </c>
      <c r="Y83" s="173">
        <f>'2025 Δεκέμβριος'!L14</f>
        <v>100</v>
      </c>
      <c r="Z83" s="36">
        <f t="shared" si="29"/>
        <v>1200</v>
      </c>
      <c r="AA83" s="173">
        <f t="shared" si="30"/>
        <v>1200</v>
      </c>
      <c r="AD83" s="37">
        <f t="shared" si="31"/>
        <v>500</v>
      </c>
    </row>
    <row r="84" spans="1:30" x14ac:dyDescent="0.25">
      <c r="A84" s="35" t="str">
        <f>'2025 Ιανουάριος'!C15</f>
        <v>Πωλ.Φύλαξη Αποσκευών (DIRECT)</v>
      </c>
      <c r="B84" s="35">
        <v>2024</v>
      </c>
      <c r="C84" s="173">
        <f>'2025 Ιανουάριος'!L15</f>
        <v>0</v>
      </c>
      <c r="D84" s="36">
        <f t="shared" si="18"/>
        <v>0</v>
      </c>
      <c r="E84" s="173">
        <f>'2025 Φεβρουάριος'!L15</f>
        <v>0</v>
      </c>
      <c r="F84" s="36">
        <f t="shared" si="19"/>
        <v>0</v>
      </c>
      <c r="G84" s="173">
        <f>'2025 Μάρτιος'!L15</f>
        <v>15.32</v>
      </c>
      <c r="H84" s="36">
        <f t="shared" si="20"/>
        <v>15.32</v>
      </c>
      <c r="I84" s="173">
        <f>'2025 Απρίλιος'!L15</f>
        <v>104.03</v>
      </c>
      <c r="J84" s="36">
        <f t="shared" si="21"/>
        <v>119.35</v>
      </c>
      <c r="K84" s="173">
        <f>'2025 Μάιος'!L15</f>
        <v>87.88</v>
      </c>
      <c r="L84" s="36">
        <f t="shared" si="22"/>
        <v>207.23</v>
      </c>
      <c r="M84" s="173">
        <f>'2025 Ιούνιος'!L15</f>
        <v>322.26</v>
      </c>
      <c r="N84" s="36">
        <f t="shared" si="23"/>
        <v>529.49</v>
      </c>
      <c r="O84" s="173">
        <f>'2025 Ιούλιος'!L15</f>
        <v>139.51</v>
      </c>
      <c r="P84" s="36">
        <f t="shared" si="24"/>
        <v>669</v>
      </c>
      <c r="Q84" s="173">
        <f>'2025 Aύγουστος'!L15</f>
        <v>438.71</v>
      </c>
      <c r="R84" s="36">
        <f t="shared" si="25"/>
        <v>1107.71</v>
      </c>
      <c r="S84" s="173">
        <f>'2025 Σεπτέμβριος'!L15</f>
        <v>618.54</v>
      </c>
      <c r="T84" s="36">
        <f t="shared" si="26"/>
        <v>1726.25</v>
      </c>
      <c r="U84" s="173">
        <f>'2025 Οκτώβριος'!L15</f>
        <v>912.88</v>
      </c>
      <c r="V84" s="36">
        <f t="shared" si="27"/>
        <v>2639.13</v>
      </c>
      <c r="W84" s="173">
        <f>'2025 Νοέμβριος'!L15</f>
        <v>103.21</v>
      </c>
      <c r="X84" s="36">
        <f t="shared" si="28"/>
        <v>2742.34</v>
      </c>
      <c r="Y84" s="173">
        <f>'2025 Δεκέμβριος'!L15</f>
        <v>54.84</v>
      </c>
      <c r="Z84" s="36">
        <f t="shared" si="29"/>
        <v>2797.1800000000003</v>
      </c>
      <c r="AA84" s="173">
        <f t="shared" si="30"/>
        <v>2797.1800000000003</v>
      </c>
      <c r="AD84" s="37">
        <f t="shared" si="31"/>
        <v>207.23</v>
      </c>
    </row>
    <row r="85" spans="1:30" x14ac:dyDescent="0.25">
      <c r="A85" s="35" t="str">
        <f>'2025 Ιανουάριος'!C16</f>
        <v>Πωλ.Φύλαξη Αποσκευών  (ΤΡΙΤΩΝ) (RADICAL)</v>
      </c>
      <c r="B85" s="35">
        <v>2024</v>
      </c>
      <c r="C85" s="173">
        <f>'2025 Ιανουάριος'!L16</f>
        <v>0</v>
      </c>
      <c r="D85" s="36">
        <f t="shared" si="18"/>
        <v>0</v>
      </c>
      <c r="E85" s="173">
        <f>'2025 Φεβρουάριος'!L16</f>
        <v>0</v>
      </c>
      <c r="F85" s="36">
        <f t="shared" si="19"/>
        <v>0</v>
      </c>
      <c r="G85" s="173">
        <f>'2025 Μάρτιος'!L16</f>
        <v>0</v>
      </c>
      <c r="H85" s="36">
        <f t="shared" si="20"/>
        <v>0</v>
      </c>
      <c r="I85" s="173">
        <f>'2025 Απρίλιος'!L16</f>
        <v>0</v>
      </c>
      <c r="J85" s="36">
        <f t="shared" si="21"/>
        <v>0</v>
      </c>
      <c r="K85" s="173">
        <f>'2025 Μάιος'!L16</f>
        <v>0</v>
      </c>
      <c r="L85" s="36">
        <f t="shared" si="22"/>
        <v>0</v>
      </c>
      <c r="M85" s="173">
        <f>'2025 Ιούνιος'!L16</f>
        <v>0</v>
      </c>
      <c r="N85" s="36">
        <f t="shared" si="23"/>
        <v>0</v>
      </c>
      <c r="O85" s="173">
        <f>'2025 Ιούλιος'!L16</f>
        <v>0</v>
      </c>
      <c r="P85" s="36">
        <f t="shared" si="24"/>
        <v>0</v>
      </c>
      <c r="Q85" s="173">
        <f>'2025 Aύγουστος'!L16</f>
        <v>0</v>
      </c>
      <c r="R85" s="36">
        <f t="shared" si="25"/>
        <v>0</v>
      </c>
      <c r="S85" s="173">
        <f>'2025 Σεπτέμβριος'!L16</f>
        <v>0</v>
      </c>
      <c r="T85" s="36">
        <f t="shared" si="26"/>
        <v>0</v>
      </c>
      <c r="U85" s="173">
        <f>'2025 Οκτώβριος'!L16</f>
        <v>0</v>
      </c>
      <c r="V85" s="36">
        <f t="shared" si="27"/>
        <v>0</v>
      </c>
      <c r="W85" s="173">
        <f>'2025 Νοέμβριος'!L16</f>
        <v>0</v>
      </c>
      <c r="X85" s="36">
        <f t="shared" si="28"/>
        <v>0</v>
      </c>
      <c r="Y85" s="173">
        <f>'2025 Δεκέμβριος'!L16</f>
        <v>0</v>
      </c>
      <c r="Z85" s="36">
        <f t="shared" si="29"/>
        <v>0</v>
      </c>
      <c r="AA85" s="173">
        <f t="shared" si="30"/>
        <v>0</v>
      </c>
      <c r="AD85" s="37">
        <f t="shared" si="31"/>
        <v>0</v>
      </c>
    </row>
    <row r="86" spans="1:30" x14ac:dyDescent="0.25">
      <c r="A86" s="35" t="str">
        <f>'2025 Ιανουάριος'!C17</f>
        <v>Πωλ. TRANSFER (Περιορισμένη Μίσθωση)</v>
      </c>
      <c r="B86" s="35">
        <v>2024</v>
      </c>
      <c r="C86" s="173">
        <f>'2025 Ιανουάριος'!L17</f>
        <v>0</v>
      </c>
      <c r="D86" s="36">
        <f t="shared" si="18"/>
        <v>0</v>
      </c>
      <c r="E86" s="173">
        <f>'2025 Φεβρουάριος'!L17</f>
        <v>0</v>
      </c>
      <c r="F86" s="36">
        <f t="shared" si="19"/>
        <v>0</v>
      </c>
      <c r="G86" s="173">
        <f>'2025 Μάρτιος'!L17</f>
        <v>0</v>
      </c>
      <c r="H86" s="36">
        <f t="shared" si="20"/>
        <v>0</v>
      </c>
      <c r="I86" s="173">
        <f>'2025 Απρίλιος'!L17</f>
        <v>0</v>
      </c>
      <c r="J86" s="36">
        <f t="shared" si="21"/>
        <v>0</v>
      </c>
      <c r="K86" s="173">
        <f>'2025 Μάιος'!L17</f>
        <v>0</v>
      </c>
      <c r="L86" s="36">
        <f t="shared" si="22"/>
        <v>0</v>
      </c>
      <c r="M86" s="173">
        <f>'2025 Ιούνιος'!L17</f>
        <v>168.15</v>
      </c>
      <c r="N86" s="36">
        <f t="shared" si="23"/>
        <v>168.15</v>
      </c>
      <c r="O86" s="173">
        <f>'2025 Ιούλιος'!L17</f>
        <v>88.5</v>
      </c>
      <c r="P86" s="36">
        <f t="shared" si="24"/>
        <v>256.64999999999998</v>
      </c>
      <c r="Q86" s="173">
        <f>'2025 Aύγουστος'!L17</f>
        <v>0</v>
      </c>
      <c r="R86" s="36">
        <f t="shared" si="25"/>
        <v>256.64999999999998</v>
      </c>
      <c r="S86" s="173">
        <f>'2025 Σεπτέμβριος'!L17</f>
        <v>281.62</v>
      </c>
      <c r="T86" s="36">
        <f t="shared" si="26"/>
        <v>538.27</v>
      </c>
      <c r="U86" s="173">
        <f>'2025 Οκτώβριος'!L17</f>
        <v>0</v>
      </c>
      <c r="V86" s="36">
        <f t="shared" si="27"/>
        <v>538.27</v>
      </c>
      <c r="W86" s="173">
        <f>'2025 Νοέμβριος'!L17</f>
        <v>0</v>
      </c>
      <c r="X86" s="36">
        <f t="shared" si="28"/>
        <v>538.27</v>
      </c>
      <c r="Y86" s="173">
        <f>'2025 Δεκέμβριος'!L17</f>
        <v>0</v>
      </c>
      <c r="Z86" s="36">
        <f t="shared" si="29"/>
        <v>538.27</v>
      </c>
      <c r="AA86" s="173">
        <f t="shared" si="30"/>
        <v>538.27</v>
      </c>
      <c r="AD86" s="37">
        <f t="shared" si="31"/>
        <v>0</v>
      </c>
    </row>
    <row r="87" spans="1:30" x14ac:dyDescent="0.25">
      <c r="A87" s="35" t="str">
        <f>'2025 Ιανουάριος'!C18</f>
        <v>Πωλ.Ενοικ.Μεταφ.Μέσων Αναψυχής (ποδήλατα)</v>
      </c>
      <c r="B87" s="35">
        <v>2024</v>
      </c>
      <c r="C87" s="173">
        <f>'2025 Ιανουάριος'!L18</f>
        <v>0</v>
      </c>
      <c r="D87" s="36">
        <f t="shared" si="18"/>
        <v>0</v>
      </c>
      <c r="E87" s="173">
        <f>'2025 Φεβρουάριος'!L18</f>
        <v>0</v>
      </c>
      <c r="F87" s="36">
        <f t="shared" si="19"/>
        <v>0</v>
      </c>
      <c r="G87" s="173">
        <f>'2025 Μάρτιος'!L18</f>
        <v>0</v>
      </c>
      <c r="H87" s="36">
        <f t="shared" si="20"/>
        <v>0</v>
      </c>
      <c r="I87" s="173">
        <f>'2025 Απρίλιος'!L18</f>
        <v>0</v>
      </c>
      <c r="J87" s="36">
        <f t="shared" si="21"/>
        <v>0</v>
      </c>
      <c r="K87" s="173">
        <f>'2025 Μάιος'!L18</f>
        <v>0</v>
      </c>
      <c r="L87" s="36">
        <f t="shared" si="22"/>
        <v>0</v>
      </c>
      <c r="M87" s="173">
        <f>'2025 Ιούνιος'!L18</f>
        <v>0</v>
      </c>
      <c r="N87" s="36">
        <f t="shared" si="23"/>
        <v>0</v>
      </c>
      <c r="O87" s="173">
        <f>'2025 Ιούλιος'!L18</f>
        <v>0</v>
      </c>
      <c r="P87" s="36">
        <f t="shared" si="24"/>
        <v>0</v>
      </c>
      <c r="Q87" s="173">
        <f>'2025 Aύγουστος'!L18</f>
        <v>0</v>
      </c>
      <c r="R87" s="36">
        <f t="shared" si="25"/>
        <v>0</v>
      </c>
      <c r="S87" s="173">
        <f>'2025 Σεπτέμβριος'!L18</f>
        <v>0</v>
      </c>
      <c r="T87" s="36">
        <f t="shared" si="26"/>
        <v>0</v>
      </c>
      <c r="U87" s="173">
        <f>'2025 Οκτώβριος'!L18</f>
        <v>112.9</v>
      </c>
      <c r="V87" s="36">
        <f t="shared" si="27"/>
        <v>112.9</v>
      </c>
      <c r="W87" s="173">
        <f>'2025 Νοέμβριος'!L18</f>
        <v>0</v>
      </c>
      <c r="X87" s="36">
        <f t="shared" si="28"/>
        <v>112.9</v>
      </c>
      <c r="Y87" s="173">
        <f>'2025 Δεκέμβριος'!L18</f>
        <v>0</v>
      </c>
      <c r="Z87" s="36">
        <f t="shared" si="29"/>
        <v>112.9</v>
      </c>
      <c r="AA87" s="173">
        <f t="shared" si="30"/>
        <v>112.9</v>
      </c>
      <c r="AD87" s="37">
        <f t="shared" si="31"/>
        <v>0</v>
      </c>
    </row>
    <row r="88" spans="1:30" x14ac:dyDescent="0.25">
      <c r="A88" s="35" t="str">
        <f>'2025 Ιανουάριος'!C19</f>
        <v>Πωλ.Ενοικ.Μεταφ.Μέσων(αυτοκινητα)</v>
      </c>
      <c r="B88" s="35">
        <v>2024</v>
      </c>
      <c r="C88" s="173">
        <f>'2025 Ιανουάριος'!L19</f>
        <v>0</v>
      </c>
      <c r="D88" s="36">
        <f t="shared" si="18"/>
        <v>0</v>
      </c>
      <c r="E88" s="173">
        <f>'2025 Φεβρουάριος'!L19</f>
        <v>0</v>
      </c>
      <c r="F88" s="36">
        <f t="shared" si="19"/>
        <v>0</v>
      </c>
      <c r="G88" s="173">
        <f>'2025 Μάρτιος'!L19</f>
        <v>0</v>
      </c>
      <c r="H88" s="36">
        <f t="shared" si="20"/>
        <v>0</v>
      </c>
      <c r="I88" s="173">
        <f>'2025 Απρίλιος'!L19</f>
        <v>0</v>
      </c>
      <c r="J88" s="36">
        <f t="shared" si="21"/>
        <v>0</v>
      </c>
      <c r="K88" s="173">
        <f>'2025 Μάιος'!L19</f>
        <v>0</v>
      </c>
      <c r="L88" s="36">
        <f t="shared" si="22"/>
        <v>0</v>
      </c>
      <c r="M88" s="173">
        <f>'2025 Ιούνιος'!L19</f>
        <v>0</v>
      </c>
      <c r="N88" s="36">
        <f t="shared" si="23"/>
        <v>0</v>
      </c>
      <c r="O88" s="173">
        <f>'2025 Ιούλιος'!L19</f>
        <v>0</v>
      </c>
      <c r="P88" s="36">
        <f t="shared" si="24"/>
        <v>0</v>
      </c>
      <c r="Q88" s="173">
        <f>'2025 Aύγουστος'!L19</f>
        <v>0</v>
      </c>
      <c r="R88" s="36">
        <f t="shared" si="25"/>
        <v>0</v>
      </c>
      <c r="S88" s="173">
        <f>'2025 Σεπτέμβριος'!L19</f>
        <v>0</v>
      </c>
      <c r="T88" s="36">
        <f t="shared" si="26"/>
        <v>0</v>
      </c>
      <c r="U88" s="173">
        <f>'2025 Οκτώβριος'!L19</f>
        <v>0</v>
      </c>
      <c r="V88" s="36">
        <f t="shared" si="27"/>
        <v>0</v>
      </c>
      <c r="W88" s="173">
        <f>'2025 Νοέμβριος'!L19</f>
        <v>0</v>
      </c>
      <c r="X88" s="36">
        <f t="shared" si="28"/>
        <v>0</v>
      </c>
      <c r="Y88" s="173">
        <f>'2025 Δεκέμβριος'!L19</f>
        <v>0</v>
      </c>
      <c r="Z88" s="36">
        <f t="shared" si="29"/>
        <v>0</v>
      </c>
      <c r="AA88" s="173">
        <f t="shared" si="30"/>
        <v>0</v>
      </c>
      <c r="AD88" s="37">
        <f t="shared" si="31"/>
        <v>0</v>
      </c>
    </row>
    <row r="89" spans="1:30" x14ac:dyDescent="0.25">
      <c r="A89" s="35" t="str">
        <f>'2025 Ιανουάριος'!C20</f>
        <v>Πωλήσεις Καθαριότητας (ΤΡΙΤΩΝ)</v>
      </c>
      <c r="B89" s="35">
        <v>2024</v>
      </c>
      <c r="C89" s="173">
        <f>'2025 Ιανουάριος'!L20</f>
        <v>0</v>
      </c>
      <c r="D89" s="36">
        <f t="shared" si="18"/>
        <v>0</v>
      </c>
      <c r="E89" s="173">
        <f>'2025 Φεβρουάριος'!L20</f>
        <v>0</v>
      </c>
      <c r="F89" s="36">
        <f t="shared" si="19"/>
        <v>0</v>
      </c>
      <c r="G89" s="173">
        <f>'2025 Μάρτιος'!L20</f>
        <v>0</v>
      </c>
      <c r="H89" s="36">
        <f t="shared" si="20"/>
        <v>0</v>
      </c>
      <c r="I89" s="173">
        <f>'2025 Απρίλιος'!L20</f>
        <v>0</v>
      </c>
      <c r="J89" s="36">
        <f t="shared" si="21"/>
        <v>0</v>
      </c>
      <c r="K89" s="173">
        <f>'2025 Μάιος'!L20</f>
        <v>0</v>
      </c>
      <c r="L89" s="36">
        <f t="shared" si="22"/>
        <v>0</v>
      </c>
      <c r="M89" s="173">
        <f>'2025 Ιούνιος'!L20</f>
        <v>0</v>
      </c>
      <c r="N89" s="36">
        <f t="shared" si="23"/>
        <v>0</v>
      </c>
      <c r="O89" s="173">
        <f>'2025 Ιούλιος'!L20</f>
        <v>0</v>
      </c>
      <c r="P89" s="36">
        <f t="shared" si="24"/>
        <v>0</v>
      </c>
      <c r="Q89" s="173">
        <f>'2025 Aύγουστος'!L20</f>
        <v>0</v>
      </c>
      <c r="R89" s="36">
        <f t="shared" si="25"/>
        <v>0</v>
      </c>
      <c r="S89" s="173">
        <f>'2025 Σεπτέμβριος'!L20</f>
        <v>0</v>
      </c>
      <c r="T89" s="36">
        <f t="shared" si="26"/>
        <v>0</v>
      </c>
      <c r="U89" s="173">
        <f>'2025 Οκτώβριος'!L20</f>
        <v>0</v>
      </c>
      <c r="V89" s="36">
        <f t="shared" si="27"/>
        <v>0</v>
      </c>
      <c r="W89" s="173">
        <f>'2025 Νοέμβριος'!L20</f>
        <v>0</v>
      </c>
      <c r="X89" s="36">
        <f t="shared" si="28"/>
        <v>0</v>
      </c>
      <c r="Y89" s="173">
        <f>'2025 Δεκέμβριος'!L20</f>
        <v>0</v>
      </c>
      <c r="Z89" s="36">
        <f t="shared" si="29"/>
        <v>0</v>
      </c>
      <c r="AA89" s="173">
        <f t="shared" si="30"/>
        <v>0</v>
      </c>
      <c r="AD89" s="37">
        <f t="shared" si="31"/>
        <v>0</v>
      </c>
    </row>
    <row r="90" spans="1:30" x14ac:dyDescent="0.25">
      <c r="A90" s="35" t="str">
        <f>'2025 Ιανουάριος'!C21</f>
        <v>Πωλ.Κρουαζιέρας</v>
      </c>
      <c r="B90" s="35">
        <v>2024</v>
      </c>
      <c r="C90" s="173">
        <f>'2025 Ιανουάριος'!L21</f>
        <v>0</v>
      </c>
      <c r="D90" s="36">
        <f t="shared" si="18"/>
        <v>0</v>
      </c>
      <c r="E90" s="173">
        <f>'2025 Φεβρουάριος'!L21</f>
        <v>0</v>
      </c>
      <c r="F90" s="36">
        <f t="shared" si="19"/>
        <v>0</v>
      </c>
      <c r="G90" s="173">
        <f>'2025 Μάρτιος'!L21</f>
        <v>0</v>
      </c>
      <c r="H90" s="36">
        <f t="shared" si="20"/>
        <v>0</v>
      </c>
      <c r="I90" s="173">
        <f>'2025 Απρίλιος'!L21</f>
        <v>0</v>
      </c>
      <c r="J90" s="36">
        <f t="shared" si="21"/>
        <v>0</v>
      </c>
      <c r="K90" s="173">
        <f>'2025 Μάιος'!L21</f>
        <v>150.44</v>
      </c>
      <c r="L90" s="36">
        <f t="shared" si="22"/>
        <v>150.44</v>
      </c>
      <c r="M90" s="173">
        <f>'2025 Ιούνιος'!L21</f>
        <v>548.66999999999996</v>
      </c>
      <c r="N90" s="36">
        <f t="shared" si="23"/>
        <v>699.1099999999999</v>
      </c>
      <c r="O90" s="173">
        <f>'2025 Ιούλιος'!L21</f>
        <v>311.5</v>
      </c>
      <c r="P90" s="36">
        <f t="shared" si="24"/>
        <v>1010.6099999999999</v>
      </c>
      <c r="Q90" s="173">
        <f>'2025 Aύγουστος'!L21</f>
        <v>911.51</v>
      </c>
      <c r="R90" s="36">
        <f t="shared" si="25"/>
        <v>1922.12</v>
      </c>
      <c r="S90" s="173">
        <f>'2025 Σεπτέμβριος'!L21</f>
        <v>460.18</v>
      </c>
      <c r="T90" s="36">
        <f t="shared" si="26"/>
        <v>2382.2999999999997</v>
      </c>
      <c r="U90" s="173">
        <f>'2025 Οκτώβριος'!L21</f>
        <v>345.13</v>
      </c>
      <c r="V90" s="36">
        <f t="shared" si="27"/>
        <v>2727.43</v>
      </c>
      <c r="W90" s="173">
        <f>'2025 Νοέμβριος'!L21</f>
        <v>0</v>
      </c>
      <c r="X90" s="36">
        <f t="shared" si="28"/>
        <v>2727.43</v>
      </c>
      <c r="Y90" s="173">
        <f>'2025 Δεκέμβριος'!L21</f>
        <v>0</v>
      </c>
      <c r="Z90" s="36">
        <f t="shared" si="29"/>
        <v>2727.43</v>
      </c>
      <c r="AA90" s="173">
        <f t="shared" si="30"/>
        <v>2727.43</v>
      </c>
      <c r="AD90" s="37">
        <f t="shared" si="31"/>
        <v>150.44</v>
      </c>
    </row>
    <row r="91" spans="1:30" x14ac:dyDescent="0.25">
      <c r="A91" s="35" t="str">
        <f>'2025 Ιανουάριος'!C22</f>
        <v>Πωλ. Μαθημάτων</v>
      </c>
      <c r="B91" s="35">
        <v>2024</v>
      </c>
      <c r="C91" s="173">
        <f>'2025 Ιανουάριος'!L22</f>
        <v>0</v>
      </c>
      <c r="D91" s="36">
        <f t="shared" si="18"/>
        <v>0</v>
      </c>
      <c r="E91" s="173">
        <f>'2025 Φεβρουάριος'!L22</f>
        <v>0</v>
      </c>
      <c r="F91" s="36">
        <f t="shared" si="19"/>
        <v>0</v>
      </c>
      <c r="G91" s="173">
        <f>'2025 Μάρτιος'!L22</f>
        <v>0</v>
      </c>
      <c r="H91" s="36">
        <f t="shared" si="20"/>
        <v>0</v>
      </c>
      <c r="I91" s="173">
        <f>'2025 Απρίλιος'!L22</f>
        <v>0</v>
      </c>
      <c r="J91" s="36">
        <f t="shared" si="21"/>
        <v>0</v>
      </c>
      <c r="K91" s="173">
        <f>'2025 Μάιος'!L22</f>
        <v>0</v>
      </c>
      <c r="L91" s="36">
        <f t="shared" si="22"/>
        <v>0</v>
      </c>
      <c r="M91" s="173">
        <f>'2025 Ιούνιος'!L22</f>
        <v>0</v>
      </c>
      <c r="N91" s="36">
        <f t="shared" si="23"/>
        <v>0</v>
      </c>
      <c r="O91" s="173">
        <f>'2025 Ιούλιος'!L22</f>
        <v>0</v>
      </c>
      <c r="P91" s="36">
        <f t="shared" si="24"/>
        <v>0</v>
      </c>
      <c r="Q91" s="173">
        <f>'2025 Aύγουστος'!L22</f>
        <v>0</v>
      </c>
      <c r="R91" s="36">
        <f t="shared" si="25"/>
        <v>0</v>
      </c>
      <c r="S91" s="173">
        <f>'2025 Σεπτέμβριος'!L22</f>
        <v>0</v>
      </c>
      <c r="T91" s="36">
        <f t="shared" si="26"/>
        <v>0</v>
      </c>
      <c r="U91" s="173">
        <f>'2025 Οκτώβριος'!L22</f>
        <v>0</v>
      </c>
      <c r="V91" s="36">
        <f t="shared" si="27"/>
        <v>0</v>
      </c>
      <c r="W91" s="173">
        <f>'2025 Νοέμβριος'!L22</f>
        <v>0</v>
      </c>
      <c r="X91" s="36">
        <f t="shared" si="28"/>
        <v>0</v>
      </c>
      <c r="Y91" s="173">
        <f>'2025 Δεκέμβριος'!L22</f>
        <v>0</v>
      </c>
      <c r="Z91" s="36">
        <f t="shared" si="29"/>
        <v>0</v>
      </c>
      <c r="AA91" s="173">
        <f t="shared" si="30"/>
        <v>0</v>
      </c>
      <c r="AD91" s="37">
        <f t="shared" si="31"/>
        <v>0</v>
      </c>
    </row>
    <row r="92" spans="1:30" x14ac:dyDescent="0.25">
      <c r="A92" s="35" t="str">
        <f>'2025 Ιανουάριος'!C23</f>
        <v>Πωλ.Κρουαζ.Transfer.MM. (ΠΑΚΕΤΟ)</v>
      </c>
      <c r="B92" s="35">
        <v>2024</v>
      </c>
      <c r="C92" s="173">
        <f>'2025 Ιανουάριος'!L23</f>
        <v>0</v>
      </c>
      <c r="D92" s="36">
        <f t="shared" si="18"/>
        <v>0</v>
      </c>
      <c r="E92" s="173">
        <f>'2025 Φεβρουάριος'!L23</f>
        <v>0</v>
      </c>
      <c r="F92" s="36">
        <f t="shared" si="19"/>
        <v>0</v>
      </c>
      <c r="G92" s="173">
        <f>'2025 Μάρτιος'!L23</f>
        <v>201.48</v>
      </c>
      <c r="H92" s="36">
        <f t="shared" si="20"/>
        <v>201.48</v>
      </c>
      <c r="I92" s="173">
        <f>'2025 Απρίλιος'!L23</f>
        <v>322.58</v>
      </c>
      <c r="J92" s="36">
        <f t="shared" si="21"/>
        <v>524.05999999999995</v>
      </c>
      <c r="K92" s="173">
        <f>'2025 Μάιος'!L23</f>
        <v>0</v>
      </c>
      <c r="L92" s="36">
        <f t="shared" si="22"/>
        <v>524.05999999999995</v>
      </c>
      <c r="M92" s="173">
        <f>'2025 Ιούνιος'!L23</f>
        <v>0</v>
      </c>
      <c r="N92" s="36">
        <f t="shared" si="23"/>
        <v>524.05999999999995</v>
      </c>
      <c r="O92" s="173">
        <f>'2025 Ιούλιος'!L23</f>
        <v>0</v>
      </c>
      <c r="P92" s="36">
        <f t="shared" si="24"/>
        <v>524.05999999999995</v>
      </c>
      <c r="Q92" s="173">
        <f>'2025 Aύγουστος'!L23</f>
        <v>0</v>
      </c>
      <c r="R92" s="36">
        <f t="shared" si="25"/>
        <v>524.05999999999995</v>
      </c>
      <c r="S92" s="173">
        <f>'2025 Σεπτέμβριος'!L23</f>
        <v>0</v>
      </c>
      <c r="T92" s="36">
        <f t="shared" si="26"/>
        <v>524.05999999999995</v>
      </c>
      <c r="U92" s="173">
        <f>'2025 Οκτώβριος'!L23</f>
        <v>0</v>
      </c>
      <c r="V92" s="36">
        <f t="shared" si="27"/>
        <v>524.05999999999995</v>
      </c>
      <c r="W92" s="173">
        <f>'2025 Νοέμβριος'!L23</f>
        <v>0</v>
      </c>
      <c r="X92" s="36">
        <f t="shared" si="28"/>
        <v>524.05999999999995</v>
      </c>
      <c r="Y92" s="173">
        <f>'2025 Δεκέμβριος'!L23</f>
        <v>0</v>
      </c>
      <c r="Z92" s="36">
        <f t="shared" si="29"/>
        <v>524.05999999999995</v>
      </c>
      <c r="AA92" s="173">
        <f t="shared" si="30"/>
        <v>524.05999999999995</v>
      </c>
      <c r="AD92" s="37">
        <f t="shared" si="31"/>
        <v>201.48</v>
      </c>
    </row>
    <row r="93" spans="1:30" x14ac:dyDescent="0.25">
      <c r="A93" s="35" t="e">
        <f>'2025 Ιανουάριος'!#REF!</f>
        <v>#REF!</v>
      </c>
      <c r="B93" s="35">
        <v>2024</v>
      </c>
      <c r="C93" s="173" t="e">
        <f>'2025 Ιανουάριος'!#REF!</f>
        <v>#REF!</v>
      </c>
      <c r="D93" s="36" t="e">
        <f t="shared" si="18"/>
        <v>#REF!</v>
      </c>
      <c r="E93" s="173" t="e">
        <f>'2025 Φεβρουάριος'!#REF!</f>
        <v>#REF!</v>
      </c>
      <c r="F93" s="36" t="e">
        <f t="shared" si="19"/>
        <v>#REF!</v>
      </c>
      <c r="G93" s="173" t="e">
        <f>'2025 Μάρτιος'!#REF!</f>
        <v>#REF!</v>
      </c>
      <c r="H93" s="36" t="e">
        <f t="shared" si="20"/>
        <v>#REF!</v>
      </c>
      <c r="I93" s="173" t="e">
        <f>'2025 Απρίλιος'!#REF!</f>
        <v>#REF!</v>
      </c>
      <c r="J93" s="36" t="e">
        <f t="shared" si="21"/>
        <v>#REF!</v>
      </c>
      <c r="K93" s="173" t="e">
        <f>'2025 Μάιος'!#REF!</f>
        <v>#REF!</v>
      </c>
      <c r="L93" s="36" t="e">
        <f t="shared" si="22"/>
        <v>#REF!</v>
      </c>
      <c r="M93" s="173" t="e">
        <f>'2025 Ιούνιος'!#REF!</f>
        <v>#REF!</v>
      </c>
      <c r="N93" s="36" t="e">
        <f t="shared" si="23"/>
        <v>#REF!</v>
      </c>
      <c r="O93" s="173" t="e">
        <f>'2025 Ιούλιος'!#REF!</f>
        <v>#REF!</v>
      </c>
      <c r="P93" s="36" t="e">
        <f t="shared" si="24"/>
        <v>#REF!</v>
      </c>
      <c r="Q93" s="173" t="e">
        <f>'2025 Aύγουστος'!#REF!</f>
        <v>#REF!</v>
      </c>
      <c r="R93" s="36" t="e">
        <f t="shared" si="25"/>
        <v>#REF!</v>
      </c>
      <c r="S93" s="173" t="e">
        <f>'2025 Σεπτέμβριος'!#REF!</f>
        <v>#REF!</v>
      </c>
      <c r="T93" s="36" t="e">
        <f t="shared" si="26"/>
        <v>#REF!</v>
      </c>
      <c r="U93" s="173" t="e">
        <f>'2025 Οκτώβριος'!#REF!</f>
        <v>#REF!</v>
      </c>
      <c r="V93" s="36" t="e">
        <f t="shared" si="27"/>
        <v>#REF!</v>
      </c>
      <c r="W93" s="173" t="e">
        <f>'2025 Νοέμβριος'!#REF!</f>
        <v>#REF!</v>
      </c>
      <c r="X93" s="36" t="e">
        <f t="shared" si="28"/>
        <v>#REF!</v>
      </c>
      <c r="Y93" s="173" t="e">
        <f>'2025 Δεκέμβριος'!#REF!</f>
        <v>#REF!</v>
      </c>
      <c r="Z93" s="36" t="e">
        <f t="shared" si="29"/>
        <v>#REF!</v>
      </c>
      <c r="AA93" s="173" t="e">
        <f t="shared" si="30"/>
        <v>#REF!</v>
      </c>
      <c r="AD93" s="37" t="e">
        <f t="shared" si="31"/>
        <v>#REF!</v>
      </c>
    </row>
    <row r="94" spans="1:30" x14ac:dyDescent="0.25">
      <c r="A94" s="35" t="str">
        <f>'2025 Ιανουάριος'!C25</f>
        <v>Προμ. Συστ.Πελ. Αυτοκ.</v>
      </c>
      <c r="B94" s="35">
        <v>2024</v>
      </c>
      <c r="C94" s="173">
        <f>'2025 Ιανουάριος'!L25</f>
        <v>0</v>
      </c>
      <c r="D94" s="36">
        <f t="shared" si="18"/>
        <v>0</v>
      </c>
      <c r="E94" s="173">
        <f>'2025 Φεβρουάριος'!L25</f>
        <v>0</v>
      </c>
      <c r="F94" s="36">
        <f t="shared" si="19"/>
        <v>0</v>
      </c>
      <c r="G94" s="173">
        <f>'2025 Μάρτιος'!L25</f>
        <v>0</v>
      </c>
      <c r="H94" s="36">
        <f t="shared" si="20"/>
        <v>0</v>
      </c>
      <c r="I94" s="173">
        <f>'2025 Απρίλιος'!L25</f>
        <v>0</v>
      </c>
      <c r="J94" s="36">
        <f t="shared" si="21"/>
        <v>0</v>
      </c>
      <c r="K94" s="173">
        <f>'2025 Μάιος'!L25</f>
        <v>0</v>
      </c>
      <c r="L94" s="36">
        <f t="shared" si="22"/>
        <v>0</v>
      </c>
      <c r="M94" s="173">
        <f>'2025 Ιούνιος'!L25</f>
        <v>0</v>
      </c>
      <c r="N94" s="36">
        <f t="shared" si="23"/>
        <v>0</v>
      </c>
      <c r="O94" s="173">
        <f>'2025 Ιούλιος'!L25</f>
        <v>0</v>
      </c>
      <c r="P94" s="36">
        <f t="shared" si="24"/>
        <v>0</v>
      </c>
      <c r="Q94" s="173">
        <f>'2025 Aύγουστος'!L25</f>
        <v>0</v>
      </c>
      <c r="R94" s="36">
        <f t="shared" si="25"/>
        <v>0</v>
      </c>
      <c r="S94" s="173">
        <f>'2025 Σεπτέμβριος'!L25</f>
        <v>0</v>
      </c>
      <c r="T94" s="36">
        <f t="shared" si="26"/>
        <v>0</v>
      </c>
      <c r="U94" s="173">
        <f>'2025 Οκτώβριος'!L25</f>
        <v>0</v>
      </c>
      <c r="V94" s="36">
        <f t="shared" si="27"/>
        <v>0</v>
      </c>
      <c r="W94" s="173">
        <f>'2025 Νοέμβριος'!L25</f>
        <v>0</v>
      </c>
      <c r="X94" s="36">
        <f t="shared" si="28"/>
        <v>0</v>
      </c>
      <c r="Y94" s="173">
        <f>'2025 Δεκέμβριος'!L25</f>
        <v>0</v>
      </c>
      <c r="Z94" s="36">
        <f t="shared" si="29"/>
        <v>0</v>
      </c>
      <c r="AA94" s="173">
        <f t="shared" si="30"/>
        <v>0</v>
      </c>
      <c r="AD94" s="37">
        <f t="shared" si="31"/>
        <v>0</v>
      </c>
    </row>
    <row r="95" spans="1:30" x14ac:dyDescent="0.25">
      <c r="A95" s="35" t="str">
        <f>'2025 Ιανουάριος'!C26</f>
        <v>Προμ. Συστ.Πελ. Γυμν.</v>
      </c>
      <c r="B95" s="35">
        <v>2024</v>
      </c>
      <c r="C95" s="173">
        <f>'2025 Ιανουάριος'!L26</f>
        <v>0</v>
      </c>
      <c r="D95" s="36">
        <f t="shared" si="18"/>
        <v>0</v>
      </c>
      <c r="E95" s="173">
        <f>'2025 Φεβρουάριος'!L26</f>
        <v>0</v>
      </c>
      <c r="F95" s="36">
        <f t="shared" si="19"/>
        <v>0</v>
      </c>
      <c r="G95" s="173">
        <f>'2025 Μάρτιος'!L26</f>
        <v>0</v>
      </c>
      <c r="H95" s="36">
        <f t="shared" si="20"/>
        <v>0</v>
      </c>
      <c r="I95" s="173">
        <f>'2025 Απρίλιος'!L26</f>
        <v>0</v>
      </c>
      <c r="J95" s="36">
        <f t="shared" si="21"/>
        <v>0</v>
      </c>
      <c r="K95" s="173">
        <f>'2025 Μάιος'!L26</f>
        <v>0</v>
      </c>
      <c r="L95" s="36">
        <f t="shared" si="22"/>
        <v>0</v>
      </c>
      <c r="M95" s="173">
        <f>'2025 Ιούνιος'!L26</f>
        <v>0</v>
      </c>
      <c r="N95" s="36">
        <f t="shared" si="23"/>
        <v>0</v>
      </c>
      <c r="O95" s="173">
        <f>'2025 Ιούλιος'!L26</f>
        <v>0</v>
      </c>
      <c r="P95" s="36">
        <f t="shared" si="24"/>
        <v>0</v>
      </c>
      <c r="Q95" s="173">
        <f>'2025 Aύγουστος'!L26</f>
        <v>0</v>
      </c>
      <c r="R95" s="36">
        <f t="shared" si="25"/>
        <v>0</v>
      </c>
      <c r="S95" s="173">
        <f>'2025 Σεπτέμβριος'!L26</f>
        <v>0</v>
      </c>
      <c r="T95" s="36">
        <f t="shared" si="26"/>
        <v>0</v>
      </c>
      <c r="U95" s="173">
        <f>'2025 Οκτώβριος'!L26</f>
        <v>112.9</v>
      </c>
      <c r="V95" s="36">
        <f t="shared" si="27"/>
        <v>112.9</v>
      </c>
      <c r="W95" s="173">
        <f>'2025 Νοέμβριος'!L26</f>
        <v>0</v>
      </c>
      <c r="X95" s="36">
        <f t="shared" si="28"/>
        <v>112.9</v>
      </c>
      <c r="Y95" s="173">
        <f>'2025 Δεκέμβριος'!L26</f>
        <v>0</v>
      </c>
      <c r="Z95" s="36">
        <f t="shared" si="29"/>
        <v>112.9</v>
      </c>
      <c r="AA95" s="173">
        <f t="shared" si="30"/>
        <v>112.9</v>
      </c>
      <c r="AD95" s="37">
        <f t="shared" si="31"/>
        <v>0</v>
      </c>
    </row>
    <row r="96" spans="1:30" x14ac:dyDescent="0.25">
      <c r="A96" s="35" t="str">
        <f>'2025 Ιανουάριος'!C27</f>
        <v>Προμ.Σύστ.Πελ. TRANSFER</v>
      </c>
      <c r="B96" s="35">
        <v>2024</v>
      </c>
      <c r="C96" s="173">
        <f>'2025 Ιανουάριος'!L27</f>
        <v>0</v>
      </c>
      <c r="D96" s="36">
        <f>C96</f>
        <v>0</v>
      </c>
      <c r="E96" s="173">
        <f>'2025 Φεβρουάριος'!L27</f>
        <v>0</v>
      </c>
      <c r="F96" s="36">
        <f>D96+E96</f>
        <v>0</v>
      </c>
      <c r="G96" s="173">
        <f>'2025 Μάρτιος'!L27</f>
        <v>0</v>
      </c>
      <c r="H96" s="36">
        <f>F96+G96</f>
        <v>0</v>
      </c>
      <c r="I96" s="173">
        <f>'2025 Απρίλιος'!L27</f>
        <v>0</v>
      </c>
      <c r="J96" s="36">
        <f>H96+I96</f>
        <v>0</v>
      </c>
      <c r="K96" s="173">
        <f>'2025 Μάιος'!L27</f>
        <v>0</v>
      </c>
      <c r="L96" s="36">
        <f>J96+K96</f>
        <v>0</v>
      </c>
      <c r="M96" s="173">
        <f>'2025 Ιούνιος'!L27</f>
        <v>194.35</v>
      </c>
      <c r="N96" s="36">
        <f>L96+M96</f>
        <v>194.35</v>
      </c>
      <c r="O96" s="173">
        <f>'2025 Ιούλιος'!L27</f>
        <v>225.4</v>
      </c>
      <c r="P96" s="36">
        <f>N96+O96</f>
        <v>419.75</v>
      </c>
      <c r="Q96" s="173">
        <f>'2025 Aύγουστος'!L27</f>
        <v>54.92</v>
      </c>
      <c r="R96" s="36">
        <f>P96+Q96</f>
        <v>474.67</v>
      </c>
      <c r="S96" s="173">
        <f>'2025 Σεπτέμβριος'!L27</f>
        <v>275.08</v>
      </c>
      <c r="T96" s="36">
        <f>R96+S96</f>
        <v>749.75</v>
      </c>
      <c r="U96" s="173">
        <f>'2025 Οκτώβριος'!L27</f>
        <v>110.88999999999999</v>
      </c>
      <c r="V96" s="36">
        <f>T96+U96</f>
        <v>860.64</v>
      </c>
      <c r="W96" s="173">
        <f>'2025 Νοέμβριος'!L27</f>
        <v>407.42</v>
      </c>
      <c r="X96" s="36">
        <f>V96+W96</f>
        <v>1268.06</v>
      </c>
      <c r="Y96" s="173">
        <f>'2025 Δεκέμβριος'!L27</f>
        <v>19.05</v>
      </c>
      <c r="Z96" s="36">
        <f>X96+Y96</f>
        <v>1287.1099999999999</v>
      </c>
      <c r="AA96" s="173">
        <f>C96+E96+G96+I96+K96+M96+O96+Q96+S96+U96+W96+Y96</f>
        <v>1287.1099999999999</v>
      </c>
      <c r="AD96" s="37">
        <f t="shared" si="31"/>
        <v>0</v>
      </c>
    </row>
    <row r="97" spans="1:30" x14ac:dyDescent="0.25">
      <c r="A97" s="35" t="str">
        <f>'2025 Ιανουάριος'!C28</f>
        <v>Προμ.Σύστ.Πελ.Εκδρ.- Ξεναγ.</v>
      </c>
      <c r="B97" s="35">
        <v>2024</v>
      </c>
      <c r="C97" s="174">
        <f>'2025 Ιανουάριος'!L28</f>
        <v>0</v>
      </c>
      <c r="D97" s="36">
        <f t="shared" si="18"/>
        <v>0</v>
      </c>
      <c r="E97" s="173">
        <f>'2025 Φεβρουάριος'!L28</f>
        <v>0</v>
      </c>
      <c r="F97" s="36">
        <f t="shared" si="19"/>
        <v>0</v>
      </c>
      <c r="G97" s="173">
        <f>'2025 Μάρτιος'!L28</f>
        <v>0</v>
      </c>
      <c r="H97" s="36">
        <f t="shared" ref="H97:H98" si="32">F97+G97</f>
        <v>0</v>
      </c>
      <c r="I97" s="173">
        <f>'2025 Απρίλιος'!L28</f>
        <v>0</v>
      </c>
      <c r="J97" s="36">
        <f t="shared" ref="J97:J106" si="33">H97+I97</f>
        <v>0</v>
      </c>
      <c r="K97" s="173">
        <f>'2025 Μάιος'!L28</f>
        <v>0</v>
      </c>
      <c r="L97" s="36">
        <f t="shared" ref="L97:L98" si="34">J97+K97</f>
        <v>0</v>
      </c>
      <c r="M97" s="173">
        <f>'2025 Ιούνιος'!L28</f>
        <v>0</v>
      </c>
      <c r="N97" s="36">
        <f t="shared" ref="N97:N98" si="35">L97+M97</f>
        <v>0</v>
      </c>
      <c r="O97" s="173">
        <f>'2025 Ιούλιος'!L28</f>
        <v>0</v>
      </c>
      <c r="P97" s="36">
        <f t="shared" ref="P97:P106" si="36">N97+O97</f>
        <v>0</v>
      </c>
      <c r="Q97" s="173">
        <f>'2025 Aύγουστος'!L28</f>
        <v>120.16</v>
      </c>
      <c r="R97" s="36">
        <f t="shared" ref="R97:R106" si="37">P97+Q97</f>
        <v>120.16</v>
      </c>
      <c r="S97" s="173">
        <f>'2025 Σεπτέμβριος'!L28</f>
        <v>0</v>
      </c>
      <c r="T97" s="36">
        <f t="shared" ref="T97:T106" si="38">R97+S97</f>
        <v>120.16</v>
      </c>
      <c r="U97" s="173">
        <f>'2025 Οκτώβριος'!L28</f>
        <v>0</v>
      </c>
      <c r="V97" s="36">
        <f t="shared" ref="V97:V106" si="39">T97+U97</f>
        <v>120.16</v>
      </c>
      <c r="W97" s="173">
        <f>'2025 Νοέμβριος'!L28</f>
        <v>0</v>
      </c>
      <c r="X97" s="36">
        <f t="shared" ref="X97:X106" si="40">V97+W97</f>
        <v>120.16</v>
      </c>
      <c r="Y97" s="173">
        <f>'2025 Δεκέμβριος'!L28</f>
        <v>0</v>
      </c>
      <c r="Z97" s="36">
        <f t="shared" ref="Z97:Z106" si="41">X97+Y97</f>
        <v>120.16</v>
      </c>
      <c r="AA97" s="173">
        <f t="shared" ref="AA97:AA98" si="42">C97+E97+G97+I97+K97+M97+O97+Q97+S97+U97+W97+Y97</f>
        <v>120.16</v>
      </c>
      <c r="AD97" s="37">
        <f t="shared" si="31"/>
        <v>0</v>
      </c>
    </row>
    <row r="98" spans="1:30" x14ac:dyDescent="0.25">
      <c r="A98" s="35" t="str">
        <f>'2025 Ιανουάριος'!C29</f>
        <v>Προμ.Συστ.Πελ.Κρουαζιέρας</v>
      </c>
      <c r="B98" s="35">
        <v>2024</v>
      </c>
      <c r="C98" s="173">
        <f>'2025 Ιανουάριος'!L29</f>
        <v>5335.41</v>
      </c>
      <c r="D98" s="36">
        <f t="shared" si="18"/>
        <v>5335.41</v>
      </c>
      <c r="E98" s="173">
        <f>'2025 Φεβρουάριος'!L29</f>
        <v>15.01</v>
      </c>
      <c r="F98" s="36">
        <f t="shared" si="19"/>
        <v>5350.42</v>
      </c>
      <c r="G98" s="173">
        <f>'2025 Μάρτιος'!L29</f>
        <v>6.22</v>
      </c>
      <c r="H98" s="36">
        <f t="shared" si="32"/>
        <v>5356.64</v>
      </c>
      <c r="I98" s="173">
        <f>'2025 Απρίλιος'!L29</f>
        <v>75.13</v>
      </c>
      <c r="J98" s="36">
        <f t="shared" si="33"/>
        <v>5431.77</v>
      </c>
      <c r="K98" s="173">
        <f>'2025 Μάιος'!L29</f>
        <v>34.61</v>
      </c>
      <c r="L98" s="36">
        <f t="shared" si="34"/>
        <v>5466.38</v>
      </c>
      <c r="M98" s="173">
        <f>'2025 Ιούνιος'!L29</f>
        <v>114.01</v>
      </c>
      <c r="N98" s="36">
        <f t="shared" si="35"/>
        <v>5580.39</v>
      </c>
      <c r="O98" s="173">
        <f>'2025 Ιούλιος'!L29</f>
        <v>24.11</v>
      </c>
      <c r="P98" s="36">
        <f t="shared" si="36"/>
        <v>5604.5</v>
      </c>
      <c r="Q98" s="173">
        <f>'2025 Aύγουστος'!L29</f>
        <v>0</v>
      </c>
      <c r="R98" s="36">
        <f t="shared" si="37"/>
        <v>5604.5</v>
      </c>
      <c r="S98" s="173">
        <f>'2025 Σεπτέμβριος'!L29</f>
        <v>126.27</v>
      </c>
      <c r="T98" s="36">
        <f t="shared" si="38"/>
        <v>5730.77</v>
      </c>
      <c r="U98" s="173">
        <f>'2025 Οκτώβριος'!L29</f>
        <v>76.400000000000006</v>
      </c>
      <c r="V98" s="36">
        <f t="shared" si="39"/>
        <v>5807.17</v>
      </c>
      <c r="W98" s="173">
        <f>'2025 Νοέμβριος'!L29</f>
        <v>280.5</v>
      </c>
      <c r="X98" s="36">
        <f t="shared" si="40"/>
        <v>6087.67</v>
      </c>
      <c r="Y98" s="173">
        <f>'2025 Δεκέμβριος'!L29</f>
        <v>12649.49</v>
      </c>
      <c r="Z98" s="36">
        <f t="shared" si="41"/>
        <v>18737.16</v>
      </c>
      <c r="AA98" s="173">
        <f t="shared" si="42"/>
        <v>18737.16</v>
      </c>
      <c r="AD98" s="37">
        <f t="shared" si="31"/>
        <v>0</v>
      </c>
    </row>
    <row r="99" spans="1:30" x14ac:dyDescent="0.25">
      <c r="A99" s="35" t="str">
        <f>'2025 Ιανουάριος'!C30</f>
        <v>Ασυνήθη έσοδα και κέρδη</v>
      </c>
      <c r="B99" s="35">
        <v>2024</v>
      </c>
      <c r="C99" s="173">
        <f>'2025 Ιανουάριος'!L30</f>
        <v>-59.92</v>
      </c>
      <c r="D99" s="36">
        <f t="shared" si="18"/>
        <v>-59.92</v>
      </c>
      <c r="E99" s="173">
        <f>'2025 Φεβρουάριος'!L30</f>
        <v>-85.21</v>
      </c>
      <c r="F99" s="36">
        <f t="shared" si="19"/>
        <v>-145.13</v>
      </c>
      <c r="G99" s="173">
        <f>'2025 Μάρτιος'!L30</f>
        <v>-135.77000000000001</v>
      </c>
      <c r="H99" s="36">
        <f t="shared" ref="H99:H106" si="43">F99+G99</f>
        <v>-280.89999999999998</v>
      </c>
      <c r="I99" s="173">
        <f>'2025 Απρίλιος'!L30</f>
        <v>-328.33</v>
      </c>
      <c r="J99" s="36">
        <f t="shared" si="33"/>
        <v>-609.23</v>
      </c>
      <c r="K99" s="173">
        <f>'2025 Μάιος'!L30</f>
        <v>-343.69</v>
      </c>
      <c r="L99" s="36">
        <f>J99+K99</f>
        <v>-952.92000000000007</v>
      </c>
      <c r="M99" s="173">
        <f>'2025 Ιούνιος'!L30</f>
        <v>-403.13</v>
      </c>
      <c r="N99" s="36">
        <f>L99+M99</f>
        <v>-1356.0500000000002</v>
      </c>
      <c r="O99" s="173">
        <f>'2025 Ιούλιος'!L30</f>
        <v>-383.32</v>
      </c>
      <c r="P99" s="36">
        <f t="shared" si="36"/>
        <v>-1739.3700000000001</v>
      </c>
      <c r="Q99" s="173">
        <f>'2025 Aύγουστος'!L30</f>
        <v>-331.8</v>
      </c>
      <c r="R99" s="36">
        <f t="shared" si="37"/>
        <v>-2071.17</v>
      </c>
      <c r="S99" s="173">
        <f>'2025 Σεπτέμβριος'!L30</f>
        <v>-361.84</v>
      </c>
      <c r="T99" s="36">
        <f t="shared" si="38"/>
        <v>-2433.0100000000002</v>
      </c>
      <c r="U99" s="173">
        <f>'2025 Οκτώβριος'!L30</f>
        <v>-366.73</v>
      </c>
      <c r="V99" s="36">
        <f t="shared" si="39"/>
        <v>-2799.7400000000002</v>
      </c>
      <c r="W99" s="173">
        <f>'2025 Νοέμβριος'!L30</f>
        <v>-120.61</v>
      </c>
      <c r="X99" s="36">
        <f t="shared" si="40"/>
        <v>-2920.3500000000004</v>
      </c>
      <c r="Y99" s="173">
        <f>'2025 Δεκέμβριος'!L30</f>
        <v>-178.7</v>
      </c>
      <c r="Z99" s="36">
        <f t="shared" si="41"/>
        <v>-3099.05</v>
      </c>
      <c r="AA99" s="173">
        <f>C99+E99+G99+I99+K99+M99+O99+Q99+S99+U99+W99+Y99</f>
        <v>-3099.05</v>
      </c>
      <c r="AD99" s="37">
        <f t="shared" si="31"/>
        <v>-867.71</v>
      </c>
    </row>
    <row r="100" spans="1:30" x14ac:dyDescent="0.25">
      <c r="A100" s="35" t="str">
        <f>'2025 Ιανουάριος'!C31</f>
        <v>Φορος Παρεπιδημούντων</v>
      </c>
      <c r="B100" s="35">
        <v>2024</v>
      </c>
      <c r="C100" s="173">
        <f>'2025 Ιανουάριος'!L31</f>
        <v>0</v>
      </c>
      <c r="D100" s="36">
        <f t="shared" ref="D100:D106" si="44">C100</f>
        <v>0</v>
      </c>
      <c r="E100" s="173">
        <f>'2025 Φεβρουάριος'!L31</f>
        <v>0</v>
      </c>
      <c r="F100" s="36">
        <f t="shared" ref="F100:F106" si="45">D100+E100</f>
        <v>0</v>
      </c>
      <c r="G100" s="173">
        <f>'2025 Μάρτιος'!L31</f>
        <v>0</v>
      </c>
      <c r="H100" s="36">
        <f t="shared" si="43"/>
        <v>0</v>
      </c>
      <c r="I100" s="173">
        <f>'2025 Απρίλιος'!L31</f>
        <v>0</v>
      </c>
      <c r="J100" s="36">
        <f t="shared" si="33"/>
        <v>0</v>
      </c>
      <c r="K100" s="173">
        <f>'2025 Μάιος'!L31</f>
        <v>0</v>
      </c>
      <c r="L100" s="36">
        <f t="shared" ref="L100:L106" si="46">J100+K100</f>
        <v>0</v>
      </c>
      <c r="M100" s="173">
        <f>'2025 Ιούνιος'!L31</f>
        <v>0</v>
      </c>
      <c r="N100" s="36">
        <f t="shared" ref="N100:N106" si="47">L100+M100</f>
        <v>0</v>
      </c>
      <c r="O100" s="173">
        <f>'2025 Ιούλιος'!L31</f>
        <v>0</v>
      </c>
      <c r="P100" s="36">
        <f t="shared" si="36"/>
        <v>0</v>
      </c>
      <c r="Q100" s="173">
        <f>'2025 Aύγουστος'!L31</f>
        <v>0</v>
      </c>
      <c r="R100" s="36">
        <f t="shared" si="37"/>
        <v>0</v>
      </c>
      <c r="S100" s="173">
        <f>'2025 Σεπτέμβριος'!L31</f>
        <v>0</v>
      </c>
      <c r="T100" s="36">
        <f t="shared" si="38"/>
        <v>0</v>
      </c>
      <c r="U100" s="173">
        <f>'2025 Οκτώβριος'!L31</f>
        <v>0</v>
      </c>
      <c r="V100" s="36">
        <f t="shared" si="39"/>
        <v>0</v>
      </c>
      <c r="W100" s="173">
        <f>'2025 Νοέμβριος'!L31</f>
        <v>0</v>
      </c>
      <c r="X100" s="36">
        <f t="shared" si="40"/>
        <v>0</v>
      </c>
      <c r="Y100" s="173">
        <f>'2025 Δεκέμβριος'!L31</f>
        <v>50000</v>
      </c>
      <c r="Z100" s="36">
        <f t="shared" si="41"/>
        <v>50000</v>
      </c>
      <c r="AA100" s="173">
        <f t="shared" ref="AA100:AA106" si="48">C100+E100+G100+I100+K100+M100+O100+Q100+S100+U100+W100+Y100</f>
        <v>50000</v>
      </c>
      <c r="AD100" s="37">
        <f t="shared" si="31"/>
        <v>0</v>
      </c>
    </row>
    <row r="101" spans="1:30" x14ac:dyDescent="0.25">
      <c r="A101" s="35" t="str">
        <f>'2025 Ιανουάριος'!C32</f>
        <v xml:space="preserve">Πρόβλεψη </v>
      </c>
      <c r="B101" s="35">
        <v>2024</v>
      </c>
      <c r="C101" s="173">
        <f>'2025 Ιανουάριος'!L32</f>
        <v>0</v>
      </c>
      <c r="D101" s="36">
        <f t="shared" si="44"/>
        <v>0</v>
      </c>
      <c r="E101" s="173">
        <f>'2025 Φεβρουάριος'!L32</f>
        <v>0</v>
      </c>
      <c r="F101" s="36">
        <f t="shared" si="45"/>
        <v>0</v>
      </c>
      <c r="G101" s="173">
        <f>'2025 Μάρτιος'!L32</f>
        <v>0</v>
      </c>
      <c r="H101" s="36">
        <f t="shared" si="43"/>
        <v>0</v>
      </c>
      <c r="I101" s="173">
        <f>'2025 Απρίλιος'!L32</f>
        <v>0</v>
      </c>
      <c r="J101" s="36">
        <f t="shared" si="33"/>
        <v>0</v>
      </c>
      <c r="K101" s="173">
        <f>'2025 Μάιος'!L32</f>
        <v>0</v>
      </c>
      <c r="L101" s="36">
        <f t="shared" si="46"/>
        <v>0</v>
      </c>
      <c r="M101" s="173">
        <f>'2025 Ιούνιος'!L32</f>
        <v>0</v>
      </c>
      <c r="N101" s="36">
        <f t="shared" si="47"/>
        <v>0</v>
      </c>
      <c r="O101" s="173">
        <f>'2025 Ιούλιος'!L32</f>
        <v>0</v>
      </c>
      <c r="P101" s="36">
        <f t="shared" si="36"/>
        <v>0</v>
      </c>
      <c r="Q101" s="173">
        <f>'2025 Aύγουστος'!L32</f>
        <v>0</v>
      </c>
      <c r="R101" s="36">
        <f t="shared" si="37"/>
        <v>0</v>
      </c>
      <c r="S101" s="173">
        <f>'2025 Σεπτέμβριος'!L32</f>
        <v>0</v>
      </c>
      <c r="T101" s="36">
        <f t="shared" si="38"/>
        <v>0</v>
      </c>
      <c r="U101" s="173">
        <f>'2025 Οκτώβριος'!L32</f>
        <v>0</v>
      </c>
      <c r="V101" s="36">
        <f t="shared" si="39"/>
        <v>0</v>
      </c>
      <c r="W101" s="173">
        <f>'2025 Νοέμβριος'!L32</f>
        <v>0</v>
      </c>
      <c r="X101" s="36">
        <f t="shared" si="40"/>
        <v>0</v>
      </c>
      <c r="Y101" s="173">
        <f>'2025 Δεκέμβριος'!L32</f>
        <v>0</v>
      </c>
      <c r="Z101" s="36">
        <f t="shared" si="41"/>
        <v>0</v>
      </c>
      <c r="AA101" s="173">
        <f t="shared" si="48"/>
        <v>0</v>
      </c>
      <c r="AD101" s="37">
        <f t="shared" ref="AD101:AD106" si="49">IF(C65&lt;&gt;0,C101,0) + IF(E65&lt;&gt;0,E101,0) + IF(G65&lt;&gt;0,G101,0) +
IF(I65&lt;&gt;0,I101,0) + IF(K65&lt;&gt;0,K101,0) + IF(M65&lt;&gt;0,M101,0) +
IF(O65&lt;&gt;0,O101,0) + IF(Q65&lt;&gt;0,Q101,0) + IF(S65&lt;&gt;0,S101,0) +
IF(U65&lt;&gt;0,U101,0) + IF(W65&lt;&gt;0,W101,0) + IF(Y65&lt;&gt;0,Y101,0)</f>
        <v>0</v>
      </c>
    </row>
    <row r="102" spans="1:30" x14ac:dyDescent="0.25">
      <c r="A102" s="35">
        <f>'2025 Ιανουάριος'!C33</f>
        <v>0</v>
      </c>
      <c r="B102" s="35">
        <v>2024</v>
      </c>
      <c r="C102" s="173">
        <f>'2025 Ιανουάριος'!L33</f>
        <v>0</v>
      </c>
      <c r="D102" s="36">
        <f t="shared" si="44"/>
        <v>0</v>
      </c>
      <c r="E102" s="173">
        <f>'2025 Φεβρουάριος'!L33</f>
        <v>0</v>
      </c>
      <c r="F102" s="36">
        <f t="shared" si="45"/>
        <v>0</v>
      </c>
      <c r="G102" s="173">
        <f>'2025 Μάρτιος'!L33</f>
        <v>0</v>
      </c>
      <c r="H102" s="36">
        <f t="shared" si="43"/>
        <v>0</v>
      </c>
      <c r="I102" s="173">
        <f>'2025 Απρίλιος'!L33</f>
        <v>0</v>
      </c>
      <c r="J102" s="36">
        <f t="shared" si="33"/>
        <v>0</v>
      </c>
      <c r="K102" s="173">
        <f>'2025 Μάιος'!L33</f>
        <v>0</v>
      </c>
      <c r="L102" s="36">
        <f t="shared" si="46"/>
        <v>0</v>
      </c>
      <c r="M102" s="173">
        <f>'2025 Ιούνιος'!L33</f>
        <v>0</v>
      </c>
      <c r="N102" s="36">
        <f t="shared" si="47"/>
        <v>0</v>
      </c>
      <c r="O102" s="173">
        <f>'2025 Ιούλιος'!L33</f>
        <v>0</v>
      </c>
      <c r="P102" s="36">
        <f t="shared" si="36"/>
        <v>0</v>
      </c>
      <c r="Q102" s="173">
        <f>'2025 Aύγουστος'!L33</f>
        <v>0</v>
      </c>
      <c r="R102" s="36">
        <f t="shared" si="37"/>
        <v>0</v>
      </c>
      <c r="S102" s="173">
        <f>'2025 Σεπτέμβριος'!L33</f>
        <v>0</v>
      </c>
      <c r="T102" s="36">
        <f t="shared" si="38"/>
        <v>0</v>
      </c>
      <c r="U102" s="173">
        <f>'2025 Οκτώβριος'!L33</f>
        <v>0</v>
      </c>
      <c r="V102" s="36">
        <f t="shared" si="39"/>
        <v>0</v>
      </c>
      <c r="W102" s="173">
        <f>'2025 Νοέμβριος'!L33</f>
        <v>0</v>
      </c>
      <c r="X102" s="36">
        <f t="shared" si="40"/>
        <v>0</v>
      </c>
      <c r="Y102" s="173">
        <f>'2025 Δεκέμβριος'!L33</f>
        <v>0</v>
      </c>
      <c r="Z102" s="36">
        <f t="shared" si="41"/>
        <v>0</v>
      </c>
      <c r="AA102" s="173">
        <f t="shared" si="48"/>
        <v>0</v>
      </c>
      <c r="AD102" s="37">
        <f t="shared" si="49"/>
        <v>0</v>
      </c>
    </row>
    <row r="103" spans="1:30" x14ac:dyDescent="0.25">
      <c r="A103" s="35">
        <f>'2025 Ιανουάριος'!C34</f>
        <v>0</v>
      </c>
      <c r="B103" s="35">
        <v>2024</v>
      </c>
      <c r="C103" s="173">
        <f>'2025 Ιανουάριος'!L34</f>
        <v>0</v>
      </c>
      <c r="D103" s="36">
        <f t="shared" si="44"/>
        <v>0</v>
      </c>
      <c r="E103" s="173">
        <f>'2025 Φεβρουάριος'!L34</f>
        <v>0</v>
      </c>
      <c r="F103" s="36">
        <f t="shared" si="45"/>
        <v>0</v>
      </c>
      <c r="G103" s="173">
        <f>'2025 Μάρτιος'!L34</f>
        <v>0</v>
      </c>
      <c r="H103" s="36">
        <f t="shared" si="43"/>
        <v>0</v>
      </c>
      <c r="I103" s="173">
        <f>'2025 Απρίλιος'!L34</f>
        <v>0</v>
      </c>
      <c r="J103" s="36">
        <f t="shared" si="33"/>
        <v>0</v>
      </c>
      <c r="K103" s="173">
        <f>'2025 Μάιος'!L34</f>
        <v>0</v>
      </c>
      <c r="L103" s="36">
        <f t="shared" si="46"/>
        <v>0</v>
      </c>
      <c r="M103" s="173">
        <f>'2025 Ιούνιος'!L34</f>
        <v>0</v>
      </c>
      <c r="N103" s="36">
        <f t="shared" si="47"/>
        <v>0</v>
      </c>
      <c r="O103" s="173">
        <f>'2025 Ιούλιος'!L34</f>
        <v>0</v>
      </c>
      <c r="P103" s="36">
        <f t="shared" si="36"/>
        <v>0</v>
      </c>
      <c r="Q103" s="173">
        <f>'2025 Aύγουστος'!L34</f>
        <v>0</v>
      </c>
      <c r="R103" s="36">
        <f t="shared" si="37"/>
        <v>0</v>
      </c>
      <c r="S103" s="173">
        <f>'2025 Σεπτέμβριος'!L34</f>
        <v>0</v>
      </c>
      <c r="T103" s="36">
        <f t="shared" si="38"/>
        <v>0</v>
      </c>
      <c r="U103" s="173">
        <f>'2025 Οκτώβριος'!L34</f>
        <v>0</v>
      </c>
      <c r="V103" s="36">
        <f t="shared" si="39"/>
        <v>0</v>
      </c>
      <c r="W103" s="173">
        <f>'2025 Νοέμβριος'!L34</f>
        <v>0</v>
      </c>
      <c r="X103" s="36">
        <f t="shared" si="40"/>
        <v>0</v>
      </c>
      <c r="Y103" s="173">
        <f>'2025 Δεκέμβριος'!L34</f>
        <v>0</v>
      </c>
      <c r="Z103" s="36">
        <f t="shared" si="41"/>
        <v>0</v>
      </c>
      <c r="AA103" s="173">
        <f t="shared" si="48"/>
        <v>0</v>
      </c>
      <c r="AD103" s="37">
        <f t="shared" si="49"/>
        <v>0</v>
      </c>
    </row>
    <row r="104" spans="1:30" x14ac:dyDescent="0.25">
      <c r="A104" s="35">
        <f>'2025 Ιανουάριος'!C35</f>
        <v>0</v>
      </c>
      <c r="B104" s="35">
        <v>2024</v>
      </c>
      <c r="C104" s="173">
        <f>'2025 Ιανουάριος'!L35</f>
        <v>0</v>
      </c>
      <c r="D104" s="36">
        <f t="shared" si="44"/>
        <v>0</v>
      </c>
      <c r="E104" s="173">
        <f>'2025 Φεβρουάριος'!L35</f>
        <v>0</v>
      </c>
      <c r="F104" s="36">
        <f t="shared" si="45"/>
        <v>0</v>
      </c>
      <c r="G104" s="173">
        <f>'2025 Μάρτιος'!L35</f>
        <v>0</v>
      </c>
      <c r="H104" s="36">
        <f t="shared" si="43"/>
        <v>0</v>
      </c>
      <c r="I104" s="173">
        <f>'2025 Απρίλιος'!L35</f>
        <v>0</v>
      </c>
      <c r="J104" s="36">
        <f t="shared" si="33"/>
        <v>0</v>
      </c>
      <c r="K104" s="173">
        <f>'2025 Μάιος'!L35</f>
        <v>0</v>
      </c>
      <c r="L104" s="36">
        <f t="shared" si="46"/>
        <v>0</v>
      </c>
      <c r="M104" s="173">
        <f>'2025 Ιούνιος'!L35</f>
        <v>0</v>
      </c>
      <c r="N104" s="36">
        <f t="shared" si="47"/>
        <v>0</v>
      </c>
      <c r="O104" s="173">
        <f>'2025 Ιούλιος'!L35</f>
        <v>0</v>
      </c>
      <c r="P104" s="36">
        <f t="shared" si="36"/>
        <v>0</v>
      </c>
      <c r="Q104" s="173">
        <f>'2025 Aύγουστος'!L35</f>
        <v>0</v>
      </c>
      <c r="R104" s="36">
        <f t="shared" si="37"/>
        <v>0</v>
      </c>
      <c r="S104" s="173">
        <f>'2025 Σεπτέμβριος'!L35</f>
        <v>0</v>
      </c>
      <c r="T104" s="36">
        <f t="shared" si="38"/>
        <v>0</v>
      </c>
      <c r="U104" s="173">
        <f>'2025 Οκτώβριος'!L35</f>
        <v>0</v>
      </c>
      <c r="V104" s="36">
        <f t="shared" si="39"/>
        <v>0</v>
      </c>
      <c r="W104" s="173">
        <f>'2025 Νοέμβριος'!L35</f>
        <v>0</v>
      </c>
      <c r="X104" s="36">
        <f t="shared" si="40"/>
        <v>0</v>
      </c>
      <c r="Y104" s="173">
        <f>'2025 Δεκέμβριος'!L35</f>
        <v>0</v>
      </c>
      <c r="Z104" s="36">
        <f t="shared" si="41"/>
        <v>0</v>
      </c>
      <c r="AA104" s="173">
        <f t="shared" si="48"/>
        <v>0</v>
      </c>
      <c r="AD104" s="37">
        <f t="shared" si="49"/>
        <v>0</v>
      </c>
    </row>
    <row r="105" spans="1:30" x14ac:dyDescent="0.25">
      <c r="A105" s="35">
        <f>'2025 Ιανουάριος'!C36</f>
        <v>0</v>
      </c>
      <c r="B105" s="35">
        <v>2024</v>
      </c>
      <c r="C105" s="173">
        <f>'2025 Ιανουάριος'!L36</f>
        <v>0</v>
      </c>
      <c r="D105" s="36">
        <f t="shared" si="44"/>
        <v>0</v>
      </c>
      <c r="E105" s="173">
        <f>'2025 Φεβρουάριος'!L36</f>
        <v>0</v>
      </c>
      <c r="F105" s="36">
        <f t="shared" si="45"/>
        <v>0</v>
      </c>
      <c r="G105" s="173">
        <f>'2025 Μάρτιος'!L36</f>
        <v>0</v>
      </c>
      <c r="H105" s="36">
        <f t="shared" si="43"/>
        <v>0</v>
      </c>
      <c r="I105" s="173">
        <f>'2025 Απρίλιος'!L36</f>
        <v>0</v>
      </c>
      <c r="J105" s="36">
        <f t="shared" si="33"/>
        <v>0</v>
      </c>
      <c r="K105" s="173">
        <f>'2025 Μάιος'!L36</f>
        <v>0</v>
      </c>
      <c r="L105" s="36">
        <f t="shared" si="46"/>
        <v>0</v>
      </c>
      <c r="M105" s="173">
        <f>'2025 Ιούνιος'!L36</f>
        <v>0</v>
      </c>
      <c r="N105" s="36">
        <f t="shared" si="47"/>
        <v>0</v>
      </c>
      <c r="O105" s="173">
        <f>'2025 Ιούλιος'!L36</f>
        <v>0</v>
      </c>
      <c r="P105" s="36">
        <f t="shared" si="36"/>
        <v>0</v>
      </c>
      <c r="Q105" s="173">
        <f>'2025 Aύγουστος'!L36</f>
        <v>0</v>
      </c>
      <c r="R105" s="36">
        <f t="shared" si="37"/>
        <v>0</v>
      </c>
      <c r="S105" s="173">
        <f>'2025 Σεπτέμβριος'!L36</f>
        <v>0</v>
      </c>
      <c r="T105" s="36">
        <f t="shared" si="38"/>
        <v>0</v>
      </c>
      <c r="U105" s="173">
        <f>'2025 Οκτώβριος'!L36</f>
        <v>0</v>
      </c>
      <c r="V105" s="36">
        <f t="shared" si="39"/>
        <v>0</v>
      </c>
      <c r="W105" s="173">
        <f>'2025 Νοέμβριος'!L36</f>
        <v>0</v>
      </c>
      <c r="X105" s="36">
        <f t="shared" si="40"/>
        <v>0</v>
      </c>
      <c r="Y105" s="173">
        <f>'2025 Δεκέμβριος'!L36</f>
        <v>0</v>
      </c>
      <c r="Z105" s="36">
        <f t="shared" si="41"/>
        <v>0</v>
      </c>
      <c r="AA105" s="173">
        <f t="shared" si="48"/>
        <v>0</v>
      </c>
      <c r="AD105" s="37">
        <f>IF(C69&lt;&gt;0,C105,0) + IF(E69&lt;&gt;0,E105,0) + IF(G69&lt;&gt;0,G105,0) +
IF(I69&lt;&gt;0,I105,0) + IF(K69&lt;&gt;0,K105,0) + IF(M69&lt;&gt;0,M105,0) +
IF(O69&lt;&gt;0,O105,0) + IF(Q69&lt;&gt;0,Q105,0) + IF(S69&lt;&gt;0,S105,0) +
IF(U69&lt;&gt;0,U105,0) + IF(W69&lt;&gt;0,W105,0) + IF(Y69&lt;&gt;0,Y105,0)</f>
        <v>0</v>
      </c>
    </row>
    <row r="106" spans="1:30" x14ac:dyDescent="0.25">
      <c r="A106" s="35">
        <f>'2025 Ιανουάριος'!C37</f>
        <v>0</v>
      </c>
      <c r="B106" s="35">
        <v>2024</v>
      </c>
      <c r="C106" s="173">
        <f>'2025 Ιανουάριος'!L37</f>
        <v>0</v>
      </c>
      <c r="D106" s="36">
        <f t="shared" si="44"/>
        <v>0</v>
      </c>
      <c r="E106" s="173">
        <f>'2025 Φεβρουάριος'!L37</f>
        <v>0</v>
      </c>
      <c r="F106" s="36">
        <f t="shared" si="45"/>
        <v>0</v>
      </c>
      <c r="G106" s="173">
        <f>'2025 Μάρτιος'!L37</f>
        <v>0</v>
      </c>
      <c r="H106" s="36">
        <f t="shared" si="43"/>
        <v>0</v>
      </c>
      <c r="I106" s="173">
        <f>'2025 Απρίλιος'!L37</f>
        <v>0</v>
      </c>
      <c r="J106" s="36">
        <f t="shared" si="33"/>
        <v>0</v>
      </c>
      <c r="K106" s="173">
        <f>'2025 Μάιος'!L37</f>
        <v>0</v>
      </c>
      <c r="L106" s="36">
        <f t="shared" si="46"/>
        <v>0</v>
      </c>
      <c r="M106" s="173">
        <f>'2025 Ιούνιος'!L37</f>
        <v>0</v>
      </c>
      <c r="N106" s="36">
        <f t="shared" si="47"/>
        <v>0</v>
      </c>
      <c r="O106" s="173">
        <f>'2025 Ιούλιος'!L37</f>
        <v>0</v>
      </c>
      <c r="P106" s="36">
        <f t="shared" si="36"/>
        <v>0</v>
      </c>
      <c r="Q106" s="173">
        <f>'2025 Aύγουστος'!L37</f>
        <v>0</v>
      </c>
      <c r="R106" s="36">
        <f t="shared" si="37"/>
        <v>0</v>
      </c>
      <c r="S106" s="173">
        <f>'2025 Σεπτέμβριος'!L37</f>
        <v>0</v>
      </c>
      <c r="T106" s="36">
        <f t="shared" si="38"/>
        <v>0</v>
      </c>
      <c r="U106" s="173">
        <f>'2025 Οκτώβριος'!L37</f>
        <v>0</v>
      </c>
      <c r="V106" s="36">
        <f t="shared" si="39"/>
        <v>0</v>
      </c>
      <c r="W106" s="173">
        <f>'2025 Νοέμβριος'!L37</f>
        <v>0</v>
      </c>
      <c r="X106" s="36">
        <f t="shared" si="40"/>
        <v>0</v>
      </c>
      <c r="Y106" s="173">
        <f>'2025 Δεκέμβριος'!L37</f>
        <v>0</v>
      </c>
      <c r="Z106" s="36">
        <f t="shared" si="41"/>
        <v>0</v>
      </c>
      <c r="AA106" s="173">
        <f t="shared" si="48"/>
        <v>0</v>
      </c>
      <c r="AD106" s="37">
        <f t="shared" si="49"/>
        <v>0</v>
      </c>
    </row>
    <row r="107" spans="1:30" x14ac:dyDescent="0.25">
      <c r="A107" s="35" t="s">
        <v>136</v>
      </c>
      <c r="B107" s="35"/>
      <c r="C107" s="173" t="e">
        <f>SUM(C77:C106)</f>
        <v>#REF!</v>
      </c>
      <c r="D107" s="36" t="e">
        <f>C107</f>
        <v>#REF!</v>
      </c>
      <c r="E107" s="173" t="e">
        <f>SUM(E77:E106)</f>
        <v>#REF!</v>
      </c>
      <c r="F107" s="36" t="e">
        <f>D107+E107</f>
        <v>#REF!</v>
      </c>
      <c r="G107" s="173" t="e">
        <f>SUM(G77:G98)</f>
        <v>#REF!</v>
      </c>
      <c r="H107" s="36" t="e">
        <f>F107+G107</f>
        <v>#REF!</v>
      </c>
      <c r="I107" s="173" t="e">
        <f>SUM(I77:I98)</f>
        <v>#REF!</v>
      </c>
      <c r="J107" s="36" t="e">
        <f>H107+I107</f>
        <v>#REF!</v>
      </c>
      <c r="K107" s="173" t="e">
        <f>SUM(K77:K98)</f>
        <v>#REF!</v>
      </c>
      <c r="L107" s="36" t="e">
        <f>J107+K107</f>
        <v>#REF!</v>
      </c>
      <c r="M107" s="173" t="e">
        <f>SUM(M77:M98)</f>
        <v>#REF!</v>
      </c>
      <c r="N107" s="36" t="e">
        <f>L107+M107</f>
        <v>#REF!</v>
      </c>
      <c r="O107" s="173" t="e">
        <f>SUM(O77:O98)</f>
        <v>#REF!</v>
      </c>
      <c r="P107" s="36" t="e">
        <f>N107+O107</f>
        <v>#REF!</v>
      </c>
      <c r="Q107" s="173" t="e">
        <f>SUM(Q77:Q98)</f>
        <v>#REF!</v>
      </c>
      <c r="R107" s="36" t="e">
        <f>P107+Q107</f>
        <v>#REF!</v>
      </c>
      <c r="S107" s="173" t="e">
        <f>SUM(S77:S98)</f>
        <v>#REF!</v>
      </c>
      <c r="T107" s="36" t="e">
        <f>R107+S107</f>
        <v>#REF!</v>
      </c>
      <c r="U107" s="173" t="e">
        <f>SUM(U77:U98)</f>
        <v>#REF!</v>
      </c>
      <c r="V107" s="36" t="e">
        <f>T107+U107</f>
        <v>#REF!</v>
      </c>
      <c r="W107" s="173" t="e">
        <f>SUM(W77:W98)</f>
        <v>#REF!</v>
      </c>
      <c r="X107" s="36" t="e">
        <f>V107+W107</f>
        <v>#REF!</v>
      </c>
      <c r="Y107" s="173" t="e">
        <f>SUM(Y77:Y98)</f>
        <v>#REF!</v>
      </c>
      <c r="Z107" s="36" t="e">
        <f>X107+Y107</f>
        <v>#REF!</v>
      </c>
      <c r="AA107" s="173" t="e">
        <f>C107+E107+G107+I107+K107+M107+O107+Q107+S107+U107+W107+Y107</f>
        <v>#REF!</v>
      </c>
      <c r="AD107" s="37"/>
    </row>
    <row r="108" spans="1:30" x14ac:dyDescent="0.25">
      <c r="A108" s="35" t="s">
        <v>113</v>
      </c>
      <c r="B108" s="35"/>
      <c r="C108" s="173"/>
      <c r="D108" s="36"/>
      <c r="E108" s="173"/>
      <c r="F108" s="36"/>
      <c r="G108" s="173"/>
      <c r="H108" s="36"/>
      <c r="I108" s="173"/>
      <c r="J108" s="36"/>
      <c r="K108" s="175"/>
      <c r="L108" s="36"/>
      <c r="M108" s="173"/>
      <c r="N108" s="36"/>
      <c r="O108" s="173"/>
      <c r="P108" s="36"/>
      <c r="Q108" s="173"/>
      <c r="R108" s="36"/>
      <c r="S108" s="173"/>
      <c r="T108" s="36"/>
      <c r="U108" s="173"/>
      <c r="V108" s="36"/>
      <c r="W108" s="173"/>
      <c r="X108" s="36"/>
      <c r="Y108" s="173"/>
      <c r="Z108" s="36"/>
      <c r="AA108" s="176"/>
    </row>
    <row r="109" spans="1:30" ht="25.5" customHeight="1" x14ac:dyDescent="0.25">
      <c r="A109" s="170"/>
      <c r="B109" s="170"/>
      <c r="C109" s="170"/>
      <c r="D109" s="170"/>
      <c r="E109" s="170"/>
      <c r="F109" s="170"/>
      <c r="G109" s="170"/>
      <c r="H109" s="170"/>
      <c r="I109" s="170"/>
      <c r="J109" s="170"/>
      <c r="K109" s="170"/>
      <c r="L109" s="170"/>
      <c r="M109" s="170"/>
      <c r="N109" s="170"/>
      <c r="O109" s="170"/>
      <c r="P109" s="170"/>
      <c r="Q109" s="170"/>
      <c r="R109" s="170"/>
      <c r="S109" s="170"/>
      <c r="T109" s="170"/>
      <c r="U109" s="170"/>
      <c r="V109" s="170"/>
      <c r="W109" s="170"/>
      <c r="X109" s="170"/>
      <c r="Y109" s="170"/>
      <c r="Z109" s="170"/>
      <c r="AA109" s="170"/>
    </row>
    <row r="116" spans="1:27" ht="26.25" x14ac:dyDescent="0.4">
      <c r="A116" s="169" t="s">
        <v>172</v>
      </c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  <c r="AA116" s="168"/>
    </row>
    <row r="117" spans="1:27" ht="17.25" x14ac:dyDescent="0.3">
      <c r="A117" s="178" t="s">
        <v>142</v>
      </c>
      <c r="B117" s="35" t="s">
        <v>87</v>
      </c>
      <c r="C117" s="172" t="s">
        <v>88</v>
      </c>
      <c r="D117" s="35" t="s">
        <v>89</v>
      </c>
      <c r="E117" s="172" t="s">
        <v>90</v>
      </c>
      <c r="F117" s="35" t="s">
        <v>91</v>
      </c>
      <c r="G117" s="172" t="s">
        <v>92</v>
      </c>
      <c r="H117" s="35" t="s">
        <v>93</v>
      </c>
      <c r="I117" s="172" t="s">
        <v>94</v>
      </c>
      <c r="J117" s="35" t="s">
        <v>95</v>
      </c>
      <c r="K117" s="172" t="s">
        <v>96</v>
      </c>
      <c r="L117" s="35" t="s">
        <v>144</v>
      </c>
      <c r="M117" s="35" t="s">
        <v>97</v>
      </c>
      <c r="N117" s="35" t="s">
        <v>98</v>
      </c>
      <c r="O117" s="172" t="s">
        <v>99</v>
      </c>
      <c r="P117" s="35" t="s">
        <v>100</v>
      </c>
      <c r="Q117" s="172" t="s">
        <v>101</v>
      </c>
      <c r="R117" s="35" t="s">
        <v>102</v>
      </c>
      <c r="S117" s="172" t="s">
        <v>103</v>
      </c>
      <c r="T117" s="35" t="s">
        <v>104</v>
      </c>
      <c r="U117" s="172" t="s">
        <v>105</v>
      </c>
      <c r="V117" s="35" t="s">
        <v>106</v>
      </c>
      <c r="W117" s="172" t="s">
        <v>107</v>
      </c>
      <c r="X117" s="35" t="s">
        <v>108</v>
      </c>
      <c r="Y117" s="172" t="s">
        <v>109</v>
      </c>
      <c r="Z117" s="35" t="s">
        <v>110</v>
      </c>
      <c r="AA117" s="35" t="s">
        <v>141</v>
      </c>
    </row>
    <row r="118" spans="1:27" x14ac:dyDescent="0.25">
      <c r="A118" s="46" t="str">
        <f>'2025 Ιανουάριος'!C44</f>
        <v>Μικτές Αποδοχές H.Keepin (Α.Κ.Υπ.)</v>
      </c>
      <c r="B118" s="35">
        <v>2025</v>
      </c>
      <c r="C118" s="173">
        <f>'2025 Ιανουάριος'!D44</f>
        <v>2197.7199999999998</v>
      </c>
      <c r="D118" s="36">
        <f>C118</f>
        <v>2197.7199999999998</v>
      </c>
      <c r="E118" s="173">
        <f>'2025 Φεβρουάριος'!D44</f>
        <v>2149.4899999999998</v>
      </c>
      <c r="F118" s="36">
        <f>D118+E118</f>
        <v>4347.2099999999991</v>
      </c>
      <c r="G118" s="173">
        <f>'2025 Μάρτιος'!D44</f>
        <v>3372.31</v>
      </c>
      <c r="H118" s="36">
        <f>F118+G118</f>
        <v>7719.5199999999986</v>
      </c>
      <c r="I118" s="173">
        <f>'2025 Απρίλιος'!D44</f>
        <v>5695.58</v>
      </c>
      <c r="J118" s="36">
        <f>H118+I118</f>
        <v>13415.099999999999</v>
      </c>
      <c r="K118" s="173">
        <f>'2025 Μάιος'!D44</f>
        <v>3675.16</v>
      </c>
      <c r="L118" s="36">
        <f>J118+K118</f>
        <v>17090.259999999998</v>
      </c>
      <c r="M118" s="173">
        <f>'2025 Ιούνιος'!D44</f>
        <v>0</v>
      </c>
      <c r="N118" s="36">
        <f>L118+M118</f>
        <v>17090.259999999998</v>
      </c>
      <c r="O118" s="173">
        <f>'2025 Ιούλιος'!D44</f>
        <v>0</v>
      </c>
      <c r="P118" s="36">
        <f>N118+O118</f>
        <v>17090.259999999998</v>
      </c>
      <c r="Q118" s="173">
        <f>'2025 Aύγουστος'!D44</f>
        <v>0</v>
      </c>
      <c r="R118" s="36">
        <f>P118+Q118</f>
        <v>17090.259999999998</v>
      </c>
      <c r="S118" s="173">
        <f>'2025 Σεπτέμβριος'!D44</f>
        <v>0</v>
      </c>
      <c r="T118" s="36">
        <f>R118+S118</f>
        <v>17090.259999999998</v>
      </c>
      <c r="U118" s="173">
        <f>'2025 Οκτώβριος'!D44</f>
        <v>0</v>
      </c>
      <c r="V118" s="36">
        <f>T118+U118</f>
        <v>17090.259999999998</v>
      </c>
      <c r="W118" s="173">
        <f>'2025 Νοέμβριος'!D44</f>
        <v>0</v>
      </c>
      <c r="X118" s="36">
        <f>V118+W118</f>
        <v>17090.259999999998</v>
      </c>
      <c r="Y118" s="173">
        <f>'2025 Δεκέμβριος'!D44</f>
        <v>0</v>
      </c>
      <c r="Z118" s="36">
        <f>X118+Y118</f>
        <v>17090.259999999998</v>
      </c>
      <c r="AA118" s="36">
        <f t="shared" ref="AA118:AA152" si="50">C118+E118+G118+I118+K118+M118+O118+Q118+S118+U118+W118+Y118</f>
        <v>17090.259999999998</v>
      </c>
    </row>
    <row r="119" spans="1:27" x14ac:dyDescent="0.25">
      <c r="A119" s="46" t="str">
        <f>'2025 Ιανουάριος'!C45</f>
        <v>Μικτές Αποδοχές Operation (Α.Κ.Operation )</v>
      </c>
      <c r="B119" s="35">
        <v>2025</v>
      </c>
      <c r="C119" s="173">
        <f>'2025 Ιανουάριος'!D45</f>
        <v>3032.62</v>
      </c>
      <c r="D119" s="36">
        <f t="shared" ref="D119:D149" si="51">C119</f>
        <v>3032.62</v>
      </c>
      <c r="E119" s="173">
        <f>'2025 Φεβρουάριος'!D45</f>
        <v>4249.6499999999996</v>
      </c>
      <c r="F119" s="36">
        <f t="shared" ref="F119:F151" si="52">D119+E119</f>
        <v>7282.2699999999995</v>
      </c>
      <c r="G119" s="173">
        <f>'2025 Μάρτιος'!D45</f>
        <v>4953.84</v>
      </c>
      <c r="H119" s="36">
        <f t="shared" ref="H119:H149" si="53">F119+G119</f>
        <v>12236.11</v>
      </c>
      <c r="I119" s="173">
        <f>'2025 Απρίλιος'!D45</f>
        <v>7422.43</v>
      </c>
      <c r="J119" s="36">
        <f t="shared" ref="J119:J148" si="54">H119+I119</f>
        <v>19658.54</v>
      </c>
      <c r="K119" s="173">
        <f>'2025 Μάιος'!D45</f>
        <v>5221.4599999999991</v>
      </c>
      <c r="L119" s="36">
        <f t="shared" ref="L119:L152" si="55">J119+K119</f>
        <v>24880</v>
      </c>
      <c r="M119" s="173">
        <f>'2025 Ιούνιος'!D45</f>
        <v>0</v>
      </c>
      <c r="N119" s="36">
        <f t="shared" ref="N119:N152" si="56">L119+M119</f>
        <v>24880</v>
      </c>
      <c r="O119" s="173">
        <f>'2025 Ιούλιος'!D45</f>
        <v>0</v>
      </c>
      <c r="P119" s="36">
        <f t="shared" ref="P119:P152" si="57">N119+O119</f>
        <v>24880</v>
      </c>
      <c r="Q119" s="173">
        <f>'2025 Aύγουστος'!D45</f>
        <v>0</v>
      </c>
      <c r="R119" s="36">
        <f t="shared" ref="R119:R152" si="58">P119+Q119</f>
        <v>24880</v>
      </c>
      <c r="S119" s="173">
        <f>'2025 Σεπτέμβριος'!D45</f>
        <v>0</v>
      </c>
      <c r="T119" s="36">
        <f t="shared" ref="T119:T152" si="59">R119+S119</f>
        <v>24880</v>
      </c>
      <c r="U119" s="173">
        <f>'2025 Οκτώβριος'!D45</f>
        <v>0</v>
      </c>
      <c r="V119" s="36">
        <f t="shared" ref="V119:V152" si="60">T119+U119</f>
        <v>24880</v>
      </c>
      <c r="W119" s="173">
        <f>'2025 Νοέμβριος'!D45</f>
        <v>0</v>
      </c>
      <c r="X119" s="36">
        <f t="shared" ref="X119:X152" si="61">V119+W119</f>
        <v>24880</v>
      </c>
      <c r="Y119" s="173">
        <f>'2025 Δεκέμβριος'!D45</f>
        <v>0</v>
      </c>
      <c r="Z119" s="36">
        <f t="shared" ref="Z119:Z152" si="62">X119+Y119</f>
        <v>24880</v>
      </c>
      <c r="AA119" s="36">
        <f t="shared" si="50"/>
        <v>24880</v>
      </c>
    </row>
    <row r="120" spans="1:27" x14ac:dyDescent="0.25">
      <c r="A120" s="46" t="str">
        <f>'2025 Ιανουάριος'!C46</f>
        <v>Μικτές Αποδοχές Maintenance (Α.Κ.Υπ.)</v>
      </c>
      <c r="B120" s="35">
        <v>2025</v>
      </c>
      <c r="C120" s="173">
        <f>'2025 Ιανουάριος'!D46</f>
        <v>1618.22</v>
      </c>
      <c r="D120" s="36">
        <f t="shared" si="51"/>
        <v>1618.22</v>
      </c>
      <c r="E120" s="173">
        <f>'2025 Φεβρουάριος'!D46</f>
        <v>1990.56</v>
      </c>
      <c r="F120" s="36">
        <f t="shared" si="52"/>
        <v>3608.7799999999997</v>
      </c>
      <c r="G120" s="173">
        <f>'2025 Μάρτιος'!D46</f>
        <v>2472.37</v>
      </c>
      <c r="H120" s="36">
        <f t="shared" si="53"/>
        <v>6081.15</v>
      </c>
      <c r="I120" s="173">
        <f>'2025 Απρίλιος'!D46</f>
        <v>3740.09</v>
      </c>
      <c r="J120" s="36">
        <f t="shared" si="54"/>
        <v>9821.24</v>
      </c>
      <c r="K120" s="173">
        <f>'2025 Μάιος'!D46</f>
        <v>4379.5599999999986</v>
      </c>
      <c r="L120" s="36">
        <f t="shared" si="55"/>
        <v>14200.8</v>
      </c>
      <c r="M120" s="173">
        <f>'2025 Ιούνιος'!D46</f>
        <v>0</v>
      </c>
      <c r="N120" s="36">
        <f t="shared" si="56"/>
        <v>14200.8</v>
      </c>
      <c r="O120" s="173">
        <f>'2025 Ιούλιος'!D46</f>
        <v>0</v>
      </c>
      <c r="P120" s="36">
        <f t="shared" si="57"/>
        <v>14200.8</v>
      </c>
      <c r="Q120" s="173">
        <f>'2025 Aύγουστος'!D46</f>
        <v>0</v>
      </c>
      <c r="R120" s="36">
        <f t="shared" si="58"/>
        <v>14200.8</v>
      </c>
      <c r="S120" s="173">
        <f>'2025 Σεπτέμβριος'!D46</f>
        <v>0</v>
      </c>
      <c r="T120" s="36">
        <f t="shared" si="59"/>
        <v>14200.8</v>
      </c>
      <c r="U120" s="173">
        <f>'2025 Οκτώβριος'!D46</f>
        <v>0</v>
      </c>
      <c r="V120" s="36">
        <f t="shared" si="60"/>
        <v>14200.8</v>
      </c>
      <c r="W120" s="173">
        <f>'2025 Νοέμβριος'!D46</f>
        <v>0</v>
      </c>
      <c r="X120" s="36">
        <f t="shared" si="61"/>
        <v>14200.8</v>
      </c>
      <c r="Y120" s="173">
        <f>'2025 Δεκέμβριος'!D46</f>
        <v>0</v>
      </c>
      <c r="Z120" s="36">
        <f t="shared" si="62"/>
        <v>14200.8</v>
      </c>
      <c r="AA120" s="36">
        <f t="shared" si="50"/>
        <v>14200.8</v>
      </c>
    </row>
    <row r="121" spans="1:27" x14ac:dyDescent="0.25">
      <c r="A121" s="45" t="str">
        <f>'2025 Ιανουάριος'!C47</f>
        <v>Μικτές Αποδοχές Developent Department (A.K.Ddep)</v>
      </c>
      <c r="B121" s="35">
        <v>2025</v>
      </c>
      <c r="C121" s="173">
        <f>'2025 Ιανουάριος'!D47</f>
        <v>1656.34</v>
      </c>
      <c r="D121" s="36">
        <f>C121</f>
        <v>1656.34</v>
      </c>
      <c r="E121" s="173">
        <f>'2025 Φεβρουάριος'!D47</f>
        <v>1739.37</v>
      </c>
      <c r="F121" s="36">
        <f>D121+E121</f>
        <v>3395.71</v>
      </c>
      <c r="G121" s="173">
        <f>'2025 Μάρτιος'!D47</f>
        <v>1747.2</v>
      </c>
      <c r="H121" s="36">
        <f>F121+G121</f>
        <v>5142.91</v>
      </c>
      <c r="I121" s="173">
        <f>'2025 Απρίλιος'!D47</f>
        <v>2675.96</v>
      </c>
      <c r="J121" s="36">
        <f>H121+I121</f>
        <v>7818.87</v>
      </c>
      <c r="K121" s="173">
        <f>'2025 Μάιος'!D47</f>
        <v>1632.17</v>
      </c>
      <c r="L121" s="36">
        <f>J121+K121</f>
        <v>9451.0400000000009</v>
      </c>
      <c r="M121" s="173">
        <f>'2025 Ιούνιος'!D47</f>
        <v>0</v>
      </c>
      <c r="N121" s="36">
        <f>L121+M121</f>
        <v>9451.0400000000009</v>
      </c>
      <c r="O121" s="173">
        <f>'2025 Ιούλιος'!D47</f>
        <v>0</v>
      </c>
      <c r="P121" s="36">
        <f>N121+O121</f>
        <v>9451.0400000000009</v>
      </c>
      <c r="Q121" s="173">
        <f>'2025 Aύγουστος'!D47</f>
        <v>0</v>
      </c>
      <c r="R121" s="36">
        <f>P121+Q121</f>
        <v>9451.0400000000009</v>
      </c>
      <c r="S121" s="173">
        <f>'2025 Σεπτέμβριος'!D47</f>
        <v>0</v>
      </c>
      <c r="T121" s="36">
        <f>R121+S121</f>
        <v>9451.0400000000009</v>
      </c>
      <c r="U121" s="173">
        <f>'2025 Οκτώβριος'!D47</f>
        <v>0</v>
      </c>
      <c r="V121" s="36">
        <f>T121+U121</f>
        <v>9451.0400000000009</v>
      </c>
      <c r="W121" s="173">
        <f>'2025 Νοέμβριος'!D47</f>
        <v>0</v>
      </c>
      <c r="X121" s="36">
        <f>V121+W121</f>
        <v>9451.0400000000009</v>
      </c>
      <c r="Y121" s="173">
        <f>'2025 Δεκέμβριος'!D47</f>
        <v>0</v>
      </c>
      <c r="Z121" s="36">
        <f>X121+Y121</f>
        <v>9451.0400000000009</v>
      </c>
      <c r="AA121" s="36">
        <f>C121+E121+G121+I121+K121+M121+O121+Q121+S121+U121+W121+Y121</f>
        <v>9451.0400000000009</v>
      </c>
    </row>
    <row r="122" spans="1:27" x14ac:dyDescent="0.25">
      <c r="A122" s="45" t="str">
        <f>'2025 Ιανουάριος'!C48</f>
        <v>Μικτές Αποδοχές Reservation department (Α.Κ.RDep )</v>
      </c>
      <c r="B122" s="35">
        <v>2025</v>
      </c>
      <c r="C122" s="173">
        <f>'2025 Ιανουάριος'!D48</f>
        <v>1671.24</v>
      </c>
      <c r="D122" s="36">
        <f>C122</f>
        <v>1671.24</v>
      </c>
      <c r="E122" s="173">
        <f>'2025 Φεβρουάριος'!D48</f>
        <v>1747.2</v>
      </c>
      <c r="F122" s="36">
        <f>D122+E122</f>
        <v>3418.44</v>
      </c>
      <c r="G122" s="173">
        <f>'2025 Μάρτιος'!D48</f>
        <v>1785.18</v>
      </c>
      <c r="H122" s="36">
        <f>F122+G122</f>
        <v>5203.62</v>
      </c>
      <c r="I122" s="173">
        <f>'2025 Απρίλιος'!D48</f>
        <v>2645.07</v>
      </c>
      <c r="J122" s="36">
        <f>H122+I122</f>
        <v>7848.6900000000005</v>
      </c>
      <c r="K122" s="173">
        <f>'2025 Μάιος'!D48</f>
        <v>2304.38</v>
      </c>
      <c r="L122" s="36">
        <f>J122+K122</f>
        <v>10153.07</v>
      </c>
      <c r="M122" s="173">
        <f>'2025 Ιούνιος'!D48</f>
        <v>0</v>
      </c>
      <c r="N122" s="36">
        <f>L122+M122</f>
        <v>10153.07</v>
      </c>
      <c r="O122" s="173">
        <f>'2025 Ιούλιος'!D48</f>
        <v>0</v>
      </c>
      <c r="P122" s="36">
        <f>N122+O122</f>
        <v>10153.07</v>
      </c>
      <c r="Q122" s="173">
        <f>'2025 Aύγουστος'!D48</f>
        <v>0</v>
      </c>
      <c r="R122" s="36">
        <f>P122+Q122</f>
        <v>10153.07</v>
      </c>
      <c r="S122" s="173">
        <f>'2025 Σεπτέμβριος'!D48</f>
        <v>0</v>
      </c>
      <c r="T122" s="36">
        <f>R122+S122</f>
        <v>10153.07</v>
      </c>
      <c r="U122" s="173">
        <f>'2025 Οκτώβριος'!D48</f>
        <v>0</v>
      </c>
      <c r="V122" s="36">
        <f>T122+U122</f>
        <v>10153.07</v>
      </c>
      <c r="W122" s="173">
        <f>'2025 Νοέμβριος'!D48</f>
        <v>0</v>
      </c>
      <c r="X122" s="36">
        <f>V122+W122</f>
        <v>10153.07</v>
      </c>
      <c r="Y122" s="173">
        <f>'2025 Δεκέμβριος'!D48</f>
        <v>0</v>
      </c>
      <c r="Z122" s="36">
        <f>X122+Y122</f>
        <v>10153.07</v>
      </c>
      <c r="AA122" s="36">
        <f>C122+E122+G122+I122+K122+M122+O122+Q122+S122+U122+W122+Y122</f>
        <v>10153.07</v>
      </c>
    </row>
    <row r="123" spans="1:27" x14ac:dyDescent="0.25">
      <c r="A123" s="46" t="str">
        <f>'2025 Ιανουάριος'!C49</f>
        <v>Ασφαλιστικές εισφορές (Α.Κ.HOUSE KEEPING)</v>
      </c>
      <c r="B123" s="35">
        <v>2025</v>
      </c>
      <c r="C123" s="173">
        <f>'2025 Ιανουάριος'!D49</f>
        <v>484.84</v>
      </c>
      <c r="D123" s="36">
        <f t="shared" si="51"/>
        <v>484.84</v>
      </c>
      <c r="E123" s="173">
        <f>'2025 Φεβρουάριος'!D49</f>
        <v>439.85</v>
      </c>
      <c r="F123" s="36">
        <f t="shared" si="52"/>
        <v>924.69</v>
      </c>
      <c r="G123" s="173">
        <f>'2025 Μάρτιος'!D49</f>
        <v>741.13</v>
      </c>
      <c r="H123" s="36">
        <f t="shared" si="53"/>
        <v>1665.8200000000002</v>
      </c>
      <c r="I123" s="173">
        <f>'2025 Απρίλιος'!D49</f>
        <v>1209.9000000000001</v>
      </c>
      <c r="J123" s="36">
        <f t="shared" si="54"/>
        <v>2875.7200000000003</v>
      </c>
      <c r="K123" s="173">
        <f>'2025 Μάιος'!D49</f>
        <v>797.23</v>
      </c>
      <c r="L123" s="36">
        <f t="shared" si="55"/>
        <v>3672.9500000000003</v>
      </c>
      <c r="M123" s="173">
        <f>'2025 Ιούνιος'!D49</f>
        <v>0</v>
      </c>
      <c r="N123" s="36">
        <f t="shared" si="56"/>
        <v>3672.9500000000003</v>
      </c>
      <c r="O123" s="173">
        <f>'2025 Ιούλιος'!D49</f>
        <v>0</v>
      </c>
      <c r="P123" s="36">
        <f t="shared" si="57"/>
        <v>3672.9500000000003</v>
      </c>
      <c r="Q123" s="173">
        <f>'2025 Aύγουστος'!D49</f>
        <v>0</v>
      </c>
      <c r="R123" s="36">
        <f t="shared" si="58"/>
        <v>3672.9500000000003</v>
      </c>
      <c r="S123" s="173">
        <f>'2025 Σεπτέμβριος'!D49</f>
        <v>0</v>
      </c>
      <c r="T123" s="36">
        <f t="shared" si="59"/>
        <v>3672.9500000000003</v>
      </c>
      <c r="U123" s="173">
        <f>'2025 Οκτώβριος'!D49</f>
        <v>0</v>
      </c>
      <c r="V123" s="36">
        <f t="shared" si="60"/>
        <v>3672.9500000000003</v>
      </c>
      <c r="W123" s="173">
        <f>'2025 Νοέμβριος'!D49</f>
        <v>0</v>
      </c>
      <c r="X123" s="36">
        <f t="shared" si="61"/>
        <v>3672.9500000000003</v>
      </c>
      <c r="Y123" s="173">
        <f>'2025 Δεκέμβριος'!D49</f>
        <v>0</v>
      </c>
      <c r="Z123" s="36">
        <f t="shared" si="62"/>
        <v>3672.9500000000003</v>
      </c>
      <c r="AA123" s="36">
        <f t="shared" si="50"/>
        <v>3672.9500000000003</v>
      </c>
    </row>
    <row r="124" spans="1:27" x14ac:dyDescent="0.25">
      <c r="A124" s="46" t="str">
        <f>'2025 Ιανουάριος'!C50</f>
        <v>Ασφαλιστικές εισφορές (Α.Κ. OPERATION DEP )</v>
      </c>
      <c r="B124" s="35">
        <v>2025</v>
      </c>
      <c r="C124" s="173">
        <f>'2025 Ιανουάριος'!D50</f>
        <v>513.09</v>
      </c>
      <c r="D124" s="36">
        <f t="shared" si="51"/>
        <v>513.09</v>
      </c>
      <c r="E124" s="173">
        <f>'2025 Φεβρουάριος'!D50</f>
        <v>734.17000000000007</v>
      </c>
      <c r="F124" s="36">
        <f t="shared" si="52"/>
        <v>1247.2600000000002</v>
      </c>
      <c r="G124" s="173">
        <f>'2025 Μάρτιος'!D50</f>
        <v>916.37</v>
      </c>
      <c r="H124" s="36">
        <f t="shared" si="53"/>
        <v>2163.63</v>
      </c>
      <c r="I124" s="173">
        <f>'2025 Απρίλιος'!D50</f>
        <v>1345.7</v>
      </c>
      <c r="J124" s="36">
        <f t="shared" si="54"/>
        <v>3509.33</v>
      </c>
      <c r="K124" s="173">
        <f>'2025 Μάιος'!D50</f>
        <v>999.18999999999994</v>
      </c>
      <c r="L124" s="36">
        <f t="shared" si="55"/>
        <v>4508.5199999999995</v>
      </c>
      <c r="M124" s="173">
        <f>'2025 Ιούνιος'!D50</f>
        <v>0</v>
      </c>
      <c r="N124" s="36">
        <f t="shared" si="56"/>
        <v>4508.5199999999995</v>
      </c>
      <c r="O124" s="173">
        <f>'2025 Ιούλιος'!D50</f>
        <v>0</v>
      </c>
      <c r="P124" s="36">
        <f t="shared" si="57"/>
        <v>4508.5199999999995</v>
      </c>
      <c r="Q124" s="173">
        <f>'2025 Aύγουστος'!D50</f>
        <v>0</v>
      </c>
      <c r="R124" s="36">
        <f t="shared" si="58"/>
        <v>4508.5199999999995</v>
      </c>
      <c r="S124" s="173">
        <f>'2025 Σεπτέμβριος'!D50</f>
        <v>0</v>
      </c>
      <c r="T124" s="36">
        <f t="shared" si="59"/>
        <v>4508.5199999999995</v>
      </c>
      <c r="U124" s="173">
        <f>'2025 Οκτώβριος'!D50</f>
        <v>0</v>
      </c>
      <c r="V124" s="36">
        <f t="shared" si="60"/>
        <v>4508.5199999999995</v>
      </c>
      <c r="W124" s="173">
        <f>'2025 Νοέμβριος'!D50</f>
        <v>0</v>
      </c>
      <c r="X124" s="36">
        <f t="shared" si="61"/>
        <v>4508.5199999999995</v>
      </c>
      <c r="Y124" s="173">
        <f>'2025 Δεκέμβριος'!D50</f>
        <v>0</v>
      </c>
      <c r="Z124" s="36">
        <f t="shared" si="62"/>
        <v>4508.5199999999995</v>
      </c>
      <c r="AA124" s="36">
        <f t="shared" si="50"/>
        <v>4508.5199999999995</v>
      </c>
    </row>
    <row r="125" spans="1:27" x14ac:dyDescent="0.25">
      <c r="A125" s="46" t="str">
        <f>'2025 Ιανουάριος'!C51</f>
        <v>Ασφαλιστικές εισφορές (Α.Κ. MAINTENANCE DEP )</v>
      </c>
      <c r="B125" s="35">
        <v>2025</v>
      </c>
      <c r="C125" s="173">
        <f>'2025 Ιανουάριος'!D51</f>
        <v>382.68</v>
      </c>
      <c r="D125" s="36">
        <f t="shared" si="51"/>
        <v>382.68</v>
      </c>
      <c r="E125" s="173">
        <f>'2025 Φεβρουάριος'!D51</f>
        <v>490.41</v>
      </c>
      <c r="F125" s="36">
        <f t="shared" si="52"/>
        <v>873.09</v>
      </c>
      <c r="G125" s="173">
        <f>'2025 Μάρτιος'!D51</f>
        <v>627.18000000000006</v>
      </c>
      <c r="H125" s="36">
        <f t="shared" si="53"/>
        <v>1500.27</v>
      </c>
      <c r="I125" s="173">
        <f>'2025 Απρίλιος'!D51</f>
        <v>921.08</v>
      </c>
      <c r="J125" s="36">
        <f t="shared" si="54"/>
        <v>2421.35</v>
      </c>
      <c r="K125" s="173">
        <f>'2025 Μάιος'!D51</f>
        <v>611.53</v>
      </c>
      <c r="L125" s="36">
        <f t="shared" si="55"/>
        <v>3032.88</v>
      </c>
      <c r="M125" s="173">
        <f>'2025 Ιούνιος'!D51</f>
        <v>0</v>
      </c>
      <c r="N125" s="36">
        <f t="shared" si="56"/>
        <v>3032.88</v>
      </c>
      <c r="O125" s="173">
        <f>'2025 Ιούλιος'!D51</f>
        <v>0</v>
      </c>
      <c r="P125" s="36">
        <f t="shared" si="57"/>
        <v>3032.88</v>
      </c>
      <c r="Q125" s="173">
        <f>'2025 Aύγουστος'!D51</f>
        <v>0</v>
      </c>
      <c r="R125" s="36">
        <f t="shared" si="58"/>
        <v>3032.88</v>
      </c>
      <c r="S125" s="173">
        <f>'2025 Σεπτέμβριος'!D51</f>
        <v>0</v>
      </c>
      <c r="T125" s="36">
        <f t="shared" si="59"/>
        <v>3032.88</v>
      </c>
      <c r="U125" s="173">
        <f>'2025 Οκτώβριος'!D51</f>
        <v>0</v>
      </c>
      <c r="V125" s="36">
        <f t="shared" si="60"/>
        <v>3032.88</v>
      </c>
      <c r="W125" s="173">
        <f>'2025 Νοέμβριος'!D51</f>
        <v>0</v>
      </c>
      <c r="X125" s="36">
        <f t="shared" si="61"/>
        <v>3032.88</v>
      </c>
      <c r="Y125" s="173">
        <f>'2025 Δεκέμβριος'!D51</f>
        <v>0</v>
      </c>
      <c r="Z125" s="36">
        <f t="shared" si="62"/>
        <v>3032.88</v>
      </c>
      <c r="AA125" s="36">
        <f t="shared" si="50"/>
        <v>3032.88</v>
      </c>
    </row>
    <row r="126" spans="1:27" x14ac:dyDescent="0.25">
      <c r="A126" s="45" t="str">
        <f>'2025 Ιανουάριος'!C52</f>
        <v>Ασφαλιστικές εισφορές (Α.Κ.DDep)</v>
      </c>
      <c r="B126" s="35">
        <v>2025</v>
      </c>
      <c r="C126" s="173">
        <f>'2025 Ιανουάριος'!D52</f>
        <v>339.13</v>
      </c>
      <c r="D126" s="36">
        <f>C126</f>
        <v>339.13</v>
      </c>
      <c r="E126" s="173">
        <f>'2025 Φεβρουάριος'!D52</f>
        <v>357.22</v>
      </c>
      <c r="F126" s="36">
        <f>D126+E126</f>
        <v>696.35</v>
      </c>
      <c r="G126" s="173">
        <f>'2025 Μάρτιος'!D52</f>
        <v>358.92</v>
      </c>
      <c r="H126" s="36">
        <f>F126+G126</f>
        <v>1055.27</v>
      </c>
      <c r="I126" s="173">
        <f>'2025 Απρίλιος'!D52</f>
        <v>523.53</v>
      </c>
      <c r="J126" s="36">
        <f>H126+I126</f>
        <v>1578.8</v>
      </c>
      <c r="K126" s="173">
        <f>'2025 Μάιος'!D52</f>
        <v>334.43</v>
      </c>
      <c r="L126" s="36">
        <f>J126+K126</f>
        <v>1913.23</v>
      </c>
      <c r="M126" s="173">
        <f>'2025 Ιούνιος'!D52</f>
        <v>0</v>
      </c>
      <c r="N126" s="36">
        <f>L126+M126</f>
        <v>1913.23</v>
      </c>
      <c r="O126" s="173">
        <f>'2025 Ιούλιος'!D52</f>
        <v>0</v>
      </c>
      <c r="P126" s="36">
        <f>N126+O126</f>
        <v>1913.23</v>
      </c>
      <c r="Q126" s="173">
        <f>'2025 Aύγουστος'!D52</f>
        <v>0</v>
      </c>
      <c r="R126" s="36">
        <f>P126+Q126</f>
        <v>1913.23</v>
      </c>
      <c r="S126" s="173">
        <f>'2025 Σεπτέμβριος'!D52</f>
        <v>0</v>
      </c>
      <c r="T126" s="36">
        <f>R126+S126</f>
        <v>1913.23</v>
      </c>
      <c r="U126" s="173">
        <f>'2025 Οκτώβριος'!D52</f>
        <v>0</v>
      </c>
      <c r="V126" s="36">
        <f>T126+U126</f>
        <v>1913.23</v>
      </c>
      <c r="W126" s="173">
        <f>'2025 Νοέμβριος'!D52</f>
        <v>0</v>
      </c>
      <c r="X126" s="36">
        <f>V126+W126</f>
        <v>1913.23</v>
      </c>
      <c r="Y126" s="173">
        <f>'2025 Δεκέμβριος'!D52</f>
        <v>0</v>
      </c>
      <c r="Z126" s="36">
        <f>X126+Y126</f>
        <v>1913.23</v>
      </c>
      <c r="AA126" s="36">
        <f>C126+E126+G126+I126+K126+M126+O126+Q126+S126+U126+W126+Y126</f>
        <v>1913.23</v>
      </c>
    </row>
    <row r="127" spans="1:27" x14ac:dyDescent="0.25">
      <c r="A127" s="45" t="str">
        <f>'2025 Ιανουάριος'!C53</f>
        <v>Ασφαλιστικές εισφορές (Α.Κ.RDep)</v>
      </c>
      <c r="B127" s="35">
        <v>2025</v>
      </c>
      <c r="C127" s="173">
        <f>'2025 Ιανουάριος'!D53</f>
        <v>342.37</v>
      </c>
      <c r="D127" s="36">
        <f>C127</f>
        <v>342.37</v>
      </c>
      <c r="E127" s="173">
        <f>'2025 Φεβρουάριος'!D53</f>
        <v>358.92</v>
      </c>
      <c r="F127" s="36">
        <f>D127+E127</f>
        <v>701.29</v>
      </c>
      <c r="G127" s="173">
        <f>'2025 Μάρτιος'!D53</f>
        <v>367.2</v>
      </c>
      <c r="H127" s="36">
        <f>F127+G127</f>
        <v>1068.49</v>
      </c>
      <c r="I127" s="173">
        <f>'2025 Απρίλιος'!D53</f>
        <v>530.74</v>
      </c>
      <c r="J127" s="36">
        <f>H127+I127</f>
        <v>1599.23</v>
      </c>
      <c r="K127" s="173">
        <f>'2025 Μάιος'!D53</f>
        <v>481.17</v>
      </c>
      <c r="L127" s="36">
        <f>J127+K127</f>
        <v>2080.4</v>
      </c>
      <c r="M127" s="173">
        <f>'2025 Ιούνιος'!D53</f>
        <v>0</v>
      </c>
      <c r="N127" s="36">
        <f>L127+M127</f>
        <v>2080.4</v>
      </c>
      <c r="O127" s="173">
        <f>'2025 Ιούλιος'!D53</f>
        <v>0</v>
      </c>
      <c r="P127" s="36">
        <f>N127+O127</f>
        <v>2080.4</v>
      </c>
      <c r="Q127" s="173">
        <f>'2025 Aύγουστος'!D53</f>
        <v>0</v>
      </c>
      <c r="R127" s="36">
        <f>P127+Q127</f>
        <v>2080.4</v>
      </c>
      <c r="S127" s="173">
        <f>'2025 Σεπτέμβριος'!D53</f>
        <v>0</v>
      </c>
      <c r="T127" s="36">
        <f>R127+S127</f>
        <v>2080.4</v>
      </c>
      <c r="U127" s="173">
        <f>'2025 Οκτώβριος'!D53</f>
        <v>0</v>
      </c>
      <c r="V127" s="36">
        <f>T127+U127</f>
        <v>2080.4</v>
      </c>
      <c r="W127" s="173">
        <f>'2025 Νοέμβριος'!D53</f>
        <v>0</v>
      </c>
      <c r="X127" s="36">
        <f>V127+W127</f>
        <v>2080.4</v>
      </c>
      <c r="Y127" s="173">
        <f>'2025 Δεκέμβριος'!D53</f>
        <v>0</v>
      </c>
      <c r="Z127" s="36">
        <f>X127+Y127</f>
        <v>2080.4</v>
      </c>
      <c r="AA127" s="36">
        <f>C127+E127+G127+I127+K127+M127+O127+Q127+S127+U127+W127+Y127</f>
        <v>2080.4</v>
      </c>
    </row>
    <row r="128" spans="1:27" x14ac:dyDescent="0.25">
      <c r="A128" s="46" t="str">
        <f>'2025 Ιανουάριος'!C54</f>
        <v xml:space="preserve">Ενοίκια </v>
      </c>
      <c r="B128" s="35">
        <v>2025</v>
      </c>
      <c r="C128" s="173">
        <f>'2025 Ιανουάριος'!D54</f>
        <v>9138.619999999999</v>
      </c>
      <c r="D128" s="36">
        <f t="shared" si="51"/>
        <v>9138.619999999999</v>
      </c>
      <c r="E128" s="173">
        <f>'2025 Φεβρουάριος'!D54</f>
        <v>9138.619999999999</v>
      </c>
      <c r="F128" s="36">
        <f t="shared" si="52"/>
        <v>18277.239999999998</v>
      </c>
      <c r="G128" s="173">
        <f>'2025 Μάρτιος'!D54</f>
        <v>9157.5199999999986</v>
      </c>
      <c r="H128" s="36">
        <f t="shared" si="53"/>
        <v>27434.759999999995</v>
      </c>
      <c r="I128" s="173">
        <f>'2025 Απρίλιος'!D54</f>
        <v>9916.1200000000008</v>
      </c>
      <c r="J128" s="36">
        <f t="shared" si="54"/>
        <v>37350.879999999997</v>
      </c>
      <c r="K128" s="173">
        <f>'2025 Μάιος'!D54</f>
        <v>9916.1200000000008</v>
      </c>
      <c r="L128" s="36">
        <f t="shared" si="55"/>
        <v>47267</v>
      </c>
      <c r="M128" s="173">
        <f>'2025 Ιούνιος'!D54</f>
        <v>0</v>
      </c>
      <c r="N128" s="36">
        <f t="shared" si="56"/>
        <v>47267</v>
      </c>
      <c r="O128" s="173">
        <f>'2025 Ιούλιος'!D54</f>
        <v>0</v>
      </c>
      <c r="P128" s="36">
        <f t="shared" si="57"/>
        <v>47267</v>
      </c>
      <c r="Q128" s="173">
        <f>'2025 Aύγουστος'!D54</f>
        <v>0</v>
      </c>
      <c r="R128" s="36">
        <f t="shared" si="58"/>
        <v>47267</v>
      </c>
      <c r="S128" s="173">
        <f>'2025 Σεπτέμβριος'!D54</f>
        <v>0</v>
      </c>
      <c r="T128" s="36">
        <f t="shared" si="59"/>
        <v>47267</v>
      </c>
      <c r="U128" s="173">
        <f>'2025 Οκτώβριος'!D54</f>
        <v>0</v>
      </c>
      <c r="V128" s="36">
        <f t="shared" si="60"/>
        <v>47267</v>
      </c>
      <c r="W128" s="173">
        <f>'2025 Νοέμβριος'!D54</f>
        <v>0</v>
      </c>
      <c r="X128" s="36">
        <f t="shared" si="61"/>
        <v>47267</v>
      </c>
      <c r="Y128" s="173">
        <f>'2025 Δεκέμβριος'!D54</f>
        <v>0</v>
      </c>
      <c r="Z128" s="36">
        <f t="shared" si="62"/>
        <v>47267</v>
      </c>
      <c r="AA128" s="36">
        <f t="shared" si="50"/>
        <v>47267</v>
      </c>
    </row>
    <row r="129" spans="1:27" x14ac:dyDescent="0.25">
      <c r="A129" s="46" t="str">
        <f>'2025 Ιανουάριος'!C55</f>
        <v xml:space="preserve">Διαφορά Ενοικίου </v>
      </c>
      <c r="B129" s="35">
        <v>2025</v>
      </c>
      <c r="C129" s="173">
        <f>'2025 Ιανουάριος'!D55</f>
        <v>0</v>
      </c>
      <c r="D129" s="36">
        <f t="shared" si="51"/>
        <v>0</v>
      </c>
      <c r="E129" s="173">
        <f>'2025 Φεβρουάριος'!D55</f>
        <v>0</v>
      </c>
      <c r="F129" s="36">
        <f t="shared" si="52"/>
        <v>0</v>
      </c>
      <c r="G129" s="173">
        <f>'2025 Μάρτιος'!D55</f>
        <v>0</v>
      </c>
      <c r="H129" s="36">
        <f t="shared" si="53"/>
        <v>0</v>
      </c>
      <c r="I129" s="173">
        <f>'2025 Απρίλιος'!D55</f>
        <v>0</v>
      </c>
      <c r="J129" s="36">
        <f t="shared" si="54"/>
        <v>0</v>
      </c>
      <c r="K129" s="173">
        <f>'2025 Μάιος'!D55</f>
        <v>0</v>
      </c>
      <c r="L129" s="36">
        <f t="shared" si="55"/>
        <v>0</v>
      </c>
      <c r="M129" s="173">
        <f>'2025 Ιούνιος'!D55</f>
        <v>0</v>
      </c>
      <c r="N129" s="36">
        <f t="shared" si="56"/>
        <v>0</v>
      </c>
      <c r="O129" s="173">
        <f>'2025 Ιούλιος'!D55</f>
        <v>0</v>
      </c>
      <c r="P129" s="36">
        <f t="shared" si="57"/>
        <v>0</v>
      </c>
      <c r="Q129" s="173">
        <f>'2025 Aύγουστος'!D55</f>
        <v>0</v>
      </c>
      <c r="R129" s="36">
        <f t="shared" si="58"/>
        <v>0</v>
      </c>
      <c r="S129" s="173">
        <f>'2025 Σεπτέμβριος'!D55</f>
        <v>0</v>
      </c>
      <c r="T129" s="36">
        <f t="shared" si="59"/>
        <v>0</v>
      </c>
      <c r="U129" s="173">
        <f>'2025 Οκτώβριος'!D55</f>
        <v>0</v>
      </c>
      <c r="V129" s="36">
        <f t="shared" si="60"/>
        <v>0</v>
      </c>
      <c r="W129" s="173">
        <f>'2025 Νοέμβριος'!D55</f>
        <v>0</v>
      </c>
      <c r="X129" s="36">
        <f t="shared" si="61"/>
        <v>0</v>
      </c>
      <c r="Y129" s="173">
        <f>'2025 Δεκέμβριος'!D55</f>
        <v>0</v>
      </c>
      <c r="Z129" s="36">
        <f t="shared" si="62"/>
        <v>0</v>
      </c>
      <c r="AA129" s="36">
        <f t="shared" si="50"/>
        <v>0</v>
      </c>
    </row>
    <row r="130" spans="1:27" x14ac:dyDescent="0.25">
      <c r="A130" s="46" t="str">
        <f>'2025 Ιανουάριος'!C56</f>
        <v xml:space="preserve">Χαρτόσημο ενοικίων </v>
      </c>
      <c r="B130" s="35">
        <v>2025</v>
      </c>
      <c r="C130" s="173">
        <f>'2025 Ιανουάριος'!D56</f>
        <v>321.41000000000003</v>
      </c>
      <c r="D130" s="36">
        <f t="shared" si="51"/>
        <v>321.41000000000003</v>
      </c>
      <c r="E130" s="173">
        <f>'2025 Φεβρουάριος'!D56</f>
        <v>321.41000000000003</v>
      </c>
      <c r="F130" s="36">
        <f t="shared" si="52"/>
        <v>642.82000000000005</v>
      </c>
      <c r="G130" s="173">
        <f>'2025 Μάρτιος'!D56</f>
        <v>321.41000000000003</v>
      </c>
      <c r="H130" s="36">
        <f t="shared" si="53"/>
        <v>964.23</v>
      </c>
      <c r="I130" s="173">
        <f>'2025 Απρίλιος'!D56</f>
        <v>350.21</v>
      </c>
      <c r="J130" s="36">
        <f t="shared" si="54"/>
        <v>1314.44</v>
      </c>
      <c r="K130" s="173">
        <f>'2025 Μάιος'!D56</f>
        <v>350.21</v>
      </c>
      <c r="L130" s="36">
        <f t="shared" si="55"/>
        <v>1664.65</v>
      </c>
      <c r="M130" s="173">
        <f>'2025 Ιούνιος'!D56</f>
        <v>0</v>
      </c>
      <c r="N130" s="36">
        <f t="shared" si="56"/>
        <v>1664.65</v>
      </c>
      <c r="O130" s="173">
        <f>'2025 Ιούλιος'!D56</f>
        <v>0</v>
      </c>
      <c r="P130" s="36">
        <f t="shared" si="57"/>
        <v>1664.65</v>
      </c>
      <c r="Q130" s="173">
        <f>'2025 Aύγουστος'!D56</f>
        <v>0</v>
      </c>
      <c r="R130" s="36">
        <f t="shared" si="58"/>
        <v>1664.65</v>
      </c>
      <c r="S130" s="173">
        <f>'2025 Σεπτέμβριος'!D56</f>
        <v>0</v>
      </c>
      <c r="T130" s="36">
        <f t="shared" si="59"/>
        <v>1664.65</v>
      </c>
      <c r="U130" s="173">
        <f>'2025 Οκτώβριος'!D56</f>
        <v>0</v>
      </c>
      <c r="V130" s="36">
        <f t="shared" si="60"/>
        <v>1664.65</v>
      </c>
      <c r="W130" s="173">
        <f>'2025 Νοέμβριος'!D56</f>
        <v>0</v>
      </c>
      <c r="X130" s="36">
        <f t="shared" si="61"/>
        <v>1664.65</v>
      </c>
      <c r="Y130" s="173">
        <f>'2025 Δεκέμβριος'!D56</f>
        <v>0</v>
      </c>
      <c r="Z130" s="36">
        <f t="shared" si="62"/>
        <v>1664.65</v>
      </c>
      <c r="AA130" s="36">
        <f t="shared" si="50"/>
        <v>1664.65</v>
      </c>
    </row>
    <row r="131" spans="1:27" x14ac:dyDescent="0.25">
      <c r="A131" s="46" t="str">
        <f>'2025 Ιανουάριος'!C57</f>
        <v xml:space="preserve">Κοινόχρηστες Δαπάνες </v>
      </c>
      <c r="B131" s="35">
        <v>2025</v>
      </c>
      <c r="C131" s="173">
        <f>'2025 Ιανουάριος'!D57</f>
        <v>321.45999999999998</v>
      </c>
      <c r="D131" s="36">
        <f t="shared" si="51"/>
        <v>321.45999999999998</v>
      </c>
      <c r="E131" s="173">
        <f>'2025 Φεβρουάριος'!D57</f>
        <v>433.18</v>
      </c>
      <c r="F131" s="36">
        <f t="shared" si="52"/>
        <v>754.64</v>
      </c>
      <c r="G131" s="173">
        <f>'2025 Μάρτιος'!D57</f>
        <v>970.42000000000007</v>
      </c>
      <c r="H131" s="36">
        <f t="shared" si="53"/>
        <v>1725.06</v>
      </c>
      <c r="I131" s="173">
        <f>'2025 Απρίλιος'!D57</f>
        <v>506.04000000000008</v>
      </c>
      <c r="J131" s="36">
        <f t="shared" si="54"/>
        <v>2231.1</v>
      </c>
      <c r="K131" s="173">
        <f>'2025 Μάιος'!D57</f>
        <v>196.4</v>
      </c>
      <c r="L131" s="36">
        <f t="shared" si="55"/>
        <v>2427.5</v>
      </c>
      <c r="M131" s="173">
        <f>'2025 Ιούνιος'!D57</f>
        <v>0</v>
      </c>
      <c r="N131" s="36">
        <f t="shared" si="56"/>
        <v>2427.5</v>
      </c>
      <c r="O131" s="173">
        <f>'2025 Ιούλιος'!D57</f>
        <v>0</v>
      </c>
      <c r="P131" s="36">
        <f t="shared" si="57"/>
        <v>2427.5</v>
      </c>
      <c r="Q131" s="173">
        <f>'2025 Aύγουστος'!D57</f>
        <v>0</v>
      </c>
      <c r="R131" s="36">
        <f t="shared" si="58"/>
        <v>2427.5</v>
      </c>
      <c r="S131" s="173">
        <f>'2025 Σεπτέμβριος'!D57</f>
        <v>0</v>
      </c>
      <c r="T131" s="36">
        <f t="shared" si="59"/>
        <v>2427.5</v>
      </c>
      <c r="U131" s="173">
        <f>'2025 Οκτώβριος'!D57</f>
        <v>0</v>
      </c>
      <c r="V131" s="36">
        <f t="shared" si="60"/>
        <v>2427.5</v>
      </c>
      <c r="W131" s="173">
        <f>'2025 Νοέμβριος'!D57</f>
        <v>0</v>
      </c>
      <c r="X131" s="36">
        <f t="shared" si="61"/>
        <v>2427.5</v>
      </c>
      <c r="Y131" s="173">
        <f>'2025 Δεκέμβριος'!D57</f>
        <v>0</v>
      </c>
      <c r="Z131" s="36">
        <f t="shared" si="62"/>
        <v>2427.5</v>
      </c>
      <c r="AA131" s="36">
        <f t="shared" si="50"/>
        <v>2427.5</v>
      </c>
    </row>
    <row r="132" spans="1:27" x14ac:dyDescent="0.25">
      <c r="A132" s="46" t="str">
        <f>'2025 Ιανουάριος'!C58</f>
        <v xml:space="preserve">Ενέργεια </v>
      </c>
      <c r="B132" s="35">
        <v>2025</v>
      </c>
      <c r="C132" s="173">
        <f>'2025 Ιανουάριος'!D58</f>
        <v>215.2</v>
      </c>
      <c r="D132" s="36">
        <f t="shared" si="51"/>
        <v>215.2</v>
      </c>
      <c r="E132" s="173">
        <f>'2025 Φεβρουάριος'!D58</f>
        <v>738.5200000000001</v>
      </c>
      <c r="F132" s="36">
        <f t="shared" si="52"/>
        <v>953.72</v>
      </c>
      <c r="G132" s="173">
        <f>'2025 Μάρτιος'!D58</f>
        <v>1191.53</v>
      </c>
      <c r="H132" s="36">
        <f t="shared" si="53"/>
        <v>2145.25</v>
      </c>
      <c r="I132" s="173">
        <f>'2025 Απρίλιος'!D58</f>
        <v>458.47</v>
      </c>
      <c r="J132" s="36">
        <f t="shared" si="54"/>
        <v>2603.7200000000003</v>
      </c>
      <c r="K132" s="173">
        <f>'2025 Μάιος'!D58</f>
        <v>779.78</v>
      </c>
      <c r="L132" s="36">
        <f t="shared" si="55"/>
        <v>3383.5</v>
      </c>
      <c r="M132" s="173">
        <f>'2025 Ιούνιος'!D58</f>
        <v>0</v>
      </c>
      <c r="N132" s="36">
        <f t="shared" si="56"/>
        <v>3383.5</v>
      </c>
      <c r="O132" s="173">
        <f>'2025 Ιούλιος'!D58</f>
        <v>0</v>
      </c>
      <c r="P132" s="36">
        <f t="shared" si="57"/>
        <v>3383.5</v>
      </c>
      <c r="Q132" s="173">
        <f>'2025 Aύγουστος'!D58</f>
        <v>0</v>
      </c>
      <c r="R132" s="36">
        <f t="shared" si="58"/>
        <v>3383.5</v>
      </c>
      <c r="S132" s="173">
        <f>'2025 Σεπτέμβριος'!D58</f>
        <v>0</v>
      </c>
      <c r="T132" s="36">
        <f t="shared" si="59"/>
        <v>3383.5</v>
      </c>
      <c r="U132" s="173">
        <f>'2025 Οκτώβριος'!D58</f>
        <v>0</v>
      </c>
      <c r="V132" s="36">
        <f t="shared" si="60"/>
        <v>3383.5</v>
      </c>
      <c r="W132" s="173">
        <f>'2025 Νοέμβριος'!D58</f>
        <v>0</v>
      </c>
      <c r="X132" s="36">
        <f t="shared" si="61"/>
        <v>3383.5</v>
      </c>
      <c r="Y132" s="173">
        <f>'2025 Δεκέμβριος'!D58</f>
        <v>0</v>
      </c>
      <c r="Z132" s="36">
        <f t="shared" si="62"/>
        <v>3383.5</v>
      </c>
      <c r="AA132" s="36">
        <f t="shared" si="50"/>
        <v>3383.5</v>
      </c>
    </row>
    <row r="133" spans="1:27" x14ac:dyDescent="0.25">
      <c r="A133" s="46" t="str">
        <f>'2025 Ιανουάριος'!C59</f>
        <v>Φυσικό αέριο</v>
      </c>
      <c r="B133" s="35">
        <v>2025</v>
      </c>
      <c r="C133" s="173">
        <f>'2025 Ιανουάριος'!D59</f>
        <v>0</v>
      </c>
      <c r="D133" s="36">
        <f t="shared" si="51"/>
        <v>0</v>
      </c>
      <c r="E133" s="173">
        <f>'2025 Φεβρουάριος'!D59</f>
        <v>66.64</v>
      </c>
      <c r="F133" s="36">
        <f t="shared" si="52"/>
        <v>66.64</v>
      </c>
      <c r="G133" s="173">
        <f>'2025 Μάρτιος'!D59</f>
        <v>656.05000000000007</v>
      </c>
      <c r="H133" s="36">
        <f t="shared" si="53"/>
        <v>722.69</v>
      </c>
      <c r="I133" s="173">
        <f>'2025 Απρίλιος'!D59</f>
        <v>0</v>
      </c>
      <c r="J133" s="36">
        <f t="shared" si="54"/>
        <v>722.69</v>
      </c>
      <c r="K133" s="173">
        <f>'2025 Μάιος'!D59</f>
        <v>356.39</v>
      </c>
      <c r="L133" s="36">
        <f t="shared" si="55"/>
        <v>1079.08</v>
      </c>
      <c r="M133" s="173">
        <f>'2025 Ιούνιος'!D59</f>
        <v>0</v>
      </c>
      <c r="N133" s="36">
        <f t="shared" si="56"/>
        <v>1079.08</v>
      </c>
      <c r="O133" s="173">
        <f>'2025 Ιούλιος'!D59</f>
        <v>0</v>
      </c>
      <c r="P133" s="36">
        <f t="shared" si="57"/>
        <v>1079.08</v>
      </c>
      <c r="Q133" s="173">
        <f>'2025 Aύγουστος'!D59</f>
        <v>0</v>
      </c>
      <c r="R133" s="36">
        <f t="shared" si="58"/>
        <v>1079.08</v>
      </c>
      <c r="S133" s="173">
        <f>'2025 Σεπτέμβριος'!D59</f>
        <v>0</v>
      </c>
      <c r="T133" s="36">
        <f t="shared" si="59"/>
        <v>1079.08</v>
      </c>
      <c r="U133" s="173">
        <f>'2025 Οκτώβριος'!D59</f>
        <v>0</v>
      </c>
      <c r="V133" s="36">
        <f t="shared" si="60"/>
        <v>1079.08</v>
      </c>
      <c r="W133" s="173">
        <f>'2025 Νοέμβριος'!D59</f>
        <v>0</v>
      </c>
      <c r="X133" s="36">
        <f t="shared" si="61"/>
        <v>1079.08</v>
      </c>
      <c r="Y133" s="173">
        <f>'2025 Δεκέμβριος'!D59</f>
        <v>0</v>
      </c>
      <c r="Z133" s="36">
        <f t="shared" si="62"/>
        <v>1079.08</v>
      </c>
      <c r="AA133" s="36">
        <f t="shared" si="50"/>
        <v>1079.08</v>
      </c>
    </row>
    <row r="134" spans="1:27" x14ac:dyDescent="0.25">
      <c r="A134" s="46" t="str">
        <f>'2025 Ιανουάριος'!C60</f>
        <v xml:space="preserve">Τηλεπικοινωνίες (Τηλεφωνία &amp; Διαδίκτυο) </v>
      </c>
      <c r="B134" s="35">
        <v>2025</v>
      </c>
      <c r="C134" s="173">
        <f>'2025 Ιανουάριος'!D60</f>
        <v>122.32</v>
      </c>
      <c r="D134" s="36">
        <f t="shared" si="51"/>
        <v>122.32</v>
      </c>
      <c r="E134" s="173">
        <f>'2025 Φεβρουάριος'!D60</f>
        <v>426.33</v>
      </c>
      <c r="F134" s="36">
        <f t="shared" si="52"/>
        <v>548.65</v>
      </c>
      <c r="G134" s="173">
        <f>'2025 Μάρτιος'!D60</f>
        <v>348.42</v>
      </c>
      <c r="H134" s="36">
        <f t="shared" si="53"/>
        <v>897.06999999999994</v>
      </c>
      <c r="I134" s="173">
        <f>'2025 Απρίλιος'!D60</f>
        <v>407.89</v>
      </c>
      <c r="J134" s="36">
        <f t="shared" si="54"/>
        <v>1304.96</v>
      </c>
      <c r="K134" s="173">
        <f>'2025 Μάιος'!D60</f>
        <v>373.33</v>
      </c>
      <c r="L134" s="36">
        <f t="shared" si="55"/>
        <v>1678.29</v>
      </c>
      <c r="M134" s="173">
        <f>'2025 Ιούνιος'!D60</f>
        <v>0</v>
      </c>
      <c r="N134" s="36">
        <f t="shared" si="56"/>
        <v>1678.29</v>
      </c>
      <c r="O134" s="173">
        <f>'2025 Ιούλιος'!D60</f>
        <v>0</v>
      </c>
      <c r="P134" s="36">
        <f t="shared" si="57"/>
        <v>1678.29</v>
      </c>
      <c r="Q134" s="173">
        <f>'2025 Aύγουστος'!D60</f>
        <v>0</v>
      </c>
      <c r="R134" s="36">
        <f t="shared" si="58"/>
        <v>1678.29</v>
      </c>
      <c r="S134" s="173">
        <f>'2025 Σεπτέμβριος'!D60</f>
        <v>0</v>
      </c>
      <c r="T134" s="36">
        <f t="shared" si="59"/>
        <v>1678.29</v>
      </c>
      <c r="U134" s="173">
        <f>'2025 Οκτώβριος'!D60</f>
        <v>0</v>
      </c>
      <c r="V134" s="36">
        <f t="shared" si="60"/>
        <v>1678.29</v>
      </c>
      <c r="W134" s="173">
        <f>'2025 Νοέμβριος'!D60</f>
        <v>0</v>
      </c>
      <c r="X134" s="36">
        <f t="shared" si="61"/>
        <v>1678.29</v>
      </c>
      <c r="Y134" s="173">
        <f>'2025 Δεκέμβριος'!D60</f>
        <v>0</v>
      </c>
      <c r="Z134" s="36">
        <f t="shared" si="62"/>
        <v>1678.29</v>
      </c>
      <c r="AA134" s="36">
        <f t="shared" si="50"/>
        <v>1678.29</v>
      </c>
    </row>
    <row r="135" spans="1:27" x14ac:dyDescent="0.25">
      <c r="A135" s="46" t="str">
        <f>'2025 Ιανουάριος'!C61</f>
        <v xml:space="preserve">Ύδρευση </v>
      </c>
      <c r="B135" s="35">
        <v>2025</v>
      </c>
      <c r="C135" s="173">
        <f>'2025 Ιανουάριος'!D61</f>
        <v>1.57</v>
      </c>
      <c r="D135" s="36">
        <f t="shared" si="51"/>
        <v>1.57</v>
      </c>
      <c r="E135" s="173">
        <f>'2025 Φεβρουάριος'!D61</f>
        <v>74.069999999999993</v>
      </c>
      <c r="F135" s="36">
        <f t="shared" si="52"/>
        <v>75.639999999999986</v>
      </c>
      <c r="G135" s="173">
        <f>'2025 Μάρτιος'!D61</f>
        <v>8.93</v>
      </c>
      <c r="H135" s="36">
        <f t="shared" si="53"/>
        <v>84.57</v>
      </c>
      <c r="I135" s="173">
        <f>'2025 Απρίλιος'!D61</f>
        <v>43.87</v>
      </c>
      <c r="J135" s="36">
        <f t="shared" si="54"/>
        <v>128.44</v>
      </c>
      <c r="K135" s="173">
        <f>'2025 Μάιος'!D61</f>
        <v>158.62</v>
      </c>
      <c r="L135" s="36">
        <f t="shared" si="55"/>
        <v>287.06</v>
      </c>
      <c r="M135" s="173">
        <f>'2025 Ιούνιος'!D61</f>
        <v>0</v>
      </c>
      <c r="N135" s="36">
        <f t="shared" si="56"/>
        <v>287.06</v>
      </c>
      <c r="O135" s="173">
        <f>'2025 Ιούλιος'!D61</f>
        <v>0</v>
      </c>
      <c r="P135" s="36">
        <f t="shared" si="57"/>
        <v>287.06</v>
      </c>
      <c r="Q135" s="173">
        <f>'2025 Aύγουστος'!D61</f>
        <v>0</v>
      </c>
      <c r="R135" s="36">
        <f t="shared" si="58"/>
        <v>287.06</v>
      </c>
      <c r="S135" s="173">
        <f>'2025 Σεπτέμβριος'!D61</f>
        <v>0</v>
      </c>
      <c r="T135" s="36">
        <f t="shared" si="59"/>
        <v>287.06</v>
      </c>
      <c r="U135" s="173">
        <f>'2025 Οκτώβριος'!D61</f>
        <v>0</v>
      </c>
      <c r="V135" s="36">
        <f t="shared" si="60"/>
        <v>287.06</v>
      </c>
      <c r="W135" s="173">
        <f>'2025 Νοέμβριος'!D61</f>
        <v>0</v>
      </c>
      <c r="X135" s="36">
        <f t="shared" si="61"/>
        <v>287.06</v>
      </c>
      <c r="Y135" s="173">
        <f>'2025 Δεκέμβριος'!D61</f>
        <v>0</v>
      </c>
      <c r="Z135" s="36">
        <f t="shared" si="62"/>
        <v>287.06</v>
      </c>
      <c r="AA135" s="36">
        <f t="shared" si="50"/>
        <v>287.06</v>
      </c>
    </row>
    <row r="136" spans="1:27" x14ac:dyDescent="0.25">
      <c r="A136" s="46" t="str">
        <f>'2025 Ιανουάριος'!C62</f>
        <v xml:space="preserve">Ασφάλιστρα </v>
      </c>
      <c r="B136" s="35">
        <v>2025</v>
      </c>
      <c r="C136" s="173">
        <f>'2025 Ιανουάριος'!D62</f>
        <v>3780.7</v>
      </c>
      <c r="D136" s="36">
        <f t="shared" si="51"/>
        <v>3780.7</v>
      </c>
      <c r="E136" s="173">
        <f>'2025 Φεβρουάριος'!D62</f>
        <v>0</v>
      </c>
      <c r="F136" s="36">
        <f t="shared" si="52"/>
        <v>3780.7</v>
      </c>
      <c r="G136" s="173">
        <f>'2025 Μάρτιος'!D62</f>
        <v>0</v>
      </c>
      <c r="H136" s="36">
        <f t="shared" si="53"/>
        <v>3780.7</v>
      </c>
      <c r="I136" s="173">
        <f>'2025 Απρίλιος'!D62</f>
        <v>0</v>
      </c>
      <c r="J136" s="36">
        <f t="shared" si="54"/>
        <v>3780.7</v>
      </c>
      <c r="K136" s="173">
        <f>'2025 Μάιος'!D62</f>
        <v>0</v>
      </c>
      <c r="L136" s="36">
        <f t="shared" si="55"/>
        <v>3780.7</v>
      </c>
      <c r="M136" s="173">
        <f>'2025 Ιούνιος'!D62</f>
        <v>0</v>
      </c>
      <c r="N136" s="36">
        <f t="shared" si="56"/>
        <v>3780.7</v>
      </c>
      <c r="O136" s="173">
        <f>'2025 Ιούλιος'!D62</f>
        <v>0</v>
      </c>
      <c r="P136" s="36">
        <f t="shared" si="57"/>
        <v>3780.7</v>
      </c>
      <c r="Q136" s="173">
        <f>'2025 Aύγουστος'!D62</f>
        <v>0</v>
      </c>
      <c r="R136" s="36">
        <f t="shared" si="58"/>
        <v>3780.7</v>
      </c>
      <c r="S136" s="173">
        <f>'2025 Σεπτέμβριος'!D62</f>
        <v>0</v>
      </c>
      <c r="T136" s="36">
        <f t="shared" si="59"/>
        <v>3780.7</v>
      </c>
      <c r="U136" s="173">
        <f>'2025 Οκτώβριος'!D62</f>
        <v>0</v>
      </c>
      <c r="V136" s="36">
        <f t="shared" si="60"/>
        <v>3780.7</v>
      </c>
      <c r="W136" s="173">
        <f>'2025 Νοέμβριος'!D62</f>
        <v>0</v>
      </c>
      <c r="X136" s="36">
        <f t="shared" si="61"/>
        <v>3780.7</v>
      </c>
      <c r="Y136" s="173">
        <f>'2025 Δεκέμβριος'!D62</f>
        <v>0</v>
      </c>
      <c r="Z136" s="36">
        <f t="shared" si="62"/>
        <v>3780.7</v>
      </c>
      <c r="AA136" s="36">
        <f t="shared" si="50"/>
        <v>3780.7</v>
      </c>
    </row>
    <row r="137" spans="1:27" x14ac:dyDescent="0.25">
      <c r="A137" s="46" t="str">
        <f>'2025 Ιανουάριος'!C63</f>
        <v xml:space="preserve">Αναλώσιμα τρόφιμα  </v>
      </c>
      <c r="B137" s="35">
        <v>2025</v>
      </c>
      <c r="C137" s="173">
        <f>'2025 Ιανουάριος'!D63</f>
        <v>35.32</v>
      </c>
      <c r="D137" s="36">
        <f t="shared" si="51"/>
        <v>35.32</v>
      </c>
      <c r="E137" s="173">
        <f>'2025 Φεβρουάριος'!D63</f>
        <v>67.36</v>
      </c>
      <c r="F137" s="36">
        <f t="shared" si="52"/>
        <v>102.68</v>
      </c>
      <c r="G137" s="173">
        <f>'2025 Μάρτιος'!D63</f>
        <v>126.37</v>
      </c>
      <c r="H137" s="36">
        <f t="shared" si="53"/>
        <v>229.05</v>
      </c>
      <c r="I137" s="173">
        <f>'2025 Απρίλιος'!D63</f>
        <v>55.66</v>
      </c>
      <c r="J137" s="36">
        <f t="shared" si="54"/>
        <v>284.71000000000004</v>
      </c>
      <c r="K137" s="173">
        <f>'2025 Μάιος'!D63</f>
        <v>78.540000000000006</v>
      </c>
      <c r="L137" s="36">
        <f t="shared" si="55"/>
        <v>363.25000000000006</v>
      </c>
      <c r="M137" s="173">
        <f>'2025 Ιούνιος'!D63</f>
        <v>0</v>
      </c>
      <c r="N137" s="36">
        <f t="shared" si="56"/>
        <v>363.25000000000006</v>
      </c>
      <c r="O137" s="173">
        <f>'2025 Ιούλιος'!D63</f>
        <v>0</v>
      </c>
      <c r="P137" s="36">
        <f t="shared" si="57"/>
        <v>363.25000000000006</v>
      </c>
      <c r="Q137" s="173">
        <f>'2025 Aύγουστος'!D63</f>
        <v>0</v>
      </c>
      <c r="R137" s="36">
        <f t="shared" si="58"/>
        <v>363.25000000000006</v>
      </c>
      <c r="S137" s="173">
        <f>'2025 Σεπτέμβριος'!D63</f>
        <v>0</v>
      </c>
      <c r="T137" s="36">
        <f t="shared" si="59"/>
        <v>363.25000000000006</v>
      </c>
      <c r="U137" s="173">
        <f>'2025 Οκτώβριος'!D63</f>
        <v>0</v>
      </c>
      <c r="V137" s="36">
        <f t="shared" si="60"/>
        <v>363.25000000000006</v>
      </c>
      <c r="W137" s="173">
        <f>'2025 Νοέμβριος'!D63</f>
        <v>0</v>
      </c>
      <c r="X137" s="36">
        <f t="shared" si="61"/>
        <v>363.25000000000006</v>
      </c>
      <c r="Y137" s="173">
        <f>'2025 Δεκέμβριος'!D63</f>
        <v>0</v>
      </c>
      <c r="Z137" s="36">
        <f t="shared" si="62"/>
        <v>363.25000000000006</v>
      </c>
      <c r="AA137" s="36">
        <f t="shared" si="50"/>
        <v>363.25000000000006</v>
      </c>
    </row>
    <row r="138" spans="1:27" x14ac:dyDescent="0.25">
      <c r="A138" s="46">
        <f>'2025 Ιανουάριος'!C64</f>
        <v>0</v>
      </c>
      <c r="B138" s="35">
        <v>2025</v>
      </c>
      <c r="C138" s="173">
        <f>'2025 Ιανουάριος'!D64</f>
        <v>0</v>
      </c>
      <c r="D138" s="36">
        <f t="shared" si="51"/>
        <v>0</v>
      </c>
      <c r="E138" s="173">
        <f>'2025 Φεβρουάριος'!D64</f>
        <v>0</v>
      </c>
      <c r="F138" s="36">
        <f t="shared" si="52"/>
        <v>0</v>
      </c>
      <c r="G138" s="173">
        <f>'2025 Μάρτιος'!D64</f>
        <v>0</v>
      </c>
      <c r="H138" s="36">
        <f t="shared" si="53"/>
        <v>0</v>
      </c>
      <c r="I138" s="173">
        <f>'2025 Απρίλιος'!D64</f>
        <v>0</v>
      </c>
      <c r="J138" s="36">
        <f t="shared" si="54"/>
        <v>0</v>
      </c>
      <c r="K138" s="173">
        <f>'2025 Μάιος'!D64</f>
        <v>0</v>
      </c>
      <c r="L138" s="36">
        <f t="shared" si="55"/>
        <v>0</v>
      </c>
      <c r="M138" s="173">
        <f>'2025 Ιούνιος'!D64</f>
        <v>0</v>
      </c>
      <c r="N138" s="36">
        <f t="shared" si="56"/>
        <v>0</v>
      </c>
      <c r="O138" s="173">
        <f>'2025 Ιούλιος'!D64</f>
        <v>0</v>
      </c>
      <c r="P138" s="36">
        <f t="shared" si="57"/>
        <v>0</v>
      </c>
      <c r="Q138" s="173">
        <f>'2025 Aύγουστος'!D64</f>
        <v>0</v>
      </c>
      <c r="R138" s="36">
        <f t="shared" si="58"/>
        <v>0</v>
      </c>
      <c r="S138" s="173">
        <f>'2025 Σεπτέμβριος'!D64</f>
        <v>0</v>
      </c>
      <c r="T138" s="36">
        <f t="shared" si="59"/>
        <v>0</v>
      </c>
      <c r="U138" s="173">
        <f>'2025 Οκτώβριος'!D64</f>
        <v>0</v>
      </c>
      <c r="V138" s="36">
        <f t="shared" si="60"/>
        <v>0</v>
      </c>
      <c r="W138" s="173">
        <f>'2025 Νοέμβριος'!D64</f>
        <v>0</v>
      </c>
      <c r="X138" s="36">
        <f t="shared" si="61"/>
        <v>0</v>
      </c>
      <c r="Y138" s="173">
        <f>'2025 Δεκέμβριος'!D64</f>
        <v>0</v>
      </c>
      <c r="Z138" s="36">
        <f t="shared" si="62"/>
        <v>0</v>
      </c>
      <c r="AA138" s="36">
        <f t="shared" si="50"/>
        <v>0</v>
      </c>
    </row>
    <row r="139" spans="1:27" x14ac:dyDescent="0.25">
      <c r="A139" s="46" t="str">
        <f>'2025 Ιανουάριος'!C65</f>
        <v xml:space="preserve">Εντυπα και γραφική ύλη </v>
      </c>
      <c r="B139" s="35">
        <v>2025</v>
      </c>
      <c r="C139" s="173">
        <f>'2025 Ιανουάριος'!D65</f>
        <v>0</v>
      </c>
      <c r="D139" s="36">
        <f t="shared" si="51"/>
        <v>0</v>
      </c>
      <c r="E139" s="173">
        <f>'2025 Φεβρουάριος'!D65</f>
        <v>0</v>
      </c>
      <c r="F139" s="36">
        <f t="shared" si="52"/>
        <v>0</v>
      </c>
      <c r="G139" s="173">
        <f>'2025 Μάρτιος'!D65</f>
        <v>0</v>
      </c>
      <c r="H139" s="36">
        <f t="shared" si="53"/>
        <v>0</v>
      </c>
      <c r="I139" s="173">
        <f>'2025 Απρίλιος'!D65</f>
        <v>0</v>
      </c>
      <c r="J139" s="36">
        <f t="shared" si="54"/>
        <v>0</v>
      </c>
      <c r="K139" s="173">
        <f>'2025 Μάιος'!D65</f>
        <v>0</v>
      </c>
      <c r="L139" s="36">
        <f t="shared" si="55"/>
        <v>0</v>
      </c>
      <c r="M139" s="173">
        <f>'2025 Ιούνιος'!D65</f>
        <v>0</v>
      </c>
      <c r="N139" s="36">
        <f t="shared" si="56"/>
        <v>0</v>
      </c>
      <c r="O139" s="173">
        <f>'2025 Ιούλιος'!D65</f>
        <v>0</v>
      </c>
      <c r="P139" s="36">
        <f t="shared" si="57"/>
        <v>0</v>
      </c>
      <c r="Q139" s="173">
        <f>'2025 Aύγουστος'!D65</f>
        <v>0</v>
      </c>
      <c r="R139" s="36">
        <f t="shared" si="58"/>
        <v>0</v>
      </c>
      <c r="S139" s="173">
        <f>'2025 Σεπτέμβριος'!D65</f>
        <v>0</v>
      </c>
      <c r="T139" s="36">
        <f t="shared" si="59"/>
        <v>0</v>
      </c>
      <c r="U139" s="173">
        <f>'2025 Οκτώβριος'!D65</f>
        <v>0</v>
      </c>
      <c r="V139" s="36">
        <f t="shared" si="60"/>
        <v>0</v>
      </c>
      <c r="W139" s="173">
        <f>'2025 Νοέμβριος'!D65</f>
        <v>0</v>
      </c>
      <c r="X139" s="36">
        <f t="shared" si="61"/>
        <v>0</v>
      </c>
      <c r="Y139" s="173">
        <f>'2025 Δεκέμβριος'!D65</f>
        <v>0</v>
      </c>
      <c r="Z139" s="36">
        <f t="shared" si="62"/>
        <v>0</v>
      </c>
      <c r="AA139" s="36">
        <f t="shared" si="50"/>
        <v>0</v>
      </c>
    </row>
    <row r="140" spans="1:27" x14ac:dyDescent="0.25">
      <c r="A140" s="46" t="str">
        <f>'2025 Ιανουάριος'!C66</f>
        <v xml:space="preserve">Υλικά Καθαριότητας </v>
      </c>
      <c r="B140" s="35">
        <v>2025</v>
      </c>
      <c r="C140" s="173">
        <f>'2025 Ιανουάριος'!D66</f>
        <v>0</v>
      </c>
      <c r="D140" s="36">
        <f t="shared" si="51"/>
        <v>0</v>
      </c>
      <c r="E140" s="173">
        <f>'2025 Φεβρουάριος'!D66</f>
        <v>0</v>
      </c>
      <c r="F140" s="36">
        <f t="shared" si="52"/>
        <v>0</v>
      </c>
      <c r="G140" s="173">
        <f>'2025 Μάρτιος'!D66</f>
        <v>0</v>
      </c>
      <c r="H140" s="36">
        <f t="shared" si="53"/>
        <v>0</v>
      </c>
      <c r="I140" s="173">
        <f>'2025 Απρίλιος'!D66</f>
        <v>0</v>
      </c>
      <c r="J140" s="36">
        <f t="shared" si="54"/>
        <v>0</v>
      </c>
      <c r="K140" s="173">
        <f>'2025 Μάιος'!D66</f>
        <v>0</v>
      </c>
      <c r="L140" s="36">
        <f t="shared" si="55"/>
        <v>0</v>
      </c>
      <c r="M140" s="173">
        <f>'2025 Ιούνιος'!D66</f>
        <v>0</v>
      </c>
      <c r="N140" s="36">
        <f t="shared" si="56"/>
        <v>0</v>
      </c>
      <c r="O140" s="173">
        <f>'2025 Ιούλιος'!D66</f>
        <v>0</v>
      </c>
      <c r="P140" s="36">
        <f t="shared" si="57"/>
        <v>0</v>
      </c>
      <c r="Q140" s="173">
        <f>'2025 Aύγουστος'!D66</f>
        <v>0</v>
      </c>
      <c r="R140" s="36">
        <f t="shared" si="58"/>
        <v>0</v>
      </c>
      <c r="S140" s="173">
        <f>'2025 Σεπτέμβριος'!D66</f>
        <v>0</v>
      </c>
      <c r="T140" s="36">
        <f t="shared" si="59"/>
        <v>0</v>
      </c>
      <c r="U140" s="173">
        <f>'2025 Οκτώβριος'!D66</f>
        <v>0</v>
      </c>
      <c r="V140" s="36">
        <f t="shared" si="60"/>
        <v>0</v>
      </c>
      <c r="W140" s="173">
        <f>'2025 Νοέμβριος'!D66</f>
        <v>0</v>
      </c>
      <c r="X140" s="36">
        <f t="shared" si="61"/>
        <v>0</v>
      </c>
      <c r="Y140" s="173">
        <f>'2025 Δεκέμβριος'!D66</f>
        <v>0</v>
      </c>
      <c r="Z140" s="36">
        <f t="shared" si="62"/>
        <v>0</v>
      </c>
      <c r="AA140" s="36">
        <f t="shared" si="50"/>
        <v>0</v>
      </c>
    </row>
    <row r="141" spans="1:27" x14ac:dyDescent="0.25">
      <c r="A141" s="46" t="str">
        <f>'2025 Ιανουάριος'!C67</f>
        <v>Υλικά Φαρμακείου</v>
      </c>
      <c r="B141" s="35">
        <v>2025</v>
      </c>
      <c r="C141" s="173">
        <f>'2025 Ιανουάριος'!D67</f>
        <v>42.62</v>
      </c>
      <c r="D141" s="36">
        <f t="shared" si="51"/>
        <v>42.62</v>
      </c>
      <c r="E141" s="173">
        <f>'2025 Φεβρουάριος'!D67</f>
        <v>50</v>
      </c>
      <c r="F141" s="36">
        <f t="shared" si="52"/>
        <v>92.62</v>
      </c>
      <c r="G141" s="173">
        <f>'2025 Μάρτιος'!D67</f>
        <v>45.56</v>
      </c>
      <c r="H141" s="36">
        <f t="shared" si="53"/>
        <v>138.18</v>
      </c>
      <c r="I141" s="173">
        <f>'2025 Απρίλιος'!D67</f>
        <v>49.57</v>
      </c>
      <c r="J141" s="36">
        <f t="shared" si="54"/>
        <v>187.75</v>
      </c>
      <c r="K141" s="173">
        <f>'2025 Μάιος'!D67</f>
        <v>0.96</v>
      </c>
      <c r="L141" s="36">
        <f t="shared" si="55"/>
        <v>188.71</v>
      </c>
      <c r="M141" s="173">
        <f>'2025 Ιούνιος'!D67</f>
        <v>0</v>
      </c>
      <c r="N141" s="36">
        <f t="shared" si="56"/>
        <v>188.71</v>
      </c>
      <c r="O141" s="173">
        <f>'2025 Ιούλιος'!D67</f>
        <v>0</v>
      </c>
      <c r="P141" s="36">
        <f t="shared" si="57"/>
        <v>188.71</v>
      </c>
      <c r="Q141" s="173">
        <f>'2025 Aύγουστος'!D67</f>
        <v>0</v>
      </c>
      <c r="R141" s="36">
        <f t="shared" si="58"/>
        <v>188.71</v>
      </c>
      <c r="S141" s="173">
        <f>'2025 Σεπτέμβριος'!D67</f>
        <v>0</v>
      </c>
      <c r="T141" s="36">
        <f t="shared" si="59"/>
        <v>188.71</v>
      </c>
      <c r="U141" s="173">
        <f>'2025 Οκτώβριος'!D67</f>
        <v>0</v>
      </c>
      <c r="V141" s="36">
        <f t="shared" si="60"/>
        <v>188.71</v>
      </c>
      <c r="W141" s="173">
        <f>'2025 Νοέμβριος'!D67</f>
        <v>0</v>
      </c>
      <c r="X141" s="36">
        <f t="shared" si="61"/>
        <v>188.71</v>
      </c>
      <c r="Y141" s="173">
        <f>'2025 Δεκέμβριος'!D67</f>
        <v>0</v>
      </c>
      <c r="Z141" s="36">
        <f t="shared" si="62"/>
        <v>188.71</v>
      </c>
      <c r="AA141" s="36">
        <f t="shared" si="50"/>
        <v>188.71</v>
      </c>
    </row>
    <row r="142" spans="1:27" x14ac:dyDescent="0.25">
      <c r="A142" s="46" t="str">
        <f>'2025 Ιανουάριος'!C68</f>
        <v>Διάφορα αναλώσιμα</v>
      </c>
      <c r="B142" s="35">
        <v>2025</v>
      </c>
      <c r="C142" s="173">
        <f>'2025 Ιανουάριος'!D68</f>
        <v>14981.98</v>
      </c>
      <c r="D142" s="36">
        <f t="shared" si="51"/>
        <v>14981.98</v>
      </c>
      <c r="E142" s="173">
        <f>'2025 Φεβρουάριος'!D68</f>
        <v>4853.79</v>
      </c>
      <c r="F142" s="36">
        <f t="shared" si="52"/>
        <v>19835.77</v>
      </c>
      <c r="G142" s="173">
        <f>'2025 Μάρτιος'!D68</f>
        <v>5452.54</v>
      </c>
      <c r="H142" s="36">
        <f t="shared" si="53"/>
        <v>25288.31</v>
      </c>
      <c r="I142" s="173">
        <f>'2025 Απρίλιος'!D68</f>
        <v>4093.02</v>
      </c>
      <c r="J142" s="36">
        <f t="shared" si="54"/>
        <v>29381.33</v>
      </c>
      <c r="K142" s="173">
        <f>'2025 Μάιος'!D68</f>
        <v>6964.8099999999986</v>
      </c>
      <c r="L142" s="36">
        <f t="shared" si="55"/>
        <v>36346.14</v>
      </c>
      <c r="M142" s="173">
        <f>'2025 Ιούνιος'!D68</f>
        <v>0</v>
      </c>
      <c r="N142" s="36">
        <f t="shared" si="56"/>
        <v>36346.14</v>
      </c>
      <c r="O142" s="173">
        <f>'2025 Ιούλιος'!D68</f>
        <v>0</v>
      </c>
      <c r="P142" s="36">
        <f t="shared" si="57"/>
        <v>36346.14</v>
      </c>
      <c r="Q142" s="173">
        <f>'2025 Aύγουστος'!D68</f>
        <v>0</v>
      </c>
      <c r="R142" s="36">
        <f t="shared" si="58"/>
        <v>36346.14</v>
      </c>
      <c r="S142" s="173">
        <f>'2025 Σεπτέμβριος'!D68</f>
        <v>0</v>
      </c>
      <c r="T142" s="36">
        <f t="shared" si="59"/>
        <v>36346.14</v>
      </c>
      <c r="U142" s="173">
        <f>'2025 Οκτώβριος'!D68</f>
        <v>0</v>
      </c>
      <c r="V142" s="36">
        <f t="shared" si="60"/>
        <v>36346.14</v>
      </c>
      <c r="W142" s="173">
        <f>'2025 Νοέμβριος'!D68</f>
        <v>0</v>
      </c>
      <c r="X142" s="36">
        <f t="shared" si="61"/>
        <v>36346.14</v>
      </c>
      <c r="Y142" s="173">
        <f>'2025 Δεκέμβριος'!D68</f>
        <v>0</v>
      </c>
      <c r="Z142" s="36">
        <f t="shared" si="62"/>
        <v>36346.14</v>
      </c>
      <c r="AA142" s="36">
        <f t="shared" si="50"/>
        <v>36346.14</v>
      </c>
    </row>
    <row r="143" spans="1:27" ht="28.5" x14ac:dyDescent="0.25">
      <c r="A143" s="46" t="str">
        <f>'2025 Ιανουάριος'!C69</f>
        <v>Αμοιβές συνεργατών ( Μέσα ανεύρεσης Πελατείας Booking Airbnb κλπ)</v>
      </c>
      <c r="B143" s="35">
        <v>2025</v>
      </c>
      <c r="C143" s="173">
        <f>'2025 Ιανουάριος'!D69</f>
        <v>0</v>
      </c>
      <c r="D143" s="36">
        <f t="shared" si="51"/>
        <v>0</v>
      </c>
      <c r="E143" s="173">
        <f>'2025 Φεβρουάριος'!D69</f>
        <v>0</v>
      </c>
      <c r="F143" s="36">
        <f t="shared" si="52"/>
        <v>0</v>
      </c>
      <c r="G143" s="173">
        <f>'2025 Μάρτιος'!D69</f>
        <v>768.5</v>
      </c>
      <c r="H143" s="36">
        <f t="shared" si="53"/>
        <v>768.5</v>
      </c>
      <c r="I143" s="173">
        <f>'2025 Απρίλιος'!D69</f>
        <v>918.31999999999994</v>
      </c>
      <c r="J143" s="36">
        <f t="shared" si="54"/>
        <v>1686.82</v>
      </c>
      <c r="K143" s="173">
        <f>'2025 Μάιος'!D69</f>
        <v>1213.27</v>
      </c>
      <c r="L143" s="36">
        <f t="shared" si="55"/>
        <v>2900.09</v>
      </c>
      <c r="M143" s="173">
        <f>'2025 Ιούνιος'!D69</f>
        <v>0</v>
      </c>
      <c r="N143" s="36">
        <f t="shared" si="56"/>
        <v>2900.09</v>
      </c>
      <c r="O143" s="173">
        <f>'2025 Ιούλιος'!D69</f>
        <v>0</v>
      </c>
      <c r="P143" s="36">
        <f t="shared" si="57"/>
        <v>2900.09</v>
      </c>
      <c r="Q143" s="173">
        <f>'2025 Aύγουστος'!D69</f>
        <v>0</v>
      </c>
      <c r="R143" s="36">
        <f t="shared" si="58"/>
        <v>2900.09</v>
      </c>
      <c r="S143" s="173">
        <f>'2025 Σεπτέμβριος'!D69</f>
        <v>0</v>
      </c>
      <c r="T143" s="36">
        <f t="shared" si="59"/>
        <v>2900.09</v>
      </c>
      <c r="U143" s="173">
        <f>'2025 Οκτώβριος'!D69</f>
        <v>0</v>
      </c>
      <c r="V143" s="36">
        <f t="shared" si="60"/>
        <v>2900.09</v>
      </c>
      <c r="W143" s="173">
        <f>'2025 Νοέμβριος'!D69</f>
        <v>0</v>
      </c>
      <c r="X143" s="36">
        <f t="shared" si="61"/>
        <v>2900.09</v>
      </c>
      <c r="Y143" s="173">
        <f>'2025 Δεκέμβριος'!D69</f>
        <v>0</v>
      </c>
      <c r="Z143" s="36">
        <f t="shared" si="62"/>
        <v>2900.09</v>
      </c>
      <c r="AA143" s="36">
        <f t="shared" si="50"/>
        <v>2900.09</v>
      </c>
    </row>
    <row r="144" spans="1:27" ht="28.5" x14ac:dyDescent="0.25">
      <c r="A144" s="46" t="str">
        <f>'2025 Ιανουάριος'!C70</f>
        <v>Εξοδα για Αναψυχή Πελατών (Κρουαζιέρες Ποδήλατα - Μαθήματα)</v>
      </c>
      <c r="B144" s="35">
        <v>2025</v>
      </c>
      <c r="C144" s="173">
        <f>'2025 Ιανουάριος'!D70</f>
        <v>0</v>
      </c>
      <c r="D144" s="36">
        <f t="shared" si="51"/>
        <v>0</v>
      </c>
      <c r="E144" s="173">
        <f>'2025 Φεβρουάριος'!D70</f>
        <v>0</v>
      </c>
      <c r="F144" s="36">
        <f t="shared" si="52"/>
        <v>0</v>
      </c>
      <c r="G144" s="173">
        <f>'2025 Μάρτιος'!D70</f>
        <v>0</v>
      </c>
      <c r="H144" s="36">
        <f t="shared" si="53"/>
        <v>0</v>
      </c>
      <c r="I144" s="173">
        <f>'2025 Απρίλιος'!D70</f>
        <v>0</v>
      </c>
      <c r="J144" s="36">
        <f t="shared" si="54"/>
        <v>0</v>
      </c>
      <c r="K144" s="173">
        <f>'2025 Μάιος'!D70</f>
        <v>0</v>
      </c>
      <c r="L144" s="36">
        <f t="shared" si="55"/>
        <v>0</v>
      </c>
      <c r="M144" s="173">
        <f>'2025 Ιούνιος'!D70</f>
        <v>0</v>
      </c>
      <c r="N144" s="36">
        <f t="shared" si="56"/>
        <v>0</v>
      </c>
      <c r="O144" s="173">
        <f>'2025 Ιούλιος'!D70</f>
        <v>0</v>
      </c>
      <c r="P144" s="36">
        <f t="shared" si="57"/>
        <v>0</v>
      </c>
      <c r="Q144" s="173">
        <f>'2025 Aύγουστος'!D70</f>
        <v>0</v>
      </c>
      <c r="R144" s="36">
        <f t="shared" si="58"/>
        <v>0</v>
      </c>
      <c r="S144" s="173">
        <f>'2025 Σεπτέμβριος'!D70</f>
        <v>0</v>
      </c>
      <c r="T144" s="36">
        <f t="shared" si="59"/>
        <v>0</v>
      </c>
      <c r="U144" s="173">
        <f>'2025 Οκτώβριος'!D70</f>
        <v>0</v>
      </c>
      <c r="V144" s="36">
        <f t="shared" si="60"/>
        <v>0</v>
      </c>
      <c r="W144" s="173">
        <f>'2025 Νοέμβριος'!D70</f>
        <v>0</v>
      </c>
      <c r="X144" s="36">
        <f t="shared" si="61"/>
        <v>0</v>
      </c>
      <c r="Y144" s="173">
        <f>'2025 Δεκέμβριος'!D70</f>
        <v>0</v>
      </c>
      <c r="Z144" s="36">
        <f t="shared" si="62"/>
        <v>0</v>
      </c>
      <c r="AA144" s="36">
        <f t="shared" si="50"/>
        <v>0</v>
      </c>
    </row>
    <row r="145" spans="1:27" x14ac:dyDescent="0.25">
      <c r="A145" s="46" t="str">
        <f>'2025 Ιανουάριος'!C71</f>
        <v>Εξοδα για Μεταφορά Πελατών</v>
      </c>
      <c r="B145" s="35">
        <v>2025</v>
      </c>
      <c r="C145" s="173">
        <f>'2025 Ιανουάριος'!D71</f>
        <v>0</v>
      </c>
      <c r="D145" s="36">
        <f t="shared" si="51"/>
        <v>0</v>
      </c>
      <c r="E145" s="173">
        <f>'2025 Φεβρουάριος'!D71</f>
        <v>0</v>
      </c>
      <c r="F145" s="36">
        <f t="shared" si="52"/>
        <v>0</v>
      </c>
      <c r="G145" s="173">
        <f>'2025 Μάρτιος'!D71</f>
        <v>0</v>
      </c>
      <c r="H145" s="36">
        <f t="shared" si="53"/>
        <v>0</v>
      </c>
      <c r="I145" s="173">
        <f>'2025 Απρίλιος'!D71</f>
        <v>141.5</v>
      </c>
      <c r="J145" s="36">
        <f t="shared" si="54"/>
        <v>141.5</v>
      </c>
      <c r="K145" s="173">
        <f>'2025 Μάιος'!D71</f>
        <v>257.56</v>
      </c>
      <c r="L145" s="36">
        <f t="shared" si="55"/>
        <v>399.06</v>
      </c>
      <c r="M145" s="173">
        <f>'2025 Ιούνιος'!D71</f>
        <v>0</v>
      </c>
      <c r="N145" s="36">
        <f t="shared" si="56"/>
        <v>399.06</v>
      </c>
      <c r="O145" s="173">
        <f>'2025 Ιούλιος'!D71</f>
        <v>0</v>
      </c>
      <c r="P145" s="36">
        <f t="shared" si="57"/>
        <v>399.06</v>
      </c>
      <c r="Q145" s="173">
        <f>'2025 Aύγουστος'!D71</f>
        <v>0</v>
      </c>
      <c r="R145" s="36">
        <f t="shared" si="58"/>
        <v>399.06</v>
      </c>
      <c r="S145" s="173">
        <f>'2025 Σεπτέμβριος'!D71</f>
        <v>0</v>
      </c>
      <c r="T145" s="36">
        <f t="shared" si="59"/>
        <v>399.06</v>
      </c>
      <c r="U145" s="173">
        <f>'2025 Οκτώβριος'!D71</f>
        <v>0</v>
      </c>
      <c r="V145" s="36">
        <f t="shared" si="60"/>
        <v>399.06</v>
      </c>
      <c r="W145" s="173">
        <f>'2025 Νοέμβριος'!D71</f>
        <v>0</v>
      </c>
      <c r="X145" s="36">
        <f t="shared" si="61"/>
        <v>399.06</v>
      </c>
      <c r="Y145" s="173">
        <f>'2025 Δεκέμβριος'!D71</f>
        <v>0</v>
      </c>
      <c r="Z145" s="36">
        <f t="shared" si="62"/>
        <v>399.06</v>
      </c>
      <c r="AA145" s="36">
        <f t="shared" si="50"/>
        <v>399.06</v>
      </c>
    </row>
    <row r="146" spans="1:27" ht="28.5" x14ac:dyDescent="0.25">
      <c r="A146" s="46" t="str">
        <f>'2025 Ιανουάριος'!C72</f>
        <v xml:space="preserve">Έξοδα για σύσταση πελατείας αποθήκευσης Αποσκευών ( Radical) </v>
      </c>
      <c r="B146" s="35">
        <v>2025</v>
      </c>
      <c r="C146" s="173">
        <f>'2025 Ιανουάριος'!D72</f>
        <v>684.1</v>
      </c>
      <c r="D146" s="36">
        <f t="shared" si="51"/>
        <v>684.1</v>
      </c>
      <c r="E146" s="173">
        <f>'2025 Φεβρουάριος'!D72</f>
        <v>577.27</v>
      </c>
      <c r="F146" s="36">
        <f t="shared" si="52"/>
        <v>1261.3699999999999</v>
      </c>
      <c r="G146" s="173">
        <f>'2025 Μάρτιος'!D72</f>
        <v>982.57</v>
      </c>
      <c r="H146" s="36">
        <f t="shared" si="53"/>
        <v>2243.94</v>
      </c>
      <c r="I146" s="173">
        <f>'2025 Απρίλιος'!D72</f>
        <v>1736.58</v>
      </c>
      <c r="J146" s="36">
        <f t="shared" si="54"/>
        <v>3980.52</v>
      </c>
      <c r="K146" s="173">
        <f>'2025 Μάιος'!D72</f>
        <v>2013.94</v>
      </c>
      <c r="L146" s="36">
        <f t="shared" si="55"/>
        <v>5994.46</v>
      </c>
      <c r="M146" s="173">
        <f>'2025 Ιούνιος'!D72</f>
        <v>0</v>
      </c>
      <c r="N146" s="36">
        <f t="shared" si="56"/>
        <v>5994.46</v>
      </c>
      <c r="O146" s="173">
        <f>'2025 Ιούλιος'!D72</f>
        <v>0</v>
      </c>
      <c r="P146" s="36">
        <f t="shared" si="57"/>
        <v>5994.46</v>
      </c>
      <c r="Q146" s="173">
        <f>'2025 Aύγουστος'!D72</f>
        <v>0</v>
      </c>
      <c r="R146" s="36">
        <f t="shared" si="58"/>
        <v>5994.46</v>
      </c>
      <c r="S146" s="173">
        <f>'2025 Σεπτέμβριος'!D72</f>
        <v>0</v>
      </c>
      <c r="T146" s="36">
        <f t="shared" si="59"/>
        <v>5994.46</v>
      </c>
      <c r="U146" s="173">
        <f>'2025 Οκτώβριος'!D72</f>
        <v>0</v>
      </c>
      <c r="V146" s="36">
        <f t="shared" si="60"/>
        <v>5994.46</v>
      </c>
      <c r="W146" s="173">
        <f>'2025 Νοέμβριος'!D72</f>
        <v>0</v>
      </c>
      <c r="X146" s="36">
        <f t="shared" si="61"/>
        <v>5994.46</v>
      </c>
      <c r="Y146" s="173">
        <f>'2025 Δεκέμβριος'!D72</f>
        <v>0</v>
      </c>
      <c r="Z146" s="36">
        <f t="shared" si="62"/>
        <v>5994.46</v>
      </c>
      <c r="AA146" s="36">
        <f t="shared" si="50"/>
        <v>5994.46</v>
      </c>
    </row>
    <row r="147" spans="1:27" ht="28.5" x14ac:dyDescent="0.25">
      <c r="A147" s="46" t="str">
        <f>'2025 Ιανουάριος'!C73</f>
        <v>Αμοιβές Τρίτων ( Καθαριστήριο και άλλα άμεσα έξοδα )</v>
      </c>
      <c r="B147" s="35">
        <v>2025</v>
      </c>
      <c r="C147" s="173">
        <f>'2025 Ιανουάριος'!D73</f>
        <v>0</v>
      </c>
      <c r="D147" s="36">
        <f t="shared" si="51"/>
        <v>0</v>
      </c>
      <c r="E147" s="173">
        <f>'2025 Φεβρουάριος'!D73</f>
        <v>0</v>
      </c>
      <c r="F147" s="36">
        <f t="shared" si="52"/>
        <v>0</v>
      </c>
      <c r="G147" s="173">
        <f>'2025 Μάρτιος'!D73</f>
        <v>0</v>
      </c>
      <c r="H147" s="36">
        <f t="shared" si="53"/>
        <v>0</v>
      </c>
      <c r="I147" s="173">
        <f>'2025 Απρίλιος'!D73</f>
        <v>234.66</v>
      </c>
      <c r="J147" s="36">
        <f t="shared" si="54"/>
        <v>234.66</v>
      </c>
      <c r="K147" s="173">
        <f>'2025 Μάιος'!D73</f>
        <v>1577.17</v>
      </c>
      <c r="L147" s="36">
        <f t="shared" si="55"/>
        <v>1811.8300000000002</v>
      </c>
      <c r="M147" s="173">
        <f>'2025 Ιούνιος'!D73</f>
        <v>0</v>
      </c>
      <c r="N147" s="36">
        <f t="shared" si="56"/>
        <v>1811.8300000000002</v>
      </c>
      <c r="O147" s="173">
        <f>'2025 Ιούλιος'!D73</f>
        <v>0</v>
      </c>
      <c r="P147" s="36">
        <f t="shared" si="57"/>
        <v>1811.8300000000002</v>
      </c>
      <c r="Q147" s="173">
        <f>'2025 Aύγουστος'!D73</f>
        <v>0</v>
      </c>
      <c r="R147" s="36">
        <f t="shared" si="58"/>
        <v>1811.8300000000002</v>
      </c>
      <c r="S147" s="173">
        <f>'2025 Σεπτέμβριος'!D73</f>
        <v>0</v>
      </c>
      <c r="T147" s="36">
        <f t="shared" si="59"/>
        <v>1811.8300000000002</v>
      </c>
      <c r="U147" s="173">
        <f>'2025 Οκτώβριος'!D73</f>
        <v>0</v>
      </c>
      <c r="V147" s="36">
        <f t="shared" si="60"/>
        <v>1811.8300000000002</v>
      </c>
      <c r="W147" s="173">
        <f>'2025 Νοέμβριος'!D73</f>
        <v>0</v>
      </c>
      <c r="X147" s="36">
        <f t="shared" si="61"/>
        <v>1811.8300000000002</v>
      </c>
      <c r="Y147" s="173">
        <f>'2025 Δεκέμβριος'!D73</f>
        <v>0</v>
      </c>
      <c r="Z147" s="36">
        <f t="shared" si="62"/>
        <v>1811.8300000000002</v>
      </c>
      <c r="AA147" s="36">
        <f t="shared" si="50"/>
        <v>1811.8300000000002</v>
      </c>
    </row>
    <row r="148" spans="1:27" x14ac:dyDescent="0.25">
      <c r="A148" s="46" t="str">
        <f>'2025 Ιανουάριος'!C74</f>
        <v>Επισκευές - Συντηρήσεις</v>
      </c>
      <c r="B148" s="35">
        <v>2025</v>
      </c>
      <c r="C148" s="173">
        <f>'2025 Ιανουάριος'!D74</f>
        <v>0</v>
      </c>
      <c r="D148" s="36">
        <f t="shared" si="51"/>
        <v>0</v>
      </c>
      <c r="E148" s="173">
        <f>'2025 Φεβρουάριος'!D74</f>
        <v>0</v>
      </c>
      <c r="F148" s="36">
        <f t="shared" si="52"/>
        <v>0</v>
      </c>
      <c r="G148" s="173">
        <f>'2025 Μάρτιος'!D74</f>
        <v>0</v>
      </c>
      <c r="H148" s="36">
        <f t="shared" si="53"/>
        <v>0</v>
      </c>
      <c r="I148" s="173">
        <f>'2025 Απρίλιος'!D74</f>
        <v>0</v>
      </c>
      <c r="J148" s="36">
        <f t="shared" si="54"/>
        <v>0</v>
      </c>
      <c r="K148" s="173">
        <f>'2025 Μάιος'!D74</f>
        <v>0</v>
      </c>
      <c r="L148" s="36">
        <f t="shared" si="55"/>
        <v>0</v>
      </c>
      <c r="M148" s="173">
        <f>'2025 Ιούνιος'!D74</f>
        <v>0</v>
      </c>
      <c r="N148" s="36">
        <f t="shared" si="56"/>
        <v>0</v>
      </c>
      <c r="O148" s="173">
        <f>'2025 Ιούλιος'!D74</f>
        <v>0</v>
      </c>
      <c r="P148" s="36">
        <f t="shared" si="57"/>
        <v>0</v>
      </c>
      <c r="Q148" s="173">
        <f>'2025 Aύγουστος'!D74</f>
        <v>0</v>
      </c>
      <c r="R148" s="36">
        <f t="shared" si="58"/>
        <v>0</v>
      </c>
      <c r="S148" s="173">
        <f>'2025 Σεπτέμβριος'!D74</f>
        <v>0</v>
      </c>
      <c r="T148" s="36">
        <f t="shared" si="59"/>
        <v>0</v>
      </c>
      <c r="U148" s="173">
        <f>'2025 Οκτώβριος'!D74</f>
        <v>0</v>
      </c>
      <c r="V148" s="36">
        <f t="shared" si="60"/>
        <v>0</v>
      </c>
      <c r="W148" s="173">
        <f>'2025 Νοέμβριος'!D74</f>
        <v>0</v>
      </c>
      <c r="X148" s="36">
        <f t="shared" si="61"/>
        <v>0</v>
      </c>
      <c r="Y148" s="173">
        <f>'2025 Δεκέμβριος'!D74</f>
        <v>0</v>
      </c>
      <c r="Z148" s="36">
        <f t="shared" si="62"/>
        <v>0</v>
      </c>
      <c r="AA148" s="36">
        <f t="shared" si="50"/>
        <v>0</v>
      </c>
    </row>
    <row r="149" spans="1:27" x14ac:dyDescent="0.25">
      <c r="A149" s="46" t="str">
        <f>'2025 Ιανουάριος'!C75</f>
        <v>Φόρος Παρεπιδημούντων</v>
      </c>
      <c r="B149" s="35">
        <v>2025</v>
      </c>
      <c r="C149" s="173">
        <f>'2025 Ιανουάριος'!D75</f>
        <v>7839.9766666666674</v>
      </c>
      <c r="D149" s="36">
        <f t="shared" si="51"/>
        <v>7839.9766666666674</v>
      </c>
      <c r="E149" s="173">
        <f>'2025 Φεβρουάριος'!D75</f>
        <v>7839.9766666666674</v>
      </c>
      <c r="F149" s="36">
        <f t="shared" si="52"/>
        <v>15679.953333333335</v>
      </c>
      <c r="G149" s="173">
        <f>'2025 Μάρτιος'!D75</f>
        <v>7839.9766666666674</v>
      </c>
      <c r="H149" s="36">
        <f t="shared" si="53"/>
        <v>23519.93</v>
      </c>
      <c r="I149" s="173">
        <f>'2025 Απρίλιος'!D75</f>
        <v>7839.9766666666674</v>
      </c>
      <c r="J149" s="36">
        <f>H149+I149</f>
        <v>31359.906666666669</v>
      </c>
      <c r="K149" s="173">
        <f>'2025 Μάιος'!D75</f>
        <v>7839.9766666666674</v>
      </c>
      <c r="L149" s="36">
        <f t="shared" si="55"/>
        <v>39199.883333333339</v>
      </c>
      <c r="M149" s="173">
        <f>'2025 Ιούνιος'!D75</f>
        <v>7839.9766666666674</v>
      </c>
      <c r="N149" s="36">
        <f t="shared" si="56"/>
        <v>47039.860000000008</v>
      </c>
      <c r="O149" s="173">
        <f>'2025 Ιούλιος'!D75</f>
        <v>7839.9766666666674</v>
      </c>
      <c r="P149" s="36">
        <f t="shared" si="57"/>
        <v>54879.836666666677</v>
      </c>
      <c r="Q149" s="173">
        <f>'2025 Aύγουστος'!D75</f>
        <v>7839.9766666666674</v>
      </c>
      <c r="R149" s="36">
        <f t="shared" si="58"/>
        <v>62719.813333333346</v>
      </c>
      <c r="S149" s="173">
        <f>'2025 Σεπτέμβριος'!D75</f>
        <v>7839.9766666666674</v>
      </c>
      <c r="T149" s="36">
        <f t="shared" si="59"/>
        <v>70559.790000000008</v>
      </c>
      <c r="U149" s="173">
        <f>'2025 Οκτώβριος'!D75</f>
        <v>7839.9766666666674</v>
      </c>
      <c r="V149" s="36">
        <f t="shared" si="60"/>
        <v>78399.766666666677</v>
      </c>
      <c r="W149" s="173">
        <f>'2025 Νοέμβριος'!D75</f>
        <v>7839.9766666666674</v>
      </c>
      <c r="X149" s="36">
        <f t="shared" si="61"/>
        <v>86239.743333333347</v>
      </c>
      <c r="Y149" s="173">
        <f>'2025 Δεκέμβριος'!D75</f>
        <v>7839.9766666666674</v>
      </c>
      <c r="Z149" s="36">
        <f t="shared" si="62"/>
        <v>94079.720000000016</v>
      </c>
      <c r="AA149" s="36">
        <f t="shared" si="50"/>
        <v>94079.720000000016</v>
      </c>
    </row>
    <row r="150" spans="1:27" x14ac:dyDescent="0.25">
      <c r="A150" s="46" t="str">
        <f>'2025 Ιανουάριος'!C76</f>
        <v>Αποσβέσεις ( Κτήρια - Μηχανήματα - Εξοπλισμός )</v>
      </c>
      <c r="B150" s="35">
        <v>2025</v>
      </c>
      <c r="C150" s="173">
        <f>'2025 Ιανουάριος'!D76</f>
        <v>872.89</v>
      </c>
      <c r="D150" s="36">
        <f>SUM(D118:D149)</f>
        <v>49723.526666666665</v>
      </c>
      <c r="E150" s="173">
        <f>'2025 Φεβρουάριος'!D76</f>
        <v>861.08</v>
      </c>
      <c r="F150" s="36">
        <f t="shared" si="52"/>
        <v>50584.606666666667</v>
      </c>
      <c r="G150" s="173">
        <f>'2025 Μάρτιος'!D76</f>
        <v>1172.5899999999999</v>
      </c>
      <c r="H150" s="36">
        <f>F150+G150</f>
        <v>51757.196666666663</v>
      </c>
      <c r="I150" s="173">
        <f>'2025 Απρίλιος'!D76</f>
        <v>1346.45</v>
      </c>
      <c r="J150" s="36">
        <f>H150+I150</f>
        <v>53103.64666666666</v>
      </c>
      <c r="K150" s="173">
        <f>'2025 Μάιος'!D76</f>
        <v>1553.22</v>
      </c>
      <c r="L150" s="36">
        <f t="shared" si="55"/>
        <v>54656.866666666661</v>
      </c>
      <c r="M150" s="173">
        <f>'2025 Ιούνιος'!D76</f>
        <v>0</v>
      </c>
      <c r="N150" s="36">
        <f t="shared" si="56"/>
        <v>54656.866666666661</v>
      </c>
      <c r="O150" s="173">
        <f>'2025 Ιούλιος'!D76</f>
        <v>0</v>
      </c>
      <c r="P150" s="36">
        <f t="shared" si="57"/>
        <v>54656.866666666661</v>
      </c>
      <c r="Q150" s="173">
        <f>'2025 Aύγουστος'!D76</f>
        <v>0</v>
      </c>
      <c r="R150" s="36">
        <f t="shared" si="58"/>
        <v>54656.866666666661</v>
      </c>
      <c r="S150" s="173">
        <f>'2025 Σεπτέμβριος'!D76</f>
        <v>0</v>
      </c>
      <c r="T150" s="36">
        <f t="shared" si="59"/>
        <v>54656.866666666661</v>
      </c>
      <c r="U150" s="173">
        <f>'2025 Οκτώβριος'!D76</f>
        <v>0</v>
      </c>
      <c r="V150" s="36">
        <f t="shared" si="60"/>
        <v>54656.866666666661</v>
      </c>
      <c r="W150" s="173">
        <f>'2025 Νοέμβριος'!D76</f>
        <v>0</v>
      </c>
      <c r="X150" s="36">
        <f t="shared" si="61"/>
        <v>54656.866666666661</v>
      </c>
      <c r="Y150" s="173">
        <f>'2025 Δεκέμβριος'!D76</f>
        <v>0</v>
      </c>
      <c r="Z150" s="36">
        <f t="shared" si="62"/>
        <v>54656.866666666661</v>
      </c>
      <c r="AA150" s="36">
        <f t="shared" si="50"/>
        <v>5806.2300000000005</v>
      </c>
    </row>
    <row r="151" spans="1:27" x14ac:dyDescent="0.25">
      <c r="A151" s="46" t="str">
        <f>'2025 Ιανουάριος'!C77</f>
        <v>Αναλώσιμα τρόφιμα  (Ομάδα 2**)</v>
      </c>
      <c r="B151" s="35">
        <v>2025</v>
      </c>
      <c r="C151" s="173">
        <f>'2025 Ιανουάριος'!D77</f>
        <v>0</v>
      </c>
      <c r="D151" s="36">
        <f>SUM(D119:D150)</f>
        <v>97249.333333333328</v>
      </c>
      <c r="E151" s="173">
        <f>'2025 Φεβρουάριος'!D77</f>
        <v>0</v>
      </c>
      <c r="F151" s="36">
        <f t="shared" si="52"/>
        <v>97249.333333333328</v>
      </c>
      <c r="G151" s="173">
        <f>'2025 Μάρτιος'!D77</f>
        <v>0</v>
      </c>
      <c r="H151" s="36">
        <f>F151+G151</f>
        <v>97249.333333333328</v>
      </c>
      <c r="I151" s="173">
        <f>'2025 Απρίλιος'!D77</f>
        <v>493.78</v>
      </c>
      <c r="J151" s="37">
        <f>H151+I151</f>
        <v>97743.113333333327</v>
      </c>
      <c r="K151" s="173">
        <f>'2025 Μάιος'!D77</f>
        <v>685.76</v>
      </c>
      <c r="L151" s="36">
        <f t="shared" si="55"/>
        <v>98428.873333333322</v>
      </c>
      <c r="M151" s="173">
        <f>'2025 Ιούνιος'!D77</f>
        <v>0</v>
      </c>
      <c r="N151" s="36">
        <f>L151+M151</f>
        <v>98428.873333333322</v>
      </c>
      <c r="O151" s="173">
        <f>'2025 Ιούλιος'!D77</f>
        <v>0</v>
      </c>
      <c r="P151" s="36">
        <f t="shared" si="57"/>
        <v>98428.873333333322</v>
      </c>
      <c r="Q151" s="173">
        <f>'2025 Aύγουστος'!D77</f>
        <v>0</v>
      </c>
      <c r="R151" s="36">
        <f t="shared" si="58"/>
        <v>98428.873333333322</v>
      </c>
      <c r="S151" s="173">
        <f>'2025 Σεπτέμβριος'!D77</f>
        <v>0</v>
      </c>
      <c r="T151" s="36">
        <f t="shared" si="59"/>
        <v>98428.873333333322</v>
      </c>
      <c r="U151" s="173">
        <f>'2025 Οκτώβριος'!D77</f>
        <v>0</v>
      </c>
      <c r="V151" s="36">
        <f t="shared" si="60"/>
        <v>98428.873333333322</v>
      </c>
      <c r="W151" s="173">
        <f>'2025 Νοέμβριος'!D77</f>
        <v>0</v>
      </c>
      <c r="X151" s="36">
        <f t="shared" si="61"/>
        <v>98428.873333333322</v>
      </c>
      <c r="Y151" s="173">
        <f>'2025 Δεκέμβριος'!D77</f>
        <v>0</v>
      </c>
      <c r="Z151" s="36">
        <f t="shared" si="62"/>
        <v>98428.873333333322</v>
      </c>
      <c r="AA151" s="36">
        <f t="shared" si="50"/>
        <v>1179.54</v>
      </c>
    </row>
    <row r="152" spans="1:27" x14ac:dyDescent="0.25">
      <c r="A152" s="159" t="s">
        <v>154</v>
      </c>
      <c r="B152" s="35"/>
      <c r="C152" s="174">
        <f>SUM(C118:C151)</f>
        <v>50596.416666666664</v>
      </c>
      <c r="D152" s="37">
        <f>C152</f>
        <v>50596.416666666664</v>
      </c>
      <c r="E152" s="174">
        <f>SUM(E118:E151)</f>
        <v>39705.08666666667</v>
      </c>
      <c r="F152" s="37">
        <f>D152+E152</f>
        <v>90301.503333333327</v>
      </c>
      <c r="G152" s="174">
        <f>SUM(G118:G151)</f>
        <v>46384.086666666662</v>
      </c>
      <c r="H152" s="37">
        <f>F152+G152</f>
        <v>136685.59</v>
      </c>
      <c r="I152" s="174">
        <f>SUM(I118:I151)</f>
        <v>55302.196666666678</v>
      </c>
      <c r="J152" s="37">
        <f>H152+I152</f>
        <v>191987.78666666668</v>
      </c>
      <c r="K152" s="174">
        <f>SUM(K118:K151)</f>
        <v>54752.336666666662</v>
      </c>
      <c r="L152" s="36">
        <f t="shared" si="55"/>
        <v>246740.12333333335</v>
      </c>
      <c r="M152" s="174">
        <f>SUM(M118:M151)</f>
        <v>7839.9766666666674</v>
      </c>
      <c r="N152" s="36">
        <f t="shared" si="56"/>
        <v>254580.1</v>
      </c>
      <c r="O152" s="173">
        <f>'2025 Ιούλιος'!D78</f>
        <v>7839.9766666666674</v>
      </c>
      <c r="P152" s="36">
        <f t="shared" si="57"/>
        <v>262420.07666666666</v>
      </c>
      <c r="Q152" s="173">
        <f>SUM(Q118:Q151)</f>
        <v>7839.9766666666674</v>
      </c>
      <c r="R152" s="36">
        <f t="shared" si="58"/>
        <v>270260.05333333334</v>
      </c>
      <c r="S152" s="174">
        <f>SUM(S118:S151)</f>
        <v>7839.9766666666674</v>
      </c>
      <c r="T152" s="36">
        <f t="shared" si="59"/>
        <v>278100.03000000003</v>
      </c>
      <c r="U152" s="174">
        <f>SUM(U118:U151)</f>
        <v>7839.9766666666674</v>
      </c>
      <c r="V152" s="36">
        <f t="shared" si="60"/>
        <v>285940.00666666671</v>
      </c>
      <c r="W152" s="173">
        <f>SUM(W118:W151)</f>
        <v>7839.9766666666674</v>
      </c>
      <c r="X152" s="36">
        <f t="shared" si="61"/>
        <v>293779.9833333334</v>
      </c>
      <c r="Y152" s="173">
        <f>SUM(Y118:Y151)</f>
        <v>7839.9766666666674</v>
      </c>
      <c r="Z152" s="36">
        <f t="shared" si="62"/>
        <v>301619.96000000008</v>
      </c>
      <c r="AA152" s="36">
        <f t="shared" si="50"/>
        <v>301619.96000000008</v>
      </c>
    </row>
    <row r="153" spans="1:27" x14ac:dyDescent="0.25">
      <c r="A153" s="39" t="s">
        <v>168</v>
      </c>
      <c r="B153" s="56"/>
      <c r="C153" s="175"/>
      <c r="E153" s="175"/>
      <c r="G153" s="175"/>
      <c r="I153" s="175"/>
      <c r="K153" s="175"/>
      <c r="M153" s="175"/>
      <c r="O153" s="175"/>
      <c r="Q153" s="175"/>
      <c r="S153" s="175"/>
      <c r="U153" s="175"/>
      <c r="W153" s="175"/>
      <c r="Y153" s="175"/>
    </row>
    <row r="158" spans="1:27" ht="17.25" x14ac:dyDescent="0.3">
      <c r="A158" s="178" t="s">
        <v>143</v>
      </c>
      <c r="B158" s="35" t="s">
        <v>87</v>
      </c>
      <c r="C158" s="172" t="s">
        <v>88</v>
      </c>
      <c r="D158" s="35" t="s">
        <v>89</v>
      </c>
      <c r="E158" s="172" t="s">
        <v>90</v>
      </c>
      <c r="F158" s="35" t="s">
        <v>91</v>
      </c>
      <c r="G158" s="172" t="s">
        <v>92</v>
      </c>
      <c r="H158" s="35" t="s">
        <v>93</v>
      </c>
      <c r="I158" s="172" t="s">
        <v>94</v>
      </c>
      <c r="J158" s="35" t="s">
        <v>95</v>
      </c>
      <c r="K158" s="172" t="s">
        <v>96</v>
      </c>
      <c r="L158" s="35" t="s">
        <v>144</v>
      </c>
      <c r="M158" s="172" t="s">
        <v>97</v>
      </c>
      <c r="N158" s="35" t="s">
        <v>98</v>
      </c>
      <c r="O158" s="172" t="s">
        <v>99</v>
      </c>
      <c r="P158" s="35" t="s">
        <v>100</v>
      </c>
      <c r="Q158" s="172" t="s">
        <v>101</v>
      </c>
      <c r="R158" s="35" t="s">
        <v>102</v>
      </c>
      <c r="S158" s="172" t="s">
        <v>103</v>
      </c>
      <c r="T158" s="35" t="s">
        <v>104</v>
      </c>
      <c r="U158" s="172" t="s">
        <v>105</v>
      </c>
      <c r="V158" s="35" t="s">
        <v>106</v>
      </c>
      <c r="W158" s="172" t="s">
        <v>107</v>
      </c>
      <c r="X158" s="35" t="s">
        <v>108</v>
      </c>
      <c r="Y158" s="172" t="s">
        <v>109</v>
      </c>
      <c r="Z158" s="35" t="s">
        <v>110</v>
      </c>
      <c r="AA158" s="35" t="s">
        <v>141</v>
      </c>
    </row>
    <row r="159" spans="1:27" x14ac:dyDescent="0.25">
      <c r="A159" s="45" t="str">
        <f>'2025 Ιανουάριος'!C85</f>
        <v>Μικτές Αποδοχές Marketing (Α.Κ.MDep )</v>
      </c>
      <c r="B159" s="35">
        <v>2025</v>
      </c>
      <c r="C159" s="173">
        <f>'2025 Ιανουάριος'!D85</f>
        <v>1021.94</v>
      </c>
      <c r="D159" s="36">
        <f t="shared" ref="D159:D184" si="63">C159</f>
        <v>1021.94</v>
      </c>
      <c r="E159" s="173">
        <f>'2025 Φεβρουάριος'!D85</f>
        <v>1198.17</v>
      </c>
      <c r="F159" s="36">
        <f t="shared" ref="F159:F185" si="64">D159+E159</f>
        <v>2220.11</v>
      </c>
      <c r="G159" s="173">
        <f>'2025 Μάρτιος'!D85</f>
        <v>1082.33</v>
      </c>
      <c r="H159" s="36">
        <f t="shared" ref="H159:H185" si="65">F159+G159</f>
        <v>3302.44</v>
      </c>
      <c r="I159" s="173">
        <f>'2025 Απρίλιος'!D85</f>
        <v>1629.66</v>
      </c>
      <c r="J159" s="36">
        <f t="shared" ref="J159:J185" si="66">H159+I159</f>
        <v>4932.1000000000004</v>
      </c>
      <c r="K159" s="173">
        <f>'2025 Μάιος'!D85</f>
        <v>988.92</v>
      </c>
      <c r="L159" s="36">
        <f t="shared" ref="L159:L185" si="67">J159+K159</f>
        <v>5921.02</v>
      </c>
      <c r="M159" s="173">
        <f>'2025 Ιούνιος'!D85</f>
        <v>0</v>
      </c>
      <c r="N159" s="36">
        <f t="shared" ref="N159:N185" si="68">L159+M159</f>
        <v>5921.02</v>
      </c>
      <c r="O159" s="173">
        <f>'2025 Ιούλιος'!D85</f>
        <v>0</v>
      </c>
      <c r="P159" s="36">
        <f t="shared" ref="P159:P185" si="69">N159+O159</f>
        <v>5921.02</v>
      </c>
      <c r="Q159" s="173">
        <f>'2025 Aύγουστος'!D85</f>
        <v>0</v>
      </c>
      <c r="R159" s="36">
        <f t="shared" ref="R159:R185" si="70">P159+Q159</f>
        <v>5921.02</v>
      </c>
      <c r="S159" s="173">
        <f>'2025 Σεπτέμβριος'!D85</f>
        <v>0</v>
      </c>
      <c r="T159" s="36">
        <f t="shared" ref="T159:T185" si="71">R159+S159</f>
        <v>5921.02</v>
      </c>
      <c r="U159" s="173">
        <f>'2025 Οκτώβριος'!D85</f>
        <v>0</v>
      </c>
      <c r="V159" s="36">
        <f t="shared" ref="V159:V183" si="72">T159+U159</f>
        <v>5921.02</v>
      </c>
      <c r="W159" s="173">
        <f>'2025 Νοέμβριος'!D85</f>
        <v>0</v>
      </c>
      <c r="X159" s="36">
        <f t="shared" ref="X159:X185" si="73">V159+W159</f>
        <v>5921.02</v>
      </c>
      <c r="Y159" s="173">
        <f>'2025 Δεκέμβριος'!D85</f>
        <v>0</v>
      </c>
      <c r="Z159" s="36">
        <f t="shared" ref="Z159:Z185" si="74">X159+Y159</f>
        <v>5921.02</v>
      </c>
      <c r="AA159" s="36">
        <f t="shared" ref="AA159:AA185" si="75">C159+E159+G159+I159+K159+M159+O159+Q159+S159+U159+W159+Y159</f>
        <v>5921.02</v>
      </c>
    </row>
    <row r="160" spans="1:27" x14ac:dyDescent="0.25">
      <c r="A160" s="45" t="str">
        <f>'2025 Ιανουάριος'!C86</f>
        <v>Μικτές Αποδοχές Sales (Α.Κ.SDep )</v>
      </c>
      <c r="B160" s="35">
        <v>2025</v>
      </c>
      <c r="C160" s="173">
        <f>'2025 Ιανουάριος'!D86</f>
        <v>1077.96</v>
      </c>
      <c r="D160" s="36">
        <f t="shared" si="63"/>
        <v>1077.96</v>
      </c>
      <c r="E160" s="173">
        <f>'2025 Φεβρουάριος'!D86</f>
        <v>1245.7</v>
      </c>
      <c r="F160" s="36">
        <f t="shared" si="64"/>
        <v>2323.66</v>
      </c>
      <c r="G160" s="173">
        <f>'2025 Μάρτιος'!D86</f>
        <v>1145.7</v>
      </c>
      <c r="H160" s="36">
        <f t="shared" si="65"/>
        <v>3469.3599999999997</v>
      </c>
      <c r="I160" s="173">
        <f>'2025 Απρίλιος'!D86</f>
        <v>1744.53</v>
      </c>
      <c r="J160" s="36">
        <f t="shared" si="66"/>
        <v>5213.8899999999994</v>
      </c>
      <c r="K160" s="173">
        <f>'2025 Μάιος'!D86</f>
        <v>1056.97</v>
      </c>
      <c r="L160" s="36">
        <f t="shared" si="67"/>
        <v>6270.86</v>
      </c>
      <c r="M160" s="173">
        <f>'2025 Ιούνιος'!D86</f>
        <v>0</v>
      </c>
      <c r="N160" s="36">
        <f t="shared" si="68"/>
        <v>6270.86</v>
      </c>
      <c r="O160" s="173">
        <f>'2025 Ιούλιος'!D86</f>
        <v>0</v>
      </c>
      <c r="P160" s="36">
        <f t="shared" si="69"/>
        <v>6270.86</v>
      </c>
      <c r="Q160" s="173">
        <f>'2025 Aύγουστος'!D86</f>
        <v>0</v>
      </c>
      <c r="R160" s="36">
        <f t="shared" si="70"/>
        <v>6270.86</v>
      </c>
      <c r="S160" s="173">
        <f>'2025 Σεπτέμβριος'!D86</f>
        <v>0</v>
      </c>
      <c r="T160" s="36">
        <f t="shared" si="71"/>
        <v>6270.86</v>
      </c>
      <c r="U160" s="173">
        <f>'2025 Οκτώβριος'!D86</f>
        <v>0</v>
      </c>
      <c r="V160" s="36">
        <f t="shared" si="72"/>
        <v>6270.86</v>
      </c>
      <c r="W160" s="173">
        <f>'2025 Νοέμβριος'!D86</f>
        <v>0</v>
      </c>
      <c r="X160" s="36">
        <f t="shared" si="73"/>
        <v>6270.86</v>
      </c>
      <c r="Y160" s="173">
        <f>'2025 Δεκέμβριος'!D86</f>
        <v>0</v>
      </c>
      <c r="Z160" s="36">
        <f t="shared" si="74"/>
        <v>6270.86</v>
      </c>
      <c r="AA160" s="36">
        <f t="shared" si="75"/>
        <v>6270.86</v>
      </c>
    </row>
    <row r="161" spans="1:27" x14ac:dyDescent="0.25">
      <c r="A161" s="45" t="str">
        <f>'2025 Ιανουάριος'!C87</f>
        <v>Ασφαλιστικές εισφορές (Α.Κ.MDep)</v>
      </c>
      <c r="B161" s="35">
        <v>2025</v>
      </c>
      <c r="C161" s="173">
        <f>'2025 Ιανουάριος'!D87</f>
        <v>154.62</v>
      </c>
      <c r="D161" s="36">
        <f t="shared" si="63"/>
        <v>154.62</v>
      </c>
      <c r="E161" s="173">
        <f>'2025 Φεβρουάριος'!D87</f>
        <v>151.02000000000001</v>
      </c>
      <c r="F161" s="36">
        <f t="shared" si="64"/>
        <v>305.64</v>
      </c>
      <c r="G161" s="173">
        <f>'2025 Μάρτιος'!D87</f>
        <v>148.63</v>
      </c>
      <c r="H161" s="36">
        <f t="shared" si="65"/>
        <v>454.27</v>
      </c>
      <c r="I161" s="173">
        <f>'2025 Απρίλιος'!D87</f>
        <v>231.44</v>
      </c>
      <c r="J161" s="36">
        <f t="shared" si="66"/>
        <v>685.71</v>
      </c>
      <c r="K161" s="173">
        <f>'2025 Μάιος'!D87</f>
        <v>215.49</v>
      </c>
      <c r="L161" s="36">
        <f t="shared" si="67"/>
        <v>901.2</v>
      </c>
      <c r="M161" s="173">
        <f>'2025 Ιούνιος'!D87</f>
        <v>0</v>
      </c>
      <c r="N161" s="36">
        <f t="shared" si="68"/>
        <v>901.2</v>
      </c>
      <c r="O161" s="173">
        <f>'2025 Ιούλιος'!D87</f>
        <v>0</v>
      </c>
      <c r="P161" s="36">
        <f t="shared" si="69"/>
        <v>901.2</v>
      </c>
      <c r="Q161" s="173">
        <f>'2025 Aύγουστος'!D87</f>
        <v>0</v>
      </c>
      <c r="R161" s="36">
        <f t="shared" si="70"/>
        <v>901.2</v>
      </c>
      <c r="S161" s="173">
        <f>'2025 Σεπτέμβριος'!D87</f>
        <v>0</v>
      </c>
      <c r="T161" s="36">
        <f t="shared" si="71"/>
        <v>901.2</v>
      </c>
      <c r="U161" s="173">
        <f>'2025 Οκτώβριος'!D87</f>
        <v>0</v>
      </c>
      <c r="V161" s="36">
        <f t="shared" si="72"/>
        <v>901.2</v>
      </c>
      <c r="W161" s="173">
        <f>'2025 Νοέμβριος'!D87</f>
        <v>0</v>
      </c>
      <c r="X161" s="36">
        <f t="shared" si="73"/>
        <v>901.2</v>
      </c>
      <c r="Y161" s="173">
        <f>'2025 Δεκέμβριος'!D87</f>
        <v>0</v>
      </c>
      <c r="Z161" s="36">
        <f t="shared" si="74"/>
        <v>901.2</v>
      </c>
      <c r="AA161" s="36">
        <f t="shared" si="75"/>
        <v>901.2</v>
      </c>
    </row>
    <row r="162" spans="1:27" x14ac:dyDescent="0.25">
      <c r="A162" s="45" t="str">
        <f>'2025 Ιανουάριος'!C88</f>
        <v>Ασφαλιστικές εισφορές (Α.Κ.SDep)</v>
      </c>
      <c r="B162" s="35">
        <v>2025</v>
      </c>
      <c r="C162" s="173">
        <f>'2025 Ιανουάριος'!D88</f>
        <v>163.1</v>
      </c>
      <c r="D162" s="36">
        <f t="shared" si="63"/>
        <v>163.1</v>
      </c>
      <c r="E162" s="173">
        <f>'2025 Φεβρουάριος'!D88</f>
        <v>158.21</v>
      </c>
      <c r="F162" s="36">
        <f t="shared" si="64"/>
        <v>321.31</v>
      </c>
      <c r="G162" s="173">
        <f>'2025 Μάρτιος'!D88</f>
        <v>158.22</v>
      </c>
      <c r="H162" s="36">
        <f t="shared" si="65"/>
        <v>479.53</v>
      </c>
      <c r="I162" s="173">
        <f>'2025 Απρίλιος'!D88</f>
        <v>241.26</v>
      </c>
      <c r="J162" s="36">
        <f t="shared" si="66"/>
        <v>720.79</v>
      </c>
      <c r="K162" s="173">
        <f>'2025 Μάιος'!D88</f>
        <v>159.91</v>
      </c>
      <c r="L162" s="36">
        <f t="shared" si="67"/>
        <v>880.69999999999993</v>
      </c>
      <c r="M162" s="173">
        <f>'2025 Ιούνιος'!D88</f>
        <v>0</v>
      </c>
      <c r="N162" s="36">
        <f t="shared" si="68"/>
        <v>880.69999999999993</v>
      </c>
      <c r="O162" s="173">
        <f>'2025 Ιούλιος'!D88</f>
        <v>0</v>
      </c>
      <c r="P162" s="36">
        <f t="shared" si="69"/>
        <v>880.69999999999993</v>
      </c>
      <c r="Q162" s="173">
        <f>'2025 Aύγουστος'!D88</f>
        <v>0</v>
      </c>
      <c r="R162" s="36">
        <f t="shared" si="70"/>
        <v>880.69999999999993</v>
      </c>
      <c r="S162" s="173">
        <f>'2025 Σεπτέμβριος'!D88</f>
        <v>0</v>
      </c>
      <c r="T162" s="36">
        <f t="shared" si="71"/>
        <v>880.69999999999993</v>
      </c>
      <c r="U162" s="173">
        <f>'2025 Οκτώβριος'!D88</f>
        <v>0</v>
      </c>
      <c r="V162" s="36">
        <f t="shared" si="72"/>
        <v>880.69999999999993</v>
      </c>
      <c r="W162" s="173">
        <f>'2025 Νοέμβριος'!D88</f>
        <v>0</v>
      </c>
      <c r="X162" s="36">
        <f t="shared" si="73"/>
        <v>880.69999999999993</v>
      </c>
      <c r="Y162" s="173">
        <f>'2025 Δεκέμβριος'!D88</f>
        <v>0</v>
      </c>
      <c r="Z162" s="36">
        <f t="shared" si="74"/>
        <v>880.69999999999993</v>
      </c>
      <c r="AA162" s="36">
        <f t="shared" si="75"/>
        <v>880.69999999999993</v>
      </c>
    </row>
    <row r="163" spans="1:27" x14ac:dyDescent="0.25">
      <c r="A163" s="45" t="str">
        <f>'2025 Ιανουάριος'!C89</f>
        <v>Ενοίκιο</v>
      </c>
      <c r="B163" s="35">
        <v>2025</v>
      </c>
      <c r="C163" s="173">
        <f>'2025 Ιανουάριος'!D89</f>
        <v>0</v>
      </c>
      <c r="D163" s="36">
        <f t="shared" si="63"/>
        <v>0</v>
      </c>
      <c r="E163" s="173">
        <f>'2025 Φεβρουάριος'!D89</f>
        <v>0</v>
      </c>
      <c r="F163" s="36">
        <f t="shared" si="64"/>
        <v>0</v>
      </c>
      <c r="G163" s="173">
        <f>'2025 Μάρτιος'!D89</f>
        <v>0</v>
      </c>
      <c r="H163" s="36">
        <f t="shared" si="65"/>
        <v>0</v>
      </c>
      <c r="I163" s="173">
        <f>'2025 Απρίλιος'!D89</f>
        <v>0</v>
      </c>
      <c r="J163" s="36">
        <f t="shared" si="66"/>
        <v>0</v>
      </c>
      <c r="K163" s="173">
        <f>'2025 Μάιος'!D89</f>
        <v>0</v>
      </c>
      <c r="L163" s="36">
        <f t="shared" si="67"/>
        <v>0</v>
      </c>
      <c r="M163" s="173">
        <f>'2025 Ιούνιος'!D89</f>
        <v>0</v>
      </c>
      <c r="N163" s="36">
        <f t="shared" si="68"/>
        <v>0</v>
      </c>
      <c r="O163" s="173">
        <f>'2025 Ιούλιος'!D89</f>
        <v>0</v>
      </c>
      <c r="P163" s="36">
        <f t="shared" si="69"/>
        <v>0</v>
      </c>
      <c r="Q163" s="173">
        <f>'2025 Aύγουστος'!D89</f>
        <v>0</v>
      </c>
      <c r="R163" s="36">
        <f t="shared" si="70"/>
        <v>0</v>
      </c>
      <c r="S163" s="173">
        <f>'2025 Σεπτέμβριος'!D89</f>
        <v>0</v>
      </c>
      <c r="T163" s="36">
        <f t="shared" si="71"/>
        <v>0</v>
      </c>
      <c r="U163" s="173">
        <f>'2025 Οκτώβριος'!D89</f>
        <v>0</v>
      </c>
      <c r="V163" s="36">
        <f t="shared" si="72"/>
        <v>0</v>
      </c>
      <c r="W163" s="173">
        <f>'2025 Νοέμβριος'!D89</f>
        <v>0</v>
      </c>
      <c r="X163" s="36">
        <f t="shared" si="73"/>
        <v>0</v>
      </c>
      <c r="Y163" s="173">
        <f>'2025 Δεκέμβριος'!D89</f>
        <v>0</v>
      </c>
      <c r="Z163" s="36">
        <f t="shared" si="74"/>
        <v>0</v>
      </c>
      <c r="AA163" s="36">
        <f t="shared" si="75"/>
        <v>0</v>
      </c>
    </row>
    <row r="164" spans="1:27" x14ac:dyDescent="0.25">
      <c r="A164" s="45" t="str">
        <f>'2025 Ιανουάριος'!C90</f>
        <v xml:space="preserve">Χαρτόσημο ενοικίων </v>
      </c>
      <c r="B164" s="35">
        <v>2025</v>
      </c>
      <c r="C164" s="173">
        <f>'2025 Ιανουάριος'!D90</f>
        <v>0</v>
      </c>
      <c r="D164" s="36">
        <f t="shared" si="63"/>
        <v>0</v>
      </c>
      <c r="E164" s="173">
        <f>'2025 Φεβρουάριος'!D90</f>
        <v>0</v>
      </c>
      <c r="F164" s="36">
        <f t="shared" si="64"/>
        <v>0</v>
      </c>
      <c r="G164" s="173">
        <f>'2025 Μάρτιος'!D90</f>
        <v>0</v>
      </c>
      <c r="H164" s="36">
        <f t="shared" si="65"/>
        <v>0</v>
      </c>
      <c r="I164" s="173">
        <f>'2025 Απρίλιος'!D90</f>
        <v>0</v>
      </c>
      <c r="J164" s="36">
        <f t="shared" si="66"/>
        <v>0</v>
      </c>
      <c r="K164" s="173">
        <f>'2025 Μάιος'!D90</f>
        <v>0</v>
      </c>
      <c r="L164" s="36">
        <f t="shared" si="67"/>
        <v>0</v>
      </c>
      <c r="M164" s="173">
        <f>'2025 Ιούνιος'!D90</f>
        <v>0</v>
      </c>
      <c r="N164" s="36">
        <f t="shared" si="68"/>
        <v>0</v>
      </c>
      <c r="O164" s="173">
        <f>'2025 Ιούλιος'!D90</f>
        <v>0</v>
      </c>
      <c r="P164" s="36">
        <f t="shared" si="69"/>
        <v>0</v>
      </c>
      <c r="Q164" s="173">
        <f>'2025 Aύγουστος'!D90</f>
        <v>0</v>
      </c>
      <c r="R164" s="36">
        <f t="shared" si="70"/>
        <v>0</v>
      </c>
      <c r="S164" s="173">
        <f>'2025 Σεπτέμβριος'!D90</f>
        <v>0</v>
      </c>
      <c r="T164" s="36">
        <f t="shared" si="71"/>
        <v>0</v>
      </c>
      <c r="U164" s="173">
        <f>'2025 Οκτώβριος'!D90</f>
        <v>0</v>
      </c>
      <c r="V164" s="36">
        <f t="shared" si="72"/>
        <v>0</v>
      </c>
      <c r="W164" s="173">
        <f>'2025 Νοέμβριος'!D90</f>
        <v>0</v>
      </c>
      <c r="X164" s="36">
        <f t="shared" si="73"/>
        <v>0</v>
      </c>
      <c r="Y164" s="173">
        <f>'2025 Δεκέμβριος'!D90</f>
        <v>0</v>
      </c>
      <c r="Z164" s="36">
        <f t="shared" si="74"/>
        <v>0</v>
      </c>
      <c r="AA164" s="36">
        <f t="shared" si="75"/>
        <v>0</v>
      </c>
    </row>
    <row r="165" spans="1:27" x14ac:dyDescent="0.25">
      <c r="A165" s="45" t="str">
        <f>'2025 Ιανουάριος'!C91</f>
        <v xml:space="preserve">Κοινόχρηστες Δαπάνες </v>
      </c>
      <c r="B165" s="35">
        <v>2025</v>
      </c>
      <c r="C165" s="173">
        <f>'2025 Ιανουάριος'!D91</f>
        <v>0</v>
      </c>
      <c r="D165" s="36">
        <f t="shared" si="63"/>
        <v>0</v>
      </c>
      <c r="E165" s="173">
        <f>'2025 Φεβρουάριος'!D91</f>
        <v>0</v>
      </c>
      <c r="F165" s="36">
        <f t="shared" si="64"/>
        <v>0</v>
      </c>
      <c r="G165" s="173">
        <f>'2025 Μάρτιος'!D91</f>
        <v>0</v>
      </c>
      <c r="H165" s="36">
        <f t="shared" si="65"/>
        <v>0</v>
      </c>
      <c r="I165" s="173">
        <f>'2025 Απρίλιος'!D91</f>
        <v>0</v>
      </c>
      <c r="J165" s="36">
        <f t="shared" si="66"/>
        <v>0</v>
      </c>
      <c r="K165" s="173">
        <f>'2025 Μάιος'!D91</f>
        <v>0</v>
      </c>
      <c r="L165" s="36">
        <f t="shared" si="67"/>
        <v>0</v>
      </c>
      <c r="M165" s="173">
        <f>'2025 Ιούνιος'!D91</f>
        <v>0</v>
      </c>
      <c r="N165" s="36">
        <f t="shared" si="68"/>
        <v>0</v>
      </c>
      <c r="O165" s="173">
        <f>'2025 Ιούλιος'!D91</f>
        <v>0</v>
      </c>
      <c r="P165" s="36">
        <f t="shared" si="69"/>
        <v>0</v>
      </c>
      <c r="Q165" s="173">
        <f>'2025 Aύγουστος'!D91</f>
        <v>0</v>
      </c>
      <c r="R165" s="36">
        <f t="shared" si="70"/>
        <v>0</v>
      </c>
      <c r="S165" s="173">
        <f>'2025 Σεπτέμβριος'!D91</f>
        <v>0</v>
      </c>
      <c r="T165" s="36">
        <f t="shared" si="71"/>
        <v>0</v>
      </c>
      <c r="U165" s="173">
        <f>'2025 Οκτώβριος'!D91</f>
        <v>0</v>
      </c>
      <c r="V165" s="36">
        <f t="shared" si="72"/>
        <v>0</v>
      </c>
      <c r="W165" s="173">
        <f>'2025 Νοέμβριος'!D91</f>
        <v>0</v>
      </c>
      <c r="X165" s="36">
        <f t="shared" si="73"/>
        <v>0</v>
      </c>
      <c r="Y165" s="173">
        <f>'2025 Δεκέμβριος'!D91</f>
        <v>0</v>
      </c>
      <c r="Z165" s="36">
        <f t="shared" si="74"/>
        <v>0</v>
      </c>
      <c r="AA165" s="36">
        <f t="shared" si="75"/>
        <v>0</v>
      </c>
    </row>
    <row r="166" spans="1:27" x14ac:dyDescent="0.25">
      <c r="A166" s="45" t="str">
        <f>'2025 Ιανουάριος'!C92</f>
        <v xml:space="preserve">Ενέργεια </v>
      </c>
      <c r="B166" s="35">
        <v>2025</v>
      </c>
      <c r="C166" s="173">
        <f>'2025 Ιανουάριος'!D92</f>
        <v>0</v>
      </c>
      <c r="D166" s="36">
        <f t="shared" si="63"/>
        <v>0</v>
      </c>
      <c r="E166" s="173">
        <f>'2025 Φεβρουάριος'!D92</f>
        <v>0</v>
      </c>
      <c r="F166" s="36">
        <f t="shared" si="64"/>
        <v>0</v>
      </c>
      <c r="G166" s="173">
        <f>'2025 Μάρτιος'!D92</f>
        <v>0</v>
      </c>
      <c r="H166" s="36">
        <f t="shared" si="65"/>
        <v>0</v>
      </c>
      <c r="I166" s="173">
        <f>'2025 Απρίλιος'!D92</f>
        <v>0</v>
      </c>
      <c r="J166" s="36">
        <f t="shared" si="66"/>
        <v>0</v>
      </c>
      <c r="K166" s="173">
        <f>'2025 Μάιος'!D92</f>
        <v>0</v>
      </c>
      <c r="L166" s="36">
        <f t="shared" si="67"/>
        <v>0</v>
      </c>
      <c r="M166" s="173">
        <f>'2025 Ιούνιος'!D92</f>
        <v>0</v>
      </c>
      <c r="N166" s="36">
        <f t="shared" si="68"/>
        <v>0</v>
      </c>
      <c r="O166" s="173">
        <f>'2025 Ιούλιος'!D92</f>
        <v>0</v>
      </c>
      <c r="P166" s="36">
        <f t="shared" si="69"/>
        <v>0</v>
      </c>
      <c r="Q166" s="173">
        <f>'2025 Aύγουστος'!D92</f>
        <v>0</v>
      </c>
      <c r="R166" s="36">
        <f t="shared" si="70"/>
        <v>0</v>
      </c>
      <c r="S166" s="173">
        <f>'2025 Σεπτέμβριος'!D92</f>
        <v>0</v>
      </c>
      <c r="T166" s="36">
        <f t="shared" si="71"/>
        <v>0</v>
      </c>
      <c r="U166" s="173">
        <f>'2025 Οκτώβριος'!D92</f>
        <v>0</v>
      </c>
      <c r="V166" s="36">
        <f t="shared" si="72"/>
        <v>0</v>
      </c>
      <c r="W166" s="173">
        <f>'2025 Νοέμβριος'!D92</f>
        <v>0</v>
      </c>
      <c r="X166" s="36">
        <f t="shared" si="73"/>
        <v>0</v>
      </c>
      <c r="Y166" s="173">
        <f>'2025 Δεκέμβριος'!D92</f>
        <v>0</v>
      </c>
      <c r="Z166" s="36">
        <f t="shared" si="74"/>
        <v>0</v>
      </c>
      <c r="AA166" s="36">
        <f t="shared" si="75"/>
        <v>0</v>
      </c>
    </row>
    <row r="167" spans="1:27" x14ac:dyDescent="0.25">
      <c r="A167" s="45" t="str">
        <f>'2025 Ιανουάριος'!C93</f>
        <v xml:space="preserve">Τηλεπικοινωνίες (Τηλεφωνία &amp; Διαδίκτυο) </v>
      </c>
      <c r="B167" s="35">
        <v>2025</v>
      </c>
      <c r="C167" s="173">
        <f>'2025 Ιανουάριος'!D93</f>
        <v>0</v>
      </c>
      <c r="D167" s="36">
        <f t="shared" si="63"/>
        <v>0</v>
      </c>
      <c r="E167" s="173">
        <f>'2025 Φεβρουάριος'!D93</f>
        <v>0</v>
      </c>
      <c r="F167" s="36">
        <f t="shared" si="64"/>
        <v>0</v>
      </c>
      <c r="G167" s="173">
        <f>'2025 Μάρτιος'!D93</f>
        <v>0</v>
      </c>
      <c r="H167" s="36">
        <f t="shared" si="65"/>
        <v>0</v>
      </c>
      <c r="I167" s="173">
        <f>'2025 Απρίλιος'!D93</f>
        <v>0</v>
      </c>
      <c r="J167" s="36">
        <f t="shared" si="66"/>
        <v>0</v>
      </c>
      <c r="K167" s="173">
        <f>'2025 Μάιος'!D93</f>
        <v>0</v>
      </c>
      <c r="L167" s="36">
        <f t="shared" si="67"/>
        <v>0</v>
      </c>
      <c r="M167" s="173">
        <f>'2025 Ιούνιος'!D93</f>
        <v>0</v>
      </c>
      <c r="N167" s="36">
        <f t="shared" si="68"/>
        <v>0</v>
      </c>
      <c r="O167" s="173">
        <f>'2025 Ιούλιος'!D93</f>
        <v>0</v>
      </c>
      <c r="P167" s="36">
        <f t="shared" si="69"/>
        <v>0</v>
      </c>
      <c r="Q167" s="173">
        <f>'2025 Aύγουστος'!D93</f>
        <v>0</v>
      </c>
      <c r="R167" s="36">
        <f t="shared" si="70"/>
        <v>0</v>
      </c>
      <c r="S167" s="173">
        <f>'2025 Σεπτέμβριος'!D93</f>
        <v>0</v>
      </c>
      <c r="T167" s="36">
        <f t="shared" si="71"/>
        <v>0</v>
      </c>
      <c r="U167" s="173">
        <f>'2025 Οκτώβριος'!D93</f>
        <v>0</v>
      </c>
      <c r="V167" s="36">
        <f t="shared" si="72"/>
        <v>0</v>
      </c>
      <c r="W167" s="173">
        <f>'2025 Νοέμβριος'!D93</f>
        <v>0</v>
      </c>
      <c r="X167" s="36">
        <f t="shared" si="73"/>
        <v>0</v>
      </c>
      <c r="Y167" s="173">
        <f>'2025 Δεκέμβριος'!D93</f>
        <v>0</v>
      </c>
      <c r="Z167" s="36">
        <f t="shared" si="74"/>
        <v>0</v>
      </c>
      <c r="AA167" s="36">
        <f t="shared" si="75"/>
        <v>0</v>
      </c>
    </row>
    <row r="168" spans="1:27" x14ac:dyDescent="0.25">
      <c r="A168" s="45" t="str">
        <f>'2025 Ιανουάριος'!C94</f>
        <v xml:space="preserve">Ύδρευση </v>
      </c>
      <c r="B168" s="35">
        <v>2025</v>
      </c>
      <c r="C168" s="173">
        <f>'2025 Ιανουάριος'!D94</f>
        <v>0</v>
      </c>
      <c r="D168" s="36">
        <f t="shared" si="63"/>
        <v>0</v>
      </c>
      <c r="E168" s="173">
        <f>'2025 Φεβρουάριος'!D94</f>
        <v>0</v>
      </c>
      <c r="F168" s="36">
        <f t="shared" si="64"/>
        <v>0</v>
      </c>
      <c r="G168" s="173">
        <f>'2025 Μάρτιος'!D94</f>
        <v>0</v>
      </c>
      <c r="H168" s="36">
        <f t="shared" si="65"/>
        <v>0</v>
      </c>
      <c r="I168" s="173">
        <f>'2025 Απρίλιος'!D94</f>
        <v>0</v>
      </c>
      <c r="J168" s="36">
        <f t="shared" si="66"/>
        <v>0</v>
      </c>
      <c r="K168" s="173">
        <f>'2025 Μάιος'!D94</f>
        <v>0</v>
      </c>
      <c r="L168" s="36">
        <f t="shared" si="67"/>
        <v>0</v>
      </c>
      <c r="M168" s="173">
        <f>'2025 Ιούνιος'!D94</f>
        <v>0</v>
      </c>
      <c r="N168" s="36">
        <f t="shared" si="68"/>
        <v>0</v>
      </c>
      <c r="O168" s="173">
        <f>'2025 Ιούλιος'!D94</f>
        <v>0</v>
      </c>
      <c r="P168" s="36">
        <f t="shared" si="69"/>
        <v>0</v>
      </c>
      <c r="Q168" s="173">
        <f>'2025 Aύγουστος'!D94</f>
        <v>0</v>
      </c>
      <c r="R168" s="36">
        <f t="shared" si="70"/>
        <v>0</v>
      </c>
      <c r="S168" s="173">
        <f>'2025 Σεπτέμβριος'!D94</f>
        <v>0</v>
      </c>
      <c r="T168" s="36">
        <f t="shared" si="71"/>
        <v>0</v>
      </c>
      <c r="U168" s="173">
        <f>'2025 Οκτώβριος'!D94</f>
        <v>0</v>
      </c>
      <c r="V168" s="36">
        <f t="shared" si="72"/>
        <v>0</v>
      </c>
      <c r="W168" s="173">
        <f>'2025 Νοέμβριος'!D94</f>
        <v>0</v>
      </c>
      <c r="X168" s="36">
        <f t="shared" si="73"/>
        <v>0</v>
      </c>
      <c r="Y168" s="173">
        <f>'2025 Δεκέμβριος'!D94</f>
        <v>0</v>
      </c>
      <c r="Z168" s="36">
        <f t="shared" si="74"/>
        <v>0</v>
      </c>
      <c r="AA168" s="36">
        <f t="shared" si="75"/>
        <v>0</v>
      </c>
    </row>
    <row r="169" spans="1:27" x14ac:dyDescent="0.25">
      <c r="A169" s="45" t="str">
        <f>'2025 Ιανουάριος'!C95</f>
        <v xml:space="preserve">Ασφάλιστρα </v>
      </c>
      <c r="B169" s="35">
        <v>2025</v>
      </c>
      <c r="C169" s="173">
        <f>'2025 Ιανουάριος'!D95</f>
        <v>0</v>
      </c>
      <c r="D169" s="36">
        <f t="shared" si="63"/>
        <v>0</v>
      </c>
      <c r="E169" s="173">
        <f>'2025 Φεβρουάριος'!D95</f>
        <v>0</v>
      </c>
      <c r="F169" s="36">
        <f t="shared" si="64"/>
        <v>0</v>
      </c>
      <c r="G169" s="173">
        <f>'2025 Μάρτιος'!D95</f>
        <v>0</v>
      </c>
      <c r="H169" s="36">
        <f t="shared" si="65"/>
        <v>0</v>
      </c>
      <c r="I169" s="173">
        <f>'2025 Απρίλιος'!D95</f>
        <v>0</v>
      </c>
      <c r="J169" s="36">
        <f t="shared" si="66"/>
        <v>0</v>
      </c>
      <c r="K169" s="173">
        <f>'2025 Μάιος'!D95</f>
        <v>0</v>
      </c>
      <c r="L169" s="36">
        <f t="shared" si="67"/>
        <v>0</v>
      </c>
      <c r="M169" s="173">
        <f>'2025 Ιούνιος'!D95</f>
        <v>0</v>
      </c>
      <c r="N169" s="36">
        <f t="shared" si="68"/>
        <v>0</v>
      </c>
      <c r="O169" s="173">
        <f>'2025 Ιούλιος'!D95</f>
        <v>0</v>
      </c>
      <c r="P169" s="36">
        <f t="shared" si="69"/>
        <v>0</v>
      </c>
      <c r="Q169" s="173">
        <f>'2025 Aύγουστος'!D95</f>
        <v>0</v>
      </c>
      <c r="R169" s="36">
        <f t="shared" si="70"/>
        <v>0</v>
      </c>
      <c r="S169" s="173">
        <f>'2025 Σεπτέμβριος'!D95</f>
        <v>0</v>
      </c>
      <c r="T169" s="36">
        <f t="shared" si="71"/>
        <v>0</v>
      </c>
      <c r="U169" s="173">
        <f>'2025 Οκτώβριος'!D95</f>
        <v>0</v>
      </c>
      <c r="V169" s="36">
        <f t="shared" si="72"/>
        <v>0</v>
      </c>
      <c r="W169" s="173">
        <f>'2025 Νοέμβριος'!D95</f>
        <v>0</v>
      </c>
      <c r="X169" s="36">
        <f t="shared" si="73"/>
        <v>0</v>
      </c>
      <c r="Y169" s="173">
        <f>'2025 Δεκέμβριος'!D95</f>
        <v>0</v>
      </c>
      <c r="Z169" s="36">
        <f t="shared" si="74"/>
        <v>0</v>
      </c>
      <c r="AA169" s="36">
        <f t="shared" si="75"/>
        <v>0</v>
      </c>
    </row>
    <row r="170" spans="1:27" x14ac:dyDescent="0.25">
      <c r="A170" s="45" t="str">
        <f>'2025 Ιανουάριος'!C96</f>
        <v xml:space="preserve">Έντυπα και γραφική Ύλη </v>
      </c>
      <c r="B170" s="35">
        <v>2025</v>
      </c>
      <c r="C170" s="173">
        <f>'2025 Ιανουάριος'!D96</f>
        <v>82.13</v>
      </c>
      <c r="D170" s="36">
        <f t="shared" si="63"/>
        <v>82.13</v>
      </c>
      <c r="E170" s="173">
        <f>'2025 Φεβρουάριος'!D96</f>
        <v>161.91999999999999</v>
      </c>
      <c r="F170" s="36">
        <f t="shared" si="64"/>
        <v>244.04999999999998</v>
      </c>
      <c r="G170" s="173">
        <f>'2025 Μάρτιος'!D96</f>
        <v>25.77</v>
      </c>
      <c r="H170" s="36">
        <f t="shared" si="65"/>
        <v>269.82</v>
      </c>
      <c r="I170" s="173">
        <f>'2025 Απρίλιος'!D96</f>
        <v>34.4</v>
      </c>
      <c r="J170" s="36">
        <f t="shared" si="66"/>
        <v>304.21999999999997</v>
      </c>
      <c r="K170" s="173">
        <f>'2025 Μάιος'!D96</f>
        <v>250.56</v>
      </c>
      <c r="L170" s="36">
        <f t="shared" si="67"/>
        <v>554.78</v>
      </c>
      <c r="M170" s="173">
        <f>'2025 Ιούνιος'!D96</f>
        <v>0</v>
      </c>
      <c r="N170" s="36">
        <f t="shared" si="68"/>
        <v>554.78</v>
      </c>
      <c r="O170" s="173">
        <f>'2025 Ιούλιος'!D96</f>
        <v>0</v>
      </c>
      <c r="P170" s="36">
        <f t="shared" si="69"/>
        <v>554.78</v>
      </c>
      <c r="Q170" s="173">
        <f>'2025 Aύγουστος'!D96</f>
        <v>0</v>
      </c>
      <c r="R170" s="36">
        <f t="shared" si="70"/>
        <v>554.78</v>
      </c>
      <c r="S170" s="173">
        <f>'2025 Σεπτέμβριος'!D96</f>
        <v>0</v>
      </c>
      <c r="T170" s="36">
        <f t="shared" si="71"/>
        <v>554.78</v>
      </c>
      <c r="U170" s="173">
        <f>'2025 Οκτώβριος'!D96</f>
        <v>0</v>
      </c>
      <c r="V170" s="36">
        <f t="shared" si="72"/>
        <v>554.78</v>
      </c>
      <c r="W170" s="173">
        <f>'2025 Νοέμβριος'!D96</f>
        <v>0</v>
      </c>
      <c r="X170" s="36">
        <f t="shared" si="73"/>
        <v>554.78</v>
      </c>
      <c r="Y170" s="173">
        <f>'2025 Δεκέμβριος'!D96</f>
        <v>0</v>
      </c>
      <c r="Z170" s="36">
        <f t="shared" si="74"/>
        <v>554.78</v>
      </c>
      <c r="AA170" s="36">
        <f t="shared" si="75"/>
        <v>554.78</v>
      </c>
    </row>
    <row r="171" spans="1:27" x14ac:dyDescent="0.25">
      <c r="A171" s="45">
        <f>'2025 Ιανουάριος'!C97</f>
        <v>0</v>
      </c>
      <c r="B171" s="35">
        <v>2025</v>
      </c>
      <c r="C171" s="173">
        <f>'2025 Ιανουάριος'!D97</f>
        <v>0</v>
      </c>
      <c r="D171" s="36">
        <f t="shared" si="63"/>
        <v>0</v>
      </c>
      <c r="E171" s="173">
        <f>'2025 Φεβρουάριος'!D97</f>
        <v>0</v>
      </c>
      <c r="F171" s="36">
        <f t="shared" si="64"/>
        <v>0</v>
      </c>
      <c r="G171" s="173">
        <f>'2025 Μάρτιος'!D97</f>
        <v>0</v>
      </c>
      <c r="H171" s="36">
        <f t="shared" si="65"/>
        <v>0</v>
      </c>
      <c r="I171" s="173">
        <f>'2025 Απρίλιος'!D97</f>
        <v>0</v>
      </c>
      <c r="J171" s="36">
        <f t="shared" si="66"/>
        <v>0</v>
      </c>
      <c r="K171" s="173">
        <f>'2025 Μάιος'!D97</f>
        <v>0</v>
      </c>
      <c r="L171" s="36">
        <f t="shared" si="67"/>
        <v>0</v>
      </c>
      <c r="M171" s="173">
        <f>'2025 Ιούνιος'!D97</f>
        <v>0</v>
      </c>
      <c r="N171" s="36">
        <f t="shared" si="68"/>
        <v>0</v>
      </c>
      <c r="O171" s="173">
        <f>'2025 Ιούλιος'!D97</f>
        <v>0</v>
      </c>
      <c r="P171" s="36">
        <f t="shared" si="69"/>
        <v>0</v>
      </c>
      <c r="Q171" s="173">
        <f>'2025 Aύγουστος'!D97</f>
        <v>0</v>
      </c>
      <c r="R171" s="36">
        <f t="shared" si="70"/>
        <v>0</v>
      </c>
      <c r="S171" s="173">
        <f>'2025 Σεπτέμβριος'!D97</f>
        <v>0</v>
      </c>
      <c r="T171" s="36">
        <f t="shared" si="71"/>
        <v>0</v>
      </c>
      <c r="U171" s="173">
        <f>'2025 Οκτώβριος'!D97</f>
        <v>0</v>
      </c>
      <c r="V171" s="36">
        <f t="shared" si="72"/>
        <v>0</v>
      </c>
      <c r="W171" s="173">
        <f>'2025 Νοέμβριος'!D97</f>
        <v>0</v>
      </c>
      <c r="X171" s="36">
        <f t="shared" si="73"/>
        <v>0</v>
      </c>
      <c r="Y171" s="173">
        <f>'2025 Δεκέμβριος'!D97</f>
        <v>0</v>
      </c>
      <c r="Z171" s="36">
        <f t="shared" si="74"/>
        <v>0</v>
      </c>
      <c r="AA171" s="36">
        <f t="shared" si="75"/>
        <v>0</v>
      </c>
    </row>
    <row r="172" spans="1:27" x14ac:dyDescent="0.25">
      <c r="A172" s="45" t="str">
        <f>'2025 Ιανουάριος'!C98</f>
        <v xml:space="preserve">Υλικά Καθαριότητας </v>
      </c>
      <c r="B172" s="35">
        <v>2025</v>
      </c>
      <c r="C172" s="173">
        <f>'2025 Ιανουάριος'!D98</f>
        <v>0</v>
      </c>
      <c r="D172" s="36">
        <f t="shared" si="63"/>
        <v>0</v>
      </c>
      <c r="E172" s="173">
        <f>'2025 Φεβρουάριος'!D98</f>
        <v>0</v>
      </c>
      <c r="F172" s="36">
        <f t="shared" si="64"/>
        <v>0</v>
      </c>
      <c r="G172" s="173">
        <f>'2025 Μάρτιος'!D98</f>
        <v>0</v>
      </c>
      <c r="H172" s="36">
        <f t="shared" si="65"/>
        <v>0</v>
      </c>
      <c r="I172" s="173">
        <f>'2025 Απρίλιος'!D98</f>
        <v>0</v>
      </c>
      <c r="J172" s="36">
        <f t="shared" si="66"/>
        <v>0</v>
      </c>
      <c r="K172" s="173">
        <f>'2025 Μάιος'!D98</f>
        <v>0</v>
      </c>
      <c r="L172" s="36">
        <f t="shared" si="67"/>
        <v>0</v>
      </c>
      <c r="M172" s="173">
        <f>'2025 Ιούνιος'!D98</f>
        <v>0</v>
      </c>
      <c r="N172" s="36">
        <f t="shared" si="68"/>
        <v>0</v>
      </c>
      <c r="O172" s="173">
        <f>'2025 Ιούλιος'!D98</f>
        <v>0</v>
      </c>
      <c r="P172" s="36">
        <f t="shared" si="69"/>
        <v>0</v>
      </c>
      <c r="Q172" s="173">
        <f>'2025 Aύγουστος'!D98</f>
        <v>0</v>
      </c>
      <c r="R172" s="36">
        <f t="shared" si="70"/>
        <v>0</v>
      </c>
      <c r="S172" s="173">
        <f>'2025 Σεπτέμβριος'!D98</f>
        <v>0</v>
      </c>
      <c r="T172" s="36">
        <f t="shared" si="71"/>
        <v>0</v>
      </c>
      <c r="U172" s="173">
        <f>'2025 Οκτώβριος'!D98</f>
        <v>0</v>
      </c>
      <c r="V172" s="36">
        <f t="shared" si="72"/>
        <v>0</v>
      </c>
      <c r="W172" s="173">
        <f>'2025 Νοέμβριος'!D98</f>
        <v>0</v>
      </c>
      <c r="X172" s="36">
        <f t="shared" si="73"/>
        <v>0</v>
      </c>
      <c r="Y172" s="173">
        <f>'2025 Δεκέμβριος'!D98</f>
        <v>0</v>
      </c>
      <c r="Z172" s="36">
        <f t="shared" si="74"/>
        <v>0</v>
      </c>
      <c r="AA172" s="36">
        <f t="shared" si="75"/>
        <v>0</v>
      </c>
    </row>
    <row r="173" spans="1:27" x14ac:dyDescent="0.25">
      <c r="A173" s="45" t="str">
        <f>'2025 Ιανουάριος'!C99</f>
        <v>Υλικά Φαρμακείου</v>
      </c>
      <c r="B173" s="35">
        <v>2025</v>
      </c>
      <c r="C173" s="173">
        <f>'2025 Ιανουάριος'!D99</f>
        <v>1972.45</v>
      </c>
      <c r="D173" s="36">
        <f t="shared" si="63"/>
        <v>1972.45</v>
      </c>
      <c r="E173" s="173">
        <f>'2025 Φεβρουάριος'!D99</f>
        <v>0</v>
      </c>
      <c r="F173" s="36">
        <f t="shared" si="64"/>
        <v>1972.45</v>
      </c>
      <c r="G173" s="173">
        <f>'2025 Μάρτιος'!D99</f>
        <v>275</v>
      </c>
      <c r="H173" s="36">
        <f t="shared" si="65"/>
        <v>2247.4499999999998</v>
      </c>
      <c r="I173" s="173">
        <f>'2025 Απρίλιος'!D99</f>
        <v>2500</v>
      </c>
      <c r="J173" s="36">
        <f t="shared" si="66"/>
        <v>4747.45</v>
      </c>
      <c r="K173" s="173">
        <f>'2025 Μάιος'!D99</f>
        <v>0</v>
      </c>
      <c r="L173" s="36">
        <f t="shared" si="67"/>
        <v>4747.45</v>
      </c>
      <c r="M173" s="173">
        <f>'2025 Ιούνιος'!D99</f>
        <v>0</v>
      </c>
      <c r="N173" s="36">
        <f t="shared" si="68"/>
        <v>4747.45</v>
      </c>
      <c r="O173" s="173">
        <f>'2025 Ιούλιος'!D99</f>
        <v>0</v>
      </c>
      <c r="P173" s="36">
        <f t="shared" si="69"/>
        <v>4747.45</v>
      </c>
      <c r="Q173" s="173">
        <f>'2025 Aύγουστος'!D99</f>
        <v>0</v>
      </c>
      <c r="R173" s="36">
        <f t="shared" si="70"/>
        <v>4747.45</v>
      </c>
      <c r="S173" s="173">
        <f>'2025 Σεπτέμβριος'!D99</f>
        <v>0</v>
      </c>
      <c r="T173" s="36">
        <f t="shared" si="71"/>
        <v>4747.45</v>
      </c>
      <c r="U173" s="173">
        <f>'2025 Οκτώβριος'!D99</f>
        <v>0</v>
      </c>
      <c r="V173" s="36">
        <f t="shared" si="72"/>
        <v>4747.45</v>
      </c>
      <c r="W173" s="173">
        <f>'2025 Νοέμβριος'!D99</f>
        <v>0</v>
      </c>
      <c r="X173" s="36">
        <f t="shared" si="73"/>
        <v>4747.45</v>
      </c>
      <c r="Y173" s="173">
        <f>'2025 Δεκέμβριος'!D99</f>
        <v>0</v>
      </c>
      <c r="Z173" s="36">
        <f t="shared" si="74"/>
        <v>4747.45</v>
      </c>
      <c r="AA173" s="36">
        <f t="shared" si="75"/>
        <v>4747.45</v>
      </c>
    </row>
    <row r="174" spans="1:27" x14ac:dyDescent="0.25">
      <c r="A174" s="45" t="str">
        <f>'2025 Ιανουάριος'!C100</f>
        <v xml:space="preserve">Αγορές εφαρμογών για Marketing </v>
      </c>
      <c r="B174" s="35">
        <v>2025</v>
      </c>
      <c r="C174" s="173">
        <f>'2025 Ιανουάριος'!D100</f>
        <v>96.02</v>
      </c>
      <c r="D174" s="36">
        <f t="shared" si="63"/>
        <v>96.02</v>
      </c>
      <c r="E174" s="173">
        <f>'2025 Φεβρουάριος'!D100</f>
        <v>560.03</v>
      </c>
      <c r="F174" s="36">
        <f t="shared" si="64"/>
        <v>656.05</v>
      </c>
      <c r="G174" s="173">
        <f>'2025 Μάρτιος'!D100</f>
        <v>55.84</v>
      </c>
      <c r="H174" s="36">
        <f t="shared" si="65"/>
        <v>711.89</v>
      </c>
      <c r="I174" s="173">
        <f>'2025 Απρίλιος'!D100</f>
        <v>89.14</v>
      </c>
      <c r="J174" s="36">
        <f t="shared" si="66"/>
        <v>801.03</v>
      </c>
      <c r="K174" s="173">
        <f>'2025 Μάιος'!D100</f>
        <v>77.09</v>
      </c>
      <c r="L174" s="36">
        <f t="shared" si="67"/>
        <v>878.12</v>
      </c>
      <c r="M174" s="173">
        <f>'2025 Ιούνιος'!D100</f>
        <v>0</v>
      </c>
      <c r="N174" s="36">
        <f t="shared" si="68"/>
        <v>878.12</v>
      </c>
      <c r="O174" s="173">
        <f>'2025 Ιούλιος'!D100</f>
        <v>0</v>
      </c>
      <c r="P174" s="36">
        <f t="shared" si="69"/>
        <v>878.12</v>
      </c>
      <c r="Q174" s="173">
        <f>'2025 Aύγουστος'!D100</f>
        <v>0</v>
      </c>
      <c r="R174" s="36">
        <f t="shared" si="70"/>
        <v>878.12</v>
      </c>
      <c r="S174" s="173">
        <f>'2025 Σεπτέμβριος'!D100</f>
        <v>0</v>
      </c>
      <c r="T174" s="36">
        <f t="shared" si="71"/>
        <v>878.12</v>
      </c>
      <c r="U174" s="173">
        <f>'2025 Οκτώβριος'!D100</f>
        <v>0</v>
      </c>
      <c r="V174" s="36">
        <f t="shared" si="72"/>
        <v>878.12</v>
      </c>
      <c r="W174" s="173">
        <f>'2025 Νοέμβριος'!D100</f>
        <v>0</v>
      </c>
      <c r="X174" s="36">
        <f t="shared" si="73"/>
        <v>878.12</v>
      </c>
      <c r="Y174" s="173">
        <f>'2025 Δεκέμβριος'!D100</f>
        <v>0</v>
      </c>
      <c r="Z174" s="36">
        <f t="shared" si="74"/>
        <v>878.12</v>
      </c>
      <c r="AA174" s="36">
        <f t="shared" si="75"/>
        <v>878.12</v>
      </c>
    </row>
    <row r="175" spans="1:27" ht="28.5" x14ac:dyDescent="0.25">
      <c r="A175" s="45" t="str">
        <f>'2025 Ιανουάριος'!C101</f>
        <v>Αμοιβές συνεργατών ( Συνδρομές για Marketing - Ιστοσελίδα _ Editing 3D  -)</v>
      </c>
      <c r="B175" s="35">
        <v>2025</v>
      </c>
      <c r="C175" s="173">
        <f>'2025 Ιανουάριος'!D101</f>
        <v>0</v>
      </c>
      <c r="D175" s="36">
        <f t="shared" si="63"/>
        <v>0</v>
      </c>
      <c r="E175" s="173">
        <f>'2025 Φεβρουάριος'!D101</f>
        <v>0</v>
      </c>
      <c r="F175" s="36">
        <f t="shared" si="64"/>
        <v>0</v>
      </c>
      <c r="G175" s="173">
        <f>'2025 Μάρτιος'!D101</f>
        <v>0</v>
      </c>
      <c r="H175" s="36">
        <f t="shared" si="65"/>
        <v>0</v>
      </c>
      <c r="I175" s="173">
        <f>'2025 Απρίλιος'!D101</f>
        <v>0</v>
      </c>
      <c r="J175" s="36">
        <f t="shared" si="66"/>
        <v>0</v>
      </c>
      <c r="K175" s="173">
        <f>'2025 Μάιος'!D101</f>
        <v>0</v>
      </c>
      <c r="L175" s="36">
        <f t="shared" si="67"/>
        <v>0</v>
      </c>
      <c r="M175" s="173">
        <f>'2025 Ιούνιος'!D101</f>
        <v>0</v>
      </c>
      <c r="N175" s="36">
        <f t="shared" si="68"/>
        <v>0</v>
      </c>
      <c r="O175" s="173">
        <f>'2025 Ιούλιος'!D101</f>
        <v>0</v>
      </c>
      <c r="P175" s="36">
        <f t="shared" si="69"/>
        <v>0</v>
      </c>
      <c r="Q175" s="173">
        <f>'2025 Aύγουστος'!D101</f>
        <v>0</v>
      </c>
      <c r="R175" s="36">
        <f t="shared" si="70"/>
        <v>0</v>
      </c>
      <c r="S175" s="173">
        <f>'2025 Σεπτέμβριος'!D101</f>
        <v>0</v>
      </c>
      <c r="T175" s="36">
        <f t="shared" si="71"/>
        <v>0</v>
      </c>
      <c r="U175" s="173">
        <f>'2025 Οκτώβριος'!D101</f>
        <v>0</v>
      </c>
      <c r="V175" s="36">
        <f t="shared" si="72"/>
        <v>0</v>
      </c>
      <c r="W175" s="173">
        <f>'2025 Νοέμβριος'!D101</f>
        <v>0</v>
      </c>
      <c r="X175" s="36">
        <f t="shared" si="73"/>
        <v>0</v>
      </c>
      <c r="Y175" s="173">
        <f>'2025 Δεκέμβριος'!D101</f>
        <v>0</v>
      </c>
      <c r="Z175" s="36">
        <f t="shared" si="74"/>
        <v>0</v>
      </c>
      <c r="AA175" s="36">
        <f t="shared" si="75"/>
        <v>0</v>
      </c>
    </row>
    <row r="176" spans="1:27" x14ac:dyDescent="0.25">
      <c r="A176" s="45" t="str">
        <f>'2025 Ιανουάριος'!C102</f>
        <v xml:space="preserve">Αμοιβές Τρίτων </v>
      </c>
      <c r="B176" s="35">
        <v>2025</v>
      </c>
      <c r="C176" s="173">
        <f>'2025 Ιανουάριος'!D102</f>
        <v>0</v>
      </c>
      <c r="D176" s="36">
        <f t="shared" si="63"/>
        <v>0</v>
      </c>
      <c r="E176" s="173">
        <f>'2025 Φεβρουάριος'!D102</f>
        <v>0</v>
      </c>
      <c r="F176" s="36">
        <f t="shared" si="64"/>
        <v>0</v>
      </c>
      <c r="G176" s="173">
        <f>'2025 Μάρτιος'!D102</f>
        <v>0</v>
      </c>
      <c r="H176" s="36">
        <f t="shared" si="65"/>
        <v>0</v>
      </c>
      <c r="I176" s="173">
        <f>'2025 Απρίλιος'!D102</f>
        <v>0</v>
      </c>
      <c r="J176" s="36">
        <f t="shared" si="66"/>
        <v>0</v>
      </c>
      <c r="K176" s="173">
        <f>'2025 Μάιος'!D102</f>
        <v>0</v>
      </c>
      <c r="L176" s="36">
        <f t="shared" si="67"/>
        <v>0</v>
      </c>
      <c r="M176" s="173">
        <f>'2025 Ιούνιος'!D102</f>
        <v>0</v>
      </c>
      <c r="N176" s="36">
        <f t="shared" si="68"/>
        <v>0</v>
      </c>
      <c r="O176" s="173">
        <f>'2025 Ιούλιος'!D102</f>
        <v>0</v>
      </c>
      <c r="P176" s="36">
        <f t="shared" si="69"/>
        <v>0</v>
      </c>
      <c r="Q176" s="173">
        <f>'2025 Aύγουστος'!D102</f>
        <v>0</v>
      </c>
      <c r="R176" s="36">
        <f t="shared" si="70"/>
        <v>0</v>
      </c>
      <c r="S176" s="173">
        <f>'2025 Σεπτέμβριος'!D102</f>
        <v>0</v>
      </c>
      <c r="T176" s="36">
        <f t="shared" si="71"/>
        <v>0</v>
      </c>
      <c r="U176" s="173">
        <f>'2025 Οκτώβριος'!D102</f>
        <v>0</v>
      </c>
      <c r="V176" s="36">
        <f t="shared" si="72"/>
        <v>0</v>
      </c>
      <c r="W176" s="173">
        <f>'2025 Νοέμβριος'!D102</f>
        <v>0</v>
      </c>
      <c r="X176" s="36">
        <f t="shared" si="73"/>
        <v>0</v>
      </c>
      <c r="Y176" s="173">
        <f>'2025 Δεκέμβριος'!D102</f>
        <v>0</v>
      </c>
      <c r="Z176" s="36">
        <f t="shared" si="74"/>
        <v>0</v>
      </c>
      <c r="AA176" s="36">
        <f t="shared" si="75"/>
        <v>0</v>
      </c>
    </row>
    <row r="177" spans="1:27" x14ac:dyDescent="0.25">
      <c r="A177" s="45" t="str">
        <f>'2025 Ιανουάριος'!C103</f>
        <v>Επισκευές - Συντηρήσεις</v>
      </c>
      <c r="B177" s="35">
        <v>2025</v>
      </c>
      <c r="C177" s="173">
        <f>'2025 Ιανουάριος'!D103</f>
        <v>1041.47</v>
      </c>
      <c r="D177" s="36">
        <f t="shared" si="63"/>
        <v>1041.47</v>
      </c>
      <c r="E177" s="173">
        <f>'2025 Φεβρουάριος'!D103</f>
        <v>1078.45</v>
      </c>
      <c r="F177" s="36">
        <f t="shared" si="64"/>
        <v>2119.92</v>
      </c>
      <c r="G177" s="173">
        <f>'2025 Μάρτιος'!D103</f>
        <v>69.989999999999995</v>
      </c>
      <c r="H177" s="36">
        <f t="shared" si="65"/>
        <v>2189.91</v>
      </c>
      <c r="I177" s="173">
        <f>'2025 Απρίλιος'!D103</f>
        <v>83.83</v>
      </c>
      <c r="J177" s="36">
        <f t="shared" si="66"/>
        <v>2273.7399999999998</v>
      </c>
      <c r="K177" s="173">
        <f>'2025 Μάιος'!D103</f>
        <v>271.73</v>
      </c>
      <c r="L177" s="36">
        <f t="shared" si="67"/>
        <v>2545.4699999999998</v>
      </c>
      <c r="M177" s="173">
        <f>'2025 Ιούνιος'!D103</f>
        <v>0</v>
      </c>
      <c r="N177" s="36">
        <f t="shared" si="68"/>
        <v>2545.4699999999998</v>
      </c>
      <c r="O177" s="173">
        <f>'2025 Ιούλιος'!D103</f>
        <v>0</v>
      </c>
      <c r="P177" s="36">
        <f t="shared" si="69"/>
        <v>2545.4699999999998</v>
      </c>
      <c r="Q177" s="173">
        <f>'2025 Aύγουστος'!D103</f>
        <v>0</v>
      </c>
      <c r="R177" s="36">
        <f t="shared" si="70"/>
        <v>2545.4699999999998</v>
      </c>
      <c r="S177" s="173">
        <f>'2025 Σεπτέμβριος'!D103</f>
        <v>0</v>
      </c>
      <c r="T177" s="36">
        <f t="shared" si="71"/>
        <v>2545.4699999999998</v>
      </c>
      <c r="U177" s="173">
        <f>'2025 Οκτώβριος'!D103</f>
        <v>0</v>
      </c>
      <c r="V177" s="36">
        <f t="shared" si="72"/>
        <v>2545.4699999999998</v>
      </c>
      <c r="W177" s="173">
        <f>'2025 Νοέμβριος'!D103</f>
        <v>0</v>
      </c>
      <c r="X177" s="36">
        <f t="shared" si="73"/>
        <v>2545.4699999999998</v>
      </c>
      <c r="Y177" s="173">
        <f>'2025 Δεκέμβριος'!D103</f>
        <v>0</v>
      </c>
      <c r="Z177" s="36">
        <f t="shared" si="74"/>
        <v>2545.4699999999998</v>
      </c>
      <c r="AA177" s="36">
        <f t="shared" si="75"/>
        <v>2545.4699999999998</v>
      </c>
    </row>
    <row r="178" spans="1:27" x14ac:dyDescent="0.25">
      <c r="A178" s="45" t="str">
        <f>'2025 Ιανουάριος'!C104</f>
        <v xml:space="preserve">Εξοδα προβολής και διαφήμισης </v>
      </c>
      <c r="B178" s="35">
        <v>2025</v>
      </c>
      <c r="C178" s="173">
        <f>'2025 Ιανουάριος'!D104</f>
        <v>0</v>
      </c>
      <c r="D178" s="36">
        <f t="shared" si="63"/>
        <v>0</v>
      </c>
      <c r="E178" s="173">
        <f>'2025 Φεβρουάριος'!D104</f>
        <v>0</v>
      </c>
      <c r="F178" s="36">
        <f t="shared" si="64"/>
        <v>0</v>
      </c>
      <c r="G178" s="173">
        <f>'2025 Μάρτιος'!D104</f>
        <v>0</v>
      </c>
      <c r="H178" s="36">
        <f t="shared" si="65"/>
        <v>0</v>
      </c>
      <c r="I178" s="173">
        <f>'2025 Απρίλιος'!D104</f>
        <v>0</v>
      </c>
      <c r="J178" s="36">
        <f t="shared" si="66"/>
        <v>0</v>
      </c>
      <c r="K178" s="173">
        <f>'2025 Μάιος'!D104</f>
        <v>0</v>
      </c>
      <c r="L178" s="36">
        <f t="shared" si="67"/>
        <v>0</v>
      </c>
      <c r="M178" s="173">
        <f>'2025 Ιούνιος'!D104</f>
        <v>0</v>
      </c>
      <c r="N178" s="36">
        <f t="shared" si="68"/>
        <v>0</v>
      </c>
      <c r="O178" s="173">
        <f>'2025 Ιούλιος'!D104</f>
        <v>0</v>
      </c>
      <c r="P178" s="36">
        <f t="shared" si="69"/>
        <v>0</v>
      </c>
      <c r="Q178" s="173">
        <f>'2025 Aύγουστος'!D104</f>
        <v>0</v>
      </c>
      <c r="R178" s="36">
        <f t="shared" si="70"/>
        <v>0</v>
      </c>
      <c r="S178" s="173">
        <f>'2025 Σεπτέμβριος'!D104</f>
        <v>0</v>
      </c>
      <c r="T178" s="36">
        <f t="shared" si="71"/>
        <v>0</v>
      </c>
      <c r="U178" s="173">
        <f>'2025 Οκτώβριος'!D104</f>
        <v>0</v>
      </c>
      <c r="V178" s="36">
        <f t="shared" si="72"/>
        <v>0</v>
      </c>
      <c r="W178" s="173">
        <f>'2025 Νοέμβριος'!D104</f>
        <v>0</v>
      </c>
      <c r="X178" s="36">
        <f t="shared" si="73"/>
        <v>0</v>
      </c>
      <c r="Y178" s="173">
        <f>'2025 Δεκέμβριος'!D104</f>
        <v>0</v>
      </c>
      <c r="Z178" s="36">
        <f t="shared" si="74"/>
        <v>0</v>
      </c>
      <c r="AA178" s="36">
        <f t="shared" si="75"/>
        <v>0</v>
      </c>
    </row>
    <row r="179" spans="1:27" x14ac:dyDescent="0.25">
      <c r="A179" s="45" t="str">
        <f>'2025 Ιανουάριος'!C105</f>
        <v>Εξοδα εκθέσεων και επιδείξεων</v>
      </c>
      <c r="B179" s="35">
        <v>2025</v>
      </c>
      <c r="C179" s="173">
        <f>'2025 Ιανουάριος'!D105</f>
        <v>0</v>
      </c>
      <c r="D179" s="36">
        <f t="shared" si="63"/>
        <v>0</v>
      </c>
      <c r="E179" s="173">
        <f>'2025 Φεβρουάριος'!D105</f>
        <v>0</v>
      </c>
      <c r="F179" s="36">
        <f t="shared" si="64"/>
        <v>0</v>
      </c>
      <c r="G179" s="173">
        <f>'2025 Μάρτιος'!D105</f>
        <v>0</v>
      </c>
      <c r="H179" s="36">
        <f t="shared" si="65"/>
        <v>0</v>
      </c>
      <c r="I179" s="173">
        <f>'2025 Απρίλιος'!D105</f>
        <v>0</v>
      </c>
      <c r="J179" s="36">
        <f t="shared" si="66"/>
        <v>0</v>
      </c>
      <c r="K179" s="173">
        <f>'2025 Μάιος'!D105</f>
        <v>0</v>
      </c>
      <c r="L179" s="36">
        <f t="shared" si="67"/>
        <v>0</v>
      </c>
      <c r="M179" s="173">
        <f>'2025 Ιούνιος'!D105</f>
        <v>0</v>
      </c>
      <c r="N179" s="36">
        <f t="shared" si="68"/>
        <v>0</v>
      </c>
      <c r="O179" s="173">
        <f>'2025 Ιούλιος'!D105</f>
        <v>0</v>
      </c>
      <c r="P179" s="36">
        <f t="shared" si="69"/>
        <v>0</v>
      </c>
      <c r="Q179" s="173">
        <f>'2025 Aύγουστος'!D105</f>
        <v>0</v>
      </c>
      <c r="R179" s="36">
        <f t="shared" si="70"/>
        <v>0</v>
      </c>
      <c r="S179" s="173">
        <f>'2025 Σεπτέμβριος'!D105</f>
        <v>0</v>
      </c>
      <c r="T179" s="36">
        <f t="shared" si="71"/>
        <v>0</v>
      </c>
      <c r="U179" s="173">
        <f>'2025 Οκτώβριος'!D105</f>
        <v>0</v>
      </c>
      <c r="V179" s="36">
        <f t="shared" si="72"/>
        <v>0</v>
      </c>
      <c r="W179" s="173">
        <f>'2025 Νοέμβριος'!D105</f>
        <v>0</v>
      </c>
      <c r="X179" s="36">
        <f t="shared" si="73"/>
        <v>0</v>
      </c>
      <c r="Y179" s="173">
        <f>'2025 Δεκέμβριος'!D105</f>
        <v>0</v>
      </c>
      <c r="Z179" s="36">
        <f t="shared" si="74"/>
        <v>0</v>
      </c>
      <c r="AA179" s="36">
        <f t="shared" si="75"/>
        <v>0</v>
      </c>
    </row>
    <row r="180" spans="1:27" x14ac:dyDescent="0.25">
      <c r="A180" s="45" t="str">
        <f>'2025 Ιανουάριος'!C106</f>
        <v>Αποσβέσεις ( Εξοπλισμού R.DEP. &amp; M.DEP.)</v>
      </c>
      <c r="B180" s="35">
        <v>2025</v>
      </c>
      <c r="C180" s="173">
        <f>'2025 Ιανουάριος'!D106</f>
        <v>0</v>
      </c>
      <c r="D180" s="36">
        <f t="shared" si="63"/>
        <v>0</v>
      </c>
      <c r="E180" s="173">
        <f>'2025 Φεβρουάριος'!D106</f>
        <v>0</v>
      </c>
      <c r="F180" s="36">
        <f t="shared" si="64"/>
        <v>0</v>
      </c>
      <c r="G180" s="173">
        <f>'2025 Μάρτιος'!D106</f>
        <v>0</v>
      </c>
      <c r="H180" s="36">
        <f t="shared" si="65"/>
        <v>0</v>
      </c>
      <c r="I180" s="173">
        <f>'2025 Απρίλιος'!D106</f>
        <v>0</v>
      </c>
      <c r="J180" s="36">
        <f t="shared" si="66"/>
        <v>0</v>
      </c>
      <c r="K180" s="173">
        <f>'2025 Μάιος'!D106</f>
        <v>0</v>
      </c>
      <c r="L180" s="36">
        <f t="shared" si="67"/>
        <v>0</v>
      </c>
      <c r="M180" s="173">
        <f>'2025 Ιούνιος'!D106</f>
        <v>0</v>
      </c>
      <c r="N180" s="36">
        <f t="shared" si="68"/>
        <v>0</v>
      </c>
      <c r="O180" s="173">
        <f>'2025 Ιούλιος'!D106</f>
        <v>0</v>
      </c>
      <c r="P180" s="36">
        <f t="shared" si="69"/>
        <v>0</v>
      </c>
      <c r="Q180" s="173">
        <f>'2025 Aύγουστος'!D106</f>
        <v>0</v>
      </c>
      <c r="R180" s="36">
        <f t="shared" si="70"/>
        <v>0</v>
      </c>
      <c r="S180" s="173">
        <f>'2025 Σεπτέμβριος'!D106</f>
        <v>0</v>
      </c>
      <c r="T180" s="36">
        <f t="shared" si="71"/>
        <v>0</v>
      </c>
      <c r="U180" s="173">
        <f>'2025 Οκτώβριος'!D106</f>
        <v>0</v>
      </c>
      <c r="V180" s="36">
        <f t="shared" si="72"/>
        <v>0</v>
      </c>
      <c r="W180" s="173">
        <f>'2025 Νοέμβριος'!D106</f>
        <v>0</v>
      </c>
      <c r="X180" s="36">
        <f t="shared" si="73"/>
        <v>0</v>
      </c>
      <c r="Y180" s="173">
        <f>'2025 Δεκέμβριος'!D106</f>
        <v>0</v>
      </c>
      <c r="Z180" s="36">
        <f t="shared" si="74"/>
        <v>0</v>
      </c>
      <c r="AA180" s="36">
        <f t="shared" si="75"/>
        <v>0</v>
      </c>
    </row>
    <row r="181" spans="1:27" x14ac:dyDescent="0.25">
      <c r="A181" s="45">
        <f>'2025 Ιανουάριος'!C107</f>
        <v>0</v>
      </c>
      <c r="B181" s="35">
        <v>2025</v>
      </c>
      <c r="C181" s="173">
        <f>'2025 Ιανουάριος'!D107</f>
        <v>0</v>
      </c>
      <c r="D181" s="36">
        <f t="shared" si="63"/>
        <v>0</v>
      </c>
      <c r="E181" s="173">
        <f>'2025 Φεβρουάριος'!D107</f>
        <v>0</v>
      </c>
      <c r="F181" s="36">
        <f t="shared" si="64"/>
        <v>0</v>
      </c>
      <c r="G181" s="173">
        <f>'2025 Μάρτιος'!D107</f>
        <v>0</v>
      </c>
      <c r="H181" s="36">
        <f t="shared" si="65"/>
        <v>0</v>
      </c>
      <c r="I181" s="173">
        <f>'2025 Απρίλιος'!D107</f>
        <v>0</v>
      </c>
      <c r="J181" s="36">
        <f t="shared" si="66"/>
        <v>0</v>
      </c>
      <c r="K181" s="173">
        <f>'2025 Μάιος'!D107</f>
        <v>0</v>
      </c>
      <c r="L181" s="36">
        <f t="shared" si="67"/>
        <v>0</v>
      </c>
      <c r="M181" s="173">
        <f>'2025 Ιούνιος'!D107</f>
        <v>0</v>
      </c>
      <c r="N181" s="36">
        <f t="shared" si="68"/>
        <v>0</v>
      </c>
      <c r="O181" s="173">
        <f>'2025 Ιούλιος'!D107</f>
        <v>0</v>
      </c>
      <c r="P181" s="36">
        <f t="shared" si="69"/>
        <v>0</v>
      </c>
      <c r="Q181" s="173">
        <f>'2025 Aύγουστος'!D107</f>
        <v>0</v>
      </c>
      <c r="R181" s="36">
        <f t="shared" si="70"/>
        <v>0</v>
      </c>
      <c r="S181" s="173">
        <f>'2025 Σεπτέμβριος'!D107</f>
        <v>0</v>
      </c>
      <c r="T181" s="36">
        <f t="shared" si="71"/>
        <v>0</v>
      </c>
      <c r="U181" s="173">
        <f>'2025 Οκτώβριος'!D107</f>
        <v>0</v>
      </c>
      <c r="V181" s="36">
        <f t="shared" si="72"/>
        <v>0</v>
      </c>
      <c r="W181" s="173">
        <f>'2025 Νοέμβριος'!D107</f>
        <v>0</v>
      </c>
      <c r="X181" s="36">
        <f t="shared" si="73"/>
        <v>0</v>
      </c>
      <c r="Y181" s="173">
        <f>'2025 Δεκέμβριος'!D107</f>
        <v>0</v>
      </c>
      <c r="Z181" s="36">
        <f t="shared" si="74"/>
        <v>0</v>
      </c>
      <c r="AA181" s="36">
        <f t="shared" si="75"/>
        <v>0</v>
      </c>
    </row>
    <row r="182" spans="1:27" x14ac:dyDescent="0.25">
      <c r="A182" s="45">
        <f>'2025 Ιανουάριος'!C108</f>
        <v>0</v>
      </c>
      <c r="B182" s="35">
        <v>2025</v>
      </c>
      <c r="C182" s="173">
        <f>'2025 Ιανουάριος'!D108</f>
        <v>0</v>
      </c>
      <c r="D182" s="36">
        <f t="shared" si="63"/>
        <v>0</v>
      </c>
      <c r="E182" s="173">
        <f>'2025 Φεβρουάριος'!D108</f>
        <v>0</v>
      </c>
      <c r="F182" s="36">
        <f t="shared" si="64"/>
        <v>0</v>
      </c>
      <c r="G182" s="173">
        <f>'2025 Μάρτιος'!D108</f>
        <v>0</v>
      </c>
      <c r="H182" s="36">
        <f t="shared" si="65"/>
        <v>0</v>
      </c>
      <c r="I182" s="173">
        <f>'2025 Απρίλιος'!D108</f>
        <v>0</v>
      </c>
      <c r="J182" s="36">
        <f t="shared" si="66"/>
        <v>0</v>
      </c>
      <c r="K182" s="173">
        <f>'2025 Μάιος'!D108</f>
        <v>0</v>
      </c>
      <c r="L182" s="36">
        <f t="shared" si="67"/>
        <v>0</v>
      </c>
      <c r="M182" s="173">
        <f>'2025 Ιούνιος'!D108</f>
        <v>0</v>
      </c>
      <c r="N182" s="36">
        <f t="shared" si="68"/>
        <v>0</v>
      </c>
      <c r="O182" s="173">
        <f>'2025 Ιούλιος'!D108</f>
        <v>0</v>
      </c>
      <c r="P182" s="36">
        <f t="shared" si="69"/>
        <v>0</v>
      </c>
      <c r="Q182" s="173">
        <f>'2025 Aύγουστος'!D108</f>
        <v>0</v>
      </c>
      <c r="R182" s="36">
        <f t="shared" si="70"/>
        <v>0</v>
      </c>
      <c r="S182" s="173">
        <f>'2025 Σεπτέμβριος'!D108</f>
        <v>0</v>
      </c>
      <c r="T182" s="36">
        <f t="shared" si="71"/>
        <v>0</v>
      </c>
      <c r="U182" s="173">
        <f>'2025 Οκτώβριος'!D108</f>
        <v>0</v>
      </c>
      <c r="V182" s="36">
        <f t="shared" si="72"/>
        <v>0</v>
      </c>
      <c r="W182" s="173">
        <f>'2025 Νοέμβριος'!D108</f>
        <v>0</v>
      </c>
      <c r="X182" s="36">
        <f t="shared" si="73"/>
        <v>0</v>
      </c>
      <c r="Y182" s="173">
        <f>'2025 Δεκέμβριος'!D108</f>
        <v>0</v>
      </c>
      <c r="Z182" s="36">
        <f t="shared" si="74"/>
        <v>0</v>
      </c>
      <c r="AA182" s="36">
        <f t="shared" si="75"/>
        <v>0</v>
      </c>
    </row>
    <row r="183" spans="1:27" x14ac:dyDescent="0.25">
      <c r="A183" s="45">
        <f>'2025 Ιανουάριος'!C109</f>
        <v>0</v>
      </c>
      <c r="B183" s="35">
        <v>2025</v>
      </c>
      <c r="C183" s="173">
        <f>'2025 Ιανουάριος'!D109</f>
        <v>0</v>
      </c>
      <c r="D183" s="36">
        <f t="shared" si="63"/>
        <v>0</v>
      </c>
      <c r="E183" s="173">
        <f>'2025 Φεβρουάριος'!D109</f>
        <v>0</v>
      </c>
      <c r="F183" s="36">
        <f t="shared" si="64"/>
        <v>0</v>
      </c>
      <c r="G183" s="173">
        <f>'2025 Μάρτιος'!D109</f>
        <v>0</v>
      </c>
      <c r="H183" s="36">
        <f t="shared" si="65"/>
        <v>0</v>
      </c>
      <c r="I183" s="173">
        <f>'2025 Απρίλιος'!D109</f>
        <v>0</v>
      </c>
      <c r="J183" s="36">
        <f t="shared" si="66"/>
        <v>0</v>
      </c>
      <c r="K183" s="173">
        <f>'2025 Μάιος'!D109</f>
        <v>0</v>
      </c>
      <c r="L183" s="36">
        <f t="shared" si="67"/>
        <v>0</v>
      </c>
      <c r="M183" s="173">
        <f>'2025 Ιούνιος'!D109</f>
        <v>0</v>
      </c>
      <c r="N183" s="36">
        <f t="shared" si="68"/>
        <v>0</v>
      </c>
      <c r="O183" s="173">
        <f>'2025 Ιούλιος'!D109</f>
        <v>0</v>
      </c>
      <c r="P183" s="36">
        <f t="shared" si="69"/>
        <v>0</v>
      </c>
      <c r="Q183" s="173">
        <f>'2025 Aύγουστος'!D109</f>
        <v>0</v>
      </c>
      <c r="R183" s="36">
        <f t="shared" si="70"/>
        <v>0</v>
      </c>
      <c r="S183" s="173">
        <f>'2025 Σεπτέμβριος'!D109</f>
        <v>0</v>
      </c>
      <c r="T183" s="36">
        <f t="shared" si="71"/>
        <v>0</v>
      </c>
      <c r="U183" s="173">
        <f>'2025 Οκτώβριος'!D109</f>
        <v>0</v>
      </c>
      <c r="V183" s="36">
        <f t="shared" si="72"/>
        <v>0</v>
      </c>
      <c r="W183" s="173">
        <f>'2025 Νοέμβριος'!D109</f>
        <v>0</v>
      </c>
      <c r="X183" s="36">
        <f t="shared" si="73"/>
        <v>0</v>
      </c>
      <c r="Y183" s="173">
        <f>'2025 Δεκέμβριος'!D109</f>
        <v>0</v>
      </c>
      <c r="Z183" s="36">
        <f t="shared" si="74"/>
        <v>0</v>
      </c>
      <c r="AA183" s="36">
        <f t="shared" si="75"/>
        <v>0</v>
      </c>
    </row>
    <row r="184" spans="1:27" x14ac:dyDescent="0.25">
      <c r="A184" s="45">
        <f>'2025 Ιανουάριος'!C110</f>
        <v>0</v>
      </c>
      <c r="B184" s="35">
        <v>2025</v>
      </c>
      <c r="C184" s="173">
        <f>'2025 Ιανουάριος'!D110</f>
        <v>0</v>
      </c>
      <c r="D184" s="36">
        <f t="shared" si="63"/>
        <v>0</v>
      </c>
      <c r="E184" s="173">
        <f>'2025 Φεβρουάριος'!D110</f>
        <v>0</v>
      </c>
      <c r="F184" s="36">
        <f t="shared" si="64"/>
        <v>0</v>
      </c>
      <c r="G184" s="173">
        <f>'2025 Μάρτιος'!D110</f>
        <v>0</v>
      </c>
      <c r="H184" s="36">
        <f t="shared" si="65"/>
        <v>0</v>
      </c>
      <c r="I184" s="173">
        <f>'2025 Απρίλιος'!D110</f>
        <v>0</v>
      </c>
      <c r="J184" s="36">
        <f t="shared" si="66"/>
        <v>0</v>
      </c>
      <c r="K184" s="173">
        <f>'2025 Μάιος'!D110</f>
        <v>0</v>
      </c>
      <c r="L184" s="36">
        <f t="shared" si="67"/>
        <v>0</v>
      </c>
      <c r="M184" s="173">
        <f>'2025 Ιούνιος'!D110</f>
        <v>0</v>
      </c>
      <c r="N184" s="36">
        <f t="shared" si="68"/>
        <v>0</v>
      </c>
      <c r="O184" s="173">
        <f>'2025 Ιούλιος'!D110</f>
        <v>0</v>
      </c>
      <c r="P184" s="36">
        <f t="shared" si="69"/>
        <v>0</v>
      </c>
      <c r="Q184" s="173">
        <f>'2025 Aύγουστος'!D110</f>
        <v>0</v>
      </c>
      <c r="R184" s="36">
        <f t="shared" si="70"/>
        <v>0</v>
      </c>
      <c r="S184" s="173">
        <f>'2025 Σεπτέμβριος'!D110</f>
        <v>0</v>
      </c>
      <c r="T184" s="36">
        <f t="shared" si="71"/>
        <v>0</v>
      </c>
      <c r="U184" s="173">
        <f>'2025 Οκτώβριος'!D110</f>
        <v>0</v>
      </c>
      <c r="W184" s="173">
        <f>'2025 Νοέμβριος'!D110</f>
        <v>0</v>
      </c>
      <c r="X184" s="36">
        <f t="shared" si="73"/>
        <v>0</v>
      </c>
      <c r="Y184" s="173">
        <f>'2025 Δεκέμβριος'!D110</f>
        <v>0</v>
      </c>
      <c r="Z184" s="36">
        <f t="shared" si="74"/>
        <v>0</v>
      </c>
      <c r="AA184" s="36">
        <f t="shared" si="75"/>
        <v>0</v>
      </c>
    </row>
    <row r="185" spans="1:27" ht="47.25" customHeight="1" x14ac:dyDescent="0.25">
      <c r="A185" s="35" t="s">
        <v>157</v>
      </c>
      <c r="B185" s="35"/>
      <c r="C185" s="173">
        <f>SUM(C121:C184)</f>
        <v>99953.963333333348</v>
      </c>
      <c r="D185" s="36">
        <f>SUM(D121:D184)</f>
        <v>246053.93333333332</v>
      </c>
      <c r="E185" s="36">
        <f>SUM(E121:E184)</f>
        <v>75573.973333333342</v>
      </c>
      <c r="F185" s="36">
        <f t="shared" si="64"/>
        <v>321627.90666666668</v>
      </c>
      <c r="G185" s="173">
        <f>SUM(G121:G184)</f>
        <v>84931.133333333331</v>
      </c>
      <c r="H185" s="36">
        <f t="shared" si="65"/>
        <v>406559.04000000004</v>
      </c>
      <c r="I185" s="173">
        <f>SUM(I121:I184)</f>
        <v>100300.55333333333</v>
      </c>
      <c r="J185" s="36">
        <f t="shared" si="66"/>
        <v>506859.59333333338</v>
      </c>
      <c r="K185" s="173">
        <f>SUM(K121:K184)</f>
        <v>99249.16333333333</v>
      </c>
      <c r="L185" s="36">
        <f t="shared" si="67"/>
        <v>606108.75666666671</v>
      </c>
      <c r="M185" s="173">
        <f>SUM(M121:M184)</f>
        <v>15679.953333333335</v>
      </c>
      <c r="N185" s="36">
        <f t="shared" si="68"/>
        <v>621788.71000000008</v>
      </c>
      <c r="O185" s="173">
        <f>SUM(O121:O184)</f>
        <v>15679.953333333335</v>
      </c>
      <c r="P185" s="36">
        <f t="shared" si="69"/>
        <v>637468.66333333345</v>
      </c>
      <c r="Q185" s="173">
        <f>SUM(Q121:Q184)</f>
        <v>15679.953333333335</v>
      </c>
      <c r="R185" s="36">
        <f t="shared" si="70"/>
        <v>653148.61666666681</v>
      </c>
      <c r="S185" s="173">
        <f>SUM(S121:S184)</f>
        <v>15679.953333333335</v>
      </c>
      <c r="T185" s="36">
        <f t="shared" si="71"/>
        <v>668828.57000000018</v>
      </c>
      <c r="U185" s="173">
        <f>SUM(U121:U184)</f>
        <v>15679.953333333335</v>
      </c>
      <c r="V185" s="36">
        <f>SUM(V121:V183)</f>
        <v>684508.5233333332</v>
      </c>
      <c r="W185" s="173">
        <f>SUM(W121:W184)</f>
        <v>15679.953333333335</v>
      </c>
      <c r="X185" s="36">
        <f t="shared" si="73"/>
        <v>700188.47666666657</v>
      </c>
      <c r="Y185" s="173">
        <f>SUM(Y121:Y184)</f>
        <v>15679.953333333335</v>
      </c>
      <c r="Z185" s="36">
        <f t="shared" si="74"/>
        <v>715868.42999999993</v>
      </c>
      <c r="AA185" s="36">
        <f t="shared" si="75"/>
        <v>569768.46</v>
      </c>
    </row>
    <row r="186" spans="1:27" x14ac:dyDescent="0.25">
      <c r="W186" t="s">
        <v>170</v>
      </c>
    </row>
    <row r="190" spans="1:27" ht="17.25" x14ac:dyDescent="0.3">
      <c r="A190" s="178" t="s">
        <v>146</v>
      </c>
      <c r="B190" s="35" t="s">
        <v>87</v>
      </c>
      <c r="C190" s="172" t="s">
        <v>88</v>
      </c>
      <c r="D190" s="35" t="s">
        <v>89</v>
      </c>
      <c r="E190" s="172" t="s">
        <v>90</v>
      </c>
      <c r="F190" s="35" t="s">
        <v>91</v>
      </c>
      <c r="G190" s="172" t="s">
        <v>92</v>
      </c>
      <c r="H190" s="35" t="s">
        <v>93</v>
      </c>
      <c r="I190" s="172" t="s">
        <v>94</v>
      </c>
      <c r="J190" s="35" t="s">
        <v>95</v>
      </c>
      <c r="K190" s="172" t="s">
        <v>96</v>
      </c>
      <c r="L190" s="35" t="s">
        <v>144</v>
      </c>
      <c r="M190" s="172" t="s">
        <v>97</v>
      </c>
      <c r="N190" s="35" t="s">
        <v>98</v>
      </c>
      <c r="O190" s="172" t="s">
        <v>99</v>
      </c>
      <c r="P190" s="35" t="s">
        <v>100</v>
      </c>
      <c r="Q190" s="172" t="s">
        <v>101</v>
      </c>
      <c r="R190" s="35" t="s">
        <v>102</v>
      </c>
      <c r="S190" s="172" t="s">
        <v>103</v>
      </c>
      <c r="T190" s="35" t="s">
        <v>104</v>
      </c>
      <c r="U190" s="172" t="s">
        <v>105</v>
      </c>
      <c r="V190" s="35" t="s">
        <v>106</v>
      </c>
      <c r="W190" s="172" t="s">
        <v>107</v>
      </c>
      <c r="X190" s="35" t="s">
        <v>108</v>
      </c>
      <c r="Y190" s="172" t="s">
        <v>109</v>
      </c>
      <c r="Z190" s="35" t="s">
        <v>110</v>
      </c>
      <c r="AA190" s="35" t="s">
        <v>141</v>
      </c>
    </row>
    <row r="191" spans="1:27" x14ac:dyDescent="0.25">
      <c r="A191" s="44" t="str">
        <f>'2025 Ιανουάριος'!C117</f>
        <v>Μικτές Αποδοχές (Α.Κ.Διοικ.)</v>
      </c>
      <c r="B191" s="35">
        <v>2025</v>
      </c>
      <c r="C191" s="173">
        <f>'2025 Ιανουάριος'!D117</f>
        <v>0</v>
      </c>
      <c r="D191" s="36">
        <f t="shared" ref="D191:D223" si="76">C191</f>
        <v>0</v>
      </c>
      <c r="E191" s="173">
        <f>'2025 Φεβρουάριος'!D117</f>
        <v>0</v>
      </c>
      <c r="F191" s="36">
        <f t="shared" ref="F191:F223" si="77">D191+E191</f>
        <v>0</v>
      </c>
      <c r="G191" s="173">
        <f>'2025 Μάρτιος'!D117</f>
        <v>0</v>
      </c>
      <c r="H191" s="36">
        <f t="shared" ref="H191:H223" si="78">F191+G191</f>
        <v>0</v>
      </c>
      <c r="I191" s="173">
        <f>'2025 Απρίλιος'!D117</f>
        <v>0</v>
      </c>
      <c r="J191" s="36">
        <f t="shared" ref="J191:J231" si="79">H191+I191</f>
        <v>0</v>
      </c>
      <c r="K191" s="173">
        <f>'2025 Μάιος'!D117</f>
        <v>0</v>
      </c>
      <c r="L191" s="36">
        <f t="shared" ref="L191:L223" si="80">J191+K191</f>
        <v>0</v>
      </c>
      <c r="M191" s="173">
        <f>'2025 Ιούνιος'!D117</f>
        <v>0</v>
      </c>
      <c r="N191" s="36">
        <f t="shared" ref="N191:N231" si="81">L191+M191</f>
        <v>0</v>
      </c>
      <c r="O191" s="173">
        <f>'2025 Ιούλιος'!D117</f>
        <v>0</v>
      </c>
      <c r="P191" s="36">
        <f t="shared" ref="P191:P223" si="82">N191+O191</f>
        <v>0</v>
      </c>
      <c r="Q191" s="173">
        <f>'2025 Aύγουστος'!D117</f>
        <v>0</v>
      </c>
      <c r="R191" s="36">
        <f t="shared" ref="R191:R231" si="83">P191+Q191</f>
        <v>0</v>
      </c>
      <c r="S191" s="173">
        <f>'2025 Σεπτέμβριος'!D117</f>
        <v>0</v>
      </c>
      <c r="T191" s="36">
        <f t="shared" ref="T191:T231" si="84">R191+S191</f>
        <v>0</v>
      </c>
      <c r="U191" s="173">
        <f>'2025 Οκτώβριος'!D117</f>
        <v>0</v>
      </c>
      <c r="V191" s="36">
        <f t="shared" ref="V191:V223" si="85">T191+U191</f>
        <v>0</v>
      </c>
      <c r="W191" s="173">
        <f>'2025 Νοέμβριος'!D117</f>
        <v>0</v>
      </c>
      <c r="X191" s="36">
        <f t="shared" ref="X191:X231" si="86">V191+W191</f>
        <v>0</v>
      </c>
      <c r="Y191" s="173">
        <f>'2025 Δεκέμβριος'!D117</f>
        <v>0</v>
      </c>
      <c r="Z191" s="36">
        <f t="shared" ref="Z191:Z231" si="87">X191+Y191</f>
        <v>0</v>
      </c>
      <c r="AA191" s="36">
        <f t="shared" ref="AA191:AA231" si="88">C191+E191+G191+I191+K191+M191+O191+Q191+S191+U191+W191+Y191</f>
        <v>0</v>
      </c>
    </row>
    <row r="192" spans="1:27" x14ac:dyDescent="0.25">
      <c r="A192" s="44" t="str">
        <f>'2025 Ιανουάριος'!C118</f>
        <v>Ασφαλιστικές εισφορές  (Α.Κ.Διοικ.)</v>
      </c>
      <c r="B192" s="35">
        <v>2025</v>
      </c>
      <c r="C192" s="173">
        <f>'2025 Ιανουάριος'!D118</f>
        <v>248.55</v>
      </c>
      <c r="D192" s="36">
        <f t="shared" si="76"/>
        <v>248.55</v>
      </c>
      <c r="E192" s="173">
        <f>'2025 Φεβρουάριος'!D118</f>
        <v>248.55</v>
      </c>
      <c r="F192" s="36">
        <f t="shared" si="77"/>
        <v>497.1</v>
      </c>
      <c r="G192" s="173">
        <f>'2025 Μάρτιος'!D118</f>
        <v>248.55</v>
      </c>
      <c r="H192" s="36">
        <f t="shared" si="78"/>
        <v>745.65000000000009</v>
      </c>
      <c r="I192" s="173">
        <f>'2025 Απρίλιος'!D118</f>
        <v>248.55</v>
      </c>
      <c r="J192" s="36">
        <f t="shared" si="79"/>
        <v>994.2</v>
      </c>
      <c r="K192" s="173">
        <f>'2025 Μάιος'!D118</f>
        <v>248.55</v>
      </c>
      <c r="L192" s="36">
        <f t="shared" si="80"/>
        <v>1242.75</v>
      </c>
      <c r="M192" s="173">
        <f>'2025 Ιούνιος'!D118</f>
        <v>0</v>
      </c>
      <c r="N192" s="36">
        <f t="shared" si="81"/>
        <v>1242.75</v>
      </c>
      <c r="O192" s="173">
        <f>'2025 Ιούλιος'!D118</f>
        <v>0</v>
      </c>
      <c r="P192" s="36">
        <f t="shared" si="82"/>
        <v>1242.75</v>
      </c>
      <c r="Q192" s="173">
        <f>'2025 Aύγουστος'!D118</f>
        <v>0</v>
      </c>
      <c r="R192" s="36">
        <f t="shared" si="83"/>
        <v>1242.75</v>
      </c>
      <c r="S192" s="173">
        <f>'2025 Σεπτέμβριος'!D118</f>
        <v>0</v>
      </c>
      <c r="T192" s="36">
        <f t="shared" si="84"/>
        <v>1242.75</v>
      </c>
      <c r="U192" s="173">
        <f>'2025 Οκτώβριος'!D118</f>
        <v>0</v>
      </c>
      <c r="V192" s="36">
        <f t="shared" si="85"/>
        <v>1242.75</v>
      </c>
      <c r="W192" s="173">
        <f>'2025 Νοέμβριος'!D118</f>
        <v>0</v>
      </c>
      <c r="X192" s="36">
        <f t="shared" si="86"/>
        <v>1242.75</v>
      </c>
      <c r="Y192" s="173">
        <f>'2025 Δεκέμβριος'!D118</f>
        <v>0</v>
      </c>
      <c r="Z192" s="36">
        <f t="shared" si="87"/>
        <v>1242.75</v>
      </c>
      <c r="AA192" s="36">
        <f t="shared" si="88"/>
        <v>1242.75</v>
      </c>
    </row>
    <row r="193" spans="1:27" x14ac:dyDescent="0.25">
      <c r="A193" s="44" t="str">
        <f>'2025 Ιανουάριος'!C119</f>
        <v xml:space="preserve">Ενοίκια  Έδρας </v>
      </c>
      <c r="B193" s="35">
        <v>2025</v>
      </c>
      <c r="C193" s="173">
        <f>'2025 Ιανουάριος'!D119</f>
        <v>965.25</v>
      </c>
      <c r="D193" s="36">
        <f t="shared" si="76"/>
        <v>965.25</v>
      </c>
      <c r="E193" s="173">
        <f>'2025 Φεβρουάριος'!D119</f>
        <v>965.25</v>
      </c>
      <c r="F193" s="36">
        <f t="shared" si="77"/>
        <v>1930.5</v>
      </c>
      <c r="G193" s="173">
        <f>'2025 Μάρτιος'!D119</f>
        <v>965.25</v>
      </c>
      <c r="H193" s="36">
        <f t="shared" si="78"/>
        <v>2895.75</v>
      </c>
      <c r="I193" s="173">
        <f>'2025 Απρίλιος'!D119</f>
        <v>965.25</v>
      </c>
      <c r="J193" s="36">
        <f t="shared" si="79"/>
        <v>3861</v>
      </c>
      <c r="K193" s="173">
        <f>'2025 Μάιος'!D119</f>
        <v>965.25</v>
      </c>
      <c r="L193" s="36">
        <f t="shared" si="80"/>
        <v>4826.25</v>
      </c>
      <c r="M193" s="173">
        <f>'2025 Ιούνιος'!D119</f>
        <v>0</v>
      </c>
      <c r="N193" s="36">
        <f t="shared" si="81"/>
        <v>4826.25</v>
      </c>
      <c r="O193" s="173">
        <f>'2025 Ιούλιος'!D119</f>
        <v>0</v>
      </c>
      <c r="P193" s="36">
        <f t="shared" si="82"/>
        <v>4826.25</v>
      </c>
      <c r="Q193" s="173">
        <f>'2025 Aύγουστος'!D119</f>
        <v>0</v>
      </c>
      <c r="R193" s="36">
        <f t="shared" si="83"/>
        <v>4826.25</v>
      </c>
      <c r="S193" s="173">
        <f>'2025 Σεπτέμβριος'!D119</f>
        <v>0</v>
      </c>
      <c r="T193" s="36">
        <f t="shared" si="84"/>
        <v>4826.25</v>
      </c>
      <c r="U193" s="173">
        <f>'2025 Οκτώβριος'!D119</f>
        <v>0</v>
      </c>
      <c r="V193" s="36">
        <f t="shared" si="85"/>
        <v>4826.25</v>
      </c>
      <c r="W193" s="173">
        <f>'2025 Νοέμβριος'!D119</f>
        <v>0</v>
      </c>
      <c r="X193" s="36">
        <f t="shared" si="86"/>
        <v>4826.25</v>
      </c>
      <c r="Y193" s="173">
        <f>'2025 Δεκέμβριος'!D119</f>
        <v>0</v>
      </c>
      <c r="Z193" s="36">
        <f t="shared" si="87"/>
        <v>4826.25</v>
      </c>
      <c r="AA193" s="36">
        <f t="shared" si="88"/>
        <v>4826.25</v>
      </c>
    </row>
    <row r="194" spans="1:27" x14ac:dyDescent="0.25">
      <c r="A194" s="44" t="str">
        <f>'2025 Ιανουάριος'!C120</f>
        <v>Ενοίκιο Αποθήκης Β</v>
      </c>
      <c r="B194" s="35">
        <v>2025</v>
      </c>
      <c r="C194" s="173">
        <f>'2025 Ιανουάριος'!D120</f>
        <v>31.52</v>
      </c>
      <c r="D194" s="36">
        <f t="shared" si="76"/>
        <v>31.52</v>
      </c>
      <c r="E194" s="173">
        <f>'2025 Φεβρουάριος'!D120</f>
        <v>31.52</v>
      </c>
      <c r="F194" s="36">
        <f t="shared" si="77"/>
        <v>63.04</v>
      </c>
      <c r="G194" s="173">
        <f>'2025 Μάρτιος'!D120</f>
        <v>31.52</v>
      </c>
      <c r="H194" s="36">
        <f t="shared" si="78"/>
        <v>94.56</v>
      </c>
      <c r="I194" s="173">
        <f>'2025 Απρίλιος'!D120</f>
        <v>31.52</v>
      </c>
      <c r="J194" s="36">
        <f t="shared" si="79"/>
        <v>126.08</v>
      </c>
      <c r="K194" s="173">
        <f>'2025 Μάιος'!D120</f>
        <v>31.52</v>
      </c>
      <c r="L194" s="36">
        <f t="shared" si="80"/>
        <v>157.6</v>
      </c>
      <c r="M194" s="173">
        <f>'2025 Ιούνιος'!D120</f>
        <v>0</v>
      </c>
      <c r="N194" s="36">
        <f t="shared" si="81"/>
        <v>157.6</v>
      </c>
      <c r="O194" s="173">
        <f>'2025 Ιούλιος'!D120</f>
        <v>0</v>
      </c>
      <c r="P194" s="36">
        <f t="shared" si="82"/>
        <v>157.6</v>
      </c>
      <c r="Q194" s="173">
        <f>'2025 Aύγουστος'!D120</f>
        <v>0</v>
      </c>
      <c r="R194" s="36">
        <f t="shared" si="83"/>
        <v>157.6</v>
      </c>
      <c r="S194" s="173">
        <f>'2025 Σεπτέμβριος'!D120</f>
        <v>0</v>
      </c>
      <c r="T194" s="36">
        <f t="shared" si="84"/>
        <v>157.6</v>
      </c>
      <c r="U194" s="173">
        <f>'2025 Οκτώβριος'!D120</f>
        <v>0</v>
      </c>
      <c r="V194" s="36">
        <f t="shared" si="85"/>
        <v>157.6</v>
      </c>
      <c r="W194" s="173">
        <f>'2025 Νοέμβριος'!D120</f>
        <v>0</v>
      </c>
      <c r="X194" s="36">
        <f t="shared" si="86"/>
        <v>157.6</v>
      </c>
      <c r="Y194" s="173">
        <f>'2025 Δεκέμβριος'!D120</f>
        <v>0</v>
      </c>
      <c r="Z194" s="36">
        <f t="shared" si="87"/>
        <v>157.6</v>
      </c>
      <c r="AA194" s="36">
        <f t="shared" si="88"/>
        <v>157.6</v>
      </c>
    </row>
    <row r="195" spans="1:27" x14ac:dyDescent="0.25">
      <c r="A195" s="44" t="str">
        <f>'2025 Ιανουάριος'!C121</f>
        <v>Ενοίκιο Αποθήκης Α</v>
      </c>
      <c r="B195" s="35">
        <v>2025</v>
      </c>
      <c r="C195" s="173">
        <f>'2025 Ιανουάριος'!D121</f>
        <v>8.9499999999999993</v>
      </c>
      <c r="D195" s="36">
        <f t="shared" si="76"/>
        <v>8.9499999999999993</v>
      </c>
      <c r="E195" s="173">
        <f>'2025 Φεβρουάριος'!D121</f>
        <v>8.9499999999999993</v>
      </c>
      <c r="F195" s="36">
        <f t="shared" si="77"/>
        <v>17.899999999999999</v>
      </c>
      <c r="G195" s="173">
        <f>'2025 Μάρτιος'!D121</f>
        <v>8.9499999999999993</v>
      </c>
      <c r="H195" s="36">
        <f t="shared" si="78"/>
        <v>26.849999999999998</v>
      </c>
      <c r="I195" s="173">
        <f>'2025 Απρίλιος'!D121</f>
        <v>8.9499999999999993</v>
      </c>
      <c r="J195" s="36">
        <f t="shared" si="79"/>
        <v>35.799999999999997</v>
      </c>
      <c r="K195" s="173">
        <f>'2025 Μάιος'!D121</f>
        <v>8.9499999999999993</v>
      </c>
      <c r="L195" s="36">
        <f t="shared" si="80"/>
        <v>44.75</v>
      </c>
      <c r="M195" s="173">
        <f>'2025 Ιούνιος'!D121</f>
        <v>0</v>
      </c>
      <c r="N195" s="36">
        <f t="shared" si="81"/>
        <v>44.75</v>
      </c>
      <c r="O195" s="173">
        <f>'2025 Ιούλιος'!D121</f>
        <v>0</v>
      </c>
      <c r="P195" s="36">
        <f t="shared" si="82"/>
        <v>44.75</v>
      </c>
      <c r="Q195" s="173">
        <f>'2025 Aύγουστος'!D121</f>
        <v>0</v>
      </c>
      <c r="R195" s="36">
        <f t="shared" si="83"/>
        <v>44.75</v>
      </c>
      <c r="S195" s="173">
        <f>'2025 Σεπτέμβριος'!D121</f>
        <v>0</v>
      </c>
      <c r="T195" s="36">
        <f t="shared" si="84"/>
        <v>44.75</v>
      </c>
      <c r="U195" s="173">
        <f>'2025 Οκτώβριος'!D121</f>
        <v>0</v>
      </c>
      <c r="V195" s="36">
        <f t="shared" si="85"/>
        <v>44.75</v>
      </c>
      <c r="W195" s="173">
        <f>'2025 Νοέμβριος'!D121</f>
        <v>0</v>
      </c>
      <c r="X195" s="36">
        <f t="shared" si="86"/>
        <v>44.75</v>
      </c>
      <c r="Y195" s="173">
        <f>'2025 Δεκέμβριος'!D121</f>
        <v>0</v>
      </c>
      <c r="Z195" s="36">
        <f t="shared" si="87"/>
        <v>44.75</v>
      </c>
      <c r="AA195" s="36">
        <f t="shared" si="88"/>
        <v>44.75</v>
      </c>
    </row>
    <row r="196" spans="1:27" x14ac:dyDescent="0.25">
      <c r="A196" s="44" t="str">
        <f>'2025 Ιανουάριος'!C122</f>
        <v>Ενοίκιο Αριστοφάνους 1</v>
      </c>
      <c r="B196" s="35">
        <v>2025</v>
      </c>
      <c r="C196" s="173">
        <f>'2025 Ιανουάριος'!D122</f>
        <v>0</v>
      </c>
      <c r="D196" s="36">
        <f t="shared" si="76"/>
        <v>0</v>
      </c>
      <c r="E196" s="173">
        <f>'2025 Φεβρουάριος'!D122</f>
        <v>0</v>
      </c>
      <c r="F196" s="36">
        <f t="shared" si="77"/>
        <v>0</v>
      </c>
      <c r="G196" s="173">
        <f>'2025 Μάρτιος'!D122</f>
        <v>0</v>
      </c>
      <c r="H196" s="36">
        <f t="shared" si="78"/>
        <v>0</v>
      </c>
      <c r="I196" s="173">
        <f>'2025 Απρίλιος'!D122</f>
        <v>0</v>
      </c>
      <c r="J196" s="36">
        <f t="shared" si="79"/>
        <v>0</v>
      </c>
      <c r="K196" s="173">
        <f>'2025 Μάιος'!D122</f>
        <v>0</v>
      </c>
      <c r="L196" s="36">
        <f t="shared" si="80"/>
        <v>0</v>
      </c>
      <c r="M196" s="173">
        <f>'2025 Ιούνιος'!D122</f>
        <v>0</v>
      </c>
      <c r="N196" s="36">
        <f t="shared" si="81"/>
        <v>0</v>
      </c>
      <c r="O196" s="173">
        <f>'2025 Ιούλιος'!D122</f>
        <v>0</v>
      </c>
      <c r="P196" s="36">
        <f t="shared" si="82"/>
        <v>0</v>
      </c>
      <c r="Q196" s="173">
        <f>'2025 Aύγουστος'!D122</f>
        <v>0</v>
      </c>
      <c r="R196" s="36">
        <f t="shared" si="83"/>
        <v>0</v>
      </c>
      <c r="S196" s="173">
        <f>'2025 Σεπτέμβριος'!D122</f>
        <v>0</v>
      </c>
      <c r="T196" s="36">
        <f t="shared" si="84"/>
        <v>0</v>
      </c>
      <c r="U196" s="173">
        <f>'2025 Οκτώβριος'!D122</f>
        <v>0</v>
      </c>
      <c r="V196" s="36">
        <f t="shared" si="85"/>
        <v>0</v>
      </c>
      <c r="W196" s="173">
        <f>'2025 Νοέμβριος'!D122</f>
        <v>0</v>
      </c>
      <c r="X196" s="36">
        <f t="shared" si="86"/>
        <v>0</v>
      </c>
      <c r="Y196" s="173">
        <f>'2025 Δεκέμβριος'!D122</f>
        <v>0</v>
      </c>
      <c r="Z196" s="36">
        <f t="shared" si="87"/>
        <v>0</v>
      </c>
      <c r="AA196" s="36">
        <f t="shared" si="88"/>
        <v>0</v>
      </c>
    </row>
    <row r="197" spans="1:27" x14ac:dyDescent="0.25">
      <c r="A197" s="44" t="str">
        <f>'2025 Ιανουάριος'!C123</f>
        <v xml:space="preserve">Χαρτόσημο ενοικίου Έδρας </v>
      </c>
      <c r="B197" s="35">
        <v>2025</v>
      </c>
      <c r="C197" s="173">
        <f>'2025 Ιανουάριος'!D123</f>
        <v>34.75</v>
      </c>
      <c r="D197" s="36">
        <f t="shared" si="76"/>
        <v>34.75</v>
      </c>
      <c r="E197" s="173">
        <f>'2025 Φεβρουάριος'!D123</f>
        <v>34.75</v>
      </c>
      <c r="F197" s="36">
        <f t="shared" si="77"/>
        <v>69.5</v>
      </c>
      <c r="G197" s="173">
        <f>'2025 Μάρτιος'!D123</f>
        <v>34.75</v>
      </c>
      <c r="H197" s="36">
        <f t="shared" si="78"/>
        <v>104.25</v>
      </c>
      <c r="I197" s="173">
        <f>'2025 Απρίλιος'!D123</f>
        <v>34.75</v>
      </c>
      <c r="J197" s="36">
        <f t="shared" si="79"/>
        <v>139</v>
      </c>
      <c r="K197" s="173">
        <f>'2025 Μάιος'!D123</f>
        <v>34.75</v>
      </c>
      <c r="L197" s="36">
        <f t="shared" si="80"/>
        <v>173.75</v>
      </c>
      <c r="M197" s="173">
        <f>'2025 Ιούνιος'!D123</f>
        <v>0</v>
      </c>
      <c r="N197" s="36">
        <f t="shared" si="81"/>
        <v>173.75</v>
      </c>
      <c r="O197" s="173">
        <f>'2025 Ιούλιος'!D123</f>
        <v>0</v>
      </c>
      <c r="P197" s="36">
        <f t="shared" si="82"/>
        <v>173.75</v>
      </c>
      <c r="Q197" s="173">
        <f>'2025 Aύγουστος'!D123</f>
        <v>0</v>
      </c>
      <c r="R197" s="36">
        <f t="shared" si="83"/>
        <v>173.75</v>
      </c>
      <c r="S197" s="173">
        <f>'2025 Σεπτέμβριος'!D123</f>
        <v>0</v>
      </c>
      <c r="T197" s="36">
        <f t="shared" si="84"/>
        <v>173.75</v>
      </c>
      <c r="U197" s="173">
        <f>'2025 Οκτώβριος'!D123</f>
        <v>0</v>
      </c>
      <c r="V197" s="36">
        <f t="shared" si="85"/>
        <v>173.75</v>
      </c>
      <c r="W197" s="173">
        <f>'2025 Νοέμβριος'!D123</f>
        <v>0</v>
      </c>
      <c r="X197" s="36">
        <f t="shared" si="86"/>
        <v>173.75</v>
      </c>
      <c r="Y197" s="173">
        <f>'2025 Δεκέμβριος'!D123</f>
        <v>0</v>
      </c>
      <c r="Z197" s="36">
        <f t="shared" si="87"/>
        <v>173.75</v>
      </c>
      <c r="AA197" s="36">
        <f t="shared" si="88"/>
        <v>173.75</v>
      </c>
    </row>
    <row r="198" spans="1:27" x14ac:dyDescent="0.25">
      <c r="A198" s="44" t="str">
        <f>'2025 Ιανουάριος'!C124</f>
        <v xml:space="preserve">Χαρτόσημο Ενοικίου Αποθήκης Α </v>
      </c>
      <c r="B198" s="35">
        <v>2025</v>
      </c>
      <c r="C198" s="173">
        <f>'2025 Ιανουάριος'!D124</f>
        <v>0</v>
      </c>
      <c r="D198" s="36">
        <f t="shared" si="76"/>
        <v>0</v>
      </c>
      <c r="E198" s="173">
        <f>'2025 Φεβρουάριος'!D124</f>
        <v>0</v>
      </c>
      <c r="F198" s="36">
        <f t="shared" si="77"/>
        <v>0</v>
      </c>
      <c r="G198" s="173">
        <f>'2025 Μάρτιος'!D124</f>
        <v>0</v>
      </c>
      <c r="H198" s="36">
        <f t="shared" si="78"/>
        <v>0</v>
      </c>
      <c r="I198" s="173">
        <f>'2025 Απρίλιος'!D124</f>
        <v>0</v>
      </c>
      <c r="J198" s="36">
        <f t="shared" si="79"/>
        <v>0</v>
      </c>
      <c r="K198" s="173">
        <f>'2025 Μάιος'!D124</f>
        <v>0</v>
      </c>
      <c r="L198" s="36">
        <f t="shared" si="80"/>
        <v>0</v>
      </c>
      <c r="M198" s="173">
        <f>'2025 Ιούνιος'!D124</f>
        <v>0</v>
      </c>
      <c r="N198" s="36">
        <f t="shared" si="81"/>
        <v>0</v>
      </c>
      <c r="O198" s="173">
        <f>'2025 Ιούλιος'!D124</f>
        <v>0</v>
      </c>
      <c r="P198" s="36">
        <f t="shared" si="82"/>
        <v>0</v>
      </c>
      <c r="Q198" s="173">
        <f>'2025 Aύγουστος'!D124</f>
        <v>0</v>
      </c>
      <c r="R198" s="36">
        <f t="shared" si="83"/>
        <v>0</v>
      </c>
      <c r="S198" s="173">
        <f>'2025 Σεπτέμβριος'!D124</f>
        <v>0</v>
      </c>
      <c r="T198" s="36">
        <f t="shared" si="84"/>
        <v>0</v>
      </c>
      <c r="U198" s="173">
        <f>'2025 Οκτώβριος'!D124</f>
        <v>0</v>
      </c>
      <c r="V198" s="36">
        <f t="shared" si="85"/>
        <v>0</v>
      </c>
      <c r="W198" s="173">
        <f>'2025 Νοέμβριος'!D124</f>
        <v>0</v>
      </c>
      <c r="X198" s="36">
        <f t="shared" si="86"/>
        <v>0</v>
      </c>
      <c r="Y198" s="173">
        <f>'2025 Δεκέμβριος'!D124</f>
        <v>0</v>
      </c>
      <c r="Z198" s="36">
        <f t="shared" si="87"/>
        <v>0</v>
      </c>
      <c r="AA198" s="36">
        <f t="shared" si="88"/>
        <v>0</v>
      </c>
    </row>
    <row r="199" spans="1:27" x14ac:dyDescent="0.25">
      <c r="A199" s="44" t="str">
        <f>'2025 Ιανουάριος'!C125</f>
        <v xml:space="preserve">Χαρτόσημο Ενοικίου Αποθήκης Β </v>
      </c>
      <c r="B199" s="35">
        <v>2025</v>
      </c>
      <c r="C199" s="173">
        <f>'2025 Ιανουάριος'!D125</f>
        <v>0</v>
      </c>
      <c r="D199" s="36">
        <f t="shared" si="76"/>
        <v>0</v>
      </c>
      <c r="E199" s="173">
        <f>'2025 Φεβρουάριος'!D125</f>
        <v>0</v>
      </c>
      <c r="F199" s="36">
        <f t="shared" si="77"/>
        <v>0</v>
      </c>
      <c r="G199" s="173">
        <f>'2025 Μάρτιος'!D125</f>
        <v>0</v>
      </c>
      <c r="H199" s="36">
        <f t="shared" si="78"/>
        <v>0</v>
      </c>
      <c r="I199" s="173">
        <f>'2025 Απρίλιος'!D125</f>
        <v>0</v>
      </c>
      <c r="J199" s="36">
        <f t="shared" si="79"/>
        <v>0</v>
      </c>
      <c r="K199" s="173">
        <f>'2025 Μάιος'!D125</f>
        <v>0</v>
      </c>
      <c r="L199" s="36">
        <f t="shared" si="80"/>
        <v>0</v>
      </c>
      <c r="M199" s="173">
        <f>'2025 Ιούνιος'!D125</f>
        <v>0</v>
      </c>
      <c r="N199" s="36">
        <f t="shared" si="81"/>
        <v>0</v>
      </c>
      <c r="O199" s="173">
        <f>'2025 Ιούλιος'!D125</f>
        <v>0</v>
      </c>
      <c r="P199" s="36">
        <f t="shared" si="82"/>
        <v>0</v>
      </c>
      <c r="Q199" s="173">
        <f>'2025 Aύγουστος'!D125</f>
        <v>0</v>
      </c>
      <c r="R199" s="36">
        <f t="shared" si="83"/>
        <v>0</v>
      </c>
      <c r="S199" s="173">
        <f>'2025 Σεπτέμβριος'!D125</f>
        <v>0</v>
      </c>
      <c r="T199" s="36">
        <f t="shared" si="84"/>
        <v>0</v>
      </c>
      <c r="U199" s="173">
        <f>'2025 Οκτώβριος'!D125</f>
        <v>0</v>
      </c>
      <c r="V199" s="36">
        <f t="shared" si="85"/>
        <v>0</v>
      </c>
      <c r="W199" s="173">
        <f>'2025 Νοέμβριος'!D125</f>
        <v>0</v>
      </c>
      <c r="X199" s="36">
        <f t="shared" si="86"/>
        <v>0</v>
      </c>
      <c r="Y199" s="173">
        <f>'2025 Δεκέμβριος'!D125</f>
        <v>0</v>
      </c>
      <c r="Z199" s="36">
        <f t="shared" si="87"/>
        <v>0</v>
      </c>
      <c r="AA199" s="36">
        <f t="shared" si="88"/>
        <v>0</v>
      </c>
    </row>
    <row r="200" spans="1:27" x14ac:dyDescent="0.25">
      <c r="A200" s="44" t="str">
        <f>'2025 Ιανουάριος'!C126</f>
        <v>Χαρτόσημο Ενοικίου Αριστοφάνους 1</v>
      </c>
      <c r="B200" s="35">
        <v>2025</v>
      </c>
      <c r="C200" s="173">
        <f>'2025 Ιανουάριος'!D126</f>
        <v>0</v>
      </c>
      <c r="D200" s="36">
        <f t="shared" si="76"/>
        <v>0</v>
      </c>
      <c r="E200" s="173">
        <f>'2025 Φεβρουάριος'!D126</f>
        <v>0</v>
      </c>
      <c r="F200" s="36">
        <f t="shared" si="77"/>
        <v>0</v>
      </c>
      <c r="G200" s="173">
        <f>'2025 Μάρτιος'!D126</f>
        <v>0</v>
      </c>
      <c r="H200" s="36">
        <f t="shared" si="78"/>
        <v>0</v>
      </c>
      <c r="I200" s="173">
        <f>'2025 Απρίλιος'!D126</f>
        <v>0</v>
      </c>
      <c r="J200" s="36">
        <f t="shared" si="79"/>
        <v>0</v>
      </c>
      <c r="K200" s="173">
        <f>'2025 Μάιος'!D126</f>
        <v>0</v>
      </c>
      <c r="L200" s="36">
        <f t="shared" si="80"/>
        <v>0</v>
      </c>
      <c r="M200" s="173">
        <f>'2025 Ιούνιος'!D126</f>
        <v>0</v>
      </c>
      <c r="N200" s="36">
        <f t="shared" si="81"/>
        <v>0</v>
      </c>
      <c r="O200" s="173">
        <f>'2025 Ιούλιος'!D126</f>
        <v>0</v>
      </c>
      <c r="P200" s="36">
        <f t="shared" si="82"/>
        <v>0</v>
      </c>
      <c r="Q200" s="173">
        <f>'2025 Aύγουστος'!D126</f>
        <v>0</v>
      </c>
      <c r="R200" s="36">
        <f t="shared" si="83"/>
        <v>0</v>
      </c>
      <c r="S200" s="173">
        <f>'2025 Σεπτέμβριος'!D126</f>
        <v>0</v>
      </c>
      <c r="T200" s="36">
        <f t="shared" si="84"/>
        <v>0</v>
      </c>
      <c r="U200" s="173">
        <f>'2025 Οκτώβριος'!D126</f>
        <v>0</v>
      </c>
      <c r="V200" s="36">
        <f t="shared" si="85"/>
        <v>0</v>
      </c>
      <c r="W200" s="173">
        <f>'2025 Νοέμβριος'!D126</f>
        <v>0</v>
      </c>
      <c r="X200" s="36">
        <f t="shared" si="86"/>
        <v>0</v>
      </c>
      <c r="Y200" s="173">
        <f>'2025 Δεκέμβριος'!D126</f>
        <v>0</v>
      </c>
      <c r="Z200" s="36">
        <f t="shared" si="87"/>
        <v>0</v>
      </c>
      <c r="AA200" s="36">
        <f t="shared" si="88"/>
        <v>0</v>
      </c>
    </row>
    <row r="201" spans="1:27" x14ac:dyDescent="0.25">
      <c r="A201" s="44" t="str">
        <f>'2025 Ιανουάριος'!C127</f>
        <v xml:space="preserve">Κοινόχρηστες Δαπάνες Έδρας </v>
      </c>
      <c r="B201" s="35">
        <v>2025</v>
      </c>
      <c r="C201" s="173">
        <f>'2025 Ιανουάριος'!D127</f>
        <v>38</v>
      </c>
      <c r="D201" s="36">
        <f t="shared" si="76"/>
        <v>38</v>
      </c>
      <c r="E201" s="173">
        <f>'2025 Φεβρουάριος'!D127</f>
        <v>33</v>
      </c>
      <c r="F201" s="36">
        <f t="shared" si="77"/>
        <v>71</v>
      </c>
      <c r="G201" s="173">
        <f>'2025 Μάρτιος'!D127</f>
        <v>30.8</v>
      </c>
      <c r="H201" s="36">
        <f t="shared" si="78"/>
        <v>101.8</v>
      </c>
      <c r="I201" s="173">
        <f>'2025 Απρίλιος'!D127</f>
        <v>39.700000000000003</v>
      </c>
      <c r="J201" s="36">
        <f t="shared" si="79"/>
        <v>141.5</v>
      </c>
      <c r="K201" s="173">
        <f>'2025 Μάιος'!D127</f>
        <v>31</v>
      </c>
      <c r="L201" s="36">
        <f t="shared" si="80"/>
        <v>172.5</v>
      </c>
      <c r="M201" s="173">
        <f>'2025 Ιούνιος'!D127</f>
        <v>0</v>
      </c>
      <c r="N201" s="36">
        <f t="shared" si="81"/>
        <v>172.5</v>
      </c>
      <c r="O201" s="173">
        <f>'2025 Ιούλιος'!D127</f>
        <v>0</v>
      </c>
      <c r="P201" s="36">
        <f t="shared" si="82"/>
        <v>172.5</v>
      </c>
      <c r="Q201" s="173">
        <f>'2025 Aύγουστος'!D127</f>
        <v>0</v>
      </c>
      <c r="R201" s="36">
        <f t="shared" si="83"/>
        <v>172.5</v>
      </c>
      <c r="S201" s="173">
        <f>'2025 Σεπτέμβριος'!D127</f>
        <v>0</v>
      </c>
      <c r="T201" s="36">
        <f t="shared" si="84"/>
        <v>172.5</v>
      </c>
      <c r="U201" s="173">
        <f>'2025 Οκτώβριος'!D127</f>
        <v>0</v>
      </c>
      <c r="V201" s="36">
        <f t="shared" si="85"/>
        <v>172.5</v>
      </c>
      <c r="W201" s="173">
        <f>'2025 Νοέμβριος'!D127</f>
        <v>0</v>
      </c>
      <c r="X201" s="36">
        <f t="shared" si="86"/>
        <v>172.5</v>
      </c>
      <c r="Y201" s="173">
        <f>'2025 Δεκέμβριος'!D127</f>
        <v>0</v>
      </c>
      <c r="Z201" s="36">
        <f t="shared" si="87"/>
        <v>172.5</v>
      </c>
      <c r="AA201" s="36">
        <f t="shared" si="88"/>
        <v>172.5</v>
      </c>
    </row>
    <row r="202" spans="1:27" x14ac:dyDescent="0.25">
      <c r="A202" s="44" t="str">
        <f>'2025 Ιανουάριος'!C128</f>
        <v xml:space="preserve">Κοινόχρηστες Δαπάνες Αποθήκης Α </v>
      </c>
      <c r="B202" s="35">
        <v>2025</v>
      </c>
      <c r="C202" s="173">
        <f>'2025 Ιανουάριος'!D128</f>
        <v>70.83</v>
      </c>
      <c r="D202" s="36">
        <f t="shared" si="76"/>
        <v>70.83</v>
      </c>
      <c r="E202" s="173">
        <f>'2025 Φεβρουάριος'!D128</f>
        <v>211.24</v>
      </c>
      <c r="F202" s="36">
        <f t="shared" si="77"/>
        <v>282.07</v>
      </c>
      <c r="G202" s="173">
        <f>'2025 Μάρτιος'!D128</f>
        <v>151.55000000000001</v>
      </c>
      <c r="H202" s="36">
        <f t="shared" si="78"/>
        <v>433.62</v>
      </c>
      <c r="I202" s="173">
        <f>'2025 Απρίλιος'!D128</f>
        <v>178.54</v>
      </c>
      <c r="J202" s="36">
        <f t="shared" si="79"/>
        <v>612.16</v>
      </c>
      <c r="K202" s="173">
        <f>'2025 Μάιος'!D128</f>
        <v>139.47999999999999</v>
      </c>
      <c r="L202" s="36">
        <f t="shared" si="80"/>
        <v>751.64</v>
      </c>
      <c r="M202" s="173">
        <f>'2025 Ιούνιος'!D128</f>
        <v>0</v>
      </c>
      <c r="N202" s="36">
        <f t="shared" si="81"/>
        <v>751.64</v>
      </c>
      <c r="O202" s="173">
        <f>'2025 Ιούλιος'!D128</f>
        <v>0</v>
      </c>
      <c r="P202" s="36">
        <f t="shared" si="82"/>
        <v>751.64</v>
      </c>
      <c r="Q202" s="173">
        <f>'2025 Aύγουστος'!D128</f>
        <v>0</v>
      </c>
      <c r="R202" s="36">
        <f t="shared" si="83"/>
        <v>751.64</v>
      </c>
      <c r="S202" s="173">
        <f>'2025 Σεπτέμβριος'!D128</f>
        <v>0</v>
      </c>
      <c r="T202" s="36">
        <f t="shared" si="84"/>
        <v>751.64</v>
      </c>
      <c r="U202" s="173">
        <f>'2025 Οκτώβριος'!D128</f>
        <v>0</v>
      </c>
      <c r="V202" s="36">
        <f t="shared" si="85"/>
        <v>751.64</v>
      </c>
      <c r="W202" s="173">
        <f>'2025 Νοέμβριος'!D128</f>
        <v>0</v>
      </c>
      <c r="X202" s="36">
        <f t="shared" si="86"/>
        <v>751.64</v>
      </c>
      <c r="Y202" s="173">
        <f>'2025 Δεκέμβριος'!D128</f>
        <v>0</v>
      </c>
      <c r="Z202" s="36">
        <f t="shared" si="87"/>
        <v>751.64</v>
      </c>
      <c r="AA202" s="36">
        <f t="shared" si="88"/>
        <v>751.64</v>
      </c>
    </row>
    <row r="203" spans="1:27" x14ac:dyDescent="0.25">
      <c r="A203" s="44" t="str">
        <f>'2025 Ιανουάριος'!C129</f>
        <v xml:space="preserve">Κοινόχρηστες Δαπάνες Αποθήκης Β </v>
      </c>
      <c r="B203" s="35">
        <v>2025</v>
      </c>
      <c r="C203" s="173">
        <f>'2025 Ιανουάριος'!D129</f>
        <v>6.55</v>
      </c>
      <c r="D203" s="36">
        <f t="shared" si="76"/>
        <v>6.55</v>
      </c>
      <c r="E203" s="173">
        <f>'2025 Φεβρουάριος'!D129</f>
        <v>29.27</v>
      </c>
      <c r="F203" s="36">
        <f t="shared" si="77"/>
        <v>35.82</v>
      </c>
      <c r="G203" s="173">
        <f>'2025 Μάρτιος'!D129</f>
        <v>14.17</v>
      </c>
      <c r="H203" s="36">
        <f t="shared" si="78"/>
        <v>49.99</v>
      </c>
      <c r="I203" s="173">
        <f>'2025 Απρίλιος'!D129</f>
        <v>22.79</v>
      </c>
      <c r="J203" s="36">
        <f t="shared" si="79"/>
        <v>72.78</v>
      </c>
      <c r="K203" s="173">
        <f>'2025 Μάιος'!D129</f>
        <v>15.9</v>
      </c>
      <c r="L203" s="36">
        <f t="shared" si="80"/>
        <v>88.68</v>
      </c>
      <c r="M203" s="173">
        <f>'2025 Ιούνιος'!D129</f>
        <v>0</v>
      </c>
      <c r="N203" s="36">
        <f t="shared" si="81"/>
        <v>88.68</v>
      </c>
      <c r="O203" s="173">
        <f>'2025 Ιούλιος'!D129</f>
        <v>0</v>
      </c>
      <c r="P203" s="36">
        <f t="shared" si="82"/>
        <v>88.68</v>
      </c>
      <c r="Q203" s="173">
        <f>'2025 Aύγουστος'!D129</f>
        <v>0</v>
      </c>
      <c r="R203" s="36">
        <f t="shared" si="83"/>
        <v>88.68</v>
      </c>
      <c r="S203" s="173">
        <f>'2025 Σεπτέμβριος'!D129</f>
        <v>0</v>
      </c>
      <c r="T203" s="36">
        <f t="shared" si="84"/>
        <v>88.68</v>
      </c>
      <c r="U203" s="173">
        <f>'2025 Οκτώβριος'!D129</f>
        <v>0</v>
      </c>
      <c r="V203" s="36">
        <f t="shared" si="85"/>
        <v>88.68</v>
      </c>
      <c r="W203" s="173">
        <f>'2025 Νοέμβριος'!D129</f>
        <v>0</v>
      </c>
      <c r="X203" s="36">
        <f t="shared" si="86"/>
        <v>88.68</v>
      </c>
      <c r="Y203" s="173">
        <f>'2025 Δεκέμβριος'!D129</f>
        <v>0</v>
      </c>
      <c r="Z203" s="36">
        <f t="shared" si="87"/>
        <v>88.68</v>
      </c>
      <c r="AA203" s="36">
        <f t="shared" si="88"/>
        <v>88.68</v>
      </c>
    </row>
    <row r="204" spans="1:27" x14ac:dyDescent="0.25">
      <c r="A204" s="44" t="str">
        <f>'2025 Ιανουάριος'!C130</f>
        <v>Κοινόχρηστες Δαπάνες Αριστοφάνους 1</v>
      </c>
      <c r="B204" s="35">
        <v>2025</v>
      </c>
      <c r="C204" s="173">
        <f>'2025 Ιανουάριος'!D130</f>
        <v>3.86</v>
      </c>
      <c r="D204" s="36">
        <f t="shared" si="76"/>
        <v>3.86</v>
      </c>
      <c r="E204" s="173">
        <f>'2025 Φεβρουάριος'!D130</f>
        <v>6.42</v>
      </c>
      <c r="F204" s="36">
        <f t="shared" si="77"/>
        <v>10.28</v>
      </c>
      <c r="G204" s="173">
        <f>'2025 Μάρτιος'!D130</f>
        <v>11.08</v>
      </c>
      <c r="H204" s="36">
        <f t="shared" si="78"/>
        <v>21.36</v>
      </c>
      <c r="I204" s="173">
        <f>'2025 Απρίλιος'!D130</f>
        <v>11.49</v>
      </c>
      <c r="J204" s="36">
        <f t="shared" si="79"/>
        <v>32.85</v>
      </c>
      <c r="K204" s="173">
        <f>'2025 Μάιος'!D130</f>
        <v>13.46</v>
      </c>
      <c r="L204" s="36">
        <f t="shared" si="80"/>
        <v>46.31</v>
      </c>
      <c r="M204" s="173">
        <f>'2025 Ιούνιος'!D130</f>
        <v>0</v>
      </c>
      <c r="N204" s="36">
        <f t="shared" si="81"/>
        <v>46.31</v>
      </c>
      <c r="O204" s="173">
        <f>'2025 Ιούλιος'!D130</f>
        <v>0</v>
      </c>
      <c r="P204" s="36">
        <f t="shared" si="82"/>
        <v>46.31</v>
      </c>
      <c r="Q204" s="173">
        <f>'2025 Aύγουστος'!D130</f>
        <v>0</v>
      </c>
      <c r="R204" s="36">
        <f t="shared" si="83"/>
        <v>46.31</v>
      </c>
      <c r="S204" s="173">
        <f>'2025 Σεπτέμβριος'!D130</f>
        <v>0</v>
      </c>
      <c r="T204" s="36">
        <f t="shared" si="84"/>
        <v>46.31</v>
      </c>
      <c r="U204" s="173">
        <f>'2025 Οκτώβριος'!D130</f>
        <v>0</v>
      </c>
      <c r="V204" s="36">
        <f t="shared" si="85"/>
        <v>46.31</v>
      </c>
      <c r="W204" s="173">
        <f>'2025 Νοέμβριος'!D130</f>
        <v>0</v>
      </c>
      <c r="X204" s="36">
        <f t="shared" si="86"/>
        <v>46.31</v>
      </c>
      <c r="Y204" s="173">
        <f>'2025 Δεκέμβριος'!D130</f>
        <v>0</v>
      </c>
      <c r="Z204" s="36">
        <f t="shared" si="87"/>
        <v>46.31</v>
      </c>
      <c r="AA204" s="36">
        <f t="shared" si="88"/>
        <v>46.31</v>
      </c>
    </row>
    <row r="205" spans="1:27" x14ac:dyDescent="0.25">
      <c r="A205" s="44" t="str">
        <f>'2025 Ιανουάριος'!C131</f>
        <v xml:space="preserve">Ενέργεια  Έδρας </v>
      </c>
      <c r="B205" s="35">
        <v>2025</v>
      </c>
      <c r="C205" s="173">
        <f>'2025 Ιανουάριος'!D131</f>
        <v>0</v>
      </c>
      <c r="D205" s="36">
        <f t="shared" si="76"/>
        <v>0</v>
      </c>
      <c r="E205" s="173">
        <f>'2025 Φεβρουάριος'!D131</f>
        <v>22.48</v>
      </c>
      <c r="F205" s="36">
        <f t="shared" si="77"/>
        <v>22.48</v>
      </c>
      <c r="G205" s="173">
        <f>'2025 Μάρτιος'!D131</f>
        <v>13.02</v>
      </c>
      <c r="H205" s="36">
        <f t="shared" si="78"/>
        <v>35.5</v>
      </c>
      <c r="I205" s="173">
        <f>'2025 Απρίλιος'!D131</f>
        <v>14.13</v>
      </c>
      <c r="J205" s="36">
        <f t="shared" si="79"/>
        <v>49.63</v>
      </c>
      <c r="K205" s="173">
        <f>'2025 Μάιος'!D131</f>
        <v>12.74</v>
      </c>
      <c r="L205" s="36">
        <f t="shared" si="80"/>
        <v>62.370000000000005</v>
      </c>
      <c r="M205" s="173">
        <f>'2025 Ιούνιος'!D131</f>
        <v>0</v>
      </c>
      <c r="N205" s="36">
        <f t="shared" si="81"/>
        <v>62.370000000000005</v>
      </c>
      <c r="O205" s="173">
        <f>'2025 Ιούλιος'!D131</f>
        <v>0</v>
      </c>
      <c r="P205" s="36">
        <f t="shared" si="82"/>
        <v>62.370000000000005</v>
      </c>
      <c r="Q205" s="173">
        <f>'2025 Aύγουστος'!D131</f>
        <v>0</v>
      </c>
      <c r="R205" s="36">
        <f t="shared" si="83"/>
        <v>62.370000000000005</v>
      </c>
      <c r="S205" s="173">
        <f>'2025 Σεπτέμβριος'!D131</f>
        <v>0</v>
      </c>
      <c r="T205" s="36">
        <f t="shared" si="84"/>
        <v>62.370000000000005</v>
      </c>
      <c r="U205" s="173">
        <f>'2025 Οκτώβριος'!D131</f>
        <v>0</v>
      </c>
      <c r="V205" s="36">
        <f t="shared" si="85"/>
        <v>62.370000000000005</v>
      </c>
      <c r="W205" s="173">
        <f>'2025 Νοέμβριος'!D131</f>
        <v>0</v>
      </c>
      <c r="X205" s="36">
        <f t="shared" si="86"/>
        <v>62.370000000000005</v>
      </c>
      <c r="Y205" s="173">
        <f>'2025 Δεκέμβριος'!D131</f>
        <v>0</v>
      </c>
      <c r="Z205" s="36">
        <f t="shared" si="87"/>
        <v>62.370000000000005</v>
      </c>
      <c r="AA205" s="36">
        <f t="shared" si="88"/>
        <v>62.370000000000005</v>
      </c>
    </row>
    <row r="206" spans="1:27" x14ac:dyDescent="0.25">
      <c r="A206" s="44" t="str">
        <f>'2025 Ιανουάριος'!C132</f>
        <v xml:space="preserve">Ενέργεια Αποθήκης Α </v>
      </c>
      <c r="B206" s="35">
        <v>2025</v>
      </c>
      <c r="C206" s="173">
        <f>'2025 Ιανουάριος'!D132</f>
        <v>232.19</v>
      </c>
      <c r="D206" s="36">
        <f t="shared" si="76"/>
        <v>232.19</v>
      </c>
      <c r="E206" s="173">
        <f>'2025 Φεβρουάριος'!D132</f>
        <v>297.5</v>
      </c>
      <c r="F206" s="36">
        <f t="shared" si="77"/>
        <v>529.69000000000005</v>
      </c>
      <c r="G206" s="173">
        <f>'2025 Μάρτιος'!D132</f>
        <v>300.63</v>
      </c>
      <c r="H206" s="36">
        <f t="shared" si="78"/>
        <v>830.32</v>
      </c>
      <c r="I206" s="173">
        <f>'2025 Απρίλιος'!D132</f>
        <v>306.85000000000002</v>
      </c>
      <c r="J206" s="36">
        <f t="shared" si="79"/>
        <v>1137.17</v>
      </c>
      <c r="K206" s="173">
        <f>'2025 Μάιος'!D132</f>
        <v>345.63</v>
      </c>
      <c r="L206" s="36">
        <f t="shared" si="80"/>
        <v>1482.8000000000002</v>
      </c>
      <c r="M206" s="173">
        <f>'2025 Ιούνιος'!D132</f>
        <v>0</v>
      </c>
      <c r="N206" s="36">
        <f t="shared" si="81"/>
        <v>1482.8000000000002</v>
      </c>
      <c r="O206" s="173">
        <f>'2025 Ιούλιος'!D132</f>
        <v>0</v>
      </c>
      <c r="P206" s="36">
        <f t="shared" si="82"/>
        <v>1482.8000000000002</v>
      </c>
      <c r="Q206" s="173">
        <f>'2025 Aύγουστος'!D132</f>
        <v>0</v>
      </c>
      <c r="R206" s="36">
        <f t="shared" si="83"/>
        <v>1482.8000000000002</v>
      </c>
      <c r="S206" s="173">
        <f>'2025 Σεπτέμβριος'!D132</f>
        <v>0</v>
      </c>
      <c r="T206" s="36">
        <f t="shared" si="84"/>
        <v>1482.8000000000002</v>
      </c>
      <c r="U206" s="173">
        <f>'2025 Οκτώβριος'!D132</f>
        <v>0</v>
      </c>
      <c r="V206" s="36">
        <f t="shared" si="85"/>
        <v>1482.8000000000002</v>
      </c>
      <c r="W206" s="173">
        <f>'2025 Νοέμβριος'!D132</f>
        <v>0</v>
      </c>
      <c r="X206" s="36">
        <f t="shared" si="86"/>
        <v>1482.8000000000002</v>
      </c>
      <c r="Y206" s="173">
        <f>'2025 Δεκέμβριος'!D132</f>
        <v>0</v>
      </c>
      <c r="Z206" s="36">
        <f t="shared" si="87"/>
        <v>1482.8000000000002</v>
      </c>
      <c r="AA206" s="36">
        <f t="shared" si="88"/>
        <v>1482.8000000000002</v>
      </c>
    </row>
    <row r="207" spans="1:27" x14ac:dyDescent="0.25">
      <c r="A207" s="44">
        <f>'2025 Ιανουάριος'!C133</f>
        <v>0</v>
      </c>
      <c r="B207" s="35">
        <v>2025</v>
      </c>
      <c r="C207" s="173">
        <f>'2025 Ιανουάριος'!D133</f>
        <v>0</v>
      </c>
      <c r="D207" s="36">
        <f t="shared" si="76"/>
        <v>0</v>
      </c>
      <c r="E207" s="173">
        <f>'2025 Φεβρουάριος'!D133</f>
        <v>8.0500000000000007</v>
      </c>
      <c r="F207" s="36">
        <f t="shared" si="77"/>
        <v>8.0500000000000007</v>
      </c>
      <c r="G207" s="173">
        <f>'2025 Μάρτιος'!D133</f>
        <v>4.08</v>
      </c>
      <c r="H207" s="36">
        <f t="shared" si="78"/>
        <v>12.13</v>
      </c>
      <c r="I207" s="173">
        <f>'2025 Απρίλιος'!D133</f>
        <v>0</v>
      </c>
      <c r="J207" s="36">
        <f t="shared" si="79"/>
        <v>12.13</v>
      </c>
      <c r="K207" s="173">
        <f>'2025 Μάιος'!D133</f>
        <v>13.49</v>
      </c>
      <c r="L207" s="36">
        <f t="shared" si="80"/>
        <v>25.62</v>
      </c>
      <c r="M207" s="173">
        <f>'2025 Ιούνιος'!D133</f>
        <v>0</v>
      </c>
      <c r="N207" s="36">
        <f t="shared" si="81"/>
        <v>25.62</v>
      </c>
      <c r="O207" s="173">
        <f>'2025 Ιούλιος'!D133</f>
        <v>0</v>
      </c>
      <c r="P207" s="36">
        <f t="shared" si="82"/>
        <v>25.62</v>
      </c>
      <c r="Q207" s="173">
        <f>'2025 Aύγουστος'!D133</f>
        <v>0</v>
      </c>
      <c r="R207" s="36">
        <f t="shared" si="83"/>
        <v>25.62</v>
      </c>
      <c r="S207" s="173">
        <f>'2025 Σεπτέμβριος'!D133</f>
        <v>0</v>
      </c>
      <c r="T207" s="36">
        <f t="shared" si="84"/>
        <v>25.62</v>
      </c>
      <c r="U207" s="173">
        <f>'2025 Οκτώβριος'!D133</f>
        <v>0</v>
      </c>
      <c r="V207" s="36">
        <f t="shared" si="85"/>
        <v>25.62</v>
      </c>
      <c r="W207" s="173">
        <f>'2025 Νοέμβριος'!D133</f>
        <v>0</v>
      </c>
      <c r="X207" s="36">
        <f t="shared" si="86"/>
        <v>25.62</v>
      </c>
      <c r="Y207" s="173">
        <f>'2025 Δεκέμβριος'!D133</f>
        <v>0</v>
      </c>
      <c r="Z207" s="36">
        <f t="shared" si="87"/>
        <v>25.62</v>
      </c>
      <c r="AA207" s="36">
        <f t="shared" si="88"/>
        <v>25.62</v>
      </c>
    </row>
    <row r="208" spans="1:27" x14ac:dyDescent="0.25">
      <c r="A208" s="44" t="str">
        <f>'2025 Ιανουάριος'!C134</f>
        <v>Ενέργεια Αποθήκης Β (OPERATION)</v>
      </c>
      <c r="B208" s="35">
        <v>2025</v>
      </c>
      <c r="C208" s="173">
        <f>'2025 Ιανουάριος'!D134</f>
        <v>224.75</v>
      </c>
      <c r="D208" s="36">
        <f t="shared" si="76"/>
        <v>224.75</v>
      </c>
      <c r="E208" s="173">
        <f>'2025 Φεβρουάριος'!D134</f>
        <v>0</v>
      </c>
      <c r="F208" s="36">
        <f t="shared" si="77"/>
        <v>224.75</v>
      </c>
      <c r="G208" s="173">
        <f>'2025 Μάρτιος'!D134</f>
        <v>0</v>
      </c>
      <c r="H208" s="36">
        <f t="shared" si="78"/>
        <v>224.75</v>
      </c>
      <c r="I208" s="173">
        <f>'2025 Απρίλιος'!D134</f>
        <v>74.5</v>
      </c>
      <c r="J208" s="36">
        <f t="shared" si="79"/>
        <v>299.25</v>
      </c>
      <c r="K208" s="173">
        <f>'2025 Μάιος'!D134</f>
        <v>0</v>
      </c>
      <c r="L208" s="36">
        <f t="shared" si="80"/>
        <v>299.25</v>
      </c>
      <c r="M208" s="173">
        <f>'2025 Ιούνιος'!D134</f>
        <v>0</v>
      </c>
      <c r="N208" s="36">
        <f t="shared" si="81"/>
        <v>299.25</v>
      </c>
      <c r="O208" s="173">
        <f>'2025 Ιούλιος'!D134</f>
        <v>0</v>
      </c>
      <c r="P208" s="36">
        <f t="shared" si="82"/>
        <v>299.25</v>
      </c>
      <c r="Q208" s="173">
        <f>'2025 Aύγουστος'!D134</f>
        <v>0</v>
      </c>
      <c r="R208" s="36">
        <f t="shared" si="83"/>
        <v>299.25</v>
      </c>
      <c r="S208" s="173">
        <f>'2025 Σεπτέμβριος'!D134</f>
        <v>0</v>
      </c>
      <c r="T208" s="36">
        <f t="shared" si="84"/>
        <v>299.25</v>
      </c>
      <c r="U208" s="173">
        <f>'2025 Οκτώβριος'!D134</f>
        <v>0</v>
      </c>
      <c r="V208" s="36">
        <f t="shared" si="85"/>
        <v>299.25</v>
      </c>
      <c r="W208" s="173">
        <f>'2025 Νοέμβριος'!D134</f>
        <v>0</v>
      </c>
      <c r="X208" s="36">
        <f t="shared" si="86"/>
        <v>299.25</v>
      </c>
      <c r="Y208" s="173">
        <f>'2025 Δεκέμβριος'!D134</f>
        <v>0</v>
      </c>
      <c r="Z208" s="36">
        <f t="shared" si="87"/>
        <v>299.25</v>
      </c>
      <c r="AA208" s="36">
        <f t="shared" si="88"/>
        <v>299.25</v>
      </c>
    </row>
    <row r="209" spans="1:27" x14ac:dyDescent="0.25">
      <c r="A209" s="44" t="str">
        <f>'2025 Ιανουάριος'!C135</f>
        <v>Ενέργεια Αριστοφάνους 1</v>
      </c>
      <c r="B209" s="35">
        <v>2025</v>
      </c>
      <c r="C209" s="173">
        <f>'2025 Ιανουάριος'!D135</f>
        <v>0</v>
      </c>
      <c r="D209" s="36">
        <f t="shared" si="76"/>
        <v>0</v>
      </c>
      <c r="E209" s="173">
        <f>'2025 Φεβρουάριος'!D135</f>
        <v>0</v>
      </c>
      <c r="F209" s="36">
        <f t="shared" si="77"/>
        <v>0</v>
      </c>
      <c r="G209" s="173">
        <f>'2025 Μάρτιος'!D135</f>
        <v>0</v>
      </c>
      <c r="H209" s="36">
        <f t="shared" si="78"/>
        <v>0</v>
      </c>
      <c r="I209" s="173">
        <f>'2025 Απρίλιος'!D135</f>
        <v>0</v>
      </c>
      <c r="J209" s="36">
        <f t="shared" si="79"/>
        <v>0</v>
      </c>
      <c r="K209" s="173">
        <f>'2025 Μάιος'!D135</f>
        <v>0</v>
      </c>
      <c r="L209" s="36">
        <f t="shared" si="80"/>
        <v>0</v>
      </c>
      <c r="M209" s="173">
        <f>'2025 Ιούνιος'!D135</f>
        <v>0</v>
      </c>
      <c r="N209" s="36">
        <f t="shared" si="81"/>
        <v>0</v>
      </c>
      <c r="O209" s="173">
        <f>'2025 Ιούλιος'!D135</f>
        <v>0</v>
      </c>
      <c r="P209" s="36">
        <f t="shared" si="82"/>
        <v>0</v>
      </c>
      <c r="Q209" s="173">
        <f>'2025 Aύγουστος'!D135</f>
        <v>0</v>
      </c>
      <c r="R209" s="36">
        <f t="shared" si="83"/>
        <v>0</v>
      </c>
      <c r="S209" s="173">
        <f>'2025 Σεπτέμβριος'!D135</f>
        <v>0</v>
      </c>
      <c r="T209" s="36">
        <f t="shared" si="84"/>
        <v>0</v>
      </c>
      <c r="U209" s="173">
        <f>'2025 Οκτώβριος'!D135</f>
        <v>0</v>
      </c>
      <c r="V209" s="36">
        <f t="shared" si="85"/>
        <v>0</v>
      </c>
      <c r="W209" s="173">
        <f>'2025 Νοέμβριος'!D135</f>
        <v>0</v>
      </c>
      <c r="X209" s="36">
        <f t="shared" si="86"/>
        <v>0</v>
      </c>
      <c r="Y209" s="173">
        <f>'2025 Δεκέμβριος'!D135</f>
        <v>0</v>
      </c>
      <c r="Z209" s="36">
        <f t="shared" si="87"/>
        <v>0</v>
      </c>
      <c r="AA209" s="36">
        <f t="shared" si="88"/>
        <v>0</v>
      </c>
    </row>
    <row r="210" spans="1:27" x14ac:dyDescent="0.25">
      <c r="A210" s="44" t="str">
        <f>'2025 Ιανουάριος'!C136</f>
        <v xml:space="preserve">Τηλεπικοινωνίες (Τηλεφωνία &amp; Διαδίκτυο) </v>
      </c>
      <c r="B210" s="35">
        <v>2025</v>
      </c>
      <c r="C210" s="173">
        <f>'2025 Ιανουάριος'!D136</f>
        <v>0</v>
      </c>
      <c r="D210" s="36">
        <f t="shared" si="76"/>
        <v>0</v>
      </c>
      <c r="E210" s="173">
        <f>'2025 Φεβρουάριος'!D136</f>
        <v>0</v>
      </c>
      <c r="F210" s="36">
        <f t="shared" si="77"/>
        <v>0</v>
      </c>
      <c r="G210" s="173">
        <f>'2025 Μάρτιος'!D136</f>
        <v>0</v>
      </c>
      <c r="H210" s="36">
        <f t="shared" si="78"/>
        <v>0</v>
      </c>
      <c r="I210" s="173">
        <f>'2025 Απρίλιος'!D136</f>
        <v>0</v>
      </c>
      <c r="J210" s="36">
        <f t="shared" si="79"/>
        <v>0</v>
      </c>
      <c r="K210" s="173">
        <f>'2025 Μάιος'!D136</f>
        <v>0</v>
      </c>
      <c r="L210" s="36">
        <f t="shared" si="80"/>
        <v>0</v>
      </c>
      <c r="M210" s="173">
        <f>'2025 Ιούνιος'!D136</f>
        <v>0</v>
      </c>
      <c r="N210" s="36">
        <f t="shared" si="81"/>
        <v>0</v>
      </c>
      <c r="O210" s="173">
        <f>'2025 Ιούλιος'!D136</f>
        <v>0</v>
      </c>
      <c r="P210" s="36">
        <f t="shared" si="82"/>
        <v>0</v>
      </c>
      <c r="Q210" s="173">
        <f>'2025 Aύγουστος'!D136</f>
        <v>0</v>
      </c>
      <c r="R210" s="36">
        <f t="shared" si="83"/>
        <v>0</v>
      </c>
      <c r="S210" s="173">
        <f>'2025 Σεπτέμβριος'!D136</f>
        <v>0</v>
      </c>
      <c r="T210" s="36">
        <f t="shared" si="84"/>
        <v>0</v>
      </c>
      <c r="U210" s="173">
        <f>'2025 Οκτώβριος'!D136</f>
        <v>0</v>
      </c>
      <c r="V210" s="36">
        <f t="shared" si="85"/>
        <v>0</v>
      </c>
      <c r="W210" s="173">
        <f>'2025 Νοέμβριος'!D136</f>
        <v>0</v>
      </c>
      <c r="X210" s="36">
        <f t="shared" si="86"/>
        <v>0</v>
      </c>
      <c r="Y210" s="173">
        <f>'2025 Δεκέμβριος'!D136</f>
        <v>0</v>
      </c>
      <c r="Z210" s="36">
        <f t="shared" si="87"/>
        <v>0</v>
      </c>
      <c r="AA210" s="36">
        <f t="shared" si="88"/>
        <v>0</v>
      </c>
    </row>
    <row r="211" spans="1:27" x14ac:dyDescent="0.25">
      <c r="A211" s="44" t="str">
        <f>'2025 Ιανουάριος'!C137</f>
        <v xml:space="preserve">Υδρευση </v>
      </c>
      <c r="B211" s="35">
        <v>2025</v>
      </c>
      <c r="C211" s="173">
        <f>'2025 Ιανουάριος'!D137</f>
        <v>0</v>
      </c>
      <c r="D211" s="36">
        <f t="shared" si="76"/>
        <v>0</v>
      </c>
      <c r="E211" s="173">
        <f>'2025 Φεβρουάριος'!D137</f>
        <v>0</v>
      </c>
      <c r="F211" s="36">
        <f t="shared" si="77"/>
        <v>0</v>
      </c>
      <c r="G211" s="173">
        <f>'2025 Μάρτιος'!D137</f>
        <v>0</v>
      </c>
      <c r="H211" s="36">
        <f t="shared" si="78"/>
        <v>0</v>
      </c>
      <c r="I211" s="173">
        <f>'2025 Απρίλιος'!D137</f>
        <v>0</v>
      </c>
      <c r="J211" s="36">
        <f t="shared" si="79"/>
        <v>0</v>
      </c>
      <c r="K211" s="173">
        <f>'2025 Μάιος'!D137</f>
        <v>0</v>
      </c>
      <c r="L211" s="36">
        <f t="shared" si="80"/>
        <v>0</v>
      </c>
      <c r="M211" s="173">
        <f>'2025 Ιούνιος'!D137</f>
        <v>0</v>
      </c>
      <c r="N211" s="36">
        <f t="shared" si="81"/>
        <v>0</v>
      </c>
      <c r="O211" s="173">
        <f>'2025 Ιούλιος'!D137</f>
        <v>0</v>
      </c>
      <c r="P211" s="36">
        <f t="shared" si="82"/>
        <v>0</v>
      </c>
      <c r="Q211" s="173">
        <f>'2025 Aύγουστος'!D137</f>
        <v>0</v>
      </c>
      <c r="R211" s="36">
        <f t="shared" si="83"/>
        <v>0</v>
      </c>
      <c r="S211" s="173">
        <f>'2025 Σεπτέμβριος'!D137</f>
        <v>0</v>
      </c>
      <c r="T211" s="36">
        <f t="shared" si="84"/>
        <v>0</v>
      </c>
      <c r="U211" s="173">
        <f>'2025 Οκτώβριος'!D137</f>
        <v>0</v>
      </c>
      <c r="V211" s="36">
        <f t="shared" si="85"/>
        <v>0</v>
      </c>
      <c r="W211" s="173">
        <f>'2025 Νοέμβριος'!D137</f>
        <v>0</v>
      </c>
      <c r="X211" s="36">
        <f t="shared" si="86"/>
        <v>0</v>
      </c>
      <c r="Y211" s="173">
        <f>'2025 Δεκέμβριος'!D137</f>
        <v>0</v>
      </c>
      <c r="Z211" s="36">
        <f t="shared" si="87"/>
        <v>0</v>
      </c>
      <c r="AA211" s="36">
        <f t="shared" si="88"/>
        <v>0</v>
      </c>
    </row>
    <row r="212" spans="1:27" x14ac:dyDescent="0.25">
      <c r="A212" s="44" t="str">
        <f>'2025 Ιανουάριος'!C138</f>
        <v xml:space="preserve">Ασφάλιστρα </v>
      </c>
      <c r="B212" s="35">
        <v>2025</v>
      </c>
      <c r="C212" s="173">
        <f>'2025 Ιανουάριος'!D138</f>
        <v>120.01</v>
      </c>
      <c r="D212" s="36">
        <f t="shared" si="76"/>
        <v>120.01</v>
      </c>
      <c r="E212" s="173">
        <f>'2025 Φεβρουάριος'!D138</f>
        <v>368.53</v>
      </c>
      <c r="F212" s="36">
        <f t="shared" si="77"/>
        <v>488.53999999999996</v>
      </c>
      <c r="G212" s="173">
        <f>'2025 Μάρτιος'!D138</f>
        <v>0</v>
      </c>
      <c r="H212" s="36">
        <f t="shared" si="78"/>
        <v>488.53999999999996</v>
      </c>
      <c r="I212" s="173">
        <f>'2025 Απρίλιος'!D138</f>
        <v>0</v>
      </c>
      <c r="J212" s="36">
        <f t="shared" si="79"/>
        <v>488.53999999999996</v>
      </c>
      <c r="K212" s="173">
        <f>'2025 Μάιος'!D138</f>
        <v>598.04999999999995</v>
      </c>
      <c r="L212" s="36">
        <f t="shared" si="80"/>
        <v>1086.5899999999999</v>
      </c>
      <c r="M212" s="173">
        <f>'2025 Ιούνιος'!D138</f>
        <v>0</v>
      </c>
      <c r="N212" s="36">
        <f t="shared" si="81"/>
        <v>1086.5899999999999</v>
      </c>
      <c r="O212" s="173">
        <f>'2025 Ιούλιος'!D138</f>
        <v>0</v>
      </c>
      <c r="P212" s="36">
        <f t="shared" si="82"/>
        <v>1086.5899999999999</v>
      </c>
      <c r="Q212" s="173">
        <f>'2025 Aύγουστος'!D138</f>
        <v>0</v>
      </c>
      <c r="R212" s="36">
        <f t="shared" si="83"/>
        <v>1086.5899999999999</v>
      </c>
      <c r="S212" s="173">
        <f>'2025 Σεπτέμβριος'!D138</f>
        <v>0</v>
      </c>
      <c r="T212" s="36">
        <f t="shared" si="84"/>
        <v>1086.5899999999999</v>
      </c>
      <c r="U212" s="173">
        <f>'2025 Οκτώβριος'!D138</f>
        <v>0</v>
      </c>
      <c r="V212" s="36">
        <f t="shared" si="85"/>
        <v>1086.5899999999999</v>
      </c>
      <c r="W212" s="173">
        <f>'2025 Νοέμβριος'!D138</f>
        <v>0</v>
      </c>
      <c r="X212" s="36">
        <f t="shared" si="86"/>
        <v>1086.5899999999999</v>
      </c>
      <c r="Y212" s="173">
        <f>'2025 Δεκέμβριος'!D138</f>
        <v>0</v>
      </c>
      <c r="Z212" s="36">
        <f t="shared" si="87"/>
        <v>1086.5899999999999</v>
      </c>
      <c r="AA212" s="36">
        <f t="shared" si="88"/>
        <v>1086.5899999999999</v>
      </c>
    </row>
    <row r="213" spans="1:27" x14ac:dyDescent="0.25">
      <c r="A213" s="44" t="str">
        <f>'2025 Ιανουάριος'!C139</f>
        <v xml:space="preserve">Έντυπα και γραφική Ύλη </v>
      </c>
      <c r="B213" s="35">
        <v>2025</v>
      </c>
      <c r="C213" s="173">
        <f>'2025 Ιανουάριος'!D139</f>
        <v>950</v>
      </c>
      <c r="D213" s="36">
        <f t="shared" si="76"/>
        <v>950</v>
      </c>
      <c r="E213" s="173">
        <f>'2025 Φεβρουάριος'!D139</f>
        <v>1632.73</v>
      </c>
      <c r="F213" s="36">
        <f t="shared" si="77"/>
        <v>2582.73</v>
      </c>
      <c r="G213" s="173">
        <f>'2025 Μάρτιος'!D139</f>
        <v>950</v>
      </c>
      <c r="H213" s="36">
        <f t="shared" si="78"/>
        <v>3532.73</v>
      </c>
      <c r="I213" s="173">
        <f>'2025 Απρίλιος'!D139</f>
        <v>1210</v>
      </c>
      <c r="J213" s="36">
        <f t="shared" si="79"/>
        <v>4742.7299999999996</v>
      </c>
      <c r="K213" s="173">
        <f>'2025 Μάιος'!D139</f>
        <v>500</v>
      </c>
      <c r="L213" s="36">
        <f t="shared" si="80"/>
        <v>5242.7299999999996</v>
      </c>
      <c r="M213" s="173">
        <f>'2025 Ιούνιος'!D139</f>
        <v>0</v>
      </c>
      <c r="N213" s="36">
        <f t="shared" si="81"/>
        <v>5242.7299999999996</v>
      </c>
      <c r="O213" s="173">
        <f>'2025 Ιούλιος'!D139</f>
        <v>0</v>
      </c>
      <c r="P213" s="36">
        <f t="shared" si="82"/>
        <v>5242.7299999999996</v>
      </c>
      <c r="Q213" s="173">
        <f>'2025 Aύγουστος'!D139</f>
        <v>0</v>
      </c>
      <c r="R213" s="36">
        <f t="shared" si="83"/>
        <v>5242.7299999999996</v>
      </c>
      <c r="S213" s="173">
        <f>'2025 Σεπτέμβριος'!D139</f>
        <v>0</v>
      </c>
      <c r="T213" s="36">
        <f t="shared" si="84"/>
        <v>5242.7299999999996</v>
      </c>
      <c r="U213" s="173">
        <f>'2025 Οκτώβριος'!D139</f>
        <v>0</v>
      </c>
      <c r="V213" s="36">
        <f t="shared" si="85"/>
        <v>5242.7299999999996</v>
      </c>
      <c r="W213" s="173">
        <f>'2025 Νοέμβριος'!D139</f>
        <v>0</v>
      </c>
      <c r="X213" s="36">
        <f t="shared" si="86"/>
        <v>5242.7299999999996</v>
      </c>
      <c r="Y213" s="173">
        <f>'2025 Δεκέμβριος'!D139</f>
        <v>0</v>
      </c>
      <c r="Z213" s="36">
        <f t="shared" si="87"/>
        <v>5242.7299999999996</v>
      </c>
      <c r="AA213" s="36">
        <f t="shared" si="88"/>
        <v>5242.7299999999996</v>
      </c>
    </row>
    <row r="214" spans="1:27" x14ac:dyDescent="0.25">
      <c r="A214" s="44" t="str">
        <f>'2025 Ιανουάριος'!C140</f>
        <v xml:space="preserve">Υλικά Καθαριότητας </v>
      </c>
      <c r="B214" s="35">
        <v>2025</v>
      </c>
      <c r="C214" s="173">
        <f>'2025 Ιανουάριος'!D140</f>
        <v>957.54000000000008</v>
      </c>
      <c r="D214" s="36">
        <f t="shared" si="76"/>
        <v>957.54000000000008</v>
      </c>
      <c r="E214" s="173">
        <f>'2025 Φεβρουάριος'!D140</f>
        <v>117.04</v>
      </c>
      <c r="F214" s="36">
        <f t="shared" si="77"/>
        <v>1074.5800000000002</v>
      </c>
      <c r="G214" s="173">
        <f>'2025 Μάρτιος'!D140</f>
        <v>2570.94</v>
      </c>
      <c r="H214" s="36">
        <f t="shared" si="78"/>
        <v>3645.5200000000004</v>
      </c>
      <c r="I214" s="173">
        <f>'2025 Απρίλιος'!D140</f>
        <v>788.73</v>
      </c>
      <c r="J214" s="36">
        <f t="shared" si="79"/>
        <v>4434.25</v>
      </c>
      <c r="K214" s="173">
        <f>'2025 Μάιος'!D140</f>
        <v>166.37</v>
      </c>
      <c r="L214" s="36">
        <f t="shared" si="80"/>
        <v>4600.62</v>
      </c>
      <c r="M214" s="173">
        <f>'2025 Ιούνιος'!D140</f>
        <v>0</v>
      </c>
      <c r="N214" s="36">
        <f t="shared" si="81"/>
        <v>4600.62</v>
      </c>
      <c r="O214" s="173">
        <f>'2025 Ιούλιος'!D140</f>
        <v>0</v>
      </c>
      <c r="P214" s="36">
        <f t="shared" si="82"/>
        <v>4600.62</v>
      </c>
      <c r="Q214" s="173">
        <f>'2025 Aύγουστος'!D140</f>
        <v>0</v>
      </c>
      <c r="R214" s="36">
        <f t="shared" si="83"/>
        <v>4600.62</v>
      </c>
      <c r="S214" s="173">
        <f>'2025 Σεπτέμβριος'!D140</f>
        <v>0</v>
      </c>
      <c r="T214" s="36">
        <f t="shared" si="84"/>
        <v>4600.62</v>
      </c>
      <c r="U214" s="173">
        <f>'2025 Οκτώβριος'!D140</f>
        <v>0</v>
      </c>
      <c r="V214" s="36">
        <f t="shared" si="85"/>
        <v>4600.62</v>
      </c>
      <c r="W214" s="173">
        <f>'2025 Νοέμβριος'!D140</f>
        <v>0</v>
      </c>
      <c r="X214" s="36">
        <f t="shared" si="86"/>
        <v>4600.62</v>
      </c>
      <c r="Y214" s="173">
        <f>'2025 Δεκέμβριος'!D140</f>
        <v>0</v>
      </c>
      <c r="Z214" s="36">
        <f t="shared" si="87"/>
        <v>4600.62</v>
      </c>
      <c r="AA214" s="36">
        <f t="shared" si="88"/>
        <v>4600.62</v>
      </c>
    </row>
    <row r="215" spans="1:27" x14ac:dyDescent="0.25">
      <c r="A215" s="44" t="str">
        <f>'2025 Ιανουάριος'!C141</f>
        <v>Υλικά Φαρμακείου</v>
      </c>
      <c r="B215" s="35">
        <v>2025</v>
      </c>
      <c r="C215" s="173">
        <f>'2025 Ιανουάριος'!D141</f>
        <v>234.05</v>
      </c>
      <c r="D215" s="36">
        <f t="shared" si="76"/>
        <v>234.05</v>
      </c>
      <c r="E215" s="173">
        <f>'2025 Φεβρουάριος'!D141</f>
        <v>934.62</v>
      </c>
      <c r="F215" s="36">
        <f t="shared" si="77"/>
        <v>1168.67</v>
      </c>
      <c r="G215" s="173">
        <f>'2025 Μάρτιος'!D141</f>
        <v>627.01</v>
      </c>
      <c r="H215" s="36">
        <f t="shared" si="78"/>
        <v>1795.68</v>
      </c>
      <c r="I215" s="173">
        <f>'2025 Απρίλιος'!D141</f>
        <v>172.38</v>
      </c>
      <c r="J215" s="36">
        <f t="shared" si="79"/>
        <v>1968.06</v>
      </c>
      <c r="K215" s="173">
        <f>'2025 Μάιος'!D141</f>
        <v>82.02000000000001</v>
      </c>
      <c r="L215" s="36">
        <f t="shared" si="80"/>
        <v>2050.08</v>
      </c>
      <c r="M215" s="173">
        <f>'2025 Ιούνιος'!D141</f>
        <v>0</v>
      </c>
      <c r="N215" s="36">
        <f t="shared" si="81"/>
        <v>2050.08</v>
      </c>
      <c r="O215" s="173">
        <f>'2025 Ιούλιος'!D141</f>
        <v>0</v>
      </c>
      <c r="P215" s="36">
        <f t="shared" si="82"/>
        <v>2050.08</v>
      </c>
      <c r="Q215" s="173">
        <f>'2025 Aύγουστος'!D141</f>
        <v>0</v>
      </c>
      <c r="R215" s="36">
        <f t="shared" si="83"/>
        <v>2050.08</v>
      </c>
      <c r="S215" s="173">
        <f>'2025 Σεπτέμβριος'!D141</f>
        <v>0</v>
      </c>
      <c r="T215" s="36">
        <f t="shared" si="84"/>
        <v>2050.08</v>
      </c>
      <c r="U215" s="173">
        <f>'2025 Οκτώβριος'!D141</f>
        <v>0</v>
      </c>
      <c r="V215" s="36">
        <f t="shared" si="85"/>
        <v>2050.08</v>
      </c>
      <c r="W215" s="173">
        <f>'2025 Νοέμβριος'!D141</f>
        <v>0</v>
      </c>
      <c r="X215" s="36">
        <f t="shared" si="86"/>
        <v>2050.08</v>
      </c>
      <c r="Y215" s="173">
        <f>'2025 Δεκέμβριος'!D141</f>
        <v>0</v>
      </c>
      <c r="Z215" s="36">
        <f t="shared" si="87"/>
        <v>2050.08</v>
      </c>
      <c r="AA215" s="36">
        <f t="shared" si="88"/>
        <v>2050.08</v>
      </c>
    </row>
    <row r="216" spans="1:27" x14ac:dyDescent="0.25">
      <c r="A216" s="44" t="str">
        <f>'2025 Ιανουάριος'!C142</f>
        <v>Διάφορα αναλώσιμα</v>
      </c>
      <c r="B216" s="35">
        <v>2025</v>
      </c>
      <c r="C216" s="173">
        <f>'2025 Ιανουάριος'!D142</f>
        <v>62.44</v>
      </c>
      <c r="D216" s="36">
        <f t="shared" si="76"/>
        <v>62.44</v>
      </c>
      <c r="E216" s="173">
        <f>'2025 Φεβρουάριος'!D142</f>
        <v>82.97</v>
      </c>
      <c r="F216" s="36">
        <f t="shared" si="77"/>
        <v>145.41</v>
      </c>
      <c r="G216" s="173">
        <f>'2025 Μάρτιος'!D142</f>
        <v>68.77</v>
      </c>
      <c r="H216" s="36">
        <f t="shared" si="78"/>
        <v>214.18</v>
      </c>
      <c r="I216" s="173">
        <f>'2025 Απρίλιος'!D142</f>
        <v>65.22</v>
      </c>
      <c r="J216" s="36">
        <f t="shared" si="79"/>
        <v>279.39999999999998</v>
      </c>
      <c r="K216" s="173">
        <f>'2025 Μάιος'!D142</f>
        <v>66.349999999999994</v>
      </c>
      <c r="L216" s="36">
        <f t="shared" si="80"/>
        <v>345.75</v>
      </c>
      <c r="M216" s="173">
        <f>'2025 Ιούνιος'!D142</f>
        <v>0</v>
      </c>
      <c r="N216" s="36">
        <f t="shared" si="81"/>
        <v>345.75</v>
      </c>
      <c r="O216" s="173">
        <f>'2025 Ιούλιος'!D142</f>
        <v>0</v>
      </c>
      <c r="P216" s="36">
        <f t="shared" si="82"/>
        <v>345.75</v>
      </c>
      <c r="Q216" s="173">
        <f>'2025 Aύγουστος'!D142</f>
        <v>0</v>
      </c>
      <c r="R216" s="36">
        <f t="shared" si="83"/>
        <v>345.75</v>
      </c>
      <c r="S216" s="173">
        <f>'2025 Σεπτέμβριος'!D142</f>
        <v>0</v>
      </c>
      <c r="T216" s="36">
        <f t="shared" si="84"/>
        <v>345.75</v>
      </c>
      <c r="U216" s="173">
        <f>'2025 Οκτώβριος'!D142</f>
        <v>0</v>
      </c>
      <c r="V216" s="36">
        <f t="shared" si="85"/>
        <v>345.75</v>
      </c>
      <c r="W216" s="173">
        <f>'2025 Νοέμβριος'!D142</f>
        <v>0</v>
      </c>
      <c r="X216" s="36">
        <f t="shared" si="86"/>
        <v>345.75</v>
      </c>
      <c r="Y216" s="173">
        <f>'2025 Δεκέμβριος'!D142</f>
        <v>0</v>
      </c>
      <c r="Z216" s="36">
        <f t="shared" si="87"/>
        <v>345.75</v>
      </c>
      <c r="AA216" s="36">
        <f t="shared" si="88"/>
        <v>345.75</v>
      </c>
    </row>
    <row r="217" spans="1:27" ht="28.5" x14ac:dyDescent="0.25">
      <c r="A217" s="44" t="str">
        <f>'2025 Ιανουάριος'!C143</f>
        <v>Αμοιβές συνεργατών ( Εξωτερικοί Συνεργάτες Λογιστής - Μισθοδοσία Δικηγόρος )</v>
      </c>
      <c r="B217" s="35">
        <v>2025</v>
      </c>
      <c r="C217" s="173">
        <f>'2025 Ιανουάριος'!D143</f>
        <v>0</v>
      </c>
      <c r="D217" s="36">
        <f t="shared" si="76"/>
        <v>0</v>
      </c>
      <c r="E217" s="173">
        <f>'2025 Φεβρουάριος'!D143</f>
        <v>0</v>
      </c>
      <c r="F217" s="36">
        <f t="shared" si="77"/>
        <v>0</v>
      </c>
      <c r="G217" s="173">
        <f>'2025 Μάρτιος'!D143</f>
        <v>0</v>
      </c>
      <c r="H217" s="36">
        <f t="shared" si="78"/>
        <v>0</v>
      </c>
      <c r="I217" s="173">
        <f>'2025 Απρίλιος'!D143</f>
        <v>0</v>
      </c>
      <c r="J217" s="36">
        <f t="shared" si="79"/>
        <v>0</v>
      </c>
      <c r="K217" s="173">
        <f>'2025 Μάιος'!D143</f>
        <v>0</v>
      </c>
      <c r="L217" s="36">
        <f t="shared" si="80"/>
        <v>0</v>
      </c>
      <c r="M217" s="173">
        <f>'2025 Ιούνιος'!D143</f>
        <v>0</v>
      </c>
      <c r="N217" s="36">
        <f t="shared" si="81"/>
        <v>0</v>
      </c>
      <c r="O217" s="173">
        <f>'2025 Ιούλιος'!D143</f>
        <v>0</v>
      </c>
      <c r="P217" s="36">
        <f t="shared" si="82"/>
        <v>0</v>
      </c>
      <c r="Q217" s="173">
        <f>'2025 Aύγουστος'!D143</f>
        <v>0</v>
      </c>
      <c r="R217" s="36">
        <f t="shared" si="83"/>
        <v>0</v>
      </c>
      <c r="S217" s="173">
        <f>'2025 Σεπτέμβριος'!D143</f>
        <v>0</v>
      </c>
      <c r="T217" s="36">
        <f t="shared" si="84"/>
        <v>0</v>
      </c>
      <c r="U217" s="173">
        <f>'2025 Οκτώβριος'!D143</f>
        <v>0</v>
      </c>
      <c r="V217" s="36">
        <f t="shared" si="85"/>
        <v>0</v>
      </c>
      <c r="W217" s="173">
        <f>'2025 Νοέμβριος'!D143</f>
        <v>0</v>
      </c>
      <c r="X217" s="36">
        <f t="shared" si="86"/>
        <v>0</v>
      </c>
      <c r="Y217" s="173">
        <f>'2025 Δεκέμβριος'!D143</f>
        <v>0</v>
      </c>
      <c r="Z217" s="36">
        <f t="shared" si="87"/>
        <v>0</v>
      </c>
      <c r="AA217" s="36">
        <f t="shared" si="88"/>
        <v>0</v>
      </c>
    </row>
    <row r="218" spans="1:27" ht="28.5" x14ac:dyDescent="0.25">
      <c r="A218" s="44" t="str">
        <f>'2025 Ιανουάριος'!C144</f>
        <v>Αμοιβές Τρίτων (Αμοιβές - Συνδρομές για υποστήριξη Pylon Συναγερμός - Διατακτικές)</v>
      </c>
      <c r="B218" s="35">
        <v>2025</v>
      </c>
      <c r="C218" s="173">
        <f>'2025 Ιανουάριος'!D144</f>
        <v>0</v>
      </c>
      <c r="D218" s="36">
        <f t="shared" si="76"/>
        <v>0</v>
      </c>
      <c r="E218" s="173">
        <f>'2025 Φεβρουάριος'!D144</f>
        <v>0</v>
      </c>
      <c r="F218" s="36">
        <f t="shared" si="77"/>
        <v>0</v>
      </c>
      <c r="G218" s="173">
        <f>'2025 Μάρτιος'!D144</f>
        <v>0</v>
      </c>
      <c r="H218" s="36">
        <f t="shared" si="78"/>
        <v>0</v>
      </c>
      <c r="I218" s="173">
        <f>'2025 Απρίλιος'!D144</f>
        <v>0</v>
      </c>
      <c r="J218" s="36">
        <f t="shared" si="79"/>
        <v>0</v>
      </c>
      <c r="K218" s="173">
        <f>'2025 Μάιος'!D144</f>
        <v>0</v>
      </c>
      <c r="L218" s="36">
        <f t="shared" si="80"/>
        <v>0</v>
      </c>
      <c r="M218" s="173">
        <f>'2025 Ιούνιος'!D144</f>
        <v>0</v>
      </c>
      <c r="N218" s="36">
        <f t="shared" si="81"/>
        <v>0</v>
      </c>
      <c r="O218" s="173">
        <f>'2025 Ιούλιος'!D144</f>
        <v>0</v>
      </c>
      <c r="P218" s="36">
        <f t="shared" si="82"/>
        <v>0</v>
      </c>
      <c r="Q218" s="173">
        <f>'2025 Aύγουστος'!D144</f>
        <v>0</v>
      </c>
      <c r="R218" s="36">
        <f t="shared" si="83"/>
        <v>0</v>
      </c>
      <c r="S218" s="173">
        <f>'2025 Σεπτέμβριος'!D144</f>
        <v>0</v>
      </c>
      <c r="T218" s="36">
        <f t="shared" si="84"/>
        <v>0</v>
      </c>
      <c r="U218" s="173">
        <f>'2025 Οκτώβριος'!D144</f>
        <v>0</v>
      </c>
      <c r="V218" s="36">
        <f t="shared" si="85"/>
        <v>0</v>
      </c>
      <c r="W218" s="173">
        <f>'2025 Νοέμβριος'!D144</f>
        <v>0</v>
      </c>
      <c r="X218" s="36">
        <f t="shared" si="86"/>
        <v>0</v>
      </c>
      <c r="Y218" s="173">
        <f>'2025 Δεκέμβριος'!D144</f>
        <v>0</v>
      </c>
      <c r="Z218" s="36">
        <f t="shared" si="87"/>
        <v>0</v>
      </c>
      <c r="AA218" s="36">
        <f t="shared" si="88"/>
        <v>0</v>
      </c>
    </row>
    <row r="219" spans="1:27" x14ac:dyDescent="0.25">
      <c r="A219" s="44" t="str">
        <f>'2025 Ιανουάριος'!C145</f>
        <v>Επισκευές - Συντηρήσεις</v>
      </c>
      <c r="B219" s="35">
        <v>2025</v>
      </c>
      <c r="C219" s="173">
        <f>'2025 Ιανουάριος'!D145</f>
        <v>499.48</v>
      </c>
      <c r="D219" s="36">
        <f t="shared" si="76"/>
        <v>499.48</v>
      </c>
      <c r="E219" s="173">
        <f>'2025 Φεβρουάριος'!D145</f>
        <v>725.34</v>
      </c>
      <c r="F219" s="36">
        <f t="shared" si="77"/>
        <v>1224.8200000000002</v>
      </c>
      <c r="G219" s="173">
        <f>'2025 Μάρτιος'!D145</f>
        <v>606.23</v>
      </c>
      <c r="H219" s="36">
        <f t="shared" si="78"/>
        <v>1831.0500000000002</v>
      </c>
      <c r="I219" s="173">
        <f>'2025 Απρίλιος'!D145</f>
        <v>1130.75</v>
      </c>
      <c r="J219" s="36">
        <f t="shared" si="79"/>
        <v>2961.8</v>
      </c>
      <c r="K219" s="173">
        <f>'2025 Μάιος'!D145</f>
        <v>1175.57</v>
      </c>
      <c r="L219" s="36">
        <f t="shared" si="80"/>
        <v>4137.37</v>
      </c>
      <c r="M219" s="173">
        <f>'2025 Ιούνιος'!D145</f>
        <v>0</v>
      </c>
      <c r="N219" s="36">
        <f t="shared" si="81"/>
        <v>4137.37</v>
      </c>
      <c r="O219" s="173">
        <f>'2025 Ιούλιος'!D145</f>
        <v>0</v>
      </c>
      <c r="P219" s="36">
        <f t="shared" si="82"/>
        <v>4137.37</v>
      </c>
      <c r="Q219" s="173">
        <f>'2025 Aύγουστος'!D145</f>
        <v>0</v>
      </c>
      <c r="R219" s="36">
        <f t="shared" si="83"/>
        <v>4137.37</v>
      </c>
      <c r="S219" s="173">
        <f>'2025 Σεπτέμβριος'!D145</f>
        <v>0</v>
      </c>
      <c r="T219" s="36">
        <f t="shared" si="84"/>
        <v>4137.37</v>
      </c>
      <c r="U219" s="173">
        <f>'2025 Οκτώβριος'!D145</f>
        <v>0</v>
      </c>
      <c r="V219" s="36">
        <f t="shared" si="85"/>
        <v>4137.37</v>
      </c>
      <c r="W219" s="173">
        <f>'2025 Νοέμβριος'!D145</f>
        <v>0</v>
      </c>
      <c r="X219" s="36">
        <f t="shared" si="86"/>
        <v>4137.37</v>
      </c>
      <c r="Y219" s="173">
        <f>'2025 Δεκέμβριος'!D145</f>
        <v>0</v>
      </c>
      <c r="Z219" s="36">
        <f t="shared" si="87"/>
        <v>4137.37</v>
      </c>
      <c r="AA219" s="36">
        <f t="shared" si="88"/>
        <v>4137.37</v>
      </c>
    </row>
    <row r="220" spans="1:27" x14ac:dyDescent="0.25">
      <c r="A220" s="44" t="str">
        <f>'2025 Ιανουάριος'!C146</f>
        <v xml:space="preserve">Εξοδα μεταφορών </v>
      </c>
      <c r="B220" s="35">
        <v>2025</v>
      </c>
      <c r="C220" s="173">
        <f>'2025 Ιανουάριος'!D146</f>
        <v>0</v>
      </c>
      <c r="D220" s="36">
        <f t="shared" si="76"/>
        <v>0</v>
      </c>
      <c r="E220" s="173">
        <f>'2025 Φεβρουάριος'!D146</f>
        <v>0</v>
      </c>
      <c r="F220" s="36">
        <f t="shared" si="77"/>
        <v>0</v>
      </c>
      <c r="G220" s="173">
        <f>'2025 Μάρτιος'!D146</f>
        <v>0</v>
      </c>
      <c r="H220" s="36">
        <f t="shared" si="78"/>
        <v>0</v>
      </c>
      <c r="I220" s="173">
        <f>'2025 Απρίλιος'!D146</f>
        <v>0</v>
      </c>
      <c r="J220" s="36">
        <f t="shared" si="79"/>
        <v>0</v>
      </c>
      <c r="K220" s="173">
        <f>'2025 Μάιος'!D146</f>
        <v>0</v>
      </c>
      <c r="L220" s="36">
        <f t="shared" si="80"/>
        <v>0</v>
      </c>
      <c r="M220" s="173">
        <f>'2025 Ιούνιος'!D146</f>
        <v>0</v>
      </c>
      <c r="N220" s="36">
        <f t="shared" si="81"/>
        <v>0</v>
      </c>
      <c r="O220" s="173">
        <f>'2025 Ιούλιος'!D146</f>
        <v>0</v>
      </c>
      <c r="P220" s="36">
        <f t="shared" si="82"/>
        <v>0</v>
      </c>
      <c r="Q220" s="173">
        <f>'2025 Aύγουστος'!D146</f>
        <v>0</v>
      </c>
      <c r="R220" s="36">
        <f t="shared" si="83"/>
        <v>0</v>
      </c>
      <c r="S220" s="173">
        <f>'2025 Σεπτέμβριος'!D146</f>
        <v>0</v>
      </c>
      <c r="T220" s="36">
        <f t="shared" si="84"/>
        <v>0</v>
      </c>
      <c r="U220" s="173">
        <f>'2025 Οκτώβριος'!D146</f>
        <v>0</v>
      </c>
      <c r="V220" s="36">
        <f t="shared" si="85"/>
        <v>0</v>
      </c>
      <c r="W220" s="173">
        <f>'2025 Νοέμβριος'!D146</f>
        <v>0</v>
      </c>
      <c r="X220" s="36">
        <f t="shared" si="86"/>
        <v>0</v>
      </c>
      <c r="Y220" s="173">
        <f>'2025 Δεκέμβριος'!D146</f>
        <v>0</v>
      </c>
      <c r="Z220" s="36">
        <f t="shared" si="87"/>
        <v>0</v>
      </c>
      <c r="AA220" s="36">
        <f t="shared" si="88"/>
        <v>0</v>
      </c>
    </row>
    <row r="221" spans="1:27" x14ac:dyDescent="0.25">
      <c r="A221" s="44" t="str">
        <f>'2025 Ιανουάριος'!C147</f>
        <v xml:space="preserve">Εξοδα ταξιδίων </v>
      </c>
      <c r="B221" s="35">
        <v>2025</v>
      </c>
      <c r="C221" s="173">
        <f>'2025 Ιανουάριος'!D147</f>
        <v>613.27</v>
      </c>
      <c r="D221" s="36">
        <f t="shared" si="76"/>
        <v>613.27</v>
      </c>
      <c r="E221" s="173">
        <f>'2025 Φεβρουάριος'!D147</f>
        <v>521.88</v>
      </c>
      <c r="F221" s="36">
        <f t="shared" si="77"/>
        <v>1135.1500000000001</v>
      </c>
      <c r="G221" s="173">
        <f>'2025 Μάρτιος'!D147</f>
        <v>425.62</v>
      </c>
      <c r="H221" s="36">
        <f t="shared" si="78"/>
        <v>1560.77</v>
      </c>
      <c r="I221" s="173">
        <f>'2025 Απρίλιος'!D147</f>
        <v>766.93</v>
      </c>
      <c r="J221" s="36">
        <f t="shared" si="79"/>
        <v>2327.6999999999998</v>
      </c>
      <c r="K221" s="173">
        <f>'2025 Μάιος'!D147</f>
        <v>65.72</v>
      </c>
      <c r="L221" s="36">
        <f t="shared" si="80"/>
        <v>2393.4199999999996</v>
      </c>
      <c r="M221" s="173">
        <f>'2025 Ιούνιος'!D147</f>
        <v>0</v>
      </c>
      <c r="N221" s="36">
        <f t="shared" si="81"/>
        <v>2393.4199999999996</v>
      </c>
      <c r="O221" s="173">
        <f>'2025 Ιούλιος'!D147</f>
        <v>0</v>
      </c>
      <c r="P221" s="36">
        <f t="shared" si="82"/>
        <v>2393.4199999999996</v>
      </c>
      <c r="Q221" s="173">
        <f>'2025 Aύγουστος'!D147</f>
        <v>0</v>
      </c>
      <c r="R221" s="36">
        <f t="shared" si="83"/>
        <v>2393.4199999999996</v>
      </c>
      <c r="S221" s="173">
        <f>'2025 Σεπτέμβριος'!D147</f>
        <v>0</v>
      </c>
      <c r="T221" s="36">
        <f t="shared" si="84"/>
        <v>2393.4199999999996</v>
      </c>
      <c r="U221" s="173">
        <f>'2025 Οκτώβριος'!D147</f>
        <v>0</v>
      </c>
      <c r="V221" s="36">
        <f t="shared" si="85"/>
        <v>2393.4199999999996</v>
      </c>
      <c r="W221" s="173">
        <f>'2025 Νοέμβριος'!D147</f>
        <v>0</v>
      </c>
      <c r="X221" s="36">
        <f t="shared" si="86"/>
        <v>2393.4199999999996</v>
      </c>
      <c r="Y221" s="173">
        <f>'2025 Δεκέμβριος'!D147</f>
        <v>0</v>
      </c>
      <c r="Z221" s="36">
        <f t="shared" si="87"/>
        <v>2393.4199999999996</v>
      </c>
      <c r="AA221" s="36">
        <f t="shared" si="88"/>
        <v>2393.4199999999996</v>
      </c>
    </row>
    <row r="222" spans="1:27" x14ac:dyDescent="0.25">
      <c r="A222" s="44" t="str">
        <f>'2025 Ιανουάριος'!C148</f>
        <v xml:space="preserve">Υλικά άμεσης ανάλωσης </v>
      </c>
      <c r="B222" s="35">
        <v>2025</v>
      </c>
      <c r="C222" s="173">
        <f>'2025 Ιανουάριος'!D148</f>
        <v>0</v>
      </c>
      <c r="D222" s="36">
        <f t="shared" si="76"/>
        <v>0</v>
      </c>
      <c r="E222" s="173">
        <f>'2025 Φεβρουάριος'!D148</f>
        <v>0</v>
      </c>
      <c r="F222" s="36">
        <f t="shared" si="77"/>
        <v>0</v>
      </c>
      <c r="G222" s="173">
        <f>'2025 Μάρτιος'!D148</f>
        <v>0</v>
      </c>
      <c r="H222" s="36">
        <f t="shared" si="78"/>
        <v>0</v>
      </c>
      <c r="I222" s="173">
        <f>'2025 Απρίλιος'!D148</f>
        <v>0</v>
      </c>
      <c r="J222" s="36">
        <f t="shared" si="79"/>
        <v>0</v>
      </c>
      <c r="K222" s="173">
        <f>'2025 Μάιος'!D148</f>
        <v>0</v>
      </c>
      <c r="L222" s="36">
        <f t="shared" si="80"/>
        <v>0</v>
      </c>
      <c r="M222" s="173">
        <f>'2025 Ιούνιος'!D148</f>
        <v>0</v>
      </c>
      <c r="N222" s="36">
        <f t="shared" si="81"/>
        <v>0</v>
      </c>
      <c r="O222" s="173">
        <f>'2025 Ιούλιος'!D148</f>
        <v>0</v>
      </c>
      <c r="P222" s="36">
        <f t="shared" si="82"/>
        <v>0</v>
      </c>
      <c r="Q222" s="173">
        <f>'2025 Aύγουστος'!D148</f>
        <v>0</v>
      </c>
      <c r="R222" s="36">
        <f t="shared" si="83"/>
        <v>0</v>
      </c>
      <c r="S222" s="173">
        <f>'2025 Σεπτέμβριος'!D148</f>
        <v>0</v>
      </c>
      <c r="T222" s="36">
        <f t="shared" si="84"/>
        <v>0</v>
      </c>
      <c r="U222" s="173">
        <f>'2025 Οκτώβριος'!D148</f>
        <v>0</v>
      </c>
      <c r="V222" s="36">
        <f t="shared" si="85"/>
        <v>0</v>
      </c>
      <c r="W222" s="173">
        <f>'2025 Νοέμβριος'!D148</f>
        <v>0</v>
      </c>
      <c r="X222" s="36">
        <f t="shared" si="86"/>
        <v>0</v>
      </c>
      <c r="Y222" s="173">
        <f>'2025 Δεκέμβριος'!D148</f>
        <v>0</v>
      </c>
      <c r="Z222" s="36">
        <f t="shared" si="87"/>
        <v>0</v>
      </c>
      <c r="AA222" s="36">
        <f t="shared" si="88"/>
        <v>0</v>
      </c>
    </row>
    <row r="223" spans="1:27" x14ac:dyDescent="0.25">
      <c r="A223" s="44" t="str">
        <f>'2025 Ιανουάριος'!C149</f>
        <v xml:space="preserve">Φόροι και τέλη </v>
      </c>
      <c r="B223" s="35">
        <v>2025</v>
      </c>
      <c r="C223" s="173">
        <f>'2025 Ιανουάριος'!D149</f>
        <v>777.67000000000007</v>
      </c>
      <c r="D223" s="36">
        <f t="shared" si="76"/>
        <v>777.67000000000007</v>
      </c>
      <c r="E223" s="173">
        <f>'2025 Φεβρουάριος'!D149</f>
        <v>777.67000000000007</v>
      </c>
      <c r="F223" s="36">
        <f t="shared" si="77"/>
        <v>1555.3400000000001</v>
      </c>
      <c r="G223" s="173">
        <f>'2025 Μάρτιος'!D149</f>
        <v>777.67000000000007</v>
      </c>
      <c r="H223" s="36">
        <f t="shared" si="78"/>
        <v>2333.0100000000002</v>
      </c>
      <c r="I223" s="173">
        <f>'2025 Απρίλιος'!D149</f>
        <v>777.67000000000007</v>
      </c>
      <c r="J223" s="36">
        <f t="shared" si="79"/>
        <v>3110.6800000000003</v>
      </c>
      <c r="K223" s="173">
        <f>'2025 Μάιος'!D149</f>
        <v>777.67000000000007</v>
      </c>
      <c r="L223" s="36">
        <f t="shared" si="80"/>
        <v>3888.3500000000004</v>
      </c>
      <c r="M223" s="173">
        <f>'2025 Ιούνιος'!D149</f>
        <v>777.67000000000007</v>
      </c>
      <c r="N223" s="36">
        <f t="shared" si="81"/>
        <v>4666.0200000000004</v>
      </c>
      <c r="O223" s="173">
        <f>'2025 Ιούλιος'!D149</f>
        <v>777.67000000000007</v>
      </c>
      <c r="P223" s="36">
        <f t="shared" si="82"/>
        <v>5443.6900000000005</v>
      </c>
      <c r="Q223" s="173">
        <f>'2025 Aύγουστος'!D149</f>
        <v>777.67000000000007</v>
      </c>
      <c r="R223" s="36">
        <f t="shared" si="83"/>
        <v>6221.3600000000006</v>
      </c>
      <c r="S223" s="173">
        <f>'2025 Σεπτέμβριος'!D149</f>
        <v>777.67000000000007</v>
      </c>
      <c r="T223" s="36">
        <f t="shared" si="84"/>
        <v>6999.0300000000007</v>
      </c>
      <c r="U223" s="173">
        <f>'2025 Οκτώβριος'!D149</f>
        <v>777.67000000000007</v>
      </c>
      <c r="V223" s="36">
        <f t="shared" si="85"/>
        <v>7776.7000000000007</v>
      </c>
      <c r="W223" s="173">
        <f>'2025 Νοέμβριος'!D149</f>
        <v>777.67000000000007</v>
      </c>
      <c r="X223" s="36">
        <f t="shared" si="86"/>
        <v>8554.3700000000008</v>
      </c>
      <c r="Y223" s="173">
        <f>'2025 Δεκέμβριος'!D149</f>
        <v>777.67000000000007</v>
      </c>
      <c r="Z223" s="36">
        <f t="shared" si="87"/>
        <v>9332.0400000000009</v>
      </c>
      <c r="AA223" s="36">
        <f t="shared" si="88"/>
        <v>9332.0400000000009</v>
      </c>
    </row>
    <row r="224" spans="1:27" x14ac:dyDescent="0.25">
      <c r="A224" s="44" t="str">
        <f>'2025 Ιανουάριος'!C150</f>
        <v>Εξοδα δημοσιεύσεων</v>
      </c>
      <c r="B224" s="35">
        <v>2025</v>
      </c>
      <c r="C224" s="173">
        <f>'2025 Ιανουάριος'!D150</f>
        <v>1488.62</v>
      </c>
      <c r="D224" s="36">
        <f t="shared" ref="D224:D230" si="89">C224</f>
        <v>1488.62</v>
      </c>
      <c r="E224" s="173">
        <f>'2025 Φεβρουάριος'!D150</f>
        <v>109.66</v>
      </c>
      <c r="F224" s="36">
        <f t="shared" ref="F224:F231" si="90">D224+E224</f>
        <v>1598.28</v>
      </c>
      <c r="G224" s="173">
        <f>'2025 Μάρτιος'!D150</f>
        <v>77.55</v>
      </c>
      <c r="H224" s="36">
        <f t="shared" ref="H224:H231" si="91">F224+G224</f>
        <v>1675.83</v>
      </c>
      <c r="I224" s="173">
        <f>'2025 Απρίλιος'!D150</f>
        <v>98.51</v>
      </c>
      <c r="J224" s="36">
        <f t="shared" si="79"/>
        <v>1774.34</v>
      </c>
      <c r="K224" s="173">
        <f>'2025 Μάιος'!D150</f>
        <v>296.2</v>
      </c>
      <c r="L224" s="36">
        <f t="shared" ref="L224:L231" si="92">J224+K224</f>
        <v>2070.54</v>
      </c>
      <c r="M224" s="173">
        <f>'2025 Ιούνιος'!D150</f>
        <v>0</v>
      </c>
      <c r="N224" s="36">
        <f t="shared" si="81"/>
        <v>2070.54</v>
      </c>
      <c r="O224" s="173">
        <f>'2025 Ιούλιος'!D150</f>
        <v>0</v>
      </c>
      <c r="P224" s="36">
        <f t="shared" ref="P224:P231" si="93">N224+O224</f>
        <v>2070.54</v>
      </c>
      <c r="Q224" s="173">
        <f>'2025 Aύγουστος'!D150</f>
        <v>0</v>
      </c>
      <c r="R224" s="36">
        <f t="shared" si="83"/>
        <v>2070.54</v>
      </c>
      <c r="S224" s="173">
        <f>'2025 Σεπτέμβριος'!D150</f>
        <v>0</v>
      </c>
      <c r="T224" s="36">
        <f t="shared" si="84"/>
        <v>2070.54</v>
      </c>
      <c r="U224" s="173">
        <f>'2025 Οκτώβριος'!D150</f>
        <v>0</v>
      </c>
      <c r="V224" s="36">
        <f t="shared" ref="V224:V229" si="94">T224+U224</f>
        <v>2070.54</v>
      </c>
      <c r="W224" s="173">
        <f>'2025 Νοέμβριος'!D150</f>
        <v>0</v>
      </c>
      <c r="X224" s="36">
        <f t="shared" si="86"/>
        <v>2070.54</v>
      </c>
      <c r="Y224" s="173">
        <f>'2025 Δεκέμβριος'!D150</f>
        <v>0</v>
      </c>
      <c r="Z224" s="36">
        <f t="shared" si="87"/>
        <v>2070.54</v>
      </c>
      <c r="AA224" s="36">
        <f t="shared" si="88"/>
        <v>2070.54</v>
      </c>
    </row>
    <row r="225" spans="1:27" x14ac:dyDescent="0.25">
      <c r="A225" s="44" t="str">
        <f>'2025 Ιανουάριος'!C151</f>
        <v xml:space="preserve">Λοιπά Διάφορα έξοδα </v>
      </c>
      <c r="B225" s="35">
        <v>2025</v>
      </c>
      <c r="C225" s="173">
        <f>'2025 Ιανουάριος'!D151</f>
        <v>0</v>
      </c>
      <c r="D225" s="36">
        <f t="shared" si="89"/>
        <v>0</v>
      </c>
      <c r="E225" s="173">
        <f>'2025 Φεβρουάριος'!D151</f>
        <v>0</v>
      </c>
      <c r="F225" s="36">
        <f t="shared" si="90"/>
        <v>0</v>
      </c>
      <c r="G225" s="173">
        <f>'2025 Μάρτιος'!D151</f>
        <v>0</v>
      </c>
      <c r="H225" s="36">
        <f t="shared" si="91"/>
        <v>0</v>
      </c>
      <c r="I225" s="173">
        <f>'2025 Απρίλιος'!D151</f>
        <v>0</v>
      </c>
      <c r="J225" s="36">
        <f t="shared" si="79"/>
        <v>0</v>
      </c>
      <c r="K225" s="173">
        <f>'2025 Μάιος'!D151</f>
        <v>0</v>
      </c>
      <c r="L225" s="36">
        <f t="shared" si="92"/>
        <v>0</v>
      </c>
      <c r="M225" s="173">
        <f>'2025 Ιούνιος'!D151</f>
        <v>0</v>
      </c>
      <c r="N225" s="36">
        <f t="shared" si="81"/>
        <v>0</v>
      </c>
      <c r="O225" s="173">
        <f>'2025 Ιούλιος'!D151</f>
        <v>0</v>
      </c>
      <c r="P225" s="36">
        <f t="shared" si="93"/>
        <v>0</v>
      </c>
      <c r="Q225" s="173">
        <f>'2025 Aύγουστος'!D151</f>
        <v>0</v>
      </c>
      <c r="R225" s="36">
        <f t="shared" si="83"/>
        <v>0</v>
      </c>
      <c r="S225" s="173">
        <f>'2025 Σεπτέμβριος'!D151</f>
        <v>0</v>
      </c>
      <c r="T225" s="36">
        <f t="shared" si="84"/>
        <v>0</v>
      </c>
      <c r="U225" s="173">
        <f>'2025 Οκτώβριος'!D151</f>
        <v>0</v>
      </c>
      <c r="V225" s="36">
        <f t="shared" si="94"/>
        <v>0</v>
      </c>
      <c r="W225" s="173">
        <f>'2025 Νοέμβριος'!D151</f>
        <v>0</v>
      </c>
      <c r="X225" s="36">
        <f t="shared" si="86"/>
        <v>0</v>
      </c>
      <c r="Y225" s="173">
        <f>'2025 Δεκέμβριος'!D151</f>
        <v>0</v>
      </c>
      <c r="Z225" s="36">
        <f t="shared" si="87"/>
        <v>0</v>
      </c>
      <c r="AA225" s="36">
        <f t="shared" si="88"/>
        <v>0</v>
      </c>
    </row>
    <row r="226" spans="1:27" x14ac:dyDescent="0.25">
      <c r="A226" s="44" t="str">
        <f>'2025 Ιανουάριος'!C152</f>
        <v xml:space="preserve">Τόκοι και συναφή εξοδα </v>
      </c>
      <c r="B226" s="35">
        <v>2025</v>
      </c>
      <c r="C226" s="173">
        <f>'2025 Ιανουάριος'!D152</f>
        <v>0</v>
      </c>
      <c r="D226" s="36">
        <f t="shared" si="89"/>
        <v>0</v>
      </c>
      <c r="E226" s="173">
        <f>'2025 Φεβρουάριος'!D152</f>
        <v>0</v>
      </c>
      <c r="F226" s="36">
        <f t="shared" si="90"/>
        <v>0</v>
      </c>
      <c r="G226" s="173">
        <f>'2025 Μάρτιος'!D152</f>
        <v>0</v>
      </c>
      <c r="H226" s="36">
        <f t="shared" si="91"/>
        <v>0</v>
      </c>
      <c r="I226" s="173">
        <f>'2025 Απρίλιος'!D152</f>
        <v>0</v>
      </c>
      <c r="J226" s="36">
        <f t="shared" si="79"/>
        <v>0</v>
      </c>
      <c r="K226" s="173">
        <f>'2025 Μάιος'!D152</f>
        <v>0</v>
      </c>
      <c r="L226" s="36">
        <f t="shared" si="92"/>
        <v>0</v>
      </c>
      <c r="M226" s="173">
        <f>'2025 Ιούνιος'!D152</f>
        <v>0</v>
      </c>
      <c r="N226" s="36">
        <f t="shared" si="81"/>
        <v>0</v>
      </c>
      <c r="O226" s="173">
        <f>'2025 Ιούλιος'!D152</f>
        <v>0</v>
      </c>
      <c r="P226" s="36">
        <f t="shared" si="93"/>
        <v>0</v>
      </c>
      <c r="Q226" s="173">
        <f>'2025 Aύγουστος'!D152</f>
        <v>0</v>
      </c>
      <c r="R226" s="36">
        <f t="shared" si="83"/>
        <v>0</v>
      </c>
      <c r="S226" s="173">
        <f>'2025 Σεπτέμβριος'!D152</f>
        <v>0</v>
      </c>
      <c r="T226" s="36">
        <f t="shared" si="84"/>
        <v>0</v>
      </c>
      <c r="U226" s="173">
        <f>'2025 Οκτώβριος'!D152</f>
        <v>0</v>
      </c>
      <c r="V226" s="36">
        <f t="shared" si="94"/>
        <v>0</v>
      </c>
      <c r="W226" s="173">
        <f>'2025 Νοέμβριος'!D152</f>
        <v>0</v>
      </c>
      <c r="X226" s="36">
        <f t="shared" si="86"/>
        <v>0</v>
      </c>
      <c r="Y226" s="173">
        <f>'2025 Δεκέμβριος'!D152</f>
        <v>0</v>
      </c>
      <c r="Z226" s="36">
        <f t="shared" si="87"/>
        <v>0</v>
      </c>
      <c r="AA226" s="36">
        <f t="shared" si="88"/>
        <v>0</v>
      </c>
    </row>
    <row r="227" spans="1:27" ht="28.5" x14ac:dyDescent="0.25">
      <c r="A227" s="44" t="str">
        <f>'2025 Ιανουάριος'!C153</f>
        <v xml:space="preserve">Αποσβέσεις ( Εξοπλισμού Διοίκησης και εγκαταστάσεων στην έδρα και αποθήκες ) </v>
      </c>
      <c r="B227" s="35">
        <v>2025</v>
      </c>
      <c r="C227" s="173">
        <f>'2025 Ιανουάριος'!D153</f>
        <v>0</v>
      </c>
      <c r="D227" s="36">
        <f t="shared" si="89"/>
        <v>0</v>
      </c>
      <c r="E227" s="173">
        <f>'2025 Φεβρουάριος'!D153</f>
        <v>0</v>
      </c>
      <c r="F227" s="36">
        <f t="shared" si="90"/>
        <v>0</v>
      </c>
      <c r="G227" s="173">
        <f>'2025 Μάρτιος'!D153</f>
        <v>0</v>
      </c>
      <c r="H227" s="36">
        <f t="shared" si="91"/>
        <v>0</v>
      </c>
      <c r="I227" s="173">
        <f>'2025 Απρίλιος'!D153</f>
        <v>0</v>
      </c>
      <c r="J227" s="36">
        <f t="shared" si="79"/>
        <v>0</v>
      </c>
      <c r="K227" s="173">
        <f>'2025 Μάιος'!D153</f>
        <v>0</v>
      </c>
      <c r="L227" s="36">
        <f t="shared" si="92"/>
        <v>0</v>
      </c>
      <c r="M227" s="173">
        <f>'2025 Ιούνιος'!D153</f>
        <v>0</v>
      </c>
      <c r="N227" s="36">
        <f t="shared" si="81"/>
        <v>0</v>
      </c>
      <c r="O227" s="173">
        <f>'2025 Ιούλιος'!D153</f>
        <v>0</v>
      </c>
      <c r="P227" s="36">
        <f t="shared" si="93"/>
        <v>0</v>
      </c>
      <c r="Q227" s="173">
        <f>'2025 Aύγουστος'!D153</f>
        <v>0</v>
      </c>
      <c r="R227" s="36">
        <f t="shared" si="83"/>
        <v>0</v>
      </c>
      <c r="S227" s="173">
        <f>'2025 Σεπτέμβριος'!D153</f>
        <v>0</v>
      </c>
      <c r="T227" s="36">
        <f t="shared" si="84"/>
        <v>0</v>
      </c>
      <c r="U227" s="173">
        <f>'2025 Οκτώβριος'!D153</f>
        <v>0</v>
      </c>
      <c r="V227" s="36">
        <f t="shared" si="94"/>
        <v>0</v>
      </c>
      <c r="W227" s="173">
        <f>'2025 Νοέμβριος'!D153</f>
        <v>0</v>
      </c>
      <c r="X227" s="36">
        <f t="shared" si="86"/>
        <v>0</v>
      </c>
      <c r="Y227" s="173">
        <f>'2025 Δεκέμβριος'!D153</f>
        <v>0</v>
      </c>
      <c r="Z227" s="36">
        <f t="shared" si="87"/>
        <v>0</v>
      </c>
      <c r="AA227" s="36">
        <f t="shared" si="88"/>
        <v>0</v>
      </c>
    </row>
    <row r="228" spans="1:27" x14ac:dyDescent="0.25">
      <c r="A228" s="44" t="str">
        <f>'2025 Ιανουάριος'!C154</f>
        <v xml:space="preserve">Ασυνήθη έξοδα </v>
      </c>
      <c r="B228" s="35">
        <v>2025</v>
      </c>
      <c r="C228" s="173">
        <f>'2025 Ιανουάριος'!D154</f>
        <v>0</v>
      </c>
      <c r="D228" s="36">
        <f t="shared" si="89"/>
        <v>0</v>
      </c>
      <c r="E228" s="173">
        <f>'2025 Φεβρουάριος'!D154</f>
        <v>0</v>
      </c>
      <c r="F228" s="36">
        <f t="shared" si="90"/>
        <v>0</v>
      </c>
      <c r="G228" s="173">
        <f>'2025 Μάρτιος'!D154</f>
        <v>0</v>
      </c>
      <c r="H228" s="36">
        <f t="shared" si="91"/>
        <v>0</v>
      </c>
      <c r="I228" s="173">
        <f>'2025 Απρίλιος'!D154</f>
        <v>0</v>
      </c>
      <c r="J228" s="36">
        <f t="shared" si="79"/>
        <v>0</v>
      </c>
      <c r="K228" s="173">
        <f>'2025 Μάιος'!D154</f>
        <v>0</v>
      </c>
      <c r="L228" s="36">
        <f t="shared" si="92"/>
        <v>0</v>
      </c>
      <c r="M228" s="173">
        <f>'2025 Ιούνιος'!D154</f>
        <v>0</v>
      </c>
      <c r="N228" s="36">
        <f t="shared" si="81"/>
        <v>0</v>
      </c>
      <c r="O228" s="173">
        <f>'2025 Ιούλιος'!D154</f>
        <v>0</v>
      </c>
      <c r="P228" s="36">
        <f t="shared" si="93"/>
        <v>0</v>
      </c>
      <c r="Q228" s="173">
        <f>'2025 Aύγουστος'!D154</f>
        <v>0</v>
      </c>
      <c r="R228" s="36">
        <f t="shared" si="83"/>
        <v>0</v>
      </c>
      <c r="S228" s="173">
        <f>'2025 Σεπτέμβριος'!D154</f>
        <v>0</v>
      </c>
      <c r="T228" s="36">
        <f t="shared" si="84"/>
        <v>0</v>
      </c>
      <c r="U228" s="173">
        <f>'2025 Οκτώβριος'!D154</f>
        <v>0</v>
      </c>
      <c r="V228" s="36">
        <f t="shared" si="94"/>
        <v>0</v>
      </c>
      <c r="W228" s="173">
        <f>'2025 Νοέμβριος'!D154</f>
        <v>0</v>
      </c>
      <c r="X228" s="36">
        <f t="shared" si="86"/>
        <v>0</v>
      </c>
      <c r="Y228" s="173">
        <f>'2025 Δεκέμβριος'!D154</f>
        <v>0</v>
      </c>
      <c r="Z228" s="36">
        <f t="shared" si="87"/>
        <v>0</v>
      </c>
      <c r="AA228" s="36">
        <f t="shared" si="88"/>
        <v>0</v>
      </c>
    </row>
    <row r="229" spans="1:27" x14ac:dyDescent="0.25">
      <c r="A229" s="44">
        <f>'2025 Ιανουάριος'!C155</f>
        <v>0</v>
      </c>
      <c r="B229" s="35">
        <v>2025</v>
      </c>
      <c r="C229" s="173">
        <f>'2025 Ιανουάριος'!D155</f>
        <v>0</v>
      </c>
      <c r="D229" s="36">
        <f t="shared" si="89"/>
        <v>0</v>
      </c>
      <c r="E229" s="173">
        <f>'2025 Φεβρουάριος'!D155</f>
        <v>0</v>
      </c>
      <c r="F229" s="36">
        <f t="shared" si="90"/>
        <v>0</v>
      </c>
      <c r="G229" s="173">
        <f>'2025 Μάρτιος'!D155</f>
        <v>0</v>
      </c>
      <c r="H229" s="36">
        <f t="shared" si="91"/>
        <v>0</v>
      </c>
      <c r="I229" s="173">
        <f>'2025 Απρίλιος'!D155</f>
        <v>0</v>
      </c>
      <c r="J229" s="36">
        <f t="shared" si="79"/>
        <v>0</v>
      </c>
      <c r="K229" s="173">
        <f>'2025 Μάιος'!D155</f>
        <v>0</v>
      </c>
      <c r="L229" s="36">
        <f t="shared" si="92"/>
        <v>0</v>
      </c>
      <c r="M229" s="173">
        <f>'2025 Ιούνιος'!D155</f>
        <v>0</v>
      </c>
      <c r="N229" s="36">
        <f t="shared" si="81"/>
        <v>0</v>
      </c>
      <c r="O229" s="173">
        <f>'2025 Ιούλιος'!D155</f>
        <v>0</v>
      </c>
      <c r="P229" s="36">
        <f t="shared" si="93"/>
        <v>0</v>
      </c>
      <c r="Q229" s="173">
        <f>'2025 Aύγουστος'!D155</f>
        <v>0</v>
      </c>
      <c r="R229" s="36">
        <f t="shared" si="83"/>
        <v>0</v>
      </c>
      <c r="S229" s="173">
        <f>'2025 Σεπτέμβριος'!D155</f>
        <v>0</v>
      </c>
      <c r="T229" s="36">
        <f t="shared" si="84"/>
        <v>0</v>
      </c>
      <c r="U229" s="173">
        <f>'2025 Οκτώβριος'!D155</f>
        <v>0</v>
      </c>
      <c r="V229" s="36">
        <f t="shared" si="94"/>
        <v>0</v>
      </c>
      <c r="W229" s="173">
        <f>'2025 Νοέμβριος'!D155</f>
        <v>0</v>
      </c>
      <c r="X229" s="36">
        <f t="shared" si="86"/>
        <v>0</v>
      </c>
      <c r="Y229" s="173">
        <f>'2025 Δεκέμβριος'!D155</f>
        <v>0</v>
      </c>
      <c r="Z229" s="36">
        <f t="shared" si="87"/>
        <v>0</v>
      </c>
      <c r="AA229" s="36">
        <f t="shared" si="88"/>
        <v>0</v>
      </c>
    </row>
    <row r="230" spans="1:27" x14ac:dyDescent="0.25">
      <c r="A230" s="44">
        <f>'2025 Ιανουάριος'!C156</f>
        <v>0</v>
      </c>
      <c r="B230" s="35">
        <v>2025</v>
      </c>
      <c r="C230" s="173">
        <f>'2025 Ιανουάριος'!D156</f>
        <v>0</v>
      </c>
      <c r="D230" s="36">
        <f t="shared" si="89"/>
        <v>0</v>
      </c>
      <c r="E230" s="173">
        <f>'2025 Φεβρουάριος'!D156</f>
        <v>0</v>
      </c>
      <c r="F230" s="36">
        <f t="shared" si="90"/>
        <v>0</v>
      </c>
      <c r="G230" s="173">
        <f>'2025 Μάρτιος'!D156</f>
        <v>0</v>
      </c>
      <c r="H230" s="36">
        <f t="shared" si="91"/>
        <v>0</v>
      </c>
      <c r="I230" s="173">
        <f>'2025 Απρίλιος'!D156</f>
        <v>0</v>
      </c>
      <c r="J230" s="36">
        <f t="shared" si="79"/>
        <v>0</v>
      </c>
      <c r="K230" s="173">
        <f>'2025 Μάιος'!D156</f>
        <v>0</v>
      </c>
      <c r="L230" s="36">
        <f t="shared" si="92"/>
        <v>0</v>
      </c>
      <c r="M230" s="173">
        <f>'2025 Ιούνιος'!D156</f>
        <v>0</v>
      </c>
      <c r="N230" s="36">
        <f t="shared" si="81"/>
        <v>0</v>
      </c>
      <c r="O230" s="173">
        <f>'2025 Ιούλιος'!D156</f>
        <v>0</v>
      </c>
      <c r="P230" s="36">
        <f t="shared" si="93"/>
        <v>0</v>
      </c>
      <c r="Q230" s="173">
        <f>'2025 Aύγουστος'!D156</f>
        <v>0</v>
      </c>
      <c r="R230" s="36">
        <f t="shared" si="83"/>
        <v>0</v>
      </c>
      <c r="S230" s="173">
        <f>'2025 Σεπτέμβριος'!D156</f>
        <v>0</v>
      </c>
      <c r="T230" s="36">
        <f t="shared" si="84"/>
        <v>0</v>
      </c>
      <c r="U230" s="173">
        <f>'2025 Οκτώβριος'!D156</f>
        <v>0</v>
      </c>
      <c r="W230" s="173">
        <f>'2025 Νοέμβριος'!D156</f>
        <v>0</v>
      </c>
      <c r="X230" s="36">
        <f t="shared" si="86"/>
        <v>0</v>
      </c>
      <c r="Y230" s="173">
        <f>'2025 Δεκέμβριος'!D156</f>
        <v>0</v>
      </c>
      <c r="Z230" s="36">
        <f t="shared" si="87"/>
        <v>0</v>
      </c>
      <c r="AA230" s="36">
        <f t="shared" si="88"/>
        <v>0</v>
      </c>
    </row>
    <row r="231" spans="1:27" x14ac:dyDescent="0.25">
      <c r="A231" s="52" t="s">
        <v>157</v>
      </c>
      <c r="C231" s="174">
        <f>SUM(C191:C230)</f>
        <v>7568.28</v>
      </c>
      <c r="D231" s="37">
        <f>SUM(D191:D229)</f>
        <v>7568.28</v>
      </c>
      <c r="E231" s="174">
        <f>SUM(E191:E230)</f>
        <v>7167.420000000001</v>
      </c>
      <c r="F231" s="36">
        <f t="shared" si="90"/>
        <v>14735.7</v>
      </c>
      <c r="G231" s="173">
        <f>SUM(G191:G230)</f>
        <v>7918.1400000000012</v>
      </c>
      <c r="H231" s="36">
        <f t="shared" si="91"/>
        <v>22653.840000000004</v>
      </c>
      <c r="I231" s="174">
        <f>SUM(I191:I230)</f>
        <v>6947.2100000000009</v>
      </c>
      <c r="J231" s="36">
        <f t="shared" si="79"/>
        <v>29601.050000000003</v>
      </c>
      <c r="K231" s="174">
        <f>SUM(K191:K230)</f>
        <v>5588.67</v>
      </c>
      <c r="L231" s="36">
        <f t="shared" si="92"/>
        <v>35189.72</v>
      </c>
      <c r="M231" s="174">
        <f>SUM(M191:M230)</f>
        <v>777.67000000000007</v>
      </c>
      <c r="N231" s="36">
        <f t="shared" si="81"/>
        <v>35967.39</v>
      </c>
      <c r="O231" s="173">
        <f>SUM(O191:O230)</f>
        <v>777.67000000000007</v>
      </c>
      <c r="P231" s="36">
        <f t="shared" si="93"/>
        <v>36745.06</v>
      </c>
      <c r="Q231" s="173">
        <f>SUM(Q191:Q230)</f>
        <v>777.67000000000007</v>
      </c>
      <c r="R231" s="36">
        <f t="shared" si="83"/>
        <v>37522.729999999996</v>
      </c>
      <c r="S231" s="174">
        <f>SUM(S191:S230)</f>
        <v>777.67000000000007</v>
      </c>
      <c r="T231" s="36">
        <f t="shared" si="84"/>
        <v>38300.399999999994</v>
      </c>
      <c r="U231" s="174">
        <f>SUM(U191:U230)</f>
        <v>777.67000000000007</v>
      </c>
      <c r="V231" s="37">
        <f>SUM(V191:V229)</f>
        <v>39078.07</v>
      </c>
      <c r="W231" s="173">
        <f>'2025 Νοέμβριος'!D157</f>
        <v>0</v>
      </c>
      <c r="X231" s="36">
        <f t="shared" si="86"/>
        <v>39078.07</v>
      </c>
      <c r="Y231" s="174">
        <f>SUM(Y191:Y230)</f>
        <v>777.67000000000007</v>
      </c>
      <c r="Z231" s="36">
        <f t="shared" si="87"/>
        <v>39855.74</v>
      </c>
      <c r="AA231" s="36">
        <f t="shared" si="88"/>
        <v>39855.739999999991</v>
      </c>
    </row>
    <row r="232" spans="1:27" ht="31.5" customHeight="1" x14ac:dyDescent="0.25">
      <c r="A232" s="179"/>
      <c r="B232" s="179"/>
      <c r="C232" s="179"/>
      <c r="D232" s="179"/>
      <c r="E232" s="179"/>
      <c r="F232" s="179"/>
      <c r="G232" s="179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79"/>
      <c r="Z232" s="179"/>
      <c r="AA232" s="179"/>
    </row>
    <row r="238" spans="1:27" x14ac:dyDescent="0.25">
      <c r="D238" s="37"/>
      <c r="F238" s="37"/>
      <c r="H238" s="37"/>
      <c r="J238" s="37"/>
      <c r="L238" s="37"/>
      <c r="N238" s="37"/>
      <c r="P238" s="37"/>
      <c r="R238" s="37"/>
      <c r="T238" s="37"/>
      <c r="V238" s="37"/>
      <c r="X238" s="37"/>
      <c r="Z238" s="37"/>
      <c r="AA238" s="37"/>
    </row>
    <row r="239" spans="1:27" ht="26.25" x14ac:dyDescent="0.4">
      <c r="A239" s="169" t="s">
        <v>173</v>
      </c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  <c r="AA239" s="168"/>
    </row>
    <row r="240" spans="1:27" ht="17.25" x14ac:dyDescent="0.3">
      <c r="A240" s="53" t="s">
        <v>142</v>
      </c>
      <c r="B240" s="35" t="s">
        <v>87</v>
      </c>
      <c r="C240" s="172" t="s">
        <v>114</v>
      </c>
      <c r="D240" s="35" t="s">
        <v>115</v>
      </c>
      <c r="E240" s="172" t="s">
        <v>116</v>
      </c>
      <c r="F240" s="35" t="s">
        <v>117</v>
      </c>
      <c r="G240" s="172" t="s">
        <v>118</v>
      </c>
      <c r="H240" s="35" t="s">
        <v>119</v>
      </c>
      <c r="I240" s="172" t="s">
        <v>147</v>
      </c>
      <c r="J240" s="35" t="s">
        <v>121</v>
      </c>
      <c r="K240" s="172" t="s">
        <v>122</v>
      </c>
      <c r="L240" s="35" t="s">
        <v>145</v>
      </c>
      <c r="M240" s="172" t="s">
        <v>123</v>
      </c>
      <c r="N240" s="35" t="s">
        <v>124</v>
      </c>
      <c r="O240" s="172" t="s">
        <v>125</v>
      </c>
      <c r="P240" s="35" t="s">
        <v>126</v>
      </c>
      <c r="Q240" s="172" t="s">
        <v>127</v>
      </c>
      <c r="R240" s="35" t="s">
        <v>128</v>
      </c>
      <c r="S240" s="172" t="s">
        <v>148</v>
      </c>
      <c r="T240" s="35" t="s">
        <v>130</v>
      </c>
      <c r="U240" s="172" t="s">
        <v>131</v>
      </c>
      <c r="V240" s="35" t="s">
        <v>132</v>
      </c>
      <c r="W240" s="172" t="s">
        <v>133</v>
      </c>
      <c r="X240" s="35" t="s">
        <v>134</v>
      </c>
      <c r="Y240" s="172" t="s">
        <v>149</v>
      </c>
      <c r="Z240" s="35" t="s">
        <v>150</v>
      </c>
      <c r="AA240" s="35" t="s">
        <v>151</v>
      </c>
    </row>
    <row r="241" spans="1:30" x14ac:dyDescent="0.25">
      <c r="A241" s="44" t="str">
        <f>'2025 Ιανουάριος'!C44</f>
        <v>Μικτές Αποδοχές H.Keepin (Α.Κ.Υπ.)</v>
      </c>
      <c r="B241" s="35">
        <v>2024</v>
      </c>
      <c r="C241" s="173">
        <f>'2025 Ιανουάριος'!L44</f>
        <v>3058.18</v>
      </c>
      <c r="D241" s="36">
        <f t="shared" ref="D241:D271" si="95">C241</f>
        <v>3058.18</v>
      </c>
      <c r="E241" s="173">
        <f>'2025 Φεβρουάριος'!L44</f>
        <v>2874.37</v>
      </c>
      <c r="F241" s="36">
        <f t="shared" ref="F241:F271" si="96">D241+E241</f>
        <v>5932.5499999999993</v>
      </c>
      <c r="G241" s="173">
        <f>'2025 Μάρτιος'!L44</f>
        <v>3424.67</v>
      </c>
      <c r="H241" s="36">
        <f t="shared" ref="H241:H271" si="97">F241+G241</f>
        <v>9357.2199999999993</v>
      </c>
      <c r="I241" s="173">
        <f>'2025 Απρίλιος'!L44</f>
        <v>5421.86</v>
      </c>
      <c r="J241" s="36">
        <f t="shared" ref="J241:J271" si="98">H241+I241</f>
        <v>14779.079999999998</v>
      </c>
      <c r="K241" s="173">
        <f>'2025 Μάιος'!L44</f>
        <v>5098.67</v>
      </c>
      <c r="L241" s="36">
        <f t="shared" ref="L241:L271" si="99">J241+K241</f>
        <v>19877.75</v>
      </c>
      <c r="M241" s="173">
        <f>'2025 Ιούνιος'!L44</f>
        <v>4919.01</v>
      </c>
      <c r="N241" s="36">
        <f t="shared" ref="N241:N271" si="100">L241+M241</f>
        <v>24796.760000000002</v>
      </c>
      <c r="O241" s="173">
        <f>'2025 Ιούλιος'!L44</f>
        <v>4563.4500000000007</v>
      </c>
      <c r="P241" s="36">
        <f t="shared" ref="P241:P271" si="101">N241+O241</f>
        <v>29360.210000000003</v>
      </c>
      <c r="Q241" s="173">
        <f>'2025 Aύγουστος'!L44</f>
        <v>5871.9100000000008</v>
      </c>
      <c r="R241" s="36">
        <f t="shared" ref="R241:R271" si="102">P241+Q241</f>
        <v>35232.120000000003</v>
      </c>
      <c r="S241" s="173">
        <f>'2025 Σεπτέμβριος'!L44</f>
        <v>5002.6099999999997</v>
      </c>
      <c r="T241" s="36">
        <f t="shared" ref="T241:T271" si="103">R241+S241</f>
        <v>40234.730000000003</v>
      </c>
      <c r="U241" s="173">
        <f>'2025 Οκτώβριος'!L44</f>
        <v>5747.8799999999992</v>
      </c>
      <c r="V241" s="36">
        <f t="shared" ref="V241:V271" si="104">T241+U241</f>
        <v>45982.61</v>
      </c>
      <c r="W241" s="173">
        <f>'2025 Νοέμβριος'!L44</f>
        <v>4216.6399999999994</v>
      </c>
      <c r="X241" s="36">
        <f t="shared" ref="X241:X271" si="105">V241+W241</f>
        <v>50199.25</v>
      </c>
      <c r="Y241" s="173">
        <f>'2025 Δεκέμβριος'!L44</f>
        <v>6109.88</v>
      </c>
      <c r="Z241" s="36">
        <f t="shared" ref="Z241:Z271" si="106">X241+Y241</f>
        <v>56309.13</v>
      </c>
      <c r="AA241" s="36">
        <f t="shared" ref="AA241:AA271" si="107">C241+E241+G241+I241+K241+M241+O241+Q241+S241+U241+W241+Y241</f>
        <v>56309.13</v>
      </c>
      <c r="AD241" s="37">
        <f>IF(C118&lt;&gt;0,C241,0) + IF(E118&lt;&gt;0,E241,0) + IF(G118&lt;&gt;0,G241,0) +
IF(I118&lt;&gt;0,I241,0) + IF(K118&lt;&gt;0,K241,0) + IF(M118&lt;&gt;0,M241,0) +
IF(O118&lt;&gt;0,O241,0) + IF(Q118&lt;&gt;0,Q241,0) + IF(S118&lt;&gt;0,S241,0) +
IF(U118&lt;&gt;0,U241,0) + IF(W118&lt;&gt;0,W241,0) + IF(Y118&lt;&gt;0,Y241,0)</f>
        <v>19877.75</v>
      </c>
    </row>
    <row r="242" spans="1:30" x14ac:dyDescent="0.25">
      <c r="A242" s="44" t="str">
        <f>'2025 Ιανουάριος'!C45</f>
        <v>Μικτές Αποδοχές Operation (Α.Κ.Operation )</v>
      </c>
      <c r="B242" s="35">
        <v>2024</v>
      </c>
      <c r="C242" s="173">
        <f>'2025 Ιανουάριος'!L45</f>
        <v>4189.99</v>
      </c>
      <c r="D242" s="36">
        <f t="shared" si="95"/>
        <v>4189.99</v>
      </c>
      <c r="E242" s="173">
        <f>'2025 Φεβρουάριος'!L45</f>
        <v>4702.76</v>
      </c>
      <c r="F242" s="36">
        <f t="shared" si="96"/>
        <v>8892.75</v>
      </c>
      <c r="G242" s="173">
        <f>'2025 Μάρτιος'!L45</f>
        <v>11008.53</v>
      </c>
      <c r="H242" s="36">
        <f t="shared" si="97"/>
        <v>19901.28</v>
      </c>
      <c r="I242" s="173">
        <f>'2025 Απρίλιος'!L45</f>
        <v>5570.36</v>
      </c>
      <c r="J242" s="36">
        <f t="shared" si="98"/>
        <v>25471.64</v>
      </c>
      <c r="K242" s="173">
        <f>'2025 Μάιος'!L45</f>
        <v>3696.09</v>
      </c>
      <c r="L242" s="36">
        <f t="shared" si="99"/>
        <v>29167.73</v>
      </c>
      <c r="M242" s="173">
        <f>'2025 Ιούνιος'!L45</f>
        <v>4144.0200000000004</v>
      </c>
      <c r="N242" s="36">
        <f t="shared" si="100"/>
        <v>33311.75</v>
      </c>
      <c r="O242" s="173">
        <f>'2025 Ιούλιος'!L45</f>
        <v>3850.73</v>
      </c>
      <c r="P242" s="36">
        <f t="shared" si="101"/>
        <v>37162.480000000003</v>
      </c>
      <c r="Q242" s="173">
        <f>'2025 Aύγουστος'!L45</f>
        <v>5746.2000000000007</v>
      </c>
      <c r="R242" s="36">
        <f t="shared" si="102"/>
        <v>42908.680000000008</v>
      </c>
      <c r="S242" s="173">
        <f>'2025 Σεπτέμβριος'!L45</f>
        <v>5054.9400000000014</v>
      </c>
      <c r="T242" s="36">
        <f t="shared" si="103"/>
        <v>47963.62000000001</v>
      </c>
      <c r="U242" s="173">
        <f>'2025 Οκτώβριος'!L45</f>
        <v>4986.0600000000004</v>
      </c>
      <c r="V242" s="36">
        <f t="shared" si="104"/>
        <v>52949.680000000008</v>
      </c>
      <c r="W242" s="173">
        <f>'2025 Νοέμβριος'!L45</f>
        <v>5135.38</v>
      </c>
      <c r="X242" s="36">
        <f t="shared" si="105"/>
        <v>58085.060000000005</v>
      </c>
      <c r="Y242" s="173">
        <f>'2025 Δεκέμβριος'!L45</f>
        <v>7261.55</v>
      </c>
      <c r="Z242" s="36">
        <f t="shared" si="106"/>
        <v>65346.610000000008</v>
      </c>
      <c r="AA242" s="36">
        <f t="shared" si="107"/>
        <v>65346.610000000008</v>
      </c>
      <c r="AD242" s="37">
        <f>IF(C119&lt;&gt;0,C242,0) + IF(E119&lt;&gt;0,E242,0) + IF(G119&lt;&gt;0,G242,0) +
IF(I119&lt;&gt;0,I242,0) + IF(K119&lt;&gt;0,K242,0) + IF(M119&lt;&gt;0,M242,0) +
IF(O119&lt;&gt;0,O242,0) + IF(Q119&lt;&gt;0,Q242,0) + IF(S119&lt;&gt;0,S242,0) +
IF(U119&lt;&gt;0,U242,0) + IF(W119&lt;&gt;0,W242,0) + IF(Y119&lt;&gt;0,Y242,0)</f>
        <v>29167.73</v>
      </c>
    </row>
    <row r="243" spans="1:30" x14ac:dyDescent="0.25">
      <c r="A243" s="44" t="str">
        <f>'2025 Ιανουάριος'!C46</f>
        <v>Μικτές Αποδοχές Maintenance (Α.Κ.Υπ.)</v>
      </c>
      <c r="B243" s="35">
        <v>2024</v>
      </c>
      <c r="C243" s="173">
        <f>'2025 Ιανουάριος'!L46</f>
        <v>2700.28</v>
      </c>
      <c r="D243" s="36">
        <f t="shared" si="95"/>
        <v>2700.28</v>
      </c>
      <c r="E243" s="173">
        <f>'2025 Φεβρουάριος'!L46</f>
        <v>2652.85</v>
      </c>
      <c r="F243" s="36">
        <f t="shared" si="96"/>
        <v>5353.13</v>
      </c>
      <c r="G243" s="173">
        <f>'2025 Μάρτιος'!L46</f>
        <v>2814.91</v>
      </c>
      <c r="H243" s="36">
        <f t="shared" si="97"/>
        <v>8168.04</v>
      </c>
      <c r="I243" s="173">
        <f>'2025 Απρίλιος'!L46</f>
        <v>3696.68</v>
      </c>
      <c r="J243" s="36">
        <f t="shared" si="98"/>
        <v>11864.72</v>
      </c>
      <c r="K243" s="173">
        <f>'2025 Μάιος'!L46</f>
        <v>2821.13</v>
      </c>
      <c r="L243" s="36">
        <f t="shared" si="99"/>
        <v>14685.849999999999</v>
      </c>
      <c r="M243" s="173">
        <f>'2025 Ιούνιος'!L46</f>
        <v>2653.87</v>
      </c>
      <c r="N243" s="36">
        <f t="shared" si="100"/>
        <v>17339.719999999998</v>
      </c>
      <c r="O243" s="173">
        <f>'2025 Ιούλιος'!L46</f>
        <v>3863.68</v>
      </c>
      <c r="P243" s="36">
        <f t="shared" si="101"/>
        <v>21203.399999999998</v>
      </c>
      <c r="Q243" s="173">
        <f>'2025 Aύγουστος'!L46</f>
        <v>1982.12</v>
      </c>
      <c r="R243" s="36">
        <f t="shared" si="102"/>
        <v>23185.519999999997</v>
      </c>
      <c r="S243" s="173">
        <f>'2025 Σεπτέμβριος'!L46</f>
        <v>1933.8</v>
      </c>
      <c r="T243" s="36">
        <f t="shared" si="103"/>
        <v>25119.319999999996</v>
      </c>
      <c r="U243" s="173">
        <f>'2025 Οκτώβριος'!L46</f>
        <v>2330.9</v>
      </c>
      <c r="V243" s="36">
        <f t="shared" si="104"/>
        <v>27450.219999999998</v>
      </c>
      <c r="W243" s="173">
        <f>'2025 Νοέμβριος'!L46</f>
        <v>2263.46</v>
      </c>
      <c r="X243" s="36">
        <f t="shared" si="105"/>
        <v>29713.679999999997</v>
      </c>
      <c r="Y243" s="173">
        <f>'2025 Δεκέμβριος'!L46</f>
        <v>4350.17</v>
      </c>
      <c r="Z243" s="36">
        <f t="shared" si="106"/>
        <v>34063.85</v>
      </c>
      <c r="AA243" s="36">
        <f t="shared" si="107"/>
        <v>34063.85</v>
      </c>
      <c r="AD243" s="37">
        <f>IF(C120&lt;&gt;0,C243,0) + IF(E120&lt;&gt;0,E243,0) + IF(G120&lt;&gt;0,G243,0) +
IF(I120&lt;&gt;0,I243,0) + IF(K120&lt;&gt;0,K243,0) + IF(M120&lt;&gt;0,M243,0) +
IF(O120&lt;&gt;0,O243,0) + IF(Q120&lt;&gt;0,Q243,0) + IF(S120&lt;&gt;0,S243,0) +
IF(U120&lt;&gt;0,U243,0) + IF(W120&lt;&gt;0,W243,0) + IF(Y120&lt;&gt;0,Y243,0)</f>
        <v>14685.849999999999</v>
      </c>
    </row>
    <row r="244" spans="1:30" x14ac:dyDescent="0.25">
      <c r="A244" s="44" t="str">
        <f>'2025 Ιανουάριος'!C49</f>
        <v>Ασφαλιστικές εισφορές (Α.Κ.HOUSE KEEPING)</v>
      </c>
      <c r="B244" s="35">
        <v>2024</v>
      </c>
      <c r="C244" s="173">
        <f>'2025 Ιανουάριος'!L49</f>
        <v>747.42000000000007</v>
      </c>
      <c r="D244" s="36">
        <f t="shared" si="95"/>
        <v>747.42000000000007</v>
      </c>
      <c r="E244" s="173">
        <f>'2025 Φεβρουάριος'!L49</f>
        <v>698.88999999999987</v>
      </c>
      <c r="F244" s="36">
        <f t="shared" si="96"/>
        <v>1446.31</v>
      </c>
      <c r="G244" s="173">
        <f>'2025 Μάρτιος'!L49</f>
        <v>815.88</v>
      </c>
      <c r="H244" s="36">
        <f t="shared" si="97"/>
        <v>2262.19</v>
      </c>
      <c r="I244" s="173">
        <f>'2025 Απρίλιος'!L49</f>
        <v>1325.1</v>
      </c>
      <c r="J244" s="36">
        <f t="shared" si="98"/>
        <v>3587.29</v>
      </c>
      <c r="K244" s="173">
        <f>'2025 Μάιος'!L49</f>
        <v>1221.99</v>
      </c>
      <c r="L244" s="36">
        <f t="shared" si="99"/>
        <v>4809.28</v>
      </c>
      <c r="M244" s="173">
        <f>'2025 Ιούνιος'!L49</f>
        <v>1170.8599999999999</v>
      </c>
      <c r="N244" s="36">
        <f t="shared" si="100"/>
        <v>5980.1399999999994</v>
      </c>
      <c r="O244" s="173">
        <f>'2025 Ιούλιος'!L49</f>
        <v>1058.54</v>
      </c>
      <c r="P244" s="36">
        <f t="shared" si="101"/>
        <v>7038.6799999999994</v>
      </c>
      <c r="Q244" s="173">
        <f>'2025 Aύγουστος'!L49</f>
        <v>1481.66</v>
      </c>
      <c r="R244" s="36">
        <f t="shared" si="102"/>
        <v>8520.34</v>
      </c>
      <c r="S244" s="173">
        <f>'2025 Σεπτέμβριος'!L49</f>
        <v>1156.06</v>
      </c>
      <c r="T244" s="36">
        <f t="shared" si="103"/>
        <v>9676.4</v>
      </c>
      <c r="U244" s="173">
        <f>'2025 Οκτώβριος'!L49</f>
        <v>1326.72</v>
      </c>
      <c r="V244" s="36">
        <f t="shared" si="104"/>
        <v>11003.119999999999</v>
      </c>
      <c r="W244" s="173">
        <f>'2025 Νοέμβριος'!L49</f>
        <v>940.74</v>
      </c>
      <c r="X244" s="36">
        <f t="shared" si="105"/>
        <v>11943.859999999999</v>
      </c>
      <c r="Y244" s="173">
        <f>'2025 Δεκέμβριος'!L49</f>
        <v>1394.91</v>
      </c>
      <c r="Z244" s="36">
        <f t="shared" si="106"/>
        <v>13338.769999999999</v>
      </c>
      <c r="AA244" s="36">
        <f t="shared" si="107"/>
        <v>13338.769999999999</v>
      </c>
      <c r="AD244" s="37">
        <f>IF(C123&lt;&gt;0,C244,0) + IF(E123&lt;&gt;0,E244,0) + IF(G123&lt;&gt;0,G244,0) +
IF(I123&lt;&gt;0,I244,0) + IF(K123&lt;&gt;0,K244,0) + IF(M123&lt;&gt;0,M244,0) +
IF(O123&lt;&gt;0,O244,0) + IF(Q123&lt;&gt;0,Q244,0) + IF(S123&lt;&gt;0,S244,0) +
IF(U123&lt;&gt;0,U244,0) + IF(W123&lt;&gt;0,W244,0) + IF(Y123&lt;&gt;0,Y244,0)</f>
        <v>4809.28</v>
      </c>
    </row>
    <row r="245" spans="1:30" x14ac:dyDescent="0.25">
      <c r="A245" s="44" t="str">
        <f>'2025 Ιανουάριος'!C50</f>
        <v>Ασφαλιστικές εισφορές (Α.Κ. OPERATION DEP )</v>
      </c>
      <c r="B245" s="35">
        <v>2024</v>
      </c>
      <c r="C245" s="173">
        <f>'2025 Ιανουάριος'!L50</f>
        <v>933.94999999999993</v>
      </c>
      <c r="D245" s="36">
        <f t="shared" si="95"/>
        <v>933.94999999999993</v>
      </c>
      <c r="E245" s="173">
        <f>'2025 Φεβρουάριος'!L50</f>
        <v>1048.25</v>
      </c>
      <c r="F245" s="36">
        <f t="shared" si="96"/>
        <v>1982.1999999999998</v>
      </c>
      <c r="G245" s="173">
        <f>'2025 Μάρτιος'!L50</f>
        <v>1577.57</v>
      </c>
      <c r="H245" s="36">
        <f t="shared" si="97"/>
        <v>3559.7699999999995</v>
      </c>
      <c r="I245" s="173">
        <f>'2025 Απρίλιος'!L50</f>
        <v>1238.6400000000001</v>
      </c>
      <c r="J245" s="36">
        <f t="shared" si="98"/>
        <v>4798.41</v>
      </c>
      <c r="K245" s="173">
        <f>'2025 Μάιος'!L50</f>
        <v>823.86000000000013</v>
      </c>
      <c r="L245" s="36">
        <f t="shared" si="99"/>
        <v>5622.27</v>
      </c>
      <c r="M245" s="173">
        <f>'2025 Ιούνιος'!L50</f>
        <v>947.22</v>
      </c>
      <c r="N245" s="36">
        <f t="shared" si="100"/>
        <v>6569.4900000000007</v>
      </c>
      <c r="O245" s="173">
        <f>'2025 Ιούλιος'!L50</f>
        <v>810.41</v>
      </c>
      <c r="P245" s="36">
        <f t="shared" si="101"/>
        <v>7379.9000000000005</v>
      </c>
      <c r="Q245" s="173">
        <f>'2025 Aύγουστος'!L50</f>
        <v>1307.33</v>
      </c>
      <c r="R245" s="36">
        <f t="shared" si="102"/>
        <v>8687.23</v>
      </c>
      <c r="S245" s="173">
        <f>'2025 Σεπτέμβριος'!L50</f>
        <v>1005.93</v>
      </c>
      <c r="T245" s="36">
        <f t="shared" si="103"/>
        <v>9693.16</v>
      </c>
      <c r="U245" s="173">
        <f>'2025 Οκτώβριος'!L50</f>
        <v>1008.2</v>
      </c>
      <c r="V245" s="36">
        <f t="shared" si="104"/>
        <v>10701.36</v>
      </c>
      <c r="W245" s="173">
        <f>'2025 Νοέμβριος'!L50</f>
        <v>1022.18</v>
      </c>
      <c r="X245" s="36">
        <f t="shared" si="105"/>
        <v>11723.54</v>
      </c>
      <c r="Y245" s="173">
        <f>'2025 Δεκέμβριος'!L50</f>
        <v>1422.38</v>
      </c>
      <c r="Z245" s="36">
        <f t="shared" si="106"/>
        <v>13145.920000000002</v>
      </c>
      <c r="AA245" s="36">
        <f t="shared" si="107"/>
        <v>13145.920000000002</v>
      </c>
      <c r="AD245" s="37">
        <f>IF(C124&lt;&gt;0,C245,0) + IF(E124&lt;&gt;0,E245,0) + IF(G124&lt;&gt;0,G245,0) +
IF(I124&lt;&gt;0,I245,0) + IF(K124&lt;&gt;0,K245,0) + IF(M124&lt;&gt;0,M245,0) +
IF(O124&lt;&gt;0,O245,0) + IF(Q124&lt;&gt;0,Q245,0) + IF(S124&lt;&gt;0,S245,0) +
IF(U124&lt;&gt;0,U245,0) + IF(W124&lt;&gt;0,W245,0) + IF(Y124&lt;&gt;0,Y245,0)</f>
        <v>5622.27</v>
      </c>
    </row>
    <row r="246" spans="1:30" x14ac:dyDescent="0.25">
      <c r="A246" s="44" t="str">
        <f>'2025 Ιανουάριος'!C51</f>
        <v>Ασφαλιστικές εισφορές (Α.Κ. MAINTENANCE DEP )</v>
      </c>
      <c r="B246" s="35">
        <v>2024</v>
      </c>
      <c r="C246" s="173">
        <f>'2025 Ιανουάριος'!L51</f>
        <v>713.96</v>
      </c>
      <c r="D246" s="36">
        <f t="shared" si="95"/>
        <v>713.96</v>
      </c>
      <c r="E246" s="173">
        <f>'2025 Φεβρουάριος'!L51</f>
        <v>701.41</v>
      </c>
      <c r="F246" s="36">
        <f t="shared" si="96"/>
        <v>1415.37</v>
      </c>
      <c r="G246" s="173">
        <f>'2025 Μάρτιος'!L51</f>
        <v>744.26</v>
      </c>
      <c r="H246" s="36">
        <f t="shared" si="97"/>
        <v>2159.63</v>
      </c>
      <c r="I246" s="173">
        <f>'2025 Απρίλιος'!L51</f>
        <v>977.3900000000001</v>
      </c>
      <c r="J246" s="36">
        <f t="shared" si="98"/>
        <v>3137.0200000000004</v>
      </c>
      <c r="K246" s="173">
        <f>'2025 Μάιος'!L51</f>
        <v>745.91</v>
      </c>
      <c r="L246" s="36">
        <f t="shared" si="99"/>
        <v>3882.9300000000003</v>
      </c>
      <c r="M246" s="173">
        <f>'2025 Ιούνιος'!L51</f>
        <v>776.3</v>
      </c>
      <c r="N246" s="36">
        <f t="shared" si="100"/>
        <v>4659.2300000000005</v>
      </c>
      <c r="O246" s="173">
        <f>'2025 Ιούλιος'!L51</f>
        <v>824.94</v>
      </c>
      <c r="P246" s="36">
        <f t="shared" si="101"/>
        <v>5484.17</v>
      </c>
      <c r="Q246" s="173">
        <f>'2025 Aύγουστος'!L51</f>
        <v>517.64</v>
      </c>
      <c r="R246" s="36">
        <f t="shared" si="102"/>
        <v>6001.81</v>
      </c>
      <c r="S246" s="173">
        <f>'2025 Σεπτέμβριος'!L51</f>
        <v>484.86</v>
      </c>
      <c r="T246" s="36">
        <f t="shared" si="103"/>
        <v>6486.67</v>
      </c>
      <c r="U246" s="173">
        <f>'2025 Οκτώβριος'!L51</f>
        <v>589.86</v>
      </c>
      <c r="V246" s="36">
        <f t="shared" si="104"/>
        <v>7076.53</v>
      </c>
      <c r="W246" s="173">
        <f>'2025 Νοέμβριος'!L51</f>
        <v>572.03</v>
      </c>
      <c r="X246" s="36">
        <f t="shared" si="105"/>
        <v>7648.5599999999995</v>
      </c>
      <c r="Y246" s="173">
        <f>'2025 Δεκέμβριος'!L51</f>
        <v>1123.74</v>
      </c>
      <c r="Z246" s="36">
        <f t="shared" si="106"/>
        <v>8772.2999999999993</v>
      </c>
      <c r="AA246" s="36">
        <f t="shared" si="107"/>
        <v>8772.2999999999993</v>
      </c>
      <c r="AD246" s="37">
        <f>IF(C125&lt;&gt;0,C246,0) + IF(E125&lt;&gt;0,E246,0) + IF(G125&lt;&gt;0,G246,0) +
IF(I125&lt;&gt;0,I246,0) + IF(K125&lt;&gt;0,K246,0) + IF(M125&lt;&gt;0,M246,0) +
IF(O125&lt;&gt;0,O246,0) + IF(Q125&lt;&gt;0,Q246,0) + IF(S125&lt;&gt;0,S246,0) +
IF(U125&lt;&gt;0,U246,0) + IF(W125&lt;&gt;0,W246,0) + IF(Y125&lt;&gt;0,Y246,0)</f>
        <v>3882.9300000000003</v>
      </c>
    </row>
    <row r="247" spans="1:30" x14ac:dyDescent="0.25">
      <c r="A247" s="44" t="str">
        <f>'2025 Ιανουάριος'!C54</f>
        <v xml:space="preserve">Ενοίκια </v>
      </c>
      <c r="B247" s="35">
        <v>2024</v>
      </c>
      <c r="C247" s="173">
        <f>'2025 Ιανουάριος'!L54</f>
        <v>9308.57</v>
      </c>
      <c r="D247" s="36">
        <f t="shared" si="95"/>
        <v>9308.57</v>
      </c>
      <c r="E247" s="173">
        <f>'2025 Φεβρουάριος'!L54</f>
        <v>9312.57</v>
      </c>
      <c r="F247" s="36">
        <f t="shared" si="96"/>
        <v>18621.14</v>
      </c>
      <c r="G247" s="173">
        <f>'2025 Μάρτιος'!L54</f>
        <v>9312.57</v>
      </c>
      <c r="H247" s="36">
        <f t="shared" si="97"/>
        <v>27933.71</v>
      </c>
      <c r="I247" s="173">
        <f>'2025 Απρίλιος'!L54</f>
        <v>9312.57</v>
      </c>
      <c r="J247" s="36">
        <f t="shared" si="98"/>
        <v>37246.28</v>
      </c>
      <c r="K247" s="173">
        <f>'2025 Μάιος'!L54</f>
        <v>9312.57</v>
      </c>
      <c r="L247" s="36">
        <f t="shared" si="99"/>
        <v>46558.85</v>
      </c>
      <c r="M247" s="173">
        <f>'2025 Ιούνιος'!L54</f>
        <v>9331.11</v>
      </c>
      <c r="N247" s="36">
        <f t="shared" si="100"/>
        <v>55889.96</v>
      </c>
      <c r="O247" s="173">
        <f>'2025 Ιούλιος'!L54</f>
        <v>9331.11</v>
      </c>
      <c r="P247" s="36">
        <f t="shared" si="101"/>
        <v>65221.07</v>
      </c>
      <c r="Q247" s="173">
        <f>'2025 Aύγουστος'!L54</f>
        <v>9331.11</v>
      </c>
      <c r="R247" s="36">
        <f t="shared" si="102"/>
        <v>74552.179999999993</v>
      </c>
      <c r="S247" s="173">
        <f>'2025 Σεπτέμβριος'!L54</f>
        <v>9799.739999999998</v>
      </c>
      <c r="T247" s="36">
        <f t="shared" si="103"/>
        <v>84351.919999999984</v>
      </c>
      <c r="U247" s="173">
        <f>'2025 Οκτώβριος'!L54</f>
        <v>9331.11</v>
      </c>
      <c r="V247" s="36">
        <f t="shared" si="104"/>
        <v>93683.029999999984</v>
      </c>
      <c r="W247" s="173">
        <f>'2025 Νοέμβριος'!L54</f>
        <v>9218.49</v>
      </c>
      <c r="X247" s="36">
        <f t="shared" si="105"/>
        <v>102901.51999999999</v>
      </c>
      <c r="Y247" s="173">
        <f>'2025 Δεκέμβριος'!L54</f>
        <v>15699.14</v>
      </c>
      <c r="Z247" s="36">
        <f t="shared" si="106"/>
        <v>118600.65999999999</v>
      </c>
      <c r="AA247" s="36">
        <f t="shared" si="107"/>
        <v>118600.65999999999</v>
      </c>
      <c r="AD247" s="37">
        <f>IF(C128&lt;&gt;0,C247,0) + IF(E128&lt;&gt;0,E247,0) + IF(G128&lt;&gt;0,G247,0) +
IF(I128&lt;&gt;0,I247,0) + IF(K128&lt;&gt;0,K247,0) + IF(M128&lt;&gt;0,M247,0) +
IF(O128&lt;&gt;0,O247,0) + IF(Q128&lt;&gt;0,Q247,0) + IF(S128&lt;&gt;0,S247,0) +
IF(U128&lt;&gt;0,U247,0) + IF(W128&lt;&gt;0,W247,0) + IF(Y128&lt;&gt;0,Y247,0)</f>
        <v>46558.85</v>
      </c>
    </row>
    <row r="248" spans="1:30" x14ac:dyDescent="0.25">
      <c r="A248" s="44" t="str">
        <f>'2025 Ιανουάριος'!C55</f>
        <v xml:space="preserve">Διαφορά Ενοικίου </v>
      </c>
      <c r="B248" s="35">
        <v>2024</v>
      </c>
      <c r="C248" s="173">
        <f>'2025 Ιανουάριος'!L55</f>
        <v>0</v>
      </c>
      <c r="D248" s="36">
        <f t="shared" si="95"/>
        <v>0</v>
      </c>
      <c r="E248" s="173">
        <f>'2025 Φεβρουάριος'!L55</f>
        <v>0</v>
      </c>
      <c r="F248" s="36">
        <f t="shared" si="96"/>
        <v>0</v>
      </c>
      <c r="G248" s="173">
        <f>'2025 Μάρτιος'!L55</f>
        <v>0</v>
      </c>
      <c r="H248" s="36">
        <f t="shared" si="97"/>
        <v>0</v>
      </c>
      <c r="I248" s="173">
        <f>'2025 Απρίλιος'!L55</f>
        <v>0</v>
      </c>
      <c r="J248" s="36">
        <f t="shared" si="98"/>
        <v>0</v>
      </c>
      <c r="K248" s="173">
        <f>'2025 Μάιος'!L55</f>
        <v>0</v>
      </c>
      <c r="L248" s="36">
        <f t="shared" si="99"/>
        <v>0</v>
      </c>
      <c r="M248" s="173">
        <f>'2025 Ιούνιος'!L55</f>
        <v>0</v>
      </c>
      <c r="N248" s="36">
        <f t="shared" si="100"/>
        <v>0</v>
      </c>
      <c r="O248" s="173">
        <f>'2025 Ιούλιος'!L55</f>
        <v>0</v>
      </c>
      <c r="P248" s="36">
        <f t="shared" si="101"/>
        <v>0</v>
      </c>
      <c r="Q248" s="173">
        <f>'2025 Aύγουστος'!L55</f>
        <v>0</v>
      </c>
      <c r="R248" s="36">
        <f t="shared" si="102"/>
        <v>0</v>
      </c>
      <c r="S248" s="173">
        <f>'2025 Σεπτέμβριος'!L55</f>
        <v>0</v>
      </c>
      <c r="T248" s="36">
        <f t="shared" si="103"/>
        <v>0</v>
      </c>
      <c r="U248" s="173">
        <f>'2025 Οκτώβριος'!L55</f>
        <v>0</v>
      </c>
      <c r="V248" s="36">
        <f t="shared" si="104"/>
        <v>0</v>
      </c>
      <c r="W248" s="173">
        <f>'2025 Νοέμβριος'!L55</f>
        <v>0</v>
      </c>
      <c r="X248" s="36">
        <f t="shared" si="105"/>
        <v>0</v>
      </c>
      <c r="Y248" s="173">
        <f>'2025 Δεκέμβριος'!L55</f>
        <v>0</v>
      </c>
      <c r="Z248" s="36">
        <f t="shared" si="106"/>
        <v>0</v>
      </c>
      <c r="AA248" s="36">
        <f t="shared" si="107"/>
        <v>0</v>
      </c>
      <c r="AD248" s="37">
        <f>IF(C129&lt;&gt;0,C248,0) + IF(E129&lt;&gt;0,E248,0) + IF(G129&lt;&gt;0,G248,0) +
IF(I129&lt;&gt;0,I248,0) + IF(K129&lt;&gt;0,K248,0) + IF(M129&lt;&gt;0,M248,0) +
IF(O129&lt;&gt;0,O248,0) + IF(Q129&lt;&gt;0,Q248,0) + IF(S129&lt;&gt;0,S248,0) +
IF(U129&lt;&gt;0,U248,0) + IF(W129&lt;&gt;0,W248,0) + IF(Y129&lt;&gt;0,Y248,0)</f>
        <v>0</v>
      </c>
    </row>
    <row r="249" spans="1:30" x14ac:dyDescent="0.25">
      <c r="A249" s="44" t="str">
        <f>'2025 Ιανουάριος'!C56</f>
        <v xml:space="preserve">Χαρτόσημο ενοικίων </v>
      </c>
      <c r="B249" s="35">
        <v>2024</v>
      </c>
      <c r="C249" s="173">
        <f>'2025 Ιανουάριος'!L56</f>
        <v>335.09</v>
      </c>
      <c r="D249" s="36">
        <f t="shared" si="95"/>
        <v>335.09</v>
      </c>
      <c r="E249" s="173">
        <f>'2025 Φεβρουάριος'!L56</f>
        <v>327.67</v>
      </c>
      <c r="F249" s="36">
        <f t="shared" si="96"/>
        <v>662.76</v>
      </c>
      <c r="G249" s="173">
        <f>'2025 Μάρτιος'!L56</f>
        <v>327.67</v>
      </c>
      <c r="H249" s="36">
        <f t="shared" si="97"/>
        <v>990.43000000000006</v>
      </c>
      <c r="I249" s="173">
        <f>'2025 Απρίλιος'!L56</f>
        <v>327.67</v>
      </c>
      <c r="J249" s="36">
        <f t="shared" si="98"/>
        <v>1318.1000000000001</v>
      </c>
      <c r="K249" s="173">
        <f>'2025 Μάιος'!L56</f>
        <v>327.67</v>
      </c>
      <c r="L249" s="36">
        <f t="shared" si="99"/>
        <v>1645.7700000000002</v>
      </c>
      <c r="M249" s="173">
        <f>'2025 Ιούνιος'!L56</f>
        <v>328.35</v>
      </c>
      <c r="N249" s="36">
        <f t="shared" si="100"/>
        <v>1974.1200000000003</v>
      </c>
      <c r="O249" s="173">
        <f>'2025 Ιούλιος'!L56</f>
        <v>328.35</v>
      </c>
      <c r="P249" s="36">
        <f t="shared" si="101"/>
        <v>2302.4700000000003</v>
      </c>
      <c r="Q249" s="173">
        <f>'2025 Aύγουστος'!L56</f>
        <v>328.35</v>
      </c>
      <c r="R249" s="36">
        <f t="shared" si="102"/>
        <v>2630.82</v>
      </c>
      <c r="S249" s="173">
        <f>'2025 Σεπτέμβριος'!L56</f>
        <v>328.35</v>
      </c>
      <c r="T249" s="36">
        <f t="shared" si="103"/>
        <v>2959.17</v>
      </c>
      <c r="U249" s="173">
        <f>'2025 Οκτώβριος'!L56</f>
        <v>328.35</v>
      </c>
      <c r="V249" s="36">
        <f t="shared" si="104"/>
        <v>3287.52</v>
      </c>
      <c r="W249" s="173">
        <f>'2025 Νοέμβριος'!L56</f>
        <v>324.3</v>
      </c>
      <c r="X249" s="36">
        <f t="shared" si="105"/>
        <v>3611.82</v>
      </c>
      <c r="Y249" s="173">
        <f>'2025 Δεκέμβριος'!L56</f>
        <v>557.59999999999991</v>
      </c>
      <c r="Z249" s="36">
        <f t="shared" si="106"/>
        <v>4169.42</v>
      </c>
      <c r="AA249" s="36">
        <f t="shared" si="107"/>
        <v>4169.42</v>
      </c>
      <c r="AD249" s="37">
        <f>IF(C130&lt;&gt;0,C249,0) + IF(E130&lt;&gt;0,E249,0) + IF(G130&lt;&gt;0,G249,0) +
IF(I130&lt;&gt;0,I249,0) + IF(K130&lt;&gt;0,K249,0) + IF(M130&lt;&gt;0,M249,0) +
IF(O130&lt;&gt;0,O249,0) + IF(Q130&lt;&gt;0,Q249,0) + IF(S130&lt;&gt;0,S249,0) +
IF(U130&lt;&gt;0,U249,0) + IF(W130&lt;&gt;0,W249,0) + IF(Y130&lt;&gt;0,Y249,0)</f>
        <v>1645.7700000000002</v>
      </c>
    </row>
    <row r="250" spans="1:30" x14ac:dyDescent="0.25">
      <c r="A250" s="44" t="str">
        <f>'2025 Ιανουάριος'!C57</f>
        <v xml:space="preserve">Κοινόχρηστες Δαπάνες </v>
      </c>
      <c r="B250" s="35">
        <v>2024</v>
      </c>
      <c r="C250" s="173">
        <f>'2025 Ιανουάριος'!L57</f>
        <v>535.22</v>
      </c>
      <c r="D250" s="36">
        <f t="shared" si="95"/>
        <v>535.22</v>
      </c>
      <c r="E250" s="173">
        <f>'2025 Φεβρουάριος'!L57</f>
        <v>482.53</v>
      </c>
      <c r="F250" s="36">
        <f t="shared" si="96"/>
        <v>1017.75</v>
      </c>
      <c r="G250" s="173">
        <f>'2025 Μάρτιος'!L57</f>
        <v>951.13</v>
      </c>
      <c r="H250" s="36">
        <f t="shared" si="97"/>
        <v>1968.88</v>
      </c>
      <c r="I250" s="173">
        <f>'2025 Απρίλιος'!L57</f>
        <v>292.92</v>
      </c>
      <c r="J250" s="36">
        <f t="shared" si="98"/>
        <v>2261.8000000000002</v>
      </c>
      <c r="K250" s="173">
        <f>'2025 Μάιος'!L57</f>
        <v>259.83</v>
      </c>
      <c r="L250" s="36">
        <f t="shared" si="99"/>
        <v>2521.63</v>
      </c>
      <c r="M250" s="173">
        <f>'2025 Ιούνιος'!L57</f>
        <v>1266.43</v>
      </c>
      <c r="N250" s="36">
        <f t="shared" si="100"/>
        <v>3788.0600000000004</v>
      </c>
      <c r="O250" s="173">
        <f>'2025 Ιούλιος'!L57</f>
        <v>124.79</v>
      </c>
      <c r="P250" s="36">
        <f t="shared" si="101"/>
        <v>3912.8500000000004</v>
      </c>
      <c r="Q250" s="173">
        <f>'2025 Aύγουστος'!L57</f>
        <v>265.64</v>
      </c>
      <c r="R250" s="36">
        <f t="shared" si="102"/>
        <v>4178.4900000000007</v>
      </c>
      <c r="S250" s="173">
        <f>'2025 Σεπτέμβριος'!L57</f>
        <v>865.06</v>
      </c>
      <c r="T250" s="36">
        <f t="shared" si="103"/>
        <v>5043.5500000000011</v>
      </c>
      <c r="U250" s="173">
        <f>'2025 Οκτώβριος'!L57</f>
        <v>225.26</v>
      </c>
      <c r="V250" s="36">
        <f t="shared" si="104"/>
        <v>5268.8100000000013</v>
      </c>
      <c r="W250" s="173">
        <f>'2025 Νοέμβριος'!L57</f>
        <v>176.62</v>
      </c>
      <c r="X250" s="36">
        <f t="shared" si="105"/>
        <v>5445.4300000000012</v>
      </c>
      <c r="Y250" s="173">
        <f>'2025 Δεκέμβριος'!L57</f>
        <v>1227.25</v>
      </c>
      <c r="Z250" s="36">
        <f t="shared" si="106"/>
        <v>6672.6800000000012</v>
      </c>
      <c r="AA250" s="36">
        <f t="shared" si="107"/>
        <v>6672.6800000000012</v>
      </c>
      <c r="AD250" s="37">
        <f>IF(C131&lt;&gt;0,C250,0) + IF(E131&lt;&gt;0,E250,0) + IF(G131&lt;&gt;0,G250,0) +
IF(I131&lt;&gt;0,I250,0) + IF(K131&lt;&gt;0,K250,0) + IF(M131&lt;&gt;0,M250,0) +
IF(O131&lt;&gt;0,O250,0) + IF(Q131&lt;&gt;0,Q250,0) + IF(S131&lt;&gt;0,S250,0) +
IF(U131&lt;&gt;0,U250,0) + IF(W131&lt;&gt;0,W250,0) + IF(Y131&lt;&gt;0,Y250,0)</f>
        <v>2521.63</v>
      </c>
    </row>
    <row r="251" spans="1:30" x14ac:dyDescent="0.25">
      <c r="A251" s="44" t="str">
        <f>'2025 Ιανουάριος'!C58</f>
        <v xml:space="preserve">Ενέργεια </v>
      </c>
      <c r="B251" s="35">
        <v>2024</v>
      </c>
      <c r="C251" s="173">
        <f>'2025 Ιανουάριος'!L58</f>
        <v>107.41</v>
      </c>
      <c r="D251" s="36">
        <f t="shared" si="95"/>
        <v>107.41</v>
      </c>
      <c r="E251" s="173">
        <f>'2025 Φεβρουάριος'!L58</f>
        <v>1298.3699999999999</v>
      </c>
      <c r="F251" s="36">
        <f t="shared" si="96"/>
        <v>1405.78</v>
      </c>
      <c r="G251" s="173">
        <f>'2025 Μάρτιος'!L58</f>
        <v>462.96999999999991</v>
      </c>
      <c r="H251" s="36">
        <f t="shared" si="97"/>
        <v>1868.75</v>
      </c>
      <c r="I251" s="173">
        <f>'2025 Απρίλιος'!L58</f>
        <v>-113.33</v>
      </c>
      <c r="J251" s="36">
        <f t="shared" si="98"/>
        <v>1755.42</v>
      </c>
      <c r="K251" s="173">
        <f>'2025 Μάιος'!L58</f>
        <v>606.06999999999994</v>
      </c>
      <c r="L251" s="36">
        <f t="shared" si="99"/>
        <v>2361.4899999999998</v>
      </c>
      <c r="M251" s="173">
        <f>'2025 Ιούνιος'!L58</f>
        <v>828.71900000000016</v>
      </c>
      <c r="N251" s="36">
        <f t="shared" si="100"/>
        <v>3190.2089999999998</v>
      </c>
      <c r="O251" s="173">
        <f>'2025 Ιούλιος'!L58</f>
        <v>1191.81</v>
      </c>
      <c r="P251" s="36">
        <f t="shared" si="101"/>
        <v>4382.0190000000002</v>
      </c>
      <c r="Q251" s="173">
        <f>'2025 Aύγουστος'!L58</f>
        <v>3672.2400000000011</v>
      </c>
      <c r="R251" s="36">
        <f t="shared" si="102"/>
        <v>8054.2590000000018</v>
      </c>
      <c r="S251" s="173">
        <f>'2025 Σεπτέμβριος'!L58</f>
        <v>2343.33</v>
      </c>
      <c r="T251" s="36">
        <f t="shared" si="103"/>
        <v>10397.589000000002</v>
      </c>
      <c r="U251" s="173">
        <f>'2025 Οκτώβριος'!L58</f>
        <v>2132</v>
      </c>
      <c r="V251" s="36">
        <f t="shared" si="104"/>
        <v>12529.589000000002</v>
      </c>
      <c r="W251" s="173">
        <f>'2025 Νοέμβριος'!L58</f>
        <v>537.91000000000008</v>
      </c>
      <c r="X251" s="36">
        <f t="shared" si="105"/>
        <v>13067.499000000002</v>
      </c>
      <c r="Y251" s="173">
        <f>'2025 Δεκέμβριος'!L58</f>
        <v>2113.17</v>
      </c>
      <c r="Z251" s="36">
        <f t="shared" si="106"/>
        <v>15180.669000000002</v>
      </c>
      <c r="AA251" s="36">
        <f t="shared" si="107"/>
        <v>15180.669000000002</v>
      </c>
      <c r="AD251" s="37">
        <f>IF(C132&lt;&gt;0,C251,0) + IF(E132&lt;&gt;0,E251,0) + IF(G132&lt;&gt;0,G251,0) +
IF(I132&lt;&gt;0,I251,0) + IF(K132&lt;&gt;0,K251,0) + IF(M132&lt;&gt;0,M251,0) +
IF(O132&lt;&gt;0,O251,0) + IF(Q132&lt;&gt;0,Q251,0) + IF(S132&lt;&gt;0,S251,0) +
IF(U132&lt;&gt;0,U251,0) + IF(W132&lt;&gt;0,W251,0) + IF(Y132&lt;&gt;0,Y251,0)</f>
        <v>2361.4899999999998</v>
      </c>
    </row>
    <row r="252" spans="1:30" x14ac:dyDescent="0.25">
      <c r="A252" s="44" t="str">
        <f>'2025 Ιανουάριος'!C59</f>
        <v>Φυσικό αέριο</v>
      </c>
      <c r="B252" s="35">
        <v>2024</v>
      </c>
      <c r="C252" s="173">
        <f>'2025 Ιανουάριος'!L59</f>
        <v>0</v>
      </c>
      <c r="D252" s="36">
        <f t="shared" si="95"/>
        <v>0</v>
      </c>
      <c r="E252" s="173">
        <f>'2025 Φεβρουάριος'!L59</f>
        <v>0</v>
      </c>
      <c r="F252" s="36">
        <f t="shared" si="96"/>
        <v>0</v>
      </c>
      <c r="G252" s="173">
        <f>'2025 Μάρτιος'!L59</f>
        <v>0</v>
      </c>
      <c r="H252" s="36">
        <f t="shared" si="97"/>
        <v>0</v>
      </c>
      <c r="I252" s="173">
        <f>'2025 Απρίλιος'!L59</f>
        <v>0</v>
      </c>
      <c r="J252" s="36">
        <f t="shared" si="98"/>
        <v>0</v>
      </c>
      <c r="K252" s="173">
        <f>'2025 Μάιος'!L59</f>
        <v>0</v>
      </c>
      <c r="L252" s="36">
        <f t="shared" si="99"/>
        <v>0</v>
      </c>
      <c r="M252" s="173">
        <f>'2025 Ιούνιος'!L59</f>
        <v>0</v>
      </c>
      <c r="N252" s="36">
        <f t="shared" si="100"/>
        <v>0</v>
      </c>
      <c r="O252" s="173">
        <f>'2025 Ιούλιος'!L59</f>
        <v>0</v>
      </c>
      <c r="P252" s="36">
        <f t="shared" si="101"/>
        <v>0</v>
      </c>
      <c r="Q252" s="173">
        <f>'2025 Aύγουστος'!L59</f>
        <v>0</v>
      </c>
      <c r="R252" s="36">
        <f t="shared" si="102"/>
        <v>0</v>
      </c>
      <c r="S252" s="173">
        <f>'2025 Σεπτέμβριος'!L59</f>
        <v>0</v>
      </c>
      <c r="T252" s="36">
        <f t="shared" si="103"/>
        <v>0</v>
      </c>
      <c r="U252" s="173">
        <f>'2025 Οκτώβριος'!L59</f>
        <v>0</v>
      </c>
      <c r="V252" s="36">
        <f t="shared" si="104"/>
        <v>0</v>
      </c>
      <c r="W252" s="173">
        <f>'2025 Νοέμβριος'!L59</f>
        <v>0</v>
      </c>
      <c r="X252" s="36">
        <f t="shared" si="105"/>
        <v>0</v>
      </c>
      <c r="Y252" s="173">
        <f>'2025 Δεκέμβριος'!L59</f>
        <v>472.22</v>
      </c>
      <c r="Z252" s="36">
        <f t="shared" si="106"/>
        <v>472.22</v>
      </c>
      <c r="AA252" s="36">
        <f t="shared" si="107"/>
        <v>472.22</v>
      </c>
      <c r="AD252" s="37">
        <f>IF(C133&lt;&gt;0,C252,0) + IF(E133&lt;&gt;0,E252,0) + IF(G133&lt;&gt;0,G252,0) +
IF(I133&lt;&gt;0,I252,0) + IF(K133&lt;&gt;0,K252,0) + IF(M133&lt;&gt;0,M252,0) +
IF(O133&lt;&gt;0,O252,0) + IF(Q133&lt;&gt;0,Q252,0) + IF(S133&lt;&gt;0,S252,0) +
IF(U133&lt;&gt;0,U252,0) + IF(W133&lt;&gt;0,W252,0) + IF(Y133&lt;&gt;0,Y252,0)</f>
        <v>0</v>
      </c>
    </row>
    <row r="253" spans="1:30" x14ac:dyDescent="0.25">
      <c r="A253" s="44" t="str">
        <f>'2025 Ιανουάριος'!C60</f>
        <v xml:space="preserve">Τηλεπικοινωνίες (Τηλεφωνία &amp; Διαδίκτυο) </v>
      </c>
      <c r="B253" s="35">
        <v>2024</v>
      </c>
      <c r="C253" s="173">
        <f>'2025 Ιανουάριος'!L60</f>
        <v>128.1</v>
      </c>
      <c r="D253" s="36">
        <f t="shared" si="95"/>
        <v>128.1</v>
      </c>
      <c r="E253" s="173">
        <f>'2025 Φεβρουάριος'!L60</f>
        <v>356.49</v>
      </c>
      <c r="F253" s="36">
        <f t="shared" si="96"/>
        <v>484.59000000000003</v>
      </c>
      <c r="G253" s="173">
        <f>'2025 Μάρτιος'!L60</f>
        <v>359.67</v>
      </c>
      <c r="H253" s="36">
        <f t="shared" si="97"/>
        <v>844.26</v>
      </c>
      <c r="I253" s="173">
        <f>'2025 Απρίλιος'!L60</f>
        <v>271.67</v>
      </c>
      <c r="J253" s="36">
        <f t="shared" si="98"/>
        <v>1115.93</v>
      </c>
      <c r="K253" s="173">
        <f>'2025 Μάιος'!L60</f>
        <v>356.69</v>
      </c>
      <c r="L253" s="36">
        <f t="shared" si="99"/>
        <v>1472.6200000000001</v>
      </c>
      <c r="M253" s="173">
        <f>'2025 Ιούνιος'!L60</f>
        <v>360.39</v>
      </c>
      <c r="N253" s="36">
        <f t="shared" si="100"/>
        <v>1833.0100000000002</v>
      </c>
      <c r="O253" s="173">
        <f>'2025 Ιούλιος'!L60</f>
        <v>360.39</v>
      </c>
      <c r="P253" s="36">
        <f t="shared" si="101"/>
        <v>2193.4</v>
      </c>
      <c r="Q253" s="173">
        <f>'2025 Aύγουστος'!L60</f>
        <v>357.93</v>
      </c>
      <c r="R253" s="36">
        <f t="shared" si="102"/>
        <v>2551.33</v>
      </c>
      <c r="S253" s="173">
        <f>'2025 Σεπτέμβριος'!L60</f>
        <v>360.39</v>
      </c>
      <c r="T253" s="36">
        <f t="shared" si="103"/>
        <v>2911.72</v>
      </c>
      <c r="U253" s="173">
        <f>'2025 Οκτώβριος'!L60</f>
        <v>360.39</v>
      </c>
      <c r="V253" s="36">
        <f t="shared" si="104"/>
        <v>3272.1099999999997</v>
      </c>
      <c r="W253" s="173">
        <f>'2025 Νοέμβριος'!L60</f>
        <v>375.48</v>
      </c>
      <c r="X253" s="36">
        <f t="shared" si="105"/>
        <v>3647.5899999999997</v>
      </c>
      <c r="Y253" s="173">
        <f>'2025 Δεκέμβριος'!L60</f>
        <v>606.06000000000006</v>
      </c>
      <c r="Z253" s="36">
        <f t="shared" si="106"/>
        <v>4253.6499999999996</v>
      </c>
      <c r="AA253" s="36">
        <f t="shared" si="107"/>
        <v>4253.6499999999996</v>
      </c>
      <c r="AD253" s="37">
        <f>IF(C134&lt;&gt;0,C253,0) + IF(E134&lt;&gt;0,E253,0) + IF(G134&lt;&gt;0,G253,0) +
IF(I134&lt;&gt;0,I253,0) + IF(K134&lt;&gt;0,K253,0) + IF(M134&lt;&gt;0,M253,0) +
IF(O134&lt;&gt;0,O253,0) + IF(Q134&lt;&gt;0,Q253,0) + IF(S134&lt;&gt;0,S253,0) +
IF(U134&lt;&gt;0,U253,0) + IF(W134&lt;&gt;0,W253,0) + IF(Y134&lt;&gt;0,Y253,0)</f>
        <v>1472.6200000000001</v>
      </c>
    </row>
    <row r="254" spans="1:30" x14ac:dyDescent="0.25">
      <c r="A254" s="44" t="str">
        <f>'2025 Ιανουάριος'!C61</f>
        <v xml:space="preserve">Ύδρευση </v>
      </c>
      <c r="B254" s="35">
        <v>2024</v>
      </c>
      <c r="C254" s="173">
        <f>'2025 Ιανουάριος'!L61</f>
        <v>2.84</v>
      </c>
      <c r="D254" s="36">
        <f t="shared" si="95"/>
        <v>2.84</v>
      </c>
      <c r="E254" s="173">
        <f>'2025 Φεβρουάριος'!L61</f>
        <v>-29.789999999999971</v>
      </c>
      <c r="F254" s="36">
        <f t="shared" si="96"/>
        <v>-26.949999999999971</v>
      </c>
      <c r="G254" s="173">
        <f>'2025 Μάρτιος'!L61</f>
        <v>6.36</v>
      </c>
      <c r="H254" s="36">
        <f t="shared" si="97"/>
        <v>-20.589999999999971</v>
      </c>
      <c r="I254" s="173">
        <f>'2025 Απρίλιος'!L61</f>
        <v>24.39</v>
      </c>
      <c r="J254" s="36">
        <f t="shared" si="98"/>
        <v>3.8000000000000291</v>
      </c>
      <c r="K254" s="173">
        <f>'2025 Μάιος'!L61</f>
        <v>206.35</v>
      </c>
      <c r="L254" s="36">
        <f t="shared" si="99"/>
        <v>210.15000000000003</v>
      </c>
      <c r="M254" s="173">
        <f>'2025 Ιούνιος'!L61</f>
        <v>30.27</v>
      </c>
      <c r="N254" s="36">
        <f t="shared" si="100"/>
        <v>240.42000000000004</v>
      </c>
      <c r="O254" s="173">
        <f>'2025 Ιούλιος'!L61</f>
        <v>78.58</v>
      </c>
      <c r="P254" s="36">
        <f t="shared" si="101"/>
        <v>319.00000000000006</v>
      </c>
      <c r="Q254" s="173">
        <f>'2025 Aύγουστος'!L61</f>
        <v>486.81</v>
      </c>
      <c r="R254" s="36">
        <f t="shared" si="102"/>
        <v>805.81000000000006</v>
      </c>
      <c r="S254" s="173">
        <f>'2025 Σεπτέμβριος'!L61</f>
        <v>0</v>
      </c>
      <c r="T254" s="36">
        <f t="shared" si="103"/>
        <v>805.81000000000006</v>
      </c>
      <c r="U254" s="173">
        <f>'2025 Οκτώβριος'!L61</f>
        <v>95.350000000000009</v>
      </c>
      <c r="V254" s="36">
        <f t="shared" si="104"/>
        <v>901.16000000000008</v>
      </c>
      <c r="W254" s="173">
        <f>'2025 Νοέμβριος'!L61</f>
        <v>446.28</v>
      </c>
      <c r="X254" s="36">
        <f t="shared" si="105"/>
        <v>1347.44</v>
      </c>
      <c r="Y254" s="173">
        <f>'2025 Δεκέμβριος'!L61</f>
        <v>150.47999999999999</v>
      </c>
      <c r="Z254" s="36">
        <f t="shared" si="106"/>
        <v>1497.92</v>
      </c>
      <c r="AA254" s="36">
        <f t="shared" si="107"/>
        <v>1497.92</v>
      </c>
      <c r="AD254" s="37">
        <f>IF(C135&lt;&gt;0,C254,0) + IF(E135&lt;&gt;0,E254,0) + IF(G135&lt;&gt;0,G254,0) +
IF(I135&lt;&gt;0,I254,0) + IF(K135&lt;&gt;0,K254,0) + IF(M135&lt;&gt;0,M254,0) +
IF(O135&lt;&gt;0,O254,0) + IF(Q135&lt;&gt;0,Q254,0) + IF(S135&lt;&gt;0,S254,0) +
IF(U135&lt;&gt;0,U254,0) + IF(W135&lt;&gt;0,W254,0) + IF(Y135&lt;&gt;0,Y254,0)</f>
        <v>210.15000000000003</v>
      </c>
    </row>
    <row r="255" spans="1:30" x14ac:dyDescent="0.25">
      <c r="A255" s="44" t="str">
        <f>'2025 Ιανουάριος'!C62</f>
        <v xml:space="preserve">Ασφάλιστρα </v>
      </c>
      <c r="B255" s="35">
        <v>2024</v>
      </c>
      <c r="C255" s="173">
        <f>'2025 Ιανουάριος'!L62</f>
        <v>768.31000000000017</v>
      </c>
      <c r="D255" s="36">
        <f t="shared" si="95"/>
        <v>768.31000000000017</v>
      </c>
      <c r="E255" s="173">
        <f>'2025 Φεβρουάριος'!L62</f>
        <v>0</v>
      </c>
      <c r="F255" s="36">
        <f t="shared" si="96"/>
        <v>768.31000000000017</v>
      </c>
      <c r="G255" s="173">
        <f>'2025 Μάρτιος'!L62</f>
        <v>0</v>
      </c>
      <c r="H255" s="36">
        <f t="shared" si="97"/>
        <v>768.31000000000017</v>
      </c>
      <c r="I255" s="173">
        <f>'2025 Απρίλιος'!L62</f>
        <v>0</v>
      </c>
      <c r="J255" s="36">
        <f t="shared" si="98"/>
        <v>768.31000000000017</v>
      </c>
      <c r="K255" s="173">
        <f>'2025 Μάιος'!L62</f>
        <v>0</v>
      </c>
      <c r="L255" s="36">
        <f t="shared" si="99"/>
        <v>768.31000000000017</v>
      </c>
      <c r="M255" s="173">
        <f>'2025 Ιούνιος'!L62</f>
        <v>291.37999999999988</v>
      </c>
      <c r="N255" s="36">
        <f t="shared" si="100"/>
        <v>1059.69</v>
      </c>
      <c r="O255" s="173">
        <f>'2025 Ιούλιος'!L62</f>
        <v>0</v>
      </c>
      <c r="P255" s="36">
        <f t="shared" si="101"/>
        <v>1059.69</v>
      </c>
      <c r="Q255" s="173">
        <f>'2025 Aύγουστος'!L62</f>
        <v>383.39</v>
      </c>
      <c r="R255" s="36">
        <f t="shared" si="102"/>
        <v>1443.08</v>
      </c>
      <c r="S255" s="173">
        <f>'2025 Σεπτέμβριος'!L62</f>
        <v>0</v>
      </c>
      <c r="T255" s="36">
        <f t="shared" si="103"/>
        <v>1443.08</v>
      </c>
      <c r="U255" s="173">
        <f>'2025 Οκτώβριος'!L62</f>
        <v>0</v>
      </c>
      <c r="V255" s="36">
        <f t="shared" si="104"/>
        <v>1443.08</v>
      </c>
      <c r="W255" s="173">
        <f>'2025 Νοέμβριος'!L62</f>
        <v>0</v>
      </c>
      <c r="X255" s="36">
        <f t="shared" si="105"/>
        <v>1443.08</v>
      </c>
      <c r="Y255" s="173">
        <f>'2025 Δεκέμβριος'!L62</f>
        <v>172.65</v>
      </c>
      <c r="Z255" s="36">
        <f t="shared" si="106"/>
        <v>1615.73</v>
      </c>
      <c r="AA255" s="36">
        <f t="shared" si="107"/>
        <v>1615.73</v>
      </c>
      <c r="AD255" s="37">
        <f>IF(C136&lt;&gt;0,C255,0) + IF(E136&lt;&gt;0,E255,0) + IF(G136&lt;&gt;0,G255,0) +
IF(I136&lt;&gt;0,I255,0) + IF(K136&lt;&gt;0,K255,0) + IF(M136&lt;&gt;0,M255,0) +
IF(O136&lt;&gt;0,O255,0) + IF(Q136&lt;&gt;0,Q255,0) + IF(S136&lt;&gt;0,S255,0) +
IF(U136&lt;&gt;0,U255,0) + IF(W136&lt;&gt;0,W255,0) + IF(Y136&lt;&gt;0,Y255,0)</f>
        <v>768.31000000000017</v>
      </c>
    </row>
    <row r="256" spans="1:30" x14ac:dyDescent="0.25">
      <c r="A256" s="44" t="str">
        <f>'2025 Ιανουάριος'!C63</f>
        <v xml:space="preserve">Αναλώσιμα τρόφιμα  </v>
      </c>
      <c r="B256" s="35">
        <v>2024</v>
      </c>
      <c r="C256" s="173">
        <f>'2025 Ιανουάριος'!L63</f>
        <v>4.8399999999999181</v>
      </c>
      <c r="D256" s="36">
        <f t="shared" si="95"/>
        <v>4.8399999999999181</v>
      </c>
      <c r="E256" s="173">
        <f>'2025 Φεβρουάριος'!L63</f>
        <v>0</v>
      </c>
      <c r="F256" s="36">
        <f t="shared" si="96"/>
        <v>4.8399999999999181</v>
      </c>
      <c r="G256" s="173">
        <f>'2025 Μάρτιος'!L63</f>
        <v>249.66000000000008</v>
      </c>
      <c r="H256" s="36">
        <f t="shared" si="97"/>
        <v>254.5</v>
      </c>
      <c r="I256" s="173">
        <f>'2025 Απρίλιος'!L63</f>
        <v>256.40999999999985</v>
      </c>
      <c r="J256" s="36">
        <f t="shared" si="98"/>
        <v>510.90999999999985</v>
      </c>
      <c r="K256" s="173">
        <f>'2025 Μάιος'!L63</f>
        <v>86.929999999999836</v>
      </c>
      <c r="L256" s="36">
        <f t="shared" si="99"/>
        <v>597.83999999999969</v>
      </c>
      <c r="M256" s="173">
        <f>'2025 Ιούνιος'!L63</f>
        <v>310.02</v>
      </c>
      <c r="N256" s="36">
        <f t="shared" si="100"/>
        <v>907.85999999999967</v>
      </c>
      <c r="O256" s="173">
        <f>'2025 Ιούλιος'!L63</f>
        <v>101.18000000000029</v>
      </c>
      <c r="P256" s="36">
        <f t="shared" si="101"/>
        <v>1009.04</v>
      </c>
      <c r="Q256" s="173">
        <f>'2025 Aύγουστος'!L63</f>
        <v>0</v>
      </c>
      <c r="R256" s="36">
        <f t="shared" si="102"/>
        <v>1009.04</v>
      </c>
      <c r="S256" s="173">
        <f>'2025 Σεπτέμβριος'!L63</f>
        <v>0</v>
      </c>
      <c r="T256" s="36">
        <f t="shared" si="103"/>
        <v>1009.04</v>
      </c>
      <c r="U256" s="173">
        <f>'2025 Οκτώβριος'!L63</f>
        <v>56.519999999999982</v>
      </c>
      <c r="V256" s="36">
        <f t="shared" si="104"/>
        <v>1065.56</v>
      </c>
      <c r="W256" s="173">
        <f>'2025 Νοέμβριος'!L63</f>
        <v>172.68999999999983</v>
      </c>
      <c r="X256" s="36">
        <f t="shared" si="105"/>
        <v>1238.2499999999998</v>
      </c>
      <c r="Y256" s="173">
        <f>'2025 Δεκέμβριος'!L63</f>
        <v>62.970000000000027</v>
      </c>
      <c r="Z256" s="36">
        <f t="shared" si="106"/>
        <v>1301.2199999999998</v>
      </c>
      <c r="AA256" s="36">
        <f t="shared" si="107"/>
        <v>1301.2199999999998</v>
      </c>
      <c r="AD256" s="37">
        <f>IF(C137&lt;&gt;0,C256,0) + IF(E137&lt;&gt;0,E256,0) + IF(G137&lt;&gt;0,G256,0) +
IF(I137&lt;&gt;0,I256,0) + IF(K137&lt;&gt;0,K256,0) + IF(M137&lt;&gt;0,M256,0) +
IF(O137&lt;&gt;0,O256,0) + IF(Q137&lt;&gt;0,Q256,0) + IF(S137&lt;&gt;0,S256,0) +
IF(U137&lt;&gt;0,U256,0) + IF(W137&lt;&gt;0,W256,0) + IF(Y137&lt;&gt;0,Y256,0)</f>
        <v>597.83999999999969</v>
      </c>
    </row>
    <row r="257" spans="1:30" x14ac:dyDescent="0.25">
      <c r="A257" s="44">
        <f>'2025 Ιανουάριος'!C64</f>
        <v>0</v>
      </c>
      <c r="B257" s="35">
        <v>2024</v>
      </c>
      <c r="C257" s="173">
        <f>'2025 Ιανουάριος'!L64</f>
        <v>0</v>
      </c>
      <c r="D257" s="36">
        <f t="shared" si="95"/>
        <v>0</v>
      </c>
      <c r="E257" s="173">
        <f>'2025 Φεβρουάριος'!L64</f>
        <v>0</v>
      </c>
      <c r="F257" s="36">
        <f t="shared" si="96"/>
        <v>0</v>
      </c>
      <c r="G257" s="173">
        <f>'2025 Μάρτιος'!L64</f>
        <v>0</v>
      </c>
      <c r="H257" s="36">
        <f t="shared" si="97"/>
        <v>0</v>
      </c>
      <c r="I257" s="173">
        <f>'2025 Απρίλιος'!L64</f>
        <v>0</v>
      </c>
      <c r="J257" s="36">
        <f t="shared" si="98"/>
        <v>0</v>
      </c>
      <c r="K257" s="173">
        <f>'2025 Μάιος'!L64</f>
        <v>0</v>
      </c>
      <c r="L257" s="36">
        <f t="shared" si="99"/>
        <v>0</v>
      </c>
      <c r="M257" s="173">
        <f>'2025 Ιούνιος'!L64</f>
        <v>0</v>
      </c>
      <c r="N257" s="36">
        <f t="shared" si="100"/>
        <v>0</v>
      </c>
      <c r="O257" s="173">
        <f>'2025 Ιούλιος'!L64</f>
        <v>0</v>
      </c>
      <c r="P257" s="36">
        <f t="shared" si="101"/>
        <v>0</v>
      </c>
      <c r="Q257" s="173">
        <f>'2025 Aύγουστος'!L64</f>
        <v>0</v>
      </c>
      <c r="R257" s="36">
        <f t="shared" si="102"/>
        <v>0</v>
      </c>
      <c r="S257" s="173">
        <f>'2025 Σεπτέμβριος'!L64</f>
        <v>0</v>
      </c>
      <c r="T257" s="36">
        <f t="shared" si="103"/>
        <v>0</v>
      </c>
      <c r="U257" s="173">
        <f>'2025 Οκτώβριος'!L64</f>
        <v>0</v>
      </c>
      <c r="V257" s="36">
        <f t="shared" si="104"/>
        <v>0</v>
      </c>
      <c r="W257" s="173">
        <f>'2025 Νοέμβριος'!L64</f>
        <v>0</v>
      </c>
      <c r="X257" s="36">
        <f t="shared" si="105"/>
        <v>0</v>
      </c>
      <c r="Y257" s="173">
        <f>'2025 Δεκέμβριος'!L64</f>
        <v>0</v>
      </c>
      <c r="Z257" s="36">
        <f t="shared" si="106"/>
        <v>0</v>
      </c>
      <c r="AA257" s="36">
        <f t="shared" si="107"/>
        <v>0</v>
      </c>
      <c r="AD257" s="37">
        <f>IF(C138&lt;&gt;0,C257,0) + IF(E138&lt;&gt;0,E257,0) + IF(G138&lt;&gt;0,G257,0) +
IF(I138&lt;&gt;0,I257,0) + IF(K138&lt;&gt;0,K257,0) + IF(M138&lt;&gt;0,M257,0) +
IF(O138&lt;&gt;0,O257,0) + IF(Q138&lt;&gt;0,Q257,0) + IF(S138&lt;&gt;0,S257,0) +
IF(U138&lt;&gt;0,U257,0) + IF(W138&lt;&gt;0,W257,0) + IF(Y138&lt;&gt;0,Y257,0)</f>
        <v>0</v>
      </c>
    </row>
    <row r="258" spans="1:30" x14ac:dyDescent="0.25">
      <c r="A258" s="44" t="str">
        <f>'2025 Ιανουάριος'!C65</f>
        <v xml:space="preserve">Εντυπα και γραφική ύλη </v>
      </c>
      <c r="B258" s="35">
        <v>2024</v>
      </c>
      <c r="C258" s="173">
        <f>'2025 Ιανουάριος'!L65</f>
        <v>8.99</v>
      </c>
      <c r="D258" s="36">
        <f t="shared" si="95"/>
        <v>8.99</v>
      </c>
      <c r="E258" s="173">
        <f>'2025 Φεβρουάριος'!L65</f>
        <v>8.99</v>
      </c>
      <c r="F258" s="36">
        <f t="shared" si="96"/>
        <v>17.98</v>
      </c>
      <c r="G258" s="173">
        <f>'2025 Μάρτιος'!L65</f>
        <v>0</v>
      </c>
      <c r="H258" s="36">
        <f t="shared" si="97"/>
        <v>17.98</v>
      </c>
      <c r="I258" s="173">
        <f>'2025 Απρίλιος'!L65</f>
        <v>0</v>
      </c>
      <c r="J258" s="36">
        <f t="shared" si="98"/>
        <v>17.98</v>
      </c>
      <c r="K258" s="173">
        <f>'2025 Μάιος'!L65</f>
        <v>0</v>
      </c>
      <c r="L258" s="36">
        <f t="shared" si="99"/>
        <v>17.98</v>
      </c>
      <c r="M258" s="173">
        <f>'2025 Ιούνιος'!L65</f>
        <v>0</v>
      </c>
      <c r="N258" s="36">
        <f t="shared" si="100"/>
        <v>17.98</v>
      </c>
      <c r="O258" s="173">
        <f>'2025 Ιούλιος'!L65</f>
        <v>0</v>
      </c>
      <c r="P258" s="36">
        <f t="shared" si="101"/>
        <v>17.98</v>
      </c>
      <c r="Q258" s="173">
        <f>'2025 Aύγουστος'!L65</f>
        <v>9.35</v>
      </c>
      <c r="R258" s="36">
        <f t="shared" si="102"/>
        <v>27.33</v>
      </c>
      <c r="S258" s="173">
        <f>'2025 Σεπτέμβριος'!L65</f>
        <v>9.35</v>
      </c>
      <c r="T258" s="36">
        <f t="shared" si="103"/>
        <v>36.68</v>
      </c>
      <c r="U258" s="173">
        <f>'2025 Οκτώβριος'!L65</f>
        <v>0</v>
      </c>
      <c r="V258" s="36">
        <f t="shared" si="104"/>
        <v>36.68</v>
      </c>
      <c r="W258" s="173">
        <f>'2025 Νοέμβριος'!L65</f>
        <v>0</v>
      </c>
      <c r="X258" s="36">
        <f t="shared" si="105"/>
        <v>36.68</v>
      </c>
      <c r="Y258" s="173">
        <f>'2025 Δεκέμβριος'!L65</f>
        <v>0</v>
      </c>
      <c r="Z258" s="36">
        <f t="shared" si="106"/>
        <v>36.68</v>
      </c>
      <c r="AA258" s="36">
        <f t="shared" si="107"/>
        <v>36.68</v>
      </c>
      <c r="AD258" s="37">
        <f>IF(C139&lt;&gt;0,C258,0) + IF(E139&lt;&gt;0,E258,0) + IF(G139&lt;&gt;0,G258,0) +
IF(I139&lt;&gt;0,I258,0) + IF(K139&lt;&gt;0,K258,0) + IF(M139&lt;&gt;0,M258,0) +
IF(O139&lt;&gt;0,O258,0) + IF(Q139&lt;&gt;0,Q258,0) + IF(S139&lt;&gt;0,S258,0) +
IF(U139&lt;&gt;0,U258,0) + IF(W139&lt;&gt;0,W258,0) + IF(Y139&lt;&gt;0,Y258,0)</f>
        <v>0</v>
      </c>
    </row>
    <row r="259" spans="1:30" x14ac:dyDescent="0.25">
      <c r="A259" s="44" t="str">
        <f>'2025 Ιανουάριος'!C66</f>
        <v xml:space="preserve">Υλικά Καθαριότητας </v>
      </c>
      <c r="B259" s="35">
        <v>2024</v>
      </c>
      <c r="C259" s="173">
        <f>'2025 Ιανουάριος'!L66</f>
        <v>61.85</v>
      </c>
      <c r="D259" s="36">
        <f t="shared" si="95"/>
        <v>61.85</v>
      </c>
      <c r="E259" s="173">
        <f>'2025 Φεβρουάριος'!L66</f>
        <v>0</v>
      </c>
      <c r="F259" s="36">
        <f t="shared" si="96"/>
        <v>61.85</v>
      </c>
      <c r="G259" s="173">
        <f>'2025 Μάρτιος'!L66</f>
        <v>0</v>
      </c>
      <c r="H259" s="36">
        <f t="shared" si="97"/>
        <v>61.85</v>
      </c>
      <c r="I259" s="173">
        <f>'2025 Απρίλιος'!L66</f>
        <v>0</v>
      </c>
      <c r="J259" s="36">
        <f t="shared" si="98"/>
        <v>61.85</v>
      </c>
      <c r="K259" s="173">
        <f>'2025 Μάιος'!L66</f>
        <v>0</v>
      </c>
      <c r="L259" s="36">
        <f t="shared" si="99"/>
        <v>61.85</v>
      </c>
      <c r="M259" s="173">
        <f>'2025 Ιούνιος'!L66</f>
        <v>39.25</v>
      </c>
      <c r="N259" s="36">
        <f t="shared" si="100"/>
        <v>101.1</v>
      </c>
      <c r="O259" s="173">
        <f>'2025 Ιούλιος'!L66</f>
        <v>0</v>
      </c>
      <c r="P259" s="36">
        <f t="shared" si="101"/>
        <v>101.1</v>
      </c>
      <c r="Q259" s="173">
        <f>'2025 Aύγουστος'!L66</f>
        <v>0</v>
      </c>
      <c r="R259" s="36">
        <f t="shared" si="102"/>
        <v>101.1</v>
      </c>
      <c r="S259" s="173">
        <f>'2025 Σεπτέμβριος'!L66</f>
        <v>0</v>
      </c>
      <c r="T259" s="36">
        <f t="shared" si="103"/>
        <v>101.1</v>
      </c>
      <c r="U259" s="173">
        <f>'2025 Οκτώβριος'!L66</f>
        <v>0</v>
      </c>
      <c r="V259" s="36">
        <f t="shared" si="104"/>
        <v>101.1</v>
      </c>
      <c r="W259" s="173">
        <f>'2025 Νοέμβριος'!L66</f>
        <v>0</v>
      </c>
      <c r="X259" s="36">
        <f t="shared" si="105"/>
        <v>101.1</v>
      </c>
      <c r="Y259" s="173">
        <f>'2025 Δεκέμβριος'!L66</f>
        <v>11.79</v>
      </c>
      <c r="Z259" s="36">
        <f t="shared" si="106"/>
        <v>112.88999999999999</v>
      </c>
      <c r="AA259" s="36">
        <f t="shared" si="107"/>
        <v>112.88999999999999</v>
      </c>
      <c r="AD259" s="37">
        <f>IF(C140&lt;&gt;0,C259,0) + IF(E140&lt;&gt;0,E259,0) + IF(G140&lt;&gt;0,G259,0) +
IF(I140&lt;&gt;0,I259,0) + IF(K140&lt;&gt;0,K259,0) + IF(M140&lt;&gt;0,M259,0) +
IF(O140&lt;&gt;0,O259,0) + IF(Q140&lt;&gt;0,Q259,0) + IF(S140&lt;&gt;0,S259,0) +
IF(U140&lt;&gt;0,U259,0) + IF(W140&lt;&gt;0,W259,0) + IF(Y140&lt;&gt;0,Y259,0)</f>
        <v>0</v>
      </c>
    </row>
    <row r="260" spans="1:30" x14ac:dyDescent="0.25">
      <c r="A260" s="44" t="str">
        <f>'2025 Ιανουάριος'!C67</f>
        <v>Υλικά Φαρμακείου</v>
      </c>
      <c r="B260" s="35">
        <v>2024</v>
      </c>
      <c r="C260" s="173">
        <f>'2025 Ιανουάριος'!L67</f>
        <v>83.76</v>
      </c>
      <c r="D260" s="36">
        <f t="shared" si="95"/>
        <v>83.76</v>
      </c>
      <c r="E260" s="173">
        <f>'2025 Φεβρουάριος'!L67</f>
        <v>378.72</v>
      </c>
      <c r="F260" s="36">
        <f t="shared" si="96"/>
        <v>462.48</v>
      </c>
      <c r="G260" s="173">
        <f>'2025 Μάρτιος'!L67</f>
        <v>0</v>
      </c>
      <c r="H260" s="36">
        <f t="shared" si="97"/>
        <v>462.48</v>
      </c>
      <c r="I260" s="173">
        <f>'2025 Απρίλιος'!L67</f>
        <v>0</v>
      </c>
      <c r="J260" s="36">
        <f t="shared" si="98"/>
        <v>462.48</v>
      </c>
      <c r="K260" s="173">
        <f>'2025 Μάιος'!L67</f>
        <v>0</v>
      </c>
      <c r="L260" s="36">
        <f t="shared" si="99"/>
        <v>462.48</v>
      </c>
      <c r="M260" s="173">
        <f>'2025 Ιούνιος'!L67</f>
        <v>0</v>
      </c>
      <c r="N260" s="36">
        <f t="shared" si="100"/>
        <v>462.48</v>
      </c>
      <c r="O260" s="173">
        <f>'2025 Ιούλιος'!L67</f>
        <v>0</v>
      </c>
      <c r="P260" s="36">
        <f t="shared" si="101"/>
        <v>462.48</v>
      </c>
      <c r="Q260" s="173">
        <f>'2025 Aύγουστος'!L67</f>
        <v>24.03</v>
      </c>
      <c r="R260" s="36">
        <f t="shared" si="102"/>
        <v>486.51</v>
      </c>
      <c r="S260" s="173">
        <f>'2025 Σεπτέμβριος'!L67</f>
        <v>37.83</v>
      </c>
      <c r="T260" s="36">
        <f t="shared" si="103"/>
        <v>524.34</v>
      </c>
      <c r="U260" s="173">
        <f>'2025 Οκτώβριος'!L67</f>
        <v>0</v>
      </c>
      <c r="V260" s="36">
        <f t="shared" si="104"/>
        <v>524.34</v>
      </c>
      <c r="W260" s="173">
        <f>'2025 Νοέμβριος'!L67</f>
        <v>0</v>
      </c>
      <c r="X260" s="36">
        <f t="shared" si="105"/>
        <v>524.34</v>
      </c>
      <c r="Y260" s="173">
        <f>'2025 Δεκέμβριος'!L67</f>
        <v>0</v>
      </c>
      <c r="Z260" s="36">
        <f t="shared" si="106"/>
        <v>524.34</v>
      </c>
      <c r="AA260" s="36">
        <f t="shared" si="107"/>
        <v>524.34</v>
      </c>
      <c r="AD260" s="37">
        <f>IF(C141&lt;&gt;0,C260,0) + IF(E141&lt;&gt;0,E260,0) + IF(G141&lt;&gt;0,G260,0) +
IF(I141&lt;&gt;0,I260,0) + IF(K141&lt;&gt;0,K260,0) + IF(M141&lt;&gt;0,M260,0) +
IF(O141&lt;&gt;0,O260,0) + IF(Q141&lt;&gt;0,Q260,0) + IF(S141&lt;&gt;0,S260,0) +
IF(U141&lt;&gt;0,U260,0) + IF(W141&lt;&gt;0,W260,0) + IF(Y141&lt;&gt;0,Y260,0)</f>
        <v>462.48</v>
      </c>
    </row>
    <row r="261" spans="1:30" x14ac:dyDescent="0.25">
      <c r="A261" s="44" t="str">
        <f>'2025 Ιανουάριος'!C68</f>
        <v>Διάφορα αναλώσιμα</v>
      </c>
      <c r="B261" s="35">
        <v>2024</v>
      </c>
      <c r="C261" s="173">
        <f>'2025 Ιανουάριος'!L68</f>
        <v>3930.91</v>
      </c>
      <c r="D261" s="36">
        <f t="shared" si="95"/>
        <v>3930.91</v>
      </c>
      <c r="E261" s="173">
        <f>'2025 Φεβρουάριος'!L68</f>
        <v>5027.21</v>
      </c>
      <c r="F261" s="36">
        <f t="shared" si="96"/>
        <v>8958.119999999999</v>
      </c>
      <c r="G261" s="173">
        <f>'2025 Μάρτιος'!L68</f>
        <v>4924.2700000000004</v>
      </c>
      <c r="H261" s="36">
        <f t="shared" si="97"/>
        <v>13882.39</v>
      </c>
      <c r="I261" s="173">
        <f>'2025 Απρίλιος'!L68</f>
        <v>7312.44</v>
      </c>
      <c r="J261" s="36">
        <f t="shared" si="98"/>
        <v>21194.829999999998</v>
      </c>
      <c r="K261" s="173">
        <f>'2025 Μάιος'!L68</f>
        <v>11237</v>
      </c>
      <c r="L261" s="36">
        <f t="shared" si="99"/>
        <v>32431.829999999998</v>
      </c>
      <c r="M261" s="173">
        <f>'2025 Ιούνιος'!L68</f>
        <v>10545.34</v>
      </c>
      <c r="N261" s="36">
        <f t="shared" si="100"/>
        <v>42977.17</v>
      </c>
      <c r="O261" s="173">
        <f>'2025 Ιούλιος'!L68</f>
        <v>10004.91</v>
      </c>
      <c r="P261" s="36">
        <f t="shared" si="101"/>
        <v>52982.080000000002</v>
      </c>
      <c r="Q261" s="173">
        <f>'2025 Aύγουστος'!L68</f>
        <v>9089.7099999999991</v>
      </c>
      <c r="R261" s="36">
        <f t="shared" si="102"/>
        <v>62071.79</v>
      </c>
      <c r="S261" s="173">
        <f>'2025 Σεπτέμβριος'!L68</f>
        <v>8795.36</v>
      </c>
      <c r="T261" s="36">
        <f t="shared" si="103"/>
        <v>70867.149999999994</v>
      </c>
      <c r="U261" s="173">
        <f>'2025 Οκτώβριος'!L68</f>
        <v>8393.18</v>
      </c>
      <c r="V261" s="36">
        <f t="shared" si="104"/>
        <v>79260.329999999987</v>
      </c>
      <c r="W261" s="173">
        <f>'2025 Νοέμβριος'!L68</f>
        <v>9113.51</v>
      </c>
      <c r="X261" s="36">
        <f t="shared" si="105"/>
        <v>88373.839999999982</v>
      </c>
      <c r="Y261" s="173">
        <f>'2025 Δεκέμβριος'!L68</f>
        <v>6551.71</v>
      </c>
      <c r="Z261" s="36">
        <f t="shared" si="106"/>
        <v>94925.549999999988</v>
      </c>
      <c r="AA261" s="36">
        <f t="shared" si="107"/>
        <v>94925.549999999988</v>
      </c>
      <c r="AD261" s="37">
        <f>IF(C142&lt;&gt;0,C261,0) + IF(E142&lt;&gt;0,E261,0) + IF(G142&lt;&gt;0,G261,0) +
IF(I142&lt;&gt;0,I261,0) + IF(K142&lt;&gt;0,K261,0) + IF(M142&lt;&gt;0,M261,0) +
IF(O142&lt;&gt;0,O261,0) + IF(Q142&lt;&gt;0,Q261,0) + IF(S142&lt;&gt;0,S261,0) +
IF(U142&lt;&gt;0,U261,0) + IF(W142&lt;&gt;0,W261,0) + IF(Y142&lt;&gt;0,Y261,0)</f>
        <v>32431.829999999998</v>
      </c>
    </row>
    <row r="262" spans="1:30" ht="28.5" x14ac:dyDescent="0.25">
      <c r="A262" s="44" t="str">
        <f>'2025 Ιανουάριος'!C69</f>
        <v>Αμοιβές συνεργατών ( Μέσα ανεύρεσης Πελατείας Booking Airbnb κλπ)</v>
      </c>
      <c r="B262" s="35">
        <v>2024</v>
      </c>
      <c r="C262" s="173">
        <f>'2025 Ιανουάριος'!L69</f>
        <v>0</v>
      </c>
      <c r="D262" s="36">
        <f t="shared" si="95"/>
        <v>0</v>
      </c>
      <c r="E262" s="173">
        <f>'2025 Φεβρουάριος'!L69</f>
        <v>0</v>
      </c>
      <c r="F262" s="36">
        <f t="shared" si="96"/>
        <v>0</v>
      </c>
      <c r="G262" s="173">
        <f>'2025 Μάρτιος'!L69</f>
        <v>0</v>
      </c>
      <c r="H262" s="36">
        <f t="shared" si="97"/>
        <v>0</v>
      </c>
      <c r="I262" s="173">
        <f>'2025 Απρίλιος'!L69</f>
        <v>0</v>
      </c>
      <c r="J262" s="36">
        <f t="shared" si="98"/>
        <v>0</v>
      </c>
      <c r="K262" s="173">
        <f>'2025 Μάιος'!L69</f>
        <v>0</v>
      </c>
      <c r="L262" s="36">
        <f t="shared" si="99"/>
        <v>0</v>
      </c>
      <c r="M262" s="173">
        <f>'2025 Ιούνιος'!L69</f>
        <v>353.98</v>
      </c>
      <c r="N262" s="36">
        <f t="shared" si="100"/>
        <v>353.98</v>
      </c>
      <c r="O262" s="173">
        <f>'2025 Ιούλιος'!L69</f>
        <v>398.4</v>
      </c>
      <c r="P262" s="36">
        <f t="shared" si="101"/>
        <v>752.38</v>
      </c>
      <c r="Q262" s="173">
        <f>'2025 Aύγουστος'!L69</f>
        <v>711.5</v>
      </c>
      <c r="R262" s="36">
        <f t="shared" si="102"/>
        <v>1463.88</v>
      </c>
      <c r="S262" s="173">
        <f>'2025 Σεπτέμβριος'!L69</f>
        <v>-21.24</v>
      </c>
      <c r="T262" s="36">
        <f t="shared" si="103"/>
        <v>1442.64</v>
      </c>
      <c r="U262" s="173">
        <f>'2025 Οκτώβριος'!L69</f>
        <v>793.61</v>
      </c>
      <c r="V262" s="36">
        <f t="shared" si="104"/>
        <v>2236.25</v>
      </c>
      <c r="W262" s="173">
        <f>'2025 Νοέμβριος'!L69</f>
        <v>0</v>
      </c>
      <c r="X262" s="36">
        <f t="shared" si="105"/>
        <v>2236.25</v>
      </c>
      <c r="Y262" s="173">
        <f>'2025 Δεκέμβριος'!L69</f>
        <v>0</v>
      </c>
      <c r="Z262" s="36">
        <f t="shared" si="106"/>
        <v>2236.25</v>
      </c>
      <c r="AA262" s="36">
        <f t="shared" si="107"/>
        <v>2236.25</v>
      </c>
      <c r="AD262" s="37">
        <f>IF(C143&lt;&gt;0,C262,0) + IF(E143&lt;&gt;0,E262,0) + IF(G143&lt;&gt;0,G262,0) +
IF(I143&lt;&gt;0,I262,0) + IF(K143&lt;&gt;0,K262,0) + IF(M143&lt;&gt;0,M262,0) +
IF(O143&lt;&gt;0,O262,0) + IF(Q143&lt;&gt;0,Q262,0) + IF(S143&lt;&gt;0,S262,0) +
IF(U143&lt;&gt;0,U262,0) + IF(W143&lt;&gt;0,W262,0) + IF(Y143&lt;&gt;0,Y262,0)</f>
        <v>0</v>
      </c>
    </row>
    <row r="263" spans="1:30" ht="28.5" x14ac:dyDescent="0.25">
      <c r="A263" s="44" t="str">
        <f>'2025 Ιανουάριος'!C70</f>
        <v>Εξοδα για Αναψυχή Πελατών (Κρουαζιέρες Ποδήλατα - Μαθήματα)</v>
      </c>
      <c r="B263" s="35">
        <v>2024</v>
      </c>
      <c r="C263" s="173">
        <f>'2025 Ιανουάριος'!L70</f>
        <v>0</v>
      </c>
      <c r="D263" s="36">
        <f t="shared" si="95"/>
        <v>0</v>
      </c>
      <c r="E263" s="173">
        <f>'2025 Φεβρουάριος'!L70</f>
        <v>0</v>
      </c>
      <c r="F263" s="36">
        <f t="shared" si="96"/>
        <v>0</v>
      </c>
      <c r="G263" s="173">
        <f>'2025 Μάρτιος'!L70</f>
        <v>0</v>
      </c>
      <c r="H263" s="36">
        <f t="shared" si="97"/>
        <v>0</v>
      </c>
      <c r="I263" s="173">
        <f>'2025 Απρίλιος'!L70</f>
        <v>0</v>
      </c>
      <c r="J263" s="36">
        <f t="shared" si="98"/>
        <v>0</v>
      </c>
      <c r="K263" s="173">
        <f>'2025 Μάιος'!L70</f>
        <v>0</v>
      </c>
      <c r="L263" s="36">
        <f t="shared" si="99"/>
        <v>0</v>
      </c>
      <c r="M263" s="173">
        <f>'2025 Ιούνιος'!L70</f>
        <v>140</v>
      </c>
      <c r="N263" s="36">
        <f t="shared" si="100"/>
        <v>140</v>
      </c>
      <c r="O263" s="173">
        <f>'2025 Ιούλιος'!L70</f>
        <v>88.5</v>
      </c>
      <c r="P263" s="36">
        <f t="shared" si="101"/>
        <v>228.5</v>
      </c>
      <c r="Q263" s="173">
        <f>'2025 Aύγουστος'!L70</f>
        <v>0</v>
      </c>
      <c r="R263" s="36">
        <f t="shared" si="102"/>
        <v>228.5</v>
      </c>
      <c r="S263" s="173">
        <f>'2025 Σεπτέμβριος'!L70</f>
        <v>0</v>
      </c>
      <c r="T263" s="36">
        <f t="shared" si="103"/>
        <v>228.5</v>
      </c>
      <c r="U263" s="173">
        <f>'2025 Οκτώβριος'!L70</f>
        <v>0</v>
      </c>
      <c r="V263" s="36">
        <f t="shared" si="104"/>
        <v>228.5</v>
      </c>
      <c r="W263" s="173">
        <f>'2025 Νοέμβριος'!L70</f>
        <v>0</v>
      </c>
      <c r="X263" s="36">
        <f t="shared" si="105"/>
        <v>228.5</v>
      </c>
      <c r="Y263" s="173">
        <f>'2025 Δεκέμβριος'!L70</f>
        <v>0</v>
      </c>
      <c r="Z263" s="36">
        <f t="shared" si="106"/>
        <v>228.5</v>
      </c>
      <c r="AA263" s="36">
        <f t="shared" si="107"/>
        <v>228.5</v>
      </c>
      <c r="AD263" s="37">
        <f>IF(C144&lt;&gt;0,C263,0) + IF(E144&lt;&gt;0,E263,0) + IF(G144&lt;&gt;0,G263,0) +
IF(I144&lt;&gt;0,I263,0) + IF(K144&lt;&gt;0,K263,0) + IF(M144&lt;&gt;0,M263,0) +
IF(O144&lt;&gt;0,O263,0) + IF(Q144&lt;&gt;0,Q263,0) + IF(S144&lt;&gt;0,S263,0) +
IF(U144&lt;&gt;0,U263,0) + IF(W144&lt;&gt;0,W263,0) + IF(Y144&lt;&gt;0,Y263,0)</f>
        <v>0</v>
      </c>
    </row>
    <row r="264" spans="1:30" x14ac:dyDescent="0.25">
      <c r="A264" s="44" t="str">
        <f>'2025 Ιανουάριος'!C71</f>
        <v>Εξοδα για Μεταφορά Πελατών</v>
      </c>
      <c r="B264" s="35">
        <v>2024</v>
      </c>
      <c r="C264" s="173">
        <f>'2025 Ιανουάριος'!L71</f>
        <v>0</v>
      </c>
      <c r="D264" s="36">
        <f t="shared" si="95"/>
        <v>0</v>
      </c>
      <c r="E264" s="173">
        <f>'2025 Φεβρουάριος'!L71</f>
        <v>0</v>
      </c>
      <c r="F264" s="36">
        <f t="shared" si="96"/>
        <v>0</v>
      </c>
      <c r="G264" s="173">
        <f>'2025 Μάρτιος'!L71</f>
        <v>0</v>
      </c>
      <c r="H264" s="36">
        <f t="shared" si="97"/>
        <v>0</v>
      </c>
      <c r="I264" s="173">
        <f>'2025 Απρίλιος'!L71</f>
        <v>0</v>
      </c>
      <c r="J264" s="36">
        <f t="shared" si="98"/>
        <v>0</v>
      </c>
      <c r="K264" s="173">
        <f>'2025 Μάιος'!L71</f>
        <v>0</v>
      </c>
      <c r="L264" s="36">
        <f t="shared" si="99"/>
        <v>0</v>
      </c>
      <c r="M264" s="173">
        <f>'2025 Ιούνιος'!L71</f>
        <v>0</v>
      </c>
      <c r="N264" s="36">
        <f t="shared" si="100"/>
        <v>0</v>
      </c>
      <c r="O264" s="173">
        <f>'2025 Ιούλιος'!L71</f>
        <v>0</v>
      </c>
      <c r="P264" s="36">
        <f t="shared" si="101"/>
        <v>0</v>
      </c>
      <c r="Q264" s="173">
        <f>'2025 Aύγουστος'!L71</f>
        <v>157.55000000000001</v>
      </c>
      <c r="R264" s="36">
        <f t="shared" si="102"/>
        <v>157.55000000000001</v>
      </c>
      <c r="S264" s="173">
        <f>'2025 Σεπτέμβριος'!L71</f>
        <v>186.25</v>
      </c>
      <c r="T264" s="36">
        <f t="shared" si="103"/>
        <v>343.8</v>
      </c>
      <c r="U264" s="173">
        <f>'2025 Οκτώβριος'!L71</f>
        <v>206.81</v>
      </c>
      <c r="V264" s="36">
        <f t="shared" si="104"/>
        <v>550.61</v>
      </c>
      <c r="W264" s="173">
        <f>'2025 Νοέμβριος'!L71</f>
        <v>229.14</v>
      </c>
      <c r="X264" s="36">
        <f t="shared" si="105"/>
        <v>779.75</v>
      </c>
      <c r="Y264" s="173">
        <f>'2025 Δεκέμβριος'!L71</f>
        <v>0</v>
      </c>
      <c r="Z264" s="36">
        <f t="shared" si="106"/>
        <v>779.75</v>
      </c>
      <c r="AA264" s="36">
        <f t="shared" si="107"/>
        <v>779.75</v>
      </c>
      <c r="AD264" s="37">
        <f>IF(C145&lt;&gt;0,C264,0) + IF(E145&lt;&gt;0,E264,0) + IF(G145&lt;&gt;0,G264,0) +
IF(I145&lt;&gt;0,I264,0) + IF(K145&lt;&gt;0,K264,0) + IF(M145&lt;&gt;0,M264,0) +
IF(O145&lt;&gt;0,O264,0) + IF(Q145&lt;&gt;0,Q264,0) + IF(S145&lt;&gt;0,S264,0) +
IF(U145&lt;&gt;0,U264,0) + IF(W145&lt;&gt;0,W264,0) + IF(Y145&lt;&gt;0,Y264,0)</f>
        <v>0</v>
      </c>
    </row>
    <row r="265" spans="1:30" ht="28.5" x14ac:dyDescent="0.25">
      <c r="A265" s="44" t="str">
        <f>'2025 Ιανουάριος'!C72</f>
        <v xml:space="preserve">Έξοδα για σύσταση πελατείας αποθήκευσης Αποσκευών ( Radical) </v>
      </c>
      <c r="B265" s="35">
        <v>2024</v>
      </c>
      <c r="C265" s="173">
        <f>'2025 Ιανουάριος'!L72</f>
        <v>648.03</v>
      </c>
      <c r="D265" s="36">
        <f t="shared" si="95"/>
        <v>648.03</v>
      </c>
      <c r="E265" s="173">
        <f>'2025 Φεβρουάριος'!L72</f>
        <v>509.31</v>
      </c>
      <c r="F265" s="36">
        <f t="shared" si="96"/>
        <v>1157.3399999999999</v>
      </c>
      <c r="G265" s="173">
        <f>'2025 Μάρτιος'!L72</f>
        <v>1023.77</v>
      </c>
      <c r="H265" s="36">
        <f t="shared" si="97"/>
        <v>2181.1099999999997</v>
      </c>
      <c r="I265" s="173">
        <f>'2025 Απρίλιος'!L72</f>
        <v>2162.85</v>
      </c>
      <c r="J265" s="36">
        <f t="shared" si="98"/>
        <v>4343.9599999999991</v>
      </c>
      <c r="K265" s="173">
        <f>'2025 Μάιος'!L72</f>
        <v>2563.73</v>
      </c>
      <c r="L265" s="36">
        <f t="shared" si="99"/>
        <v>6907.6899999999987</v>
      </c>
      <c r="M265" s="173">
        <f>'2025 Ιούνιος'!L72</f>
        <v>2239.9899999999998</v>
      </c>
      <c r="N265" s="36">
        <f t="shared" si="100"/>
        <v>9147.6799999999985</v>
      </c>
      <c r="O265" s="173">
        <f>'2025 Ιούλιος'!L72</f>
        <v>1975.94</v>
      </c>
      <c r="P265" s="36">
        <f t="shared" si="101"/>
        <v>11123.619999999999</v>
      </c>
      <c r="Q265" s="173">
        <f>'2025 Aύγουστος'!L72</f>
        <v>2185.81</v>
      </c>
      <c r="R265" s="36">
        <f t="shared" si="102"/>
        <v>13309.429999999998</v>
      </c>
      <c r="S265" s="173">
        <f>'2025 Σεπτέμβριος'!L72</f>
        <v>1837.94</v>
      </c>
      <c r="T265" s="36">
        <f t="shared" si="103"/>
        <v>15147.369999999999</v>
      </c>
      <c r="U265" s="173">
        <f>'2025 Οκτώβριος'!L72</f>
        <v>2034.47</v>
      </c>
      <c r="V265" s="36">
        <f t="shared" si="104"/>
        <v>17181.84</v>
      </c>
      <c r="W265" s="173">
        <f>'2025 Νοέμβριος'!L72</f>
        <v>955.65</v>
      </c>
      <c r="X265" s="36">
        <f t="shared" si="105"/>
        <v>18137.490000000002</v>
      </c>
      <c r="Y265" s="173">
        <f>'2025 Δεκέμβριος'!L72</f>
        <v>812.86</v>
      </c>
      <c r="Z265" s="36">
        <f t="shared" si="106"/>
        <v>18950.350000000002</v>
      </c>
      <c r="AA265" s="36">
        <f t="shared" si="107"/>
        <v>18950.350000000002</v>
      </c>
      <c r="AD265" s="37">
        <f>IF(C146&lt;&gt;0,C265,0) + IF(E146&lt;&gt;0,E265,0) + IF(G146&lt;&gt;0,G265,0) +
IF(I146&lt;&gt;0,I265,0) + IF(K146&lt;&gt;0,K265,0) + IF(M146&lt;&gt;0,M265,0) +
IF(O146&lt;&gt;0,O265,0) + IF(Q146&lt;&gt;0,Q265,0) + IF(S146&lt;&gt;0,S265,0) +
IF(U146&lt;&gt;0,U265,0) + IF(W146&lt;&gt;0,W265,0) + IF(Y146&lt;&gt;0,Y265,0)</f>
        <v>6907.6899999999987</v>
      </c>
    </row>
    <row r="266" spans="1:30" ht="28.5" x14ac:dyDescent="0.25">
      <c r="A266" s="44" t="str">
        <f>'2025 Ιανουάριος'!C73</f>
        <v>Αμοιβές Τρίτων ( Καθαριστήριο και άλλα άμεσα έξοδα )</v>
      </c>
      <c r="B266" s="35">
        <v>2024</v>
      </c>
      <c r="C266" s="173">
        <f>'2025 Ιανουάριος'!L73</f>
        <v>659.73</v>
      </c>
      <c r="D266" s="36">
        <f t="shared" si="95"/>
        <v>659.73</v>
      </c>
      <c r="E266" s="173">
        <f>'2025 Φεβρουάριος'!L73</f>
        <v>1082.4000000000001</v>
      </c>
      <c r="F266" s="36">
        <f t="shared" si="96"/>
        <v>1742.13</v>
      </c>
      <c r="G266" s="173">
        <f>'2025 Μάρτιος'!L73</f>
        <v>1892.42</v>
      </c>
      <c r="H266" s="36">
        <f t="shared" si="97"/>
        <v>3634.55</v>
      </c>
      <c r="I266" s="173">
        <f>'2025 Απρίλιος'!L73</f>
        <v>0</v>
      </c>
      <c r="J266" s="36">
        <f t="shared" si="98"/>
        <v>3634.55</v>
      </c>
      <c r="K266" s="173">
        <f>'2025 Μάιος'!L73</f>
        <v>0</v>
      </c>
      <c r="L266" s="36">
        <f t="shared" si="99"/>
        <v>3634.55</v>
      </c>
      <c r="M266" s="173">
        <f>'2025 Ιούνιος'!L73</f>
        <v>717.63</v>
      </c>
      <c r="N266" s="36">
        <f t="shared" si="100"/>
        <v>4352.18</v>
      </c>
      <c r="O266" s="173">
        <f>'2025 Ιούλιος'!L73</f>
        <v>0</v>
      </c>
      <c r="P266" s="36">
        <f t="shared" si="101"/>
        <v>4352.18</v>
      </c>
      <c r="Q266" s="173">
        <f>'2025 Aύγουστος'!L73</f>
        <v>0</v>
      </c>
      <c r="R266" s="36">
        <f t="shared" si="102"/>
        <v>4352.18</v>
      </c>
      <c r="S266" s="173">
        <f>'2025 Σεπτέμβριος'!L73</f>
        <v>3513.93</v>
      </c>
      <c r="T266" s="36">
        <f t="shared" si="103"/>
        <v>7866.1100000000006</v>
      </c>
      <c r="U266" s="173">
        <f>'2025 Οκτώβριος'!L73</f>
        <v>0</v>
      </c>
      <c r="V266" s="36">
        <f t="shared" si="104"/>
        <v>7866.1100000000006</v>
      </c>
      <c r="W266" s="173">
        <f>'2025 Νοέμβριος'!L73</f>
        <v>0</v>
      </c>
      <c r="X266" s="36">
        <f t="shared" si="105"/>
        <v>7866.1100000000006</v>
      </c>
      <c r="Y266" s="173">
        <f>'2025 Δεκέμβριος'!L73</f>
        <v>1186.6300000000001</v>
      </c>
      <c r="Z266" s="36">
        <f t="shared" si="106"/>
        <v>9052.7400000000016</v>
      </c>
      <c r="AA266" s="36">
        <f t="shared" si="107"/>
        <v>9052.7400000000016</v>
      </c>
      <c r="AD266" s="37">
        <f>IF(C147&lt;&gt;0,C266,0) + IF(E147&lt;&gt;0,E266,0) + IF(G147&lt;&gt;0,G266,0) +
IF(I147&lt;&gt;0,I266,0) + IF(K147&lt;&gt;0,K266,0) + IF(M147&lt;&gt;0,M266,0) +
IF(O147&lt;&gt;0,O266,0) + IF(Q147&lt;&gt;0,Q266,0) + IF(S147&lt;&gt;0,S266,0) +
IF(U147&lt;&gt;0,U266,0) + IF(W147&lt;&gt;0,W266,0) + IF(Y147&lt;&gt;0,Y266,0)</f>
        <v>0</v>
      </c>
    </row>
    <row r="267" spans="1:30" x14ac:dyDescent="0.25">
      <c r="A267" s="44" t="str">
        <f>'2025 Ιανουάριος'!C74</f>
        <v>Επισκευές - Συντηρήσεις</v>
      </c>
      <c r="B267" s="35">
        <v>2024</v>
      </c>
      <c r="C267" s="173">
        <f>'2025 Ιανουάριος'!L74</f>
        <v>59.92</v>
      </c>
      <c r="D267" s="36">
        <f t="shared" si="95"/>
        <v>59.92</v>
      </c>
      <c r="E267" s="173">
        <f>'2025 Φεβρουάριος'!L74</f>
        <v>85.2</v>
      </c>
      <c r="F267" s="36">
        <f t="shared" si="96"/>
        <v>145.12</v>
      </c>
      <c r="G267" s="173">
        <f>'2025 Μάρτιος'!L74</f>
        <v>135.74</v>
      </c>
      <c r="H267" s="36">
        <f t="shared" si="97"/>
        <v>280.86</v>
      </c>
      <c r="I267" s="173">
        <f>'2025 Απρίλιος'!L74</f>
        <v>328.35</v>
      </c>
      <c r="J267" s="36">
        <f t="shared" si="98"/>
        <v>609.21</v>
      </c>
      <c r="K267" s="173">
        <f>'2025 Μάιος'!L74</f>
        <v>343.69</v>
      </c>
      <c r="L267" s="36">
        <f t="shared" si="99"/>
        <v>952.90000000000009</v>
      </c>
      <c r="M267" s="173">
        <f>'2025 Ιούνιος'!L74</f>
        <v>403.13</v>
      </c>
      <c r="N267" s="36">
        <f t="shared" si="100"/>
        <v>1356.0300000000002</v>
      </c>
      <c r="O267" s="173">
        <f>'2025 Ιούλιος'!L74</f>
        <v>383.32</v>
      </c>
      <c r="P267" s="36">
        <f t="shared" si="101"/>
        <v>1739.3500000000001</v>
      </c>
      <c r="Q267" s="173">
        <f>'2025 Aύγουστος'!L74</f>
        <v>331.8</v>
      </c>
      <c r="R267" s="36">
        <f t="shared" si="102"/>
        <v>2071.15</v>
      </c>
      <c r="S267" s="173">
        <f>'2025 Σεπτέμβριος'!L74</f>
        <v>361.84</v>
      </c>
      <c r="T267" s="36">
        <f t="shared" si="103"/>
        <v>2432.9900000000002</v>
      </c>
      <c r="U267" s="173">
        <f>'2025 Οκτώβριος'!L74</f>
        <v>366.73</v>
      </c>
      <c r="V267" s="36">
        <f t="shared" si="104"/>
        <v>2799.7200000000003</v>
      </c>
      <c r="W267" s="173">
        <f>'2025 Νοέμβριος'!L74</f>
        <v>120.61</v>
      </c>
      <c r="X267" s="36">
        <f t="shared" si="105"/>
        <v>2920.3300000000004</v>
      </c>
      <c r="Y267" s="173">
        <f>'2025 Δεκέμβριος'!L74</f>
        <v>0</v>
      </c>
      <c r="Z267" s="36">
        <f t="shared" si="106"/>
        <v>2920.3300000000004</v>
      </c>
      <c r="AA267" s="36">
        <f t="shared" si="107"/>
        <v>2920.3300000000004</v>
      </c>
      <c r="AD267" s="37">
        <f>IF(C148&lt;&gt;0,C267,0) + IF(E148&lt;&gt;0,E267,0) + IF(G148&lt;&gt;0,G267,0) +
IF(I148&lt;&gt;0,I267,0) + IF(K148&lt;&gt;0,K267,0) + IF(M148&lt;&gt;0,M267,0) +
IF(O148&lt;&gt;0,O267,0) + IF(Q148&lt;&gt;0,Q267,0) + IF(S148&lt;&gt;0,S267,0) +
IF(U148&lt;&gt;0,U267,0) + IF(W148&lt;&gt;0,W267,0) + IF(Y148&lt;&gt;0,Y267,0)</f>
        <v>0</v>
      </c>
    </row>
    <row r="268" spans="1:30" x14ac:dyDescent="0.25">
      <c r="A268" s="44" t="str">
        <f>'2025 Ιανουάριος'!C75</f>
        <v>Φόρος Παρεπιδημούντων</v>
      </c>
      <c r="B268" s="35">
        <v>2024</v>
      </c>
      <c r="C268" s="173">
        <f>'2025 Ιανουάριος'!L75</f>
        <v>7839.98</v>
      </c>
      <c r="D268" s="36">
        <f t="shared" si="95"/>
        <v>7839.98</v>
      </c>
      <c r="E268" s="173">
        <f>'2025 Φεβρουάριος'!L75</f>
        <v>7839.98</v>
      </c>
      <c r="F268" s="36">
        <f t="shared" si="96"/>
        <v>15679.96</v>
      </c>
      <c r="G268" s="173">
        <f>'2025 Μάρτιος'!L75</f>
        <v>7839.98</v>
      </c>
      <c r="H268" s="36">
        <f t="shared" si="97"/>
        <v>23519.94</v>
      </c>
      <c r="I268" s="173">
        <f>'2025 Απρίλιος'!L75</f>
        <v>7839.98</v>
      </c>
      <c r="J268" s="36">
        <f t="shared" si="98"/>
        <v>31359.919999999998</v>
      </c>
      <c r="K268" s="173">
        <f>'2025 Μάιος'!L75</f>
        <v>7839.98</v>
      </c>
      <c r="L268" s="36">
        <f t="shared" si="99"/>
        <v>39199.899999999994</v>
      </c>
      <c r="M268" s="173">
        <f>'2025 Ιούνιος'!L75</f>
        <v>7839.98</v>
      </c>
      <c r="N268" s="36">
        <f t="shared" si="100"/>
        <v>47039.87999999999</v>
      </c>
      <c r="O268" s="173">
        <f>'2025 Ιούλιος'!L75</f>
        <v>7839.98</v>
      </c>
      <c r="P268" s="36">
        <f t="shared" si="101"/>
        <v>54879.859999999986</v>
      </c>
      <c r="Q268" s="173">
        <f>'2025 Aύγουστος'!L75</f>
        <v>7839.98</v>
      </c>
      <c r="R268" s="36">
        <f t="shared" si="102"/>
        <v>62719.839999999982</v>
      </c>
      <c r="S268" s="173">
        <f>'2025 Σεπτέμβριος'!L75</f>
        <v>7839.98</v>
      </c>
      <c r="T268" s="36">
        <f t="shared" si="103"/>
        <v>70559.819999999978</v>
      </c>
      <c r="U268" s="173">
        <f>'2025 Οκτώβριος'!L75</f>
        <v>7839.98</v>
      </c>
      <c r="V268" s="36">
        <f t="shared" si="104"/>
        <v>78399.799999999974</v>
      </c>
      <c r="W268" s="173">
        <f>'2025 Νοέμβριος'!L75</f>
        <v>7839.98</v>
      </c>
      <c r="X268" s="36">
        <f t="shared" si="105"/>
        <v>86239.77999999997</v>
      </c>
      <c r="Y268" s="173">
        <f>'2025 Δεκέμβριος'!L75</f>
        <v>2414.42</v>
      </c>
      <c r="Z268" s="36">
        <f t="shared" si="106"/>
        <v>88654.199999999968</v>
      </c>
      <c r="AA268" s="36">
        <f t="shared" si="107"/>
        <v>88654.199999999968</v>
      </c>
      <c r="AD268" s="37">
        <f>IF(C149&lt;&gt;0,C268,0) + IF(E149&lt;&gt;0,E268,0) + IF(G149&lt;&gt;0,G268,0) +
IF(I149&lt;&gt;0,I268,0) + IF(K149&lt;&gt;0,K268,0) + IF(M149&lt;&gt;0,M268,0) +
IF(O149&lt;&gt;0,O268,0) + IF(Q149&lt;&gt;0,Q268,0) + IF(S149&lt;&gt;0,S268,0) +
IF(U149&lt;&gt;0,U268,0) + IF(W149&lt;&gt;0,W268,0) + IF(Y149&lt;&gt;0,Y268,0)</f>
        <v>88654.199999999968</v>
      </c>
    </row>
    <row r="269" spans="1:30" x14ac:dyDescent="0.25">
      <c r="A269" s="44" t="str">
        <f>'2025 Ιανουάριος'!C76</f>
        <v>Αποσβέσεις ( Κτήρια - Μηχανήματα - Εξοπλισμός )</v>
      </c>
      <c r="B269" s="35">
        <v>2024</v>
      </c>
      <c r="C269" s="173">
        <f>'2025 Ιανουάριος'!L76</f>
        <v>1024.95</v>
      </c>
      <c r="D269" s="36">
        <f t="shared" si="95"/>
        <v>1024.95</v>
      </c>
      <c r="E269" s="173">
        <f>'2025 Φεβρουάριος'!L76</f>
        <v>1250.28</v>
      </c>
      <c r="F269" s="36">
        <f t="shared" si="96"/>
        <v>2275.23</v>
      </c>
      <c r="G269" s="173">
        <f>'2025 Μάρτιος'!L76</f>
        <v>1274.8499999999999</v>
      </c>
      <c r="H269" s="36">
        <f t="shared" si="97"/>
        <v>3550.08</v>
      </c>
      <c r="I269" s="173">
        <f>'2025 Απρίλιος'!L76</f>
        <v>3709.31</v>
      </c>
      <c r="J269" s="36">
        <f t="shared" si="98"/>
        <v>7259.3899999999994</v>
      </c>
      <c r="K269" s="173">
        <f>'2025 Μάιος'!L76</f>
        <v>3091.48</v>
      </c>
      <c r="L269" s="36">
        <f t="shared" si="99"/>
        <v>10350.869999999999</v>
      </c>
      <c r="M269" s="173">
        <f>'2025 Ιούνιος'!L76</f>
        <v>2931.61</v>
      </c>
      <c r="N269" s="36">
        <f t="shared" si="100"/>
        <v>13282.48</v>
      </c>
      <c r="O269" s="173">
        <f>'2025 Ιούλιος'!L76</f>
        <v>3442.24</v>
      </c>
      <c r="P269" s="36">
        <f t="shared" si="101"/>
        <v>16724.72</v>
      </c>
      <c r="Q269" s="173">
        <f>'2025 Aύγουστος'!L76</f>
        <v>2918.7</v>
      </c>
      <c r="R269" s="36">
        <f t="shared" si="102"/>
        <v>19643.420000000002</v>
      </c>
      <c r="S269" s="173">
        <f>'2025 Σεπτέμβριος'!L76</f>
        <v>2944.73</v>
      </c>
      <c r="T269" s="36">
        <f t="shared" si="103"/>
        <v>22588.15</v>
      </c>
      <c r="U269" s="173">
        <f>'2025 Οκτώβριος'!L76</f>
        <v>2966.78</v>
      </c>
      <c r="V269" s="36">
        <f t="shared" si="104"/>
        <v>25554.93</v>
      </c>
      <c r="W269" s="173">
        <f>'2025 Νοέμβριος'!L76</f>
        <v>1171.43</v>
      </c>
      <c r="X269" s="36">
        <f t="shared" si="105"/>
        <v>26726.36</v>
      </c>
      <c r="Y269" s="173">
        <f>'2025 Δεκέμβριος'!L76</f>
        <v>752.79</v>
      </c>
      <c r="Z269" s="36">
        <f t="shared" si="106"/>
        <v>27479.15</v>
      </c>
      <c r="AA269" s="36">
        <f t="shared" si="107"/>
        <v>27479.15</v>
      </c>
      <c r="AD269" s="37">
        <f>IF(C150&lt;&gt;0,C269,0) + IF(E150&lt;&gt;0,E269,0) + IF(G150&lt;&gt;0,G269,0) +
IF(I150&lt;&gt;0,I269,0) + IF(K150&lt;&gt;0,K269,0) + IF(M150&lt;&gt;0,M269,0) +
IF(O150&lt;&gt;0,O269,0) + IF(Q150&lt;&gt;0,Q269,0) + IF(S150&lt;&gt;0,S269,0) +
IF(U150&lt;&gt;0,U269,0) + IF(W150&lt;&gt;0,W269,0) + IF(Y150&lt;&gt;0,Y269,0)</f>
        <v>10350.869999999999</v>
      </c>
    </row>
    <row r="270" spans="1:30" x14ac:dyDescent="0.25">
      <c r="A270" s="44" t="str">
        <f>'2025 Ιανουάριος'!C77</f>
        <v>Αναλώσιμα τρόφιμα  (Ομάδα 2**)</v>
      </c>
      <c r="B270" s="35">
        <v>2024</v>
      </c>
      <c r="C270" s="173">
        <f>'2025 Ιανουάριος'!L77</f>
        <v>0</v>
      </c>
      <c r="D270" s="36">
        <f t="shared" si="95"/>
        <v>0</v>
      </c>
      <c r="E270" s="173">
        <f>'2025 Φεβρουάριος'!L77</f>
        <v>0</v>
      </c>
      <c r="F270" s="36">
        <f t="shared" si="96"/>
        <v>0</v>
      </c>
      <c r="G270" s="173">
        <f>'2025 Μάρτιος'!L77</f>
        <v>0</v>
      </c>
      <c r="H270" s="36">
        <f t="shared" si="97"/>
        <v>0</v>
      </c>
      <c r="I270" s="173">
        <f>'2025 Απρίλιος'!L77</f>
        <v>0</v>
      </c>
      <c r="J270" s="36">
        <f t="shared" si="98"/>
        <v>0</v>
      </c>
      <c r="K270" s="173">
        <f>'2025 Μάιος'!L77</f>
        <v>0</v>
      </c>
      <c r="L270" s="36">
        <f t="shared" si="99"/>
        <v>0</v>
      </c>
      <c r="M270" s="173">
        <f>'2025 Ιούνιος'!L77</f>
        <v>0</v>
      </c>
      <c r="N270" s="36">
        <f t="shared" si="100"/>
        <v>0</v>
      </c>
      <c r="O270" s="173">
        <f>'2025 Ιούλιος'!L77</f>
        <v>0</v>
      </c>
      <c r="P270" s="36">
        <f t="shared" si="101"/>
        <v>0</v>
      </c>
      <c r="Q270" s="173">
        <f>'2025 Aύγουστος'!L77</f>
        <v>0</v>
      </c>
      <c r="R270" s="36">
        <f t="shared" si="102"/>
        <v>0</v>
      </c>
      <c r="S270" s="173">
        <f>'2025 Σεπτέμβριος'!L77</f>
        <v>0</v>
      </c>
      <c r="T270" s="36">
        <f t="shared" si="103"/>
        <v>0</v>
      </c>
      <c r="U270" s="173">
        <f>'2025 Οκτώβριος'!L77</f>
        <v>0</v>
      </c>
      <c r="V270" s="36">
        <f t="shared" si="104"/>
        <v>0</v>
      </c>
      <c r="W270" s="173">
        <f>'2025 Νοέμβριος'!L77</f>
        <v>0</v>
      </c>
      <c r="X270" s="36">
        <f t="shared" si="105"/>
        <v>0</v>
      </c>
      <c r="Y270" s="173">
        <f>'2025 Δεκέμβριος'!L77</f>
        <v>0</v>
      </c>
      <c r="Z270" s="36">
        <f t="shared" si="106"/>
        <v>0</v>
      </c>
      <c r="AA270" s="36">
        <f t="shared" si="107"/>
        <v>0</v>
      </c>
      <c r="AD270" s="37">
        <f>IF(C151&lt;&gt;0,C270,0) + IF(E151&lt;&gt;0,E270,0) + IF(G151&lt;&gt;0,G270,0) +
IF(I151&lt;&gt;0,I270,0) + IF(K151&lt;&gt;0,K270,0) + IF(M151&lt;&gt;0,M270,0) +
IF(O151&lt;&gt;0,O270,0) + IF(Q151&lt;&gt;0,Q270,0) + IF(S151&lt;&gt;0,S270,0) +
IF(U151&lt;&gt;0,U270,0) + IF(W151&lt;&gt;0,W270,0) + IF(Y151&lt;&gt;0,Y270,0)</f>
        <v>0</v>
      </c>
    </row>
    <row r="271" spans="1:30" x14ac:dyDescent="0.25">
      <c r="A271" s="44" t="s">
        <v>154</v>
      </c>
      <c r="C271" s="174">
        <f>SUM(C241:C270)</f>
        <v>37852.28</v>
      </c>
      <c r="D271" s="36">
        <f t="shared" si="95"/>
        <v>37852.28</v>
      </c>
      <c r="E271" s="174">
        <f>SUM(E241:E270)</f>
        <v>40608.46</v>
      </c>
      <c r="F271" s="36">
        <f t="shared" si="96"/>
        <v>78460.739999999991</v>
      </c>
      <c r="G271" s="174">
        <f>SUM(G241:G270)</f>
        <v>49146.879999999983</v>
      </c>
      <c r="H271" s="36">
        <f t="shared" si="97"/>
        <v>127607.61999999997</v>
      </c>
      <c r="I271" s="174">
        <f>SUM(I241:I270)</f>
        <v>49955.25999999998</v>
      </c>
      <c r="J271" s="36">
        <f t="shared" si="98"/>
        <v>177562.87999999995</v>
      </c>
      <c r="K271" s="173">
        <f>SUM(K241:K270)</f>
        <v>50639.640000000007</v>
      </c>
      <c r="L271" s="36">
        <f t="shared" si="99"/>
        <v>228202.51999999996</v>
      </c>
      <c r="M271" s="174">
        <f>SUM(M241:M270)</f>
        <v>52568.858999999997</v>
      </c>
      <c r="N271" s="36">
        <f t="shared" si="100"/>
        <v>280771.37899999996</v>
      </c>
      <c r="O271" s="173">
        <f>SUM(O241:O270)</f>
        <v>50621.250000000007</v>
      </c>
      <c r="P271" s="36">
        <f t="shared" si="101"/>
        <v>331392.62899999996</v>
      </c>
      <c r="Q271" s="173">
        <f>'2025 Aύγουστος'!L78</f>
        <v>60152.169999999984</v>
      </c>
      <c r="R271" s="36">
        <f t="shared" si="102"/>
        <v>391544.79899999994</v>
      </c>
      <c r="S271" s="173">
        <f>SUM(S241:S270)</f>
        <v>53841.04</v>
      </c>
      <c r="T271" s="36">
        <f t="shared" si="103"/>
        <v>445385.83899999992</v>
      </c>
      <c r="U271" s="173">
        <f>SUM(U241:U270)</f>
        <v>51120.160000000003</v>
      </c>
      <c r="V271" s="36">
        <f t="shared" si="104"/>
        <v>496505.99899999995</v>
      </c>
      <c r="W271" s="174">
        <f>SUM(W241:W270)</f>
        <v>44832.52</v>
      </c>
      <c r="X271" s="36">
        <f t="shared" si="105"/>
        <v>541338.51899999997</v>
      </c>
      <c r="Y271" s="174">
        <f>SUM(Y241:Y270)</f>
        <v>54454.37</v>
      </c>
      <c r="Z271" s="36">
        <f t="shared" si="106"/>
        <v>595792.88899999997</v>
      </c>
      <c r="AA271" s="36">
        <f t="shared" si="107"/>
        <v>595792.88899999997</v>
      </c>
      <c r="AD271" s="37"/>
    </row>
    <row r="276" spans="1:30" ht="17.25" x14ac:dyDescent="0.3">
      <c r="A276" s="165" t="s">
        <v>143</v>
      </c>
      <c r="B276" s="35" t="s">
        <v>87</v>
      </c>
      <c r="C276" s="172" t="s">
        <v>114</v>
      </c>
      <c r="D276" s="35" t="s">
        <v>115</v>
      </c>
      <c r="E276" s="172" t="s">
        <v>116</v>
      </c>
      <c r="F276" s="35" t="s">
        <v>117</v>
      </c>
      <c r="G276" s="172" t="s">
        <v>118</v>
      </c>
      <c r="H276" s="35" t="s">
        <v>119</v>
      </c>
      <c r="I276" s="172" t="s">
        <v>147</v>
      </c>
      <c r="J276" s="35" t="s">
        <v>121</v>
      </c>
      <c r="K276" s="172" t="s">
        <v>122</v>
      </c>
      <c r="L276" s="35" t="s">
        <v>145</v>
      </c>
      <c r="M276" s="172" t="s">
        <v>123</v>
      </c>
      <c r="N276" s="35" t="s">
        <v>124</v>
      </c>
      <c r="O276" s="172" t="s">
        <v>125</v>
      </c>
      <c r="P276" s="35" t="s">
        <v>126</v>
      </c>
      <c r="Q276" s="172" t="s">
        <v>127</v>
      </c>
      <c r="R276" s="35" t="s">
        <v>128</v>
      </c>
      <c r="S276" s="172" t="s">
        <v>148</v>
      </c>
      <c r="T276" s="35" t="s">
        <v>130</v>
      </c>
      <c r="U276" s="172" t="s">
        <v>131</v>
      </c>
      <c r="V276" s="35" t="s">
        <v>132</v>
      </c>
      <c r="W276" s="172" t="s">
        <v>133</v>
      </c>
      <c r="X276" s="35" t="s">
        <v>134</v>
      </c>
      <c r="Y276" s="172" t="s">
        <v>149</v>
      </c>
      <c r="Z276" s="35" t="s">
        <v>150</v>
      </c>
      <c r="AA276" s="35" t="s">
        <v>151</v>
      </c>
    </row>
    <row r="277" spans="1:30" x14ac:dyDescent="0.25">
      <c r="A277" s="166" t="str">
        <f>'2025 Ιανουάριος'!C47</f>
        <v>Μικτές Αποδοχές Developent Department (A.K.Ddep)</v>
      </c>
      <c r="B277" s="56">
        <v>2024</v>
      </c>
      <c r="C277" s="173">
        <f>'2025 Ιανουάριος'!L47</f>
        <v>1349.58</v>
      </c>
      <c r="D277" s="36">
        <f t="shared" ref="D277:D307" si="108">C277</f>
        <v>1349.58</v>
      </c>
      <c r="E277" s="173">
        <f>'2025 Φεβρουάριος'!L47</f>
        <v>1349.58</v>
      </c>
      <c r="F277" s="36">
        <f t="shared" ref="F277:F307" si="109">D277+E277</f>
        <v>2699.16</v>
      </c>
      <c r="G277" s="173">
        <f>'2025 Μάρτιος'!L47</f>
        <v>2190.1999999999998</v>
      </c>
      <c r="H277" s="36">
        <f t="shared" ref="H277:H307" si="110">F277+G277</f>
        <v>4889.3599999999997</v>
      </c>
      <c r="I277" s="173">
        <f>'2025 Απρίλιος'!L47</f>
        <v>2234.79</v>
      </c>
      <c r="J277" s="36">
        <f t="shared" ref="J277:J307" si="111">H277+I277</f>
        <v>7124.15</v>
      </c>
      <c r="K277" s="173">
        <f>'2025 Μάιος'!L47</f>
        <v>1573.33</v>
      </c>
      <c r="L277" s="36">
        <f t="shared" ref="L277:L307" si="112">J277+K277</f>
        <v>8697.48</v>
      </c>
      <c r="M277" s="173">
        <f>'2025 Ιούνιος'!L47</f>
        <v>1603.98</v>
      </c>
      <c r="N277" s="36">
        <f t="shared" ref="N277:N307" si="113">L277+M277</f>
        <v>10301.459999999999</v>
      </c>
      <c r="O277" s="173">
        <f>'2025 Ιούλιος'!L47</f>
        <v>1527.26</v>
      </c>
      <c r="P277" s="36">
        <f t="shared" ref="P277:P307" si="114">N277+O277</f>
        <v>11828.72</v>
      </c>
      <c r="Q277" s="173">
        <f>'2025 Aύγουστος'!L47</f>
        <v>2460.9699999999998</v>
      </c>
      <c r="R277" s="36">
        <f t="shared" ref="R277:R307" si="115">P277+Q277</f>
        <v>14289.689999999999</v>
      </c>
      <c r="S277" s="173">
        <f>'2025 Σεπτέμβριος'!L47</f>
        <v>1739.8</v>
      </c>
      <c r="T277" s="36">
        <f t="shared" ref="T277:T307" si="116">R277+S277</f>
        <v>16029.489999999998</v>
      </c>
      <c r="U277" s="173">
        <f>'2025 Οκτώβριος'!L47</f>
        <v>1739.82</v>
      </c>
      <c r="V277" s="36">
        <f t="shared" ref="V277:V307" si="117">T277+U277</f>
        <v>17769.309999999998</v>
      </c>
      <c r="W277" s="173">
        <f>'2025 Νοέμβριος'!L47</f>
        <v>1590.96</v>
      </c>
      <c r="X277" s="36">
        <f t="shared" ref="X277:X307" si="118">V277+W277</f>
        <v>19360.269999999997</v>
      </c>
      <c r="Y277" s="173">
        <f>'2025 Δεκέμβριος'!L47</f>
        <v>3226.49</v>
      </c>
      <c r="Z277" s="36">
        <f t="shared" ref="Z277:Z307" si="119">X277+Y277</f>
        <v>22586.759999999995</v>
      </c>
      <c r="AA277" s="36">
        <f t="shared" ref="AA277:AA307" si="120">C277+E277+G277+I277+K277+M277+O277+Q277+S277+U277+W277+Y277</f>
        <v>22586.759999999995</v>
      </c>
      <c r="AD277" s="37">
        <f>IF(C121&lt;&gt;0,C277,0) + IF(E121&lt;&gt;0,E277,0) + IF(G121&lt;&gt;0,G277,0) +
IF(I121&lt;&gt;0,I277,0) + IF(K121&lt;&gt;0,K277,0) + IF(M121&lt;&gt;0,M277,0) +
IF(O121&lt;&gt;0,O277,0) + IF(Q121&lt;&gt;0,Q277,0) + IF(S121&lt;&gt;0,S277,0) +
IF(U121&lt;&gt;0,U277,0) + IF(W121&lt;&gt;0,W277,0) + IF(Y121&lt;&gt;0,Y277,0)</f>
        <v>8697.48</v>
      </c>
    </row>
    <row r="278" spans="1:30" x14ac:dyDescent="0.25">
      <c r="A278" s="166" t="str">
        <f>'2025 Ιανουάριος'!C48</f>
        <v>Μικτές Αποδοχές Reservation department (Α.Κ.RDep )</v>
      </c>
      <c r="B278" s="56">
        <v>2024</v>
      </c>
      <c r="C278" s="173">
        <f>'2025 Ιανουάριος'!L48</f>
        <v>0</v>
      </c>
      <c r="D278" s="36">
        <f t="shared" si="108"/>
        <v>0</v>
      </c>
      <c r="E278" s="173">
        <f>'2025 Φεβρουάριος'!L48</f>
        <v>0</v>
      </c>
      <c r="F278" s="36">
        <f t="shared" si="109"/>
        <v>0</v>
      </c>
      <c r="G278" s="173">
        <f>'2025 Μάρτιος'!L48</f>
        <v>0</v>
      </c>
      <c r="H278" s="36">
        <f t="shared" si="110"/>
        <v>0</v>
      </c>
      <c r="I278" s="173">
        <f>'2025 Απρίλιος'!L48</f>
        <v>1730.5800000000002</v>
      </c>
      <c r="J278" s="36">
        <f t="shared" si="111"/>
        <v>1730.5800000000002</v>
      </c>
      <c r="K278" s="173">
        <f>'2025 Μάιος'!L48</f>
        <v>1490.71</v>
      </c>
      <c r="L278" s="36">
        <f t="shared" si="112"/>
        <v>3221.29</v>
      </c>
      <c r="M278" s="173">
        <f>'2025 Ιούνιος'!L48</f>
        <v>2585.3000000000002</v>
      </c>
      <c r="N278" s="36">
        <f t="shared" si="113"/>
        <v>5806.59</v>
      </c>
      <c r="O278" s="173">
        <f>'2025 Ιούλιος'!L48</f>
        <v>786.42</v>
      </c>
      <c r="P278" s="36">
        <f t="shared" si="114"/>
        <v>6593.01</v>
      </c>
      <c r="Q278" s="173">
        <f>'2025 Aύγουστος'!L48</f>
        <v>1718.77</v>
      </c>
      <c r="R278" s="36">
        <f t="shared" si="115"/>
        <v>8311.7800000000007</v>
      </c>
      <c r="S278" s="173">
        <f>'2025 Σεπτέμβριος'!L48</f>
        <v>1756.79</v>
      </c>
      <c r="T278" s="36">
        <f t="shared" si="116"/>
        <v>10068.57</v>
      </c>
      <c r="U278" s="173">
        <f>'2025 Οκτώβριος'!L48</f>
        <v>1756.78</v>
      </c>
      <c r="V278" s="36">
        <f t="shared" si="117"/>
        <v>11825.35</v>
      </c>
      <c r="W278" s="173">
        <f>'2025 Νοέμβριος'!L48</f>
        <v>1604</v>
      </c>
      <c r="X278" s="36">
        <f t="shared" si="118"/>
        <v>13429.35</v>
      </c>
      <c r="Y278" s="173">
        <f>'2025 Δεκέμβριος'!L48</f>
        <v>3371.38</v>
      </c>
      <c r="Z278" s="36">
        <f t="shared" si="119"/>
        <v>16800.73</v>
      </c>
      <c r="AA278" s="36">
        <f t="shared" si="120"/>
        <v>16800.73</v>
      </c>
      <c r="AD278" s="37">
        <f>IF(C122&lt;&gt;0,C278,0) + IF(E122&lt;&gt;0,E278,0) + IF(G122&lt;&gt;0,G278,0) +
IF(I122&lt;&gt;0,I278,0) + IF(K122&lt;&gt;0,K278,0) + IF(M122&lt;&gt;0,M278,0) +
IF(O122&lt;&gt;0,O278,0) + IF(Q122&lt;&gt;0,Q278,0) + IF(S122&lt;&gt;0,S278,0) +
IF(U122&lt;&gt;0,U278,0) + IF(W122&lt;&gt;0,W278,0) + IF(Y122&lt;&gt;0,Y278,0)</f>
        <v>3221.29</v>
      </c>
    </row>
    <row r="279" spans="1:30" x14ac:dyDescent="0.25">
      <c r="A279" s="166" t="str">
        <f>'2025 Ιανουάριος'!C85</f>
        <v>Μικτές Αποδοχές Marketing (Α.Κ.MDep )</v>
      </c>
      <c r="B279" s="56">
        <v>2024</v>
      </c>
      <c r="C279" s="173">
        <f>'2025 Ιανουάριος'!L85</f>
        <v>930.01</v>
      </c>
      <c r="D279" s="36">
        <f t="shared" si="108"/>
        <v>930.01</v>
      </c>
      <c r="E279" s="173">
        <f>'2025 Φεβρουάριος'!L85</f>
        <v>1439.8</v>
      </c>
      <c r="F279" s="36">
        <f t="shared" si="109"/>
        <v>2369.81</v>
      </c>
      <c r="G279" s="173">
        <f>'2025 Μάρτιος'!L85</f>
        <v>1434.4</v>
      </c>
      <c r="H279" s="36">
        <f t="shared" si="110"/>
        <v>3804.21</v>
      </c>
      <c r="I279" s="173">
        <f>'2025 Απρίλιος'!L85</f>
        <v>2128.84</v>
      </c>
      <c r="J279" s="36">
        <f t="shared" si="111"/>
        <v>5933.05</v>
      </c>
      <c r="K279" s="173">
        <f>'2025 Μάιος'!L85</f>
        <v>2241.0100000000002</v>
      </c>
      <c r="L279" s="36">
        <f t="shared" si="112"/>
        <v>8174.06</v>
      </c>
      <c r="M279" s="173">
        <f>'2025 Ιούνιος'!L85</f>
        <v>564.71</v>
      </c>
      <c r="N279" s="36">
        <f t="shared" si="113"/>
        <v>8738.77</v>
      </c>
      <c r="O279" s="173">
        <f>'2025 Ιούλιος'!L85</f>
        <v>1738.73</v>
      </c>
      <c r="P279" s="36">
        <f t="shared" si="114"/>
        <v>10477.5</v>
      </c>
      <c r="Q279" s="173">
        <f>'2025 Aύγουστος'!L85</f>
        <v>2797.91</v>
      </c>
      <c r="R279" s="36">
        <f t="shared" si="115"/>
        <v>13275.41</v>
      </c>
      <c r="S279" s="173">
        <f>'2025 Σεπτέμβριος'!L85</f>
        <v>2091.4</v>
      </c>
      <c r="T279" s="36">
        <f t="shared" si="116"/>
        <v>15366.81</v>
      </c>
      <c r="U279" s="173">
        <f>'2025 Οκτώβριος'!L85</f>
        <v>2091.4</v>
      </c>
      <c r="V279" s="36">
        <f t="shared" si="117"/>
        <v>17458.21</v>
      </c>
      <c r="W279" s="173">
        <f>'2025 Νοέμβριος'!L85</f>
        <v>2091.4</v>
      </c>
      <c r="X279" s="36">
        <f t="shared" si="118"/>
        <v>19549.61</v>
      </c>
      <c r="Y279" s="173">
        <f>'2025 Δεκέμβριος'!L85</f>
        <v>4349.45</v>
      </c>
      <c r="Z279" s="36">
        <f t="shared" si="119"/>
        <v>23899.06</v>
      </c>
      <c r="AA279" s="36">
        <f t="shared" si="120"/>
        <v>23899.06</v>
      </c>
      <c r="AD279" s="37">
        <f>IF(C159&lt;&gt;0,C279,0) + IF(E159&lt;&gt;0,E279,0) + IF(G159&lt;&gt;0,G279,0) +
IF(I159&lt;&gt;0,I279,0) + IF(K159&lt;&gt;0,K279,0) + IF(M159&lt;&gt;0,M279,0) +
IF(O159&lt;&gt;0,O279,0) + IF(Q159&lt;&gt;0,Q279,0) + IF(S159&lt;&gt;0,S279,0) +
IF(U159&lt;&gt;0,U279,0) + IF(W159&lt;&gt;0,W279,0) + IF(Y159&lt;&gt;0,Y279,0)</f>
        <v>8174.06</v>
      </c>
    </row>
    <row r="280" spans="1:30" x14ac:dyDescent="0.25">
      <c r="A280" s="166" t="str">
        <f>'2025 Ιανουάριος'!C86</f>
        <v>Μικτές Αποδοχές Sales (Α.Κ.SDep )</v>
      </c>
      <c r="B280" s="56">
        <v>2024</v>
      </c>
      <c r="C280" s="173">
        <f>'2025 Ιανουάριος'!L86</f>
        <v>0</v>
      </c>
      <c r="D280" s="36">
        <f t="shared" si="108"/>
        <v>0</v>
      </c>
      <c r="E280" s="173">
        <f>'2025 Φεβρουάριος'!L86</f>
        <v>0</v>
      </c>
      <c r="F280" s="36">
        <f t="shared" si="109"/>
        <v>0</v>
      </c>
      <c r="G280" s="173">
        <f>'2025 Μάρτιος'!L86</f>
        <v>0</v>
      </c>
      <c r="H280" s="36">
        <f t="shared" si="110"/>
        <v>0</v>
      </c>
      <c r="I280" s="173">
        <f>'2025 Απρίλιος'!L86</f>
        <v>0</v>
      </c>
      <c r="J280" s="36">
        <f t="shared" si="111"/>
        <v>0</v>
      </c>
      <c r="K280" s="173">
        <f>'2025 Μάιος'!L86</f>
        <v>0</v>
      </c>
      <c r="L280" s="36">
        <f t="shared" si="112"/>
        <v>0</v>
      </c>
      <c r="M280" s="173">
        <f>'2025 Ιούνιος'!L86</f>
        <v>0</v>
      </c>
      <c r="N280" s="36">
        <f t="shared" si="113"/>
        <v>0</v>
      </c>
      <c r="O280" s="173">
        <f>'2025 Ιούλιος'!L86</f>
        <v>0</v>
      </c>
      <c r="P280" s="36">
        <f t="shared" si="114"/>
        <v>0</v>
      </c>
      <c r="Q280" s="173">
        <f>'2025 Aύγουστος'!L86</f>
        <v>0</v>
      </c>
      <c r="R280" s="36">
        <f t="shared" si="115"/>
        <v>0</v>
      </c>
      <c r="S280" s="173">
        <f>'2025 Σεπτέμβριος'!L86</f>
        <v>0</v>
      </c>
      <c r="T280" s="36">
        <f t="shared" si="116"/>
        <v>0</v>
      </c>
      <c r="U280" s="173">
        <f>'2025 Οκτώβριος'!L86</f>
        <v>0</v>
      </c>
      <c r="V280" s="36">
        <f t="shared" si="117"/>
        <v>0</v>
      </c>
      <c r="W280" s="173">
        <f>'2025 Νοέμβριος'!L86</f>
        <v>0</v>
      </c>
      <c r="X280" s="36">
        <f t="shared" si="118"/>
        <v>0</v>
      </c>
      <c r="Y280" s="173">
        <f>'2025 Δεκέμβριος'!L86</f>
        <v>0</v>
      </c>
      <c r="Z280" s="36">
        <f t="shared" si="119"/>
        <v>0</v>
      </c>
      <c r="AA280" s="36">
        <f t="shared" si="120"/>
        <v>0</v>
      </c>
      <c r="AD280" s="37">
        <f>IF(C160&lt;&gt;0,C280,0) + IF(E160&lt;&gt;0,E280,0) + IF(G160&lt;&gt;0,G280,0) +
IF(I160&lt;&gt;0,I280,0) + IF(K160&lt;&gt;0,K280,0) + IF(M160&lt;&gt;0,M280,0) +
IF(O160&lt;&gt;0,O280,0) + IF(Q160&lt;&gt;0,Q280,0) + IF(S160&lt;&gt;0,S280,0) +
IF(U160&lt;&gt;0,U280,0) + IF(W160&lt;&gt;0,W280,0) + IF(Y160&lt;&gt;0,Y280,0)</f>
        <v>0</v>
      </c>
    </row>
    <row r="281" spans="1:30" x14ac:dyDescent="0.25">
      <c r="A281" s="166" t="str">
        <f>'2025 Ιανουάριος'!C52</f>
        <v>Ασφαλιστικές εισφορές (Α.Κ.DDep)</v>
      </c>
      <c r="B281" s="56">
        <v>2024</v>
      </c>
      <c r="C281" s="173">
        <f>'2025 Ιανουάριος'!L52</f>
        <v>0</v>
      </c>
      <c r="D281" s="36">
        <f t="shared" si="108"/>
        <v>0</v>
      </c>
      <c r="E281" s="173">
        <f>'2025 Φεβρουάριος'!L52</f>
        <v>300.82</v>
      </c>
      <c r="F281" s="36">
        <f t="shared" si="109"/>
        <v>300.82</v>
      </c>
      <c r="G281" s="173">
        <f>'2025 Μάρτιος'!L52</f>
        <v>488.2</v>
      </c>
      <c r="H281" s="36">
        <f t="shared" si="110"/>
        <v>789.02</v>
      </c>
      <c r="I281" s="173">
        <f>'2025 Απρίλιος'!L52</f>
        <v>498.13</v>
      </c>
      <c r="J281" s="36">
        <f t="shared" si="111"/>
        <v>1287.1500000000001</v>
      </c>
      <c r="K281" s="173">
        <f>'2025 Μάιος'!L52</f>
        <v>350.7</v>
      </c>
      <c r="L281" s="36">
        <f t="shared" si="112"/>
        <v>1637.8500000000001</v>
      </c>
      <c r="M281" s="173">
        <f>'2025 Ιούνιος'!L52</f>
        <v>365.51</v>
      </c>
      <c r="N281" s="36">
        <f t="shared" si="113"/>
        <v>2003.3600000000001</v>
      </c>
      <c r="O281" s="173">
        <f>'2025 Ιούλιος'!L52</f>
        <v>340.43</v>
      </c>
      <c r="P281" s="36">
        <f t="shared" si="114"/>
        <v>2343.79</v>
      </c>
      <c r="Q281" s="173">
        <f>'2025 Aύγουστος'!L52</f>
        <v>568.54999999999995</v>
      </c>
      <c r="R281" s="36">
        <f t="shared" si="115"/>
        <v>2912.34</v>
      </c>
      <c r="S281" s="173">
        <f>'2025 Σεπτέμβριος'!L52</f>
        <v>365.51</v>
      </c>
      <c r="T281" s="36">
        <f t="shared" si="116"/>
        <v>3277.8500000000004</v>
      </c>
      <c r="U281" s="173">
        <f>'2025 Οκτώβριος'!L52</f>
        <v>365.52</v>
      </c>
      <c r="V281" s="36">
        <f t="shared" si="117"/>
        <v>3643.3700000000003</v>
      </c>
      <c r="W281" s="173">
        <f>'2025 Νοέμβριος'!L52</f>
        <v>332.33</v>
      </c>
      <c r="X281" s="36">
        <f t="shared" si="118"/>
        <v>3975.7000000000003</v>
      </c>
      <c r="Y281" s="173">
        <f>'2025 Δεκέμβριος'!L52</f>
        <v>696.89</v>
      </c>
      <c r="Z281" s="36">
        <f t="shared" si="119"/>
        <v>4672.59</v>
      </c>
      <c r="AA281" s="36">
        <f t="shared" si="120"/>
        <v>4672.59</v>
      </c>
      <c r="AD281" s="37">
        <f>IF(C126&lt;&gt;0,C281,0) + IF(E126&lt;&gt;0,E281,0) + IF(G126&lt;&gt;0,G281,0) +
IF(I126&lt;&gt;0,I281,0) + IF(K126&lt;&gt;0,K281,0) + IF(M126&lt;&gt;0,M281,0) +
IF(O126&lt;&gt;0,O281,0) + IF(Q126&lt;&gt;0,Q281,0) + IF(S126&lt;&gt;0,S281,0) +
IF(U126&lt;&gt;0,U281,0) + IF(W126&lt;&gt;0,W281,0) + IF(Y126&lt;&gt;0,Y281,0)</f>
        <v>1637.8500000000001</v>
      </c>
    </row>
    <row r="282" spans="1:30" x14ac:dyDescent="0.25">
      <c r="A282" s="166" t="str">
        <f>'2025 Ιανουάριος'!C53</f>
        <v>Ασφαλιστικές εισφορές (Α.Κ.RDep)</v>
      </c>
      <c r="B282" s="56">
        <v>2024</v>
      </c>
      <c r="C282" s="173">
        <f>'2025 Ιανουάριος'!L53</f>
        <v>300.82</v>
      </c>
      <c r="D282" s="36">
        <f t="shared" si="108"/>
        <v>300.82</v>
      </c>
      <c r="E282" s="173">
        <f>'2025 Φεβρουάριος'!L53</f>
        <v>0</v>
      </c>
      <c r="F282" s="36">
        <f t="shared" si="109"/>
        <v>300.82</v>
      </c>
      <c r="G282" s="173">
        <f>'2025 Μάρτιος'!L53</f>
        <v>0</v>
      </c>
      <c r="H282" s="36">
        <f t="shared" si="110"/>
        <v>300.82</v>
      </c>
      <c r="I282" s="173">
        <f>'2025 Απρίλιος'!L53</f>
        <v>385.75</v>
      </c>
      <c r="J282" s="36">
        <f t="shared" si="111"/>
        <v>686.56999999999994</v>
      </c>
      <c r="K282" s="173">
        <f>'2025 Μάιος'!L53</f>
        <v>332.28</v>
      </c>
      <c r="L282" s="36">
        <f t="shared" si="112"/>
        <v>1018.8499999999999</v>
      </c>
      <c r="M282" s="173">
        <f>'2025 Ιούνιος'!L53</f>
        <v>494.2</v>
      </c>
      <c r="N282" s="36">
        <f t="shared" si="113"/>
        <v>1513.05</v>
      </c>
      <c r="O282" s="173">
        <f>'2025 Ιούλιος'!L53</f>
        <v>175.29</v>
      </c>
      <c r="P282" s="36">
        <f t="shared" si="114"/>
        <v>1688.34</v>
      </c>
      <c r="Q282" s="173">
        <f>'2025 Aύγουστος'!L53</f>
        <v>403.12</v>
      </c>
      <c r="R282" s="36">
        <f t="shared" si="115"/>
        <v>2091.46</v>
      </c>
      <c r="S282" s="173">
        <f>'2025 Σεπτέμβριος'!L53</f>
        <v>369.3</v>
      </c>
      <c r="T282" s="36">
        <f t="shared" si="116"/>
        <v>2460.7600000000002</v>
      </c>
      <c r="U282" s="173">
        <f>'2025 Οκτώβριος'!L53</f>
        <v>369.3</v>
      </c>
      <c r="V282" s="36">
        <f t="shared" si="117"/>
        <v>2830.0600000000004</v>
      </c>
      <c r="W282" s="173">
        <f>'2025 Νοέμβριος'!L53</f>
        <v>335.24</v>
      </c>
      <c r="X282" s="36">
        <f t="shared" si="118"/>
        <v>3165.3</v>
      </c>
      <c r="Y282" s="173">
        <f>'2025 Δεκέμβριος'!L53</f>
        <v>729.19</v>
      </c>
      <c r="Z282" s="36">
        <f t="shared" si="119"/>
        <v>3894.4900000000002</v>
      </c>
      <c r="AA282" s="36">
        <f t="shared" si="120"/>
        <v>3894.4900000000002</v>
      </c>
      <c r="AD282" s="37">
        <f>IF(C127&lt;&gt;0,C282,0) + IF(E127&lt;&gt;0,E282,0) + IF(G127&lt;&gt;0,G282,0) +
IF(I127&lt;&gt;0,I282,0) + IF(K127&lt;&gt;0,K282,0) + IF(M127&lt;&gt;0,M282,0) +
IF(O127&lt;&gt;0,O282,0) + IF(Q127&lt;&gt;0,Q282,0) + IF(S127&lt;&gt;0,S282,0) +
IF(U127&lt;&gt;0,U282,0) + IF(W127&lt;&gt;0,W282,0) + IF(Y127&lt;&gt;0,Y282,0)</f>
        <v>1018.8499999999999</v>
      </c>
    </row>
    <row r="283" spans="1:30" x14ac:dyDescent="0.25">
      <c r="A283" s="166" t="str">
        <f>'2025 Ιανουάριος'!C87</f>
        <v>Ασφαλιστικές εισφορές (Α.Κ.MDep)</v>
      </c>
      <c r="B283" s="56">
        <v>2024</v>
      </c>
      <c r="C283" s="173">
        <f>'2025 Ιανουάριος'!L87</f>
        <v>176.37</v>
      </c>
      <c r="D283" s="36">
        <f t="shared" si="108"/>
        <v>176.37</v>
      </c>
      <c r="E283" s="173">
        <f>'2025 Φεβρουάριος'!L87</f>
        <v>292.81</v>
      </c>
      <c r="F283" s="36">
        <f t="shared" si="109"/>
        <v>469.18</v>
      </c>
      <c r="G283" s="173">
        <f>'2025 Μάρτιος'!L87</f>
        <v>288.8</v>
      </c>
      <c r="H283" s="36">
        <f t="shared" si="110"/>
        <v>757.98</v>
      </c>
      <c r="I283" s="173">
        <f>'2025 Απρίλιος'!L87</f>
        <v>427.49</v>
      </c>
      <c r="J283" s="36">
        <f t="shared" si="111"/>
        <v>1185.47</v>
      </c>
      <c r="K283" s="173">
        <f>'2025 Μάιος'!L87</f>
        <v>414.21</v>
      </c>
      <c r="L283" s="36">
        <f t="shared" si="112"/>
        <v>1599.68</v>
      </c>
      <c r="M283" s="173">
        <f>'2025 Ιούνιος'!L87</f>
        <v>99.47</v>
      </c>
      <c r="N283" s="36">
        <f t="shared" si="113"/>
        <v>1699.15</v>
      </c>
      <c r="O283" s="173">
        <f>'2025 Ιούλιος'!L87</f>
        <v>271.76</v>
      </c>
      <c r="P283" s="36">
        <f t="shared" si="114"/>
        <v>1970.91</v>
      </c>
      <c r="Q283" s="173">
        <f>'2025 Aύγουστος'!L87</f>
        <v>477.31999999999988</v>
      </c>
      <c r="R283" s="36">
        <f t="shared" si="115"/>
        <v>2448.23</v>
      </c>
      <c r="S283" s="173">
        <f>'2025 Σεπτέμβριος'!L87</f>
        <v>326.89999999999998</v>
      </c>
      <c r="T283" s="36">
        <f t="shared" si="116"/>
        <v>2775.13</v>
      </c>
      <c r="U283" s="173">
        <f>'2025 Οκτώβριος'!L87</f>
        <v>326.89999999999998</v>
      </c>
      <c r="V283" s="36">
        <f t="shared" si="117"/>
        <v>3102.03</v>
      </c>
      <c r="W283" s="173">
        <f>'2025 Νοέμβριος'!L87</f>
        <v>326.89999999999998</v>
      </c>
      <c r="X283" s="36">
        <f t="shared" si="118"/>
        <v>3428.9300000000003</v>
      </c>
      <c r="Y283" s="173">
        <f>'2025 Δεκέμβριος'!L87</f>
        <v>679.83</v>
      </c>
      <c r="Z283" s="36">
        <f t="shared" si="119"/>
        <v>4108.76</v>
      </c>
      <c r="AA283" s="36">
        <f t="shared" si="120"/>
        <v>4108.76</v>
      </c>
      <c r="AD283" s="37">
        <f t="shared" ref="AD283:AD306" si="121">IF(C161&lt;&gt;0,C283,0) + IF(E161&lt;&gt;0,E283,0) + IF(G161&lt;&gt;0,G283,0) +
IF(I161&lt;&gt;0,I283,0) + IF(K161&lt;&gt;0,K283,0) + IF(M161&lt;&gt;0,M283,0) +
IF(O161&lt;&gt;0,O283,0) + IF(Q161&lt;&gt;0,Q283,0) + IF(S161&lt;&gt;0,S283,0) +
IF(U161&lt;&gt;0,U283,0) + IF(W161&lt;&gt;0,W283,0) + IF(Y161&lt;&gt;0,Y283,0)</f>
        <v>1599.68</v>
      </c>
    </row>
    <row r="284" spans="1:30" x14ac:dyDescent="0.25">
      <c r="A284" s="166" t="str">
        <f>'2025 Ιανουάριος'!C88</f>
        <v>Ασφαλιστικές εισφορές (Α.Κ.SDep)</v>
      </c>
      <c r="B284" s="56">
        <v>2024</v>
      </c>
      <c r="C284" s="173">
        <f>'2025 Ιανουάριος'!L88</f>
        <v>0</v>
      </c>
      <c r="D284" s="36">
        <f t="shared" si="108"/>
        <v>0</v>
      </c>
      <c r="E284" s="173">
        <f>'2025 Φεβρουάριος'!L88</f>
        <v>0</v>
      </c>
      <c r="F284" s="36">
        <f t="shared" si="109"/>
        <v>0</v>
      </c>
      <c r="G284" s="173">
        <f>'2025 Μάρτιος'!L88</f>
        <v>0</v>
      </c>
      <c r="H284" s="36">
        <f t="shared" si="110"/>
        <v>0</v>
      </c>
      <c r="I284" s="173">
        <f>'2025 Απρίλιος'!L88</f>
        <v>0</v>
      </c>
      <c r="J284" s="36">
        <f t="shared" si="111"/>
        <v>0</v>
      </c>
      <c r="K284" s="173">
        <f>'2025 Μάιος'!L88</f>
        <v>0</v>
      </c>
      <c r="L284" s="36">
        <f t="shared" si="112"/>
        <v>0</v>
      </c>
      <c r="M284" s="173">
        <f>'2025 Ιούνιος'!L88</f>
        <v>0</v>
      </c>
      <c r="N284" s="36">
        <f t="shared" si="113"/>
        <v>0</v>
      </c>
      <c r="O284" s="173">
        <f>'2025 Ιούλιος'!L88</f>
        <v>0</v>
      </c>
      <c r="P284" s="36">
        <f t="shared" si="114"/>
        <v>0</v>
      </c>
      <c r="Q284" s="173">
        <f>'2025 Aύγουστος'!L88</f>
        <v>0</v>
      </c>
      <c r="R284" s="36">
        <f t="shared" si="115"/>
        <v>0</v>
      </c>
      <c r="S284" s="173">
        <f>'2025 Σεπτέμβριος'!L88</f>
        <v>0</v>
      </c>
      <c r="T284" s="36">
        <f t="shared" si="116"/>
        <v>0</v>
      </c>
      <c r="U284" s="173">
        <f>'2025 Οκτώβριος'!L88</f>
        <v>0</v>
      </c>
      <c r="V284" s="36">
        <f t="shared" si="117"/>
        <v>0</v>
      </c>
      <c r="W284" s="173">
        <f>'2025 Νοέμβριος'!L88</f>
        <v>0</v>
      </c>
      <c r="X284" s="36">
        <f t="shared" si="118"/>
        <v>0</v>
      </c>
      <c r="Y284" s="173">
        <f>'2025 Δεκέμβριος'!L88</f>
        <v>0</v>
      </c>
      <c r="Z284" s="36">
        <f t="shared" si="119"/>
        <v>0</v>
      </c>
      <c r="AA284" s="36">
        <f t="shared" si="120"/>
        <v>0</v>
      </c>
      <c r="AD284" s="37">
        <f t="shared" si="121"/>
        <v>0</v>
      </c>
    </row>
    <row r="285" spans="1:30" x14ac:dyDescent="0.25">
      <c r="A285" s="166" t="str">
        <f>'2025 Ιανουάριος'!C89</f>
        <v>Ενοίκιο</v>
      </c>
      <c r="B285" s="56">
        <v>2024</v>
      </c>
      <c r="C285" s="173">
        <f>'2025 Ιανουάριος'!L89</f>
        <v>0</v>
      </c>
      <c r="D285" s="36">
        <f t="shared" si="108"/>
        <v>0</v>
      </c>
      <c r="E285" s="173">
        <f>'2025 Φεβρουάριος'!L89</f>
        <v>0</v>
      </c>
      <c r="F285" s="36">
        <f t="shared" si="109"/>
        <v>0</v>
      </c>
      <c r="G285" s="173">
        <f>'2025 Μάρτιος'!L89</f>
        <v>0</v>
      </c>
      <c r="H285" s="36">
        <f t="shared" si="110"/>
        <v>0</v>
      </c>
      <c r="I285" s="173">
        <f>'2025 Απρίλιος'!L89</f>
        <v>0</v>
      </c>
      <c r="J285" s="36">
        <f t="shared" si="111"/>
        <v>0</v>
      </c>
      <c r="K285" s="173">
        <f>'2025 Μάιος'!L89</f>
        <v>0</v>
      </c>
      <c r="L285" s="36">
        <f t="shared" si="112"/>
        <v>0</v>
      </c>
      <c r="M285" s="173">
        <f>'2025 Ιούνιος'!L89</f>
        <v>0</v>
      </c>
      <c r="N285" s="36">
        <f t="shared" si="113"/>
        <v>0</v>
      </c>
      <c r="O285" s="173">
        <f>'2025 Ιούλιος'!L89</f>
        <v>0</v>
      </c>
      <c r="P285" s="36">
        <f t="shared" si="114"/>
        <v>0</v>
      </c>
      <c r="Q285" s="173">
        <f>'2025 Aύγουστος'!L89</f>
        <v>0</v>
      </c>
      <c r="R285" s="36">
        <f t="shared" si="115"/>
        <v>0</v>
      </c>
      <c r="S285" s="173">
        <f>'2025 Σεπτέμβριος'!L89</f>
        <v>0</v>
      </c>
      <c r="T285" s="36">
        <f t="shared" si="116"/>
        <v>0</v>
      </c>
      <c r="U285" s="173">
        <f>'2025 Οκτώβριος'!L89</f>
        <v>0</v>
      </c>
      <c r="V285" s="36">
        <f t="shared" si="117"/>
        <v>0</v>
      </c>
      <c r="W285" s="173">
        <f>'2025 Νοέμβριος'!L89</f>
        <v>0</v>
      </c>
      <c r="X285" s="36">
        <f t="shared" si="118"/>
        <v>0</v>
      </c>
      <c r="Y285" s="173">
        <f>'2025 Δεκέμβριος'!L89</f>
        <v>0</v>
      </c>
      <c r="Z285" s="36">
        <f t="shared" si="119"/>
        <v>0</v>
      </c>
      <c r="AA285" s="36">
        <f t="shared" si="120"/>
        <v>0</v>
      </c>
      <c r="AD285" s="37">
        <f t="shared" si="121"/>
        <v>0</v>
      </c>
    </row>
    <row r="286" spans="1:30" x14ac:dyDescent="0.25">
      <c r="A286" s="166" t="str">
        <f>'2025 Ιανουάριος'!C90</f>
        <v xml:space="preserve">Χαρτόσημο ενοικίων </v>
      </c>
      <c r="B286" s="56">
        <v>2024</v>
      </c>
      <c r="C286" s="173">
        <f>'2025 Ιανουάριος'!L90</f>
        <v>0</v>
      </c>
      <c r="D286" s="36">
        <f t="shared" si="108"/>
        <v>0</v>
      </c>
      <c r="E286" s="173">
        <f>'2025 Φεβρουάριος'!L90</f>
        <v>0</v>
      </c>
      <c r="F286" s="36">
        <f t="shared" si="109"/>
        <v>0</v>
      </c>
      <c r="G286" s="173">
        <f>'2025 Μάρτιος'!L90</f>
        <v>0</v>
      </c>
      <c r="H286" s="36">
        <f t="shared" si="110"/>
        <v>0</v>
      </c>
      <c r="I286" s="173">
        <f>'2025 Απρίλιος'!L90</f>
        <v>0</v>
      </c>
      <c r="J286" s="36">
        <f t="shared" si="111"/>
        <v>0</v>
      </c>
      <c r="K286" s="173">
        <f>'2025 Μάιος'!L90</f>
        <v>0</v>
      </c>
      <c r="L286" s="36">
        <f t="shared" si="112"/>
        <v>0</v>
      </c>
      <c r="M286" s="173">
        <f>'2025 Ιούνιος'!L90</f>
        <v>0</v>
      </c>
      <c r="N286" s="36">
        <f t="shared" si="113"/>
        <v>0</v>
      </c>
      <c r="O286" s="173">
        <f>'2025 Ιούλιος'!L90</f>
        <v>0</v>
      </c>
      <c r="P286" s="36">
        <f t="shared" si="114"/>
        <v>0</v>
      </c>
      <c r="Q286" s="173">
        <f>'2025 Aύγουστος'!L90</f>
        <v>0</v>
      </c>
      <c r="R286" s="36">
        <f t="shared" si="115"/>
        <v>0</v>
      </c>
      <c r="S286" s="173">
        <f>'2025 Σεπτέμβριος'!L90</f>
        <v>0</v>
      </c>
      <c r="T286" s="36">
        <f t="shared" si="116"/>
        <v>0</v>
      </c>
      <c r="U286" s="173">
        <f>'2025 Οκτώβριος'!L90</f>
        <v>0</v>
      </c>
      <c r="V286" s="36">
        <f t="shared" si="117"/>
        <v>0</v>
      </c>
      <c r="W286" s="173">
        <f>'2025 Νοέμβριος'!L90</f>
        <v>0</v>
      </c>
      <c r="X286" s="36">
        <f t="shared" si="118"/>
        <v>0</v>
      </c>
      <c r="Y286" s="173">
        <f>'2025 Δεκέμβριος'!L90</f>
        <v>0</v>
      </c>
      <c r="Z286" s="36">
        <f t="shared" si="119"/>
        <v>0</v>
      </c>
      <c r="AA286" s="36">
        <f t="shared" si="120"/>
        <v>0</v>
      </c>
      <c r="AD286" s="37">
        <f t="shared" si="121"/>
        <v>0</v>
      </c>
    </row>
    <row r="287" spans="1:30" x14ac:dyDescent="0.25">
      <c r="A287" s="166" t="str">
        <f>'2025 Ιανουάριος'!C91</f>
        <v xml:space="preserve">Κοινόχρηστες Δαπάνες </v>
      </c>
      <c r="B287" s="56">
        <v>2024</v>
      </c>
      <c r="C287" s="173">
        <f>'2025 Ιανουάριος'!L91</f>
        <v>0</v>
      </c>
      <c r="D287" s="36">
        <f t="shared" si="108"/>
        <v>0</v>
      </c>
      <c r="E287" s="173">
        <f>'2025 Φεβρουάριος'!L91</f>
        <v>0</v>
      </c>
      <c r="F287" s="36">
        <f t="shared" si="109"/>
        <v>0</v>
      </c>
      <c r="G287" s="173">
        <f>'2025 Μάρτιος'!L91</f>
        <v>0</v>
      </c>
      <c r="H287" s="36">
        <f t="shared" si="110"/>
        <v>0</v>
      </c>
      <c r="I287" s="173">
        <f>'2025 Απρίλιος'!L91</f>
        <v>0</v>
      </c>
      <c r="J287" s="36">
        <f t="shared" si="111"/>
        <v>0</v>
      </c>
      <c r="K287" s="173">
        <f>'2025 Μάιος'!L91</f>
        <v>0</v>
      </c>
      <c r="L287" s="36">
        <f t="shared" si="112"/>
        <v>0</v>
      </c>
      <c r="M287" s="173">
        <f>'2025 Ιούνιος'!L91</f>
        <v>0</v>
      </c>
      <c r="N287" s="36">
        <f t="shared" si="113"/>
        <v>0</v>
      </c>
      <c r="O287" s="173">
        <f>'2025 Ιούλιος'!L91</f>
        <v>0</v>
      </c>
      <c r="P287" s="36">
        <f t="shared" si="114"/>
        <v>0</v>
      </c>
      <c r="Q287" s="173">
        <f>'2025 Aύγουστος'!L91</f>
        <v>0</v>
      </c>
      <c r="R287" s="36">
        <f t="shared" si="115"/>
        <v>0</v>
      </c>
      <c r="S287" s="173">
        <f>'2025 Σεπτέμβριος'!L91</f>
        <v>0</v>
      </c>
      <c r="T287" s="36">
        <f t="shared" si="116"/>
        <v>0</v>
      </c>
      <c r="U287" s="173">
        <f>'2025 Οκτώβριος'!L91</f>
        <v>0</v>
      </c>
      <c r="V287" s="36">
        <f t="shared" si="117"/>
        <v>0</v>
      </c>
      <c r="W287" s="173">
        <f>'2025 Νοέμβριος'!L91</f>
        <v>0</v>
      </c>
      <c r="X287" s="36">
        <f t="shared" si="118"/>
        <v>0</v>
      </c>
      <c r="Y287" s="173">
        <f>'2025 Δεκέμβριος'!L91</f>
        <v>0</v>
      </c>
      <c r="Z287" s="36">
        <f t="shared" si="119"/>
        <v>0</v>
      </c>
      <c r="AA287" s="36">
        <f t="shared" si="120"/>
        <v>0</v>
      </c>
      <c r="AD287" s="37">
        <f t="shared" si="121"/>
        <v>0</v>
      </c>
    </row>
    <row r="288" spans="1:30" x14ac:dyDescent="0.25">
      <c r="A288" s="166" t="str">
        <f>'2025 Ιανουάριος'!C92</f>
        <v xml:space="preserve">Ενέργεια </v>
      </c>
      <c r="B288" s="56">
        <v>2024</v>
      </c>
      <c r="C288" s="173">
        <f>'2025 Ιανουάριος'!L92</f>
        <v>0</v>
      </c>
      <c r="D288" s="36">
        <f t="shared" si="108"/>
        <v>0</v>
      </c>
      <c r="E288" s="173">
        <f>'2025 Φεβρουάριος'!L92</f>
        <v>0</v>
      </c>
      <c r="F288" s="36">
        <f t="shared" si="109"/>
        <v>0</v>
      </c>
      <c r="G288" s="173">
        <f>'2025 Μάρτιος'!L92</f>
        <v>0</v>
      </c>
      <c r="H288" s="36">
        <f t="shared" si="110"/>
        <v>0</v>
      </c>
      <c r="I288" s="173">
        <f>'2025 Απρίλιος'!L92</f>
        <v>0</v>
      </c>
      <c r="J288" s="36">
        <f t="shared" si="111"/>
        <v>0</v>
      </c>
      <c r="K288" s="173">
        <f>'2025 Μάιος'!L92</f>
        <v>0</v>
      </c>
      <c r="L288" s="36">
        <f t="shared" si="112"/>
        <v>0</v>
      </c>
      <c r="M288" s="173">
        <f>'2025 Ιούνιος'!L92</f>
        <v>0</v>
      </c>
      <c r="N288" s="36">
        <f t="shared" si="113"/>
        <v>0</v>
      </c>
      <c r="O288" s="173">
        <f>'2025 Ιούλιος'!L92</f>
        <v>0</v>
      </c>
      <c r="P288" s="36">
        <f t="shared" si="114"/>
        <v>0</v>
      </c>
      <c r="Q288" s="173">
        <f>'2025 Aύγουστος'!L92</f>
        <v>0</v>
      </c>
      <c r="R288" s="36">
        <f t="shared" si="115"/>
        <v>0</v>
      </c>
      <c r="S288" s="173">
        <f>'2025 Σεπτέμβριος'!L92</f>
        <v>0</v>
      </c>
      <c r="T288" s="36">
        <f t="shared" si="116"/>
        <v>0</v>
      </c>
      <c r="U288" s="173">
        <f>'2025 Οκτώβριος'!L92</f>
        <v>0</v>
      </c>
      <c r="V288" s="36">
        <f t="shared" si="117"/>
        <v>0</v>
      </c>
      <c r="W288" s="173">
        <f>'2025 Νοέμβριος'!L92</f>
        <v>0</v>
      </c>
      <c r="X288" s="36">
        <f t="shared" si="118"/>
        <v>0</v>
      </c>
      <c r="Y288" s="173">
        <f>'2025 Δεκέμβριος'!L92</f>
        <v>0</v>
      </c>
      <c r="Z288" s="36">
        <f t="shared" si="119"/>
        <v>0</v>
      </c>
      <c r="AA288" s="36">
        <f t="shared" si="120"/>
        <v>0</v>
      </c>
      <c r="AD288" s="37">
        <f t="shared" si="121"/>
        <v>0</v>
      </c>
    </row>
    <row r="289" spans="1:30" x14ac:dyDescent="0.25">
      <c r="A289" s="166" t="str">
        <f>'2025 Ιανουάριος'!C93</f>
        <v xml:space="preserve">Τηλεπικοινωνίες (Τηλεφωνία &amp; Διαδίκτυο) </v>
      </c>
      <c r="B289" s="56">
        <v>2024</v>
      </c>
      <c r="C289" s="173">
        <f>'2025 Ιανουάριος'!L93</f>
        <v>0</v>
      </c>
      <c r="D289" s="36">
        <f t="shared" si="108"/>
        <v>0</v>
      </c>
      <c r="E289" s="173">
        <f>'2025 Φεβρουάριος'!L93</f>
        <v>0</v>
      </c>
      <c r="F289" s="36">
        <f t="shared" si="109"/>
        <v>0</v>
      </c>
      <c r="G289" s="173">
        <f>'2025 Μάρτιος'!L93</f>
        <v>0</v>
      </c>
      <c r="H289" s="36">
        <f t="shared" si="110"/>
        <v>0</v>
      </c>
      <c r="I289" s="173">
        <f>'2025 Απρίλιος'!L93</f>
        <v>0</v>
      </c>
      <c r="J289" s="36">
        <f t="shared" si="111"/>
        <v>0</v>
      </c>
      <c r="K289" s="173">
        <f>'2025 Μάιος'!L93</f>
        <v>0</v>
      </c>
      <c r="L289" s="36">
        <f t="shared" si="112"/>
        <v>0</v>
      </c>
      <c r="M289" s="173">
        <f>'2025 Ιούνιος'!L93</f>
        <v>0</v>
      </c>
      <c r="N289" s="36">
        <f t="shared" si="113"/>
        <v>0</v>
      </c>
      <c r="O289" s="173">
        <f>'2025 Ιούλιος'!L93</f>
        <v>0</v>
      </c>
      <c r="P289" s="36">
        <f t="shared" si="114"/>
        <v>0</v>
      </c>
      <c r="Q289" s="173">
        <f>'2025 Aύγουστος'!L93</f>
        <v>0</v>
      </c>
      <c r="R289" s="36">
        <f t="shared" si="115"/>
        <v>0</v>
      </c>
      <c r="S289" s="173">
        <f>'2025 Σεπτέμβριος'!L93</f>
        <v>0</v>
      </c>
      <c r="T289" s="36">
        <f t="shared" si="116"/>
        <v>0</v>
      </c>
      <c r="U289" s="173">
        <f>'2025 Οκτώβριος'!L93</f>
        <v>0</v>
      </c>
      <c r="V289" s="36">
        <f t="shared" si="117"/>
        <v>0</v>
      </c>
      <c r="W289" s="173">
        <f>'2025 Νοέμβριος'!L93</f>
        <v>0</v>
      </c>
      <c r="X289" s="36">
        <f t="shared" si="118"/>
        <v>0</v>
      </c>
      <c r="Y289" s="173">
        <f>'2025 Δεκέμβριος'!L93</f>
        <v>0</v>
      </c>
      <c r="Z289" s="36">
        <f t="shared" si="119"/>
        <v>0</v>
      </c>
      <c r="AA289" s="36">
        <f t="shared" si="120"/>
        <v>0</v>
      </c>
      <c r="AD289" s="37">
        <f t="shared" si="121"/>
        <v>0</v>
      </c>
    </row>
    <row r="290" spans="1:30" x14ac:dyDescent="0.25">
      <c r="A290" s="166" t="str">
        <f>'2025 Ιανουάριος'!C94</f>
        <v xml:space="preserve">Ύδρευση </v>
      </c>
      <c r="B290" s="56">
        <v>2024</v>
      </c>
      <c r="C290" s="173">
        <f>'2025 Ιανουάριος'!L94</f>
        <v>0</v>
      </c>
      <c r="D290" s="36">
        <f t="shared" si="108"/>
        <v>0</v>
      </c>
      <c r="E290" s="173">
        <f>'2025 Φεβρουάριος'!L94</f>
        <v>0</v>
      </c>
      <c r="F290" s="36">
        <f t="shared" si="109"/>
        <v>0</v>
      </c>
      <c r="G290" s="173">
        <f>'2025 Μάρτιος'!L94</f>
        <v>0</v>
      </c>
      <c r="H290" s="36">
        <f t="shared" si="110"/>
        <v>0</v>
      </c>
      <c r="I290" s="173">
        <f>'2025 Απρίλιος'!L94</f>
        <v>0</v>
      </c>
      <c r="J290" s="36">
        <f t="shared" si="111"/>
        <v>0</v>
      </c>
      <c r="K290" s="173">
        <f>'2025 Μάιος'!L94</f>
        <v>0</v>
      </c>
      <c r="L290" s="36">
        <f t="shared" si="112"/>
        <v>0</v>
      </c>
      <c r="M290" s="173">
        <f>'2025 Ιούνιος'!L94</f>
        <v>0</v>
      </c>
      <c r="N290" s="36">
        <f t="shared" si="113"/>
        <v>0</v>
      </c>
      <c r="O290" s="173">
        <f>'2025 Ιούλιος'!L94</f>
        <v>0</v>
      </c>
      <c r="P290" s="36">
        <f t="shared" si="114"/>
        <v>0</v>
      </c>
      <c r="Q290" s="173">
        <f>'2025 Aύγουστος'!L94</f>
        <v>0</v>
      </c>
      <c r="R290" s="36">
        <f t="shared" si="115"/>
        <v>0</v>
      </c>
      <c r="S290" s="173">
        <f>'2025 Σεπτέμβριος'!L94</f>
        <v>0</v>
      </c>
      <c r="T290" s="36">
        <f t="shared" si="116"/>
        <v>0</v>
      </c>
      <c r="U290" s="173">
        <f>'2025 Οκτώβριος'!L94</f>
        <v>0</v>
      </c>
      <c r="V290" s="36">
        <f t="shared" si="117"/>
        <v>0</v>
      </c>
      <c r="W290" s="173">
        <f>'2025 Νοέμβριος'!L94</f>
        <v>0</v>
      </c>
      <c r="X290" s="36">
        <f t="shared" si="118"/>
        <v>0</v>
      </c>
      <c r="Y290" s="173">
        <f>'2025 Δεκέμβριος'!L94</f>
        <v>0</v>
      </c>
      <c r="Z290" s="36">
        <f t="shared" si="119"/>
        <v>0</v>
      </c>
      <c r="AA290" s="36">
        <f t="shared" si="120"/>
        <v>0</v>
      </c>
      <c r="AD290" s="37">
        <f t="shared" si="121"/>
        <v>0</v>
      </c>
    </row>
    <row r="291" spans="1:30" x14ac:dyDescent="0.25">
      <c r="A291" s="166" t="str">
        <f>'2025 Ιανουάριος'!C95</f>
        <v xml:space="preserve">Ασφάλιστρα </v>
      </c>
      <c r="B291" s="56">
        <v>2024</v>
      </c>
      <c r="C291" s="173">
        <f>'2025 Ιανουάριος'!L95</f>
        <v>0</v>
      </c>
      <c r="D291" s="36">
        <f t="shared" si="108"/>
        <v>0</v>
      </c>
      <c r="E291" s="173">
        <f>'2025 Φεβρουάριος'!L95</f>
        <v>246.76</v>
      </c>
      <c r="F291" s="36">
        <f t="shared" si="109"/>
        <v>246.76</v>
      </c>
      <c r="G291" s="173">
        <f>'2025 Μάρτιος'!L95</f>
        <v>0</v>
      </c>
      <c r="H291" s="36">
        <f t="shared" si="110"/>
        <v>246.76</v>
      </c>
      <c r="I291" s="173">
        <f>'2025 Απρίλιος'!L95</f>
        <v>0</v>
      </c>
      <c r="J291" s="36">
        <f t="shared" si="111"/>
        <v>246.76</v>
      </c>
      <c r="K291" s="173">
        <f>'2025 Μάιος'!L95</f>
        <v>0</v>
      </c>
      <c r="L291" s="36">
        <f t="shared" si="112"/>
        <v>246.76</v>
      </c>
      <c r="M291" s="173">
        <f>'2025 Ιούνιος'!L95</f>
        <v>0</v>
      </c>
      <c r="N291" s="36">
        <f t="shared" si="113"/>
        <v>246.76</v>
      </c>
      <c r="O291" s="173">
        <f>'2025 Ιούλιος'!L95</f>
        <v>0</v>
      </c>
      <c r="P291" s="36">
        <f t="shared" si="114"/>
        <v>246.76</v>
      </c>
      <c r="Q291" s="173">
        <f>'2025 Aύγουστος'!L95</f>
        <v>0</v>
      </c>
      <c r="R291" s="36">
        <f t="shared" si="115"/>
        <v>246.76</v>
      </c>
      <c r="S291" s="173">
        <f>'2025 Σεπτέμβριος'!L95</f>
        <v>0</v>
      </c>
      <c r="T291" s="36">
        <f t="shared" si="116"/>
        <v>246.76</v>
      </c>
      <c r="U291" s="173">
        <f>'2025 Οκτώβριος'!L95</f>
        <v>0</v>
      </c>
      <c r="V291" s="36">
        <f t="shared" si="117"/>
        <v>246.76</v>
      </c>
      <c r="W291" s="173">
        <f>'2025 Νοέμβριος'!L95</f>
        <v>0</v>
      </c>
      <c r="X291" s="36">
        <f t="shared" si="118"/>
        <v>246.76</v>
      </c>
      <c r="Y291" s="173">
        <f>'2025 Δεκέμβριος'!L95</f>
        <v>0</v>
      </c>
      <c r="Z291" s="36">
        <f t="shared" si="119"/>
        <v>246.76</v>
      </c>
      <c r="AA291" s="36">
        <f t="shared" si="120"/>
        <v>246.76</v>
      </c>
      <c r="AD291" s="37">
        <f t="shared" si="121"/>
        <v>0</v>
      </c>
    </row>
    <row r="292" spans="1:30" x14ac:dyDescent="0.25">
      <c r="A292" s="166" t="str">
        <f>'2025 Ιανουάριος'!C96</f>
        <v xml:space="preserve">Έντυπα και γραφική Ύλη </v>
      </c>
      <c r="B292" s="56">
        <v>2024</v>
      </c>
      <c r="C292" s="173">
        <f>'2025 Ιανουάριος'!L96</f>
        <v>0</v>
      </c>
      <c r="D292" s="36">
        <f t="shared" si="108"/>
        <v>0</v>
      </c>
      <c r="E292" s="173">
        <f>'2025 Φεβρουάριος'!L96</f>
        <v>0</v>
      </c>
      <c r="F292" s="36">
        <f t="shared" si="109"/>
        <v>0</v>
      </c>
      <c r="G292" s="173">
        <f>'2025 Μάρτιος'!L96</f>
        <v>8.0399999999999991</v>
      </c>
      <c r="H292" s="36">
        <f t="shared" si="110"/>
        <v>8.0399999999999991</v>
      </c>
      <c r="I292" s="173">
        <f>'2025 Απρίλιος'!L96</f>
        <v>0</v>
      </c>
      <c r="J292" s="36">
        <f t="shared" si="111"/>
        <v>8.0399999999999991</v>
      </c>
      <c r="K292" s="173">
        <f>'2025 Μάιος'!L96</f>
        <v>13.75</v>
      </c>
      <c r="L292" s="36">
        <f t="shared" si="112"/>
        <v>21.79</v>
      </c>
      <c r="M292" s="173">
        <f>'2025 Ιούνιος'!L96</f>
        <v>72.5</v>
      </c>
      <c r="N292" s="36">
        <f t="shared" si="113"/>
        <v>94.289999999999992</v>
      </c>
      <c r="O292" s="173">
        <f>'2025 Ιούλιος'!L96</f>
        <v>217.5</v>
      </c>
      <c r="P292" s="36">
        <f t="shared" si="114"/>
        <v>311.78999999999996</v>
      </c>
      <c r="Q292" s="173">
        <f>'2025 Aύγουστος'!L96</f>
        <v>0</v>
      </c>
      <c r="R292" s="36">
        <f t="shared" si="115"/>
        <v>311.78999999999996</v>
      </c>
      <c r="S292" s="173">
        <f>'2025 Σεπτέμβριος'!L96</f>
        <v>57.97</v>
      </c>
      <c r="T292" s="36">
        <f t="shared" si="116"/>
        <v>369.76</v>
      </c>
      <c r="U292" s="173">
        <f>'2025 Οκτώβριος'!L96</f>
        <v>15.63</v>
      </c>
      <c r="V292" s="36">
        <f t="shared" si="117"/>
        <v>385.39</v>
      </c>
      <c r="W292" s="173">
        <f>'2025 Νοέμβριος'!L96</f>
        <v>0.8</v>
      </c>
      <c r="X292" s="36">
        <f t="shared" si="118"/>
        <v>386.19</v>
      </c>
      <c r="Y292" s="173">
        <f>'2025 Δεκέμβριος'!L96</f>
        <v>0</v>
      </c>
      <c r="Z292" s="36">
        <f t="shared" si="119"/>
        <v>386.19</v>
      </c>
      <c r="AA292" s="36">
        <f t="shared" si="120"/>
        <v>386.19</v>
      </c>
      <c r="AD292" s="37">
        <f t="shared" si="121"/>
        <v>21.79</v>
      </c>
    </row>
    <row r="293" spans="1:30" x14ac:dyDescent="0.25">
      <c r="A293" s="166">
        <f>'2025 Ιανουάριος'!C97</f>
        <v>0</v>
      </c>
      <c r="B293" s="56">
        <v>2024</v>
      </c>
      <c r="C293" s="173">
        <f>'2025 Ιανουάριος'!L97</f>
        <v>0</v>
      </c>
      <c r="D293" s="36">
        <f t="shared" si="108"/>
        <v>0</v>
      </c>
      <c r="E293" s="173">
        <f>'2025 Φεβρουάριος'!L97</f>
        <v>0</v>
      </c>
      <c r="F293" s="36">
        <f t="shared" si="109"/>
        <v>0</v>
      </c>
      <c r="G293" s="173">
        <f>'2025 Μάρτιος'!L97</f>
        <v>0</v>
      </c>
      <c r="H293" s="36">
        <f t="shared" si="110"/>
        <v>0</v>
      </c>
      <c r="I293" s="173">
        <f>'2025 Απρίλιος'!L97</f>
        <v>0</v>
      </c>
      <c r="J293" s="36">
        <f t="shared" si="111"/>
        <v>0</v>
      </c>
      <c r="K293" s="173">
        <f>'2025 Μάιος'!L97</f>
        <v>0</v>
      </c>
      <c r="L293" s="36">
        <f t="shared" si="112"/>
        <v>0</v>
      </c>
      <c r="M293" s="173">
        <f>'2025 Ιούνιος'!L97</f>
        <v>0</v>
      </c>
      <c r="N293" s="36">
        <f t="shared" si="113"/>
        <v>0</v>
      </c>
      <c r="O293" s="173">
        <f>'2025 Ιούλιος'!L97</f>
        <v>0</v>
      </c>
      <c r="P293" s="36">
        <f t="shared" si="114"/>
        <v>0</v>
      </c>
      <c r="Q293" s="173">
        <f>'2025 Aύγουστος'!L97</f>
        <v>0</v>
      </c>
      <c r="R293" s="36">
        <f t="shared" si="115"/>
        <v>0</v>
      </c>
      <c r="S293" s="173">
        <f>'2025 Σεπτέμβριος'!L97</f>
        <v>0</v>
      </c>
      <c r="T293" s="36">
        <f t="shared" si="116"/>
        <v>0</v>
      </c>
      <c r="U293" s="173">
        <f>'2025 Οκτώβριος'!L97</f>
        <v>0</v>
      </c>
      <c r="V293" s="36">
        <f t="shared" si="117"/>
        <v>0</v>
      </c>
      <c r="W293" s="173">
        <f>'2025 Νοέμβριος'!L97</f>
        <v>0</v>
      </c>
      <c r="X293" s="36">
        <f t="shared" si="118"/>
        <v>0</v>
      </c>
      <c r="Y293" s="173">
        <f>'2025 Δεκέμβριος'!L97</f>
        <v>0</v>
      </c>
      <c r="Z293" s="36">
        <f t="shared" si="119"/>
        <v>0</v>
      </c>
      <c r="AA293" s="36">
        <f t="shared" si="120"/>
        <v>0</v>
      </c>
      <c r="AD293" s="37">
        <f t="shared" si="121"/>
        <v>0</v>
      </c>
    </row>
    <row r="294" spans="1:30" x14ac:dyDescent="0.25">
      <c r="A294" s="166" t="str">
        <f>'2025 Ιανουάριος'!C98</f>
        <v xml:space="preserve">Υλικά Καθαριότητας </v>
      </c>
      <c r="B294" s="56">
        <v>2024</v>
      </c>
      <c r="C294" s="173">
        <f>'2025 Ιανουάριος'!L98</f>
        <v>0</v>
      </c>
      <c r="D294" s="36">
        <f t="shared" si="108"/>
        <v>0</v>
      </c>
      <c r="E294" s="173">
        <f>'2025 Φεβρουάριος'!L98</f>
        <v>0</v>
      </c>
      <c r="F294" s="36">
        <f t="shared" si="109"/>
        <v>0</v>
      </c>
      <c r="G294" s="173">
        <f>'2025 Μάρτιος'!L98</f>
        <v>0</v>
      </c>
      <c r="H294" s="36">
        <f t="shared" si="110"/>
        <v>0</v>
      </c>
      <c r="I294" s="173">
        <f>'2025 Απρίλιος'!L98</f>
        <v>0</v>
      </c>
      <c r="J294" s="36">
        <f t="shared" si="111"/>
        <v>0</v>
      </c>
      <c r="K294" s="173">
        <f>'2025 Μάιος'!L98</f>
        <v>0</v>
      </c>
      <c r="L294" s="36">
        <f t="shared" si="112"/>
        <v>0</v>
      </c>
      <c r="M294" s="173">
        <f>'2025 Ιούνιος'!L98</f>
        <v>0</v>
      </c>
      <c r="N294" s="36">
        <f t="shared" si="113"/>
        <v>0</v>
      </c>
      <c r="O294" s="173">
        <f>'2025 Ιούλιος'!L98</f>
        <v>0</v>
      </c>
      <c r="P294" s="36">
        <f t="shared" si="114"/>
        <v>0</v>
      </c>
      <c r="Q294" s="173">
        <f>'2025 Aύγουστος'!L98</f>
        <v>0</v>
      </c>
      <c r="R294" s="36">
        <f t="shared" si="115"/>
        <v>0</v>
      </c>
      <c r="S294" s="173">
        <f>'2025 Σεπτέμβριος'!L98</f>
        <v>0</v>
      </c>
      <c r="T294" s="36">
        <f t="shared" si="116"/>
        <v>0</v>
      </c>
      <c r="U294" s="173">
        <f>'2025 Οκτώβριος'!L98</f>
        <v>0</v>
      </c>
      <c r="V294" s="36">
        <f t="shared" si="117"/>
        <v>0</v>
      </c>
      <c r="W294" s="173">
        <f>'2025 Νοέμβριος'!L98</f>
        <v>0</v>
      </c>
      <c r="X294" s="36">
        <f t="shared" si="118"/>
        <v>0</v>
      </c>
      <c r="Y294" s="173">
        <f>'2025 Δεκέμβριος'!L98</f>
        <v>0</v>
      </c>
      <c r="Z294" s="36">
        <f t="shared" si="119"/>
        <v>0</v>
      </c>
      <c r="AA294" s="36">
        <f t="shared" si="120"/>
        <v>0</v>
      </c>
      <c r="AD294" s="37">
        <f t="shared" si="121"/>
        <v>0</v>
      </c>
    </row>
    <row r="295" spans="1:30" x14ac:dyDescent="0.25">
      <c r="A295" s="166" t="str">
        <f>'2025 Ιανουάριος'!C99</f>
        <v>Υλικά Φαρμακείου</v>
      </c>
      <c r="B295" s="56">
        <v>2024</v>
      </c>
      <c r="C295" s="173">
        <f>'2025 Ιανουάριος'!L99</f>
        <v>0</v>
      </c>
      <c r="D295" s="36">
        <f t="shared" si="108"/>
        <v>0</v>
      </c>
      <c r="E295" s="173">
        <f>'2025 Φεβρουάριος'!L99</f>
        <v>45.5</v>
      </c>
      <c r="F295" s="36">
        <f t="shared" si="109"/>
        <v>45.5</v>
      </c>
      <c r="G295" s="173">
        <f>'2025 Μάρτιος'!L99</f>
        <v>37.19</v>
      </c>
      <c r="H295" s="36">
        <f t="shared" si="110"/>
        <v>82.69</v>
      </c>
      <c r="I295" s="173">
        <f>'2025 Απρίλιος'!L99</f>
        <v>37.19</v>
      </c>
      <c r="J295" s="36">
        <f t="shared" si="111"/>
        <v>119.88</v>
      </c>
      <c r="K295" s="173">
        <f>'2025 Μάιος'!L99</f>
        <v>0</v>
      </c>
      <c r="L295" s="36">
        <f t="shared" si="112"/>
        <v>119.88</v>
      </c>
      <c r="M295" s="173">
        <f>'2025 Ιούνιος'!L99</f>
        <v>0</v>
      </c>
      <c r="N295" s="36">
        <f t="shared" si="113"/>
        <v>119.88</v>
      </c>
      <c r="O295" s="173">
        <f>'2025 Ιούλιος'!L99</f>
        <v>0</v>
      </c>
      <c r="P295" s="36">
        <f t="shared" si="114"/>
        <v>119.88</v>
      </c>
      <c r="Q295" s="173">
        <f>'2025 Aύγουστος'!L99</f>
        <v>0</v>
      </c>
      <c r="R295" s="36">
        <f t="shared" si="115"/>
        <v>119.88</v>
      </c>
      <c r="S295" s="173">
        <f>'2025 Σεπτέμβριος'!L99</f>
        <v>0</v>
      </c>
      <c r="T295" s="36">
        <f t="shared" si="116"/>
        <v>119.88</v>
      </c>
      <c r="U295" s="173">
        <f>'2025 Οκτώβριος'!L99</f>
        <v>0</v>
      </c>
      <c r="V295" s="36">
        <f t="shared" si="117"/>
        <v>119.88</v>
      </c>
      <c r="W295" s="173">
        <f>'2025 Νοέμβριος'!L99</f>
        <v>0</v>
      </c>
      <c r="X295" s="36">
        <f t="shared" si="118"/>
        <v>119.88</v>
      </c>
      <c r="Y295" s="173">
        <f>'2025 Δεκέμβριος'!L99</f>
        <v>0</v>
      </c>
      <c r="Z295" s="36">
        <f t="shared" si="119"/>
        <v>119.88</v>
      </c>
      <c r="AA295" s="36">
        <f t="shared" si="120"/>
        <v>119.88</v>
      </c>
      <c r="AD295" s="37">
        <f t="shared" si="121"/>
        <v>74.38</v>
      </c>
    </row>
    <row r="296" spans="1:30" x14ac:dyDescent="0.25">
      <c r="A296" s="166" t="str">
        <f>'2025 Ιανουάριος'!C100</f>
        <v xml:space="preserve">Αγορές εφαρμογών για Marketing </v>
      </c>
      <c r="B296" s="56">
        <v>2024</v>
      </c>
      <c r="C296" s="173">
        <f>'2025 Ιανουάριος'!L100</f>
        <v>660</v>
      </c>
      <c r="D296" s="36">
        <f t="shared" si="108"/>
        <v>660</v>
      </c>
      <c r="E296" s="173">
        <f>'2025 Φεβρουάριος'!L100</f>
        <v>0</v>
      </c>
      <c r="F296" s="36">
        <f t="shared" si="109"/>
        <v>660</v>
      </c>
      <c r="G296" s="173">
        <f>'2025 Μάρτιος'!L100</f>
        <v>0</v>
      </c>
      <c r="H296" s="36">
        <f t="shared" si="110"/>
        <v>660</v>
      </c>
      <c r="I296" s="173">
        <f>'2025 Απρίλιος'!L100</f>
        <v>645.52</v>
      </c>
      <c r="J296" s="36">
        <f t="shared" si="111"/>
        <v>1305.52</v>
      </c>
      <c r="K296" s="173">
        <f>'2025 Μάιος'!L100</f>
        <v>124.91</v>
      </c>
      <c r="L296" s="36">
        <f t="shared" si="112"/>
        <v>1430.43</v>
      </c>
      <c r="M296" s="173">
        <f>'2025 Ιούνιος'!L100</f>
        <v>137.22999999999999</v>
      </c>
      <c r="N296" s="36">
        <f t="shared" si="113"/>
        <v>1567.66</v>
      </c>
      <c r="O296" s="173">
        <f>'2025 Ιούλιος'!L100</f>
        <v>142.41</v>
      </c>
      <c r="P296" s="36">
        <f t="shared" si="114"/>
        <v>1710.0700000000002</v>
      </c>
      <c r="Q296" s="173">
        <f>'2025 Aύγουστος'!L100</f>
        <v>168.16</v>
      </c>
      <c r="R296" s="36">
        <f t="shared" si="115"/>
        <v>1878.2300000000002</v>
      </c>
      <c r="S296" s="173">
        <f>'2025 Σεπτέμβριος'!L100</f>
        <v>128.84</v>
      </c>
      <c r="T296" s="36">
        <f t="shared" si="116"/>
        <v>2007.0700000000002</v>
      </c>
      <c r="U296" s="173">
        <f>'2025 Οκτώβριος'!L100</f>
        <v>129.57</v>
      </c>
      <c r="V296" s="36">
        <f t="shared" si="117"/>
        <v>2136.6400000000003</v>
      </c>
      <c r="W296" s="173">
        <f>'2025 Νοέμβριος'!L100</f>
        <v>155.29</v>
      </c>
      <c r="X296" s="36">
        <f t="shared" si="118"/>
        <v>2291.9300000000003</v>
      </c>
      <c r="Y296" s="173">
        <f>'2025 Δεκέμβριος'!L100</f>
        <v>230.38</v>
      </c>
      <c r="Z296" s="36">
        <f t="shared" si="119"/>
        <v>2522.3100000000004</v>
      </c>
      <c r="AA296" s="36">
        <f t="shared" si="120"/>
        <v>2522.3100000000004</v>
      </c>
      <c r="AD296" s="37">
        <f t="shared" si="121"/>
        <v>1430.43</v>
      </c>
    </row>
    <row r="297" spans="1:30" x14ac:dyDescent="0.25">
      <c r="A297" s="166" t="str">
        <f>'2025 Ιανουάριος'!C101</f>
        <v>Αμοιβές συνεργατών ( Συνδρομές για Marketing - Ιστοσελίδα _ Editing 3D  -)</v>
      </c>
      <c r="B297" s="56">
        <v>2024</v>
      </c>
      <c r="C297" s="173">
        <f>'2025 Ιανουάριος'!L101</f>
        <v>0</v>
      </c>
      <c r="D297" s="36">
        <f t="shared" si="108"/>
        <v>0</v>
      </c>
      <c r="E297" s="173">
        <f>'2025 Φεβρουάριος'!L101</f>
        <v>0</v>
      </c>
      <c r="F297" s="36">
        <f t="shared" si="109"/>
        <v>0</v>
      </c>
      <c r="G297" s="173">
        <f>'2025 Μάρτιος'!L101</f>
        <v>0</v>
      </c>
      <c r="H297" s="36">
        <f t="shared" si="110"/>
        <v>0</v>
      </c>
      <c r="I297" s="173">
        <f>'2025 Απρίλιος'!L101</f>
        <v>0</v>
      </c>
      <c r="J297" s="36">
        <f t="shared" si="111"/>
        <v>0</v>
      </c>
      <c r="K297" s="173">
        <f>'2025 Μάιος'!L101</f>
        <v>0</v>
      </c>
      <c r="L297" s="36">
        <f t="shared" si="112"/>
        <v>0</v>
      </c>
      <c r="M297" s="173">
        <f>'2025 Ιούνιος'!L101</f>
        <v>0</v>
      </c>
      <c r="N297" s="36">
        <f t="shared" si="113"/>
        <v>0</v>
      </c>
      <c r="O297" s="173">
        <f>'2025 Ιούλιος'!L101</f>
        <v>0</v>
      </c>
      <c r="P297" s="36">
        <f t="shared" si="114"/>
        <v>0</v>
      </c>
      <c r="Q297" s="173">
        <f>'2025 Aύγουστος'!L101</f>
        <v>0</v>
      </c>
      <c r="R297" s="36">
        <f t="shared" si="115"/>
        <v>0</v>
      </c>
      <c r="S297" s="173">
        <f>'2025 Σεπτέμβριος'!L101</f>
        <v>0</v>
      </c>
      <c r="T297" s="36">
        <f t="shared" si="116"/>
        <v>0</v>
      </c>
      <c r="U297" s="173">
        <f>'2025 Οκτώβριος'!L101</f>
        <v>0</v>
      </c>
      <c r="V297" s="36">
        <f t="shared" si="117"/>
        <v>0</v>
      </c>
      <c r="W297" s="173">
        <f>'2025 Νοέμβριος'!L101</f>
        <v>0</v>
      </c>
      <c r="X297" s="36">
        <f t="shared" si="118"/>
        <v>0</v>
      </c>
      <c r="Y297" s="173">
        <f>'2025 Δεκέμβριος'!L101</f>
        <v>0</v>
      </c>
      <c r="Z297" s="36">
        <f t="shared" si="119"/>
        <v>0</v>
      </c>
      <c r="AA297" s="36">
        <f t="shared" si="120"/>
        <v>0</v>
      </c>
      <c r="AD297" s="37">
        <f t="shared" si="121"/>
        <v>0</v>
      </c>
    </row>
    <row r="298" spans="1:30" x14ac:dyDescent="0.25">
      <c r="A298" s="166" t="str">
        <f>'2025 Ιανουάριος'!C102</f>
        <v xml:space="preserve">Αμοιβές Τρίτων </v>
      </c>
      <c r="B298" s="56">
        <v>2024</v>
      </c>
      <c r="C298" s="173">
        <f>'2025 Ιανουάριος'!L102</f>
        <v>0</v>
      </c>
      <c r="D298" s="36">
        <f t="shared" si="108"/>
        <v>0</v>
      </c>
      <c r="E298" s="173">
        <f>'2025 Φεβρουάριος'!L102</f>
        <v>1012.1</v>
      </c>
      <c r="F298" s="36">
        <f t="shared" si="109"/>
        <v>1012.1</v>
      </c>
      <c r="G298" s="173">
        <f>'2025 Μάρτιος'!L102</f>
        <v>384.13</v>
      </c>
      <c r="H298" s="36">
        <f t="shared" si="110"/>
        <v>1396.23</v>
      </c>
      <c r="I298" s="173">
        <f>'2025 Απρίλιος'!L102</f>
        <v>0</v>
      </c>
      <c r="J298" s="36">
        <f t="shared" si="111"/>
        <v>1396.23</v>
      </c>
      <c r="K298" s="173">
        <f>'2025 Μάιος'!L102</f>
        <v>0</v>
      </c>
      <c r="L298" s="36">
        <f t="shared" si="112"/>
        <v>1396.23</v>
      </c>
      <c r="M298" s="173">
        <f>'2025 Ιούνιος'!L102</f>
        <v>0</v>
      </c>
      <c r="N298" s="36">
        <f t="shared" si="113"/>
        <v>1396.23</v>
      </c>
      <c r="O298" s="173">
        <f>'2025 Ιούλιος'!L102</f>
        <v>0</v>
      </c>
      <c r="P298" s="36">
        <f t="shared" si="114"/>
        <v>1396.23</v>
      </c>
      <c r="Q298" s="173">
        <f>'2025 Aύγουστος'!L102</f>
        <v>0</v>
      </c>
      <c r="R298" s="36">
        <f t="shared" si="115"/>
        <v>1396.23</v>
      </c>
      <c r="S298" s="173">
        <f>'2025 Σεπτέμβριος'!L102</f>
        <v>0</v>
      </c>
      <c r="T298" s="36">
        <f t="shared" si="116"/>
        <v>1396.23</v>
      </c>
      <c r="U298" s="173">
        <f>'2025 Οκτώβριος'!L102</f>
        <v>0</v>
      </c>
      <c r="V298" s="36">
        <f t="shared" si="117"/>
        <v>1396.23</v>
      </c>
      <c r="W298" s="173">
        <f>'2025 Νοέμβριος'!L102</f>
        <v>0</v>
      </c>
      <c r="X298" s="36">
        <f t="shared" si="118"/>
        <v>1396.23</v>
      </c>
      <c r="Y298" s="173">
        <f>'2025 Δεκέμβριος'!L102</f>
        <v>0</v>
      </c>
      <c r="Z298" s="36">
        <f t="shared" si="119"/>
        <v>1396.23</v>
      </c>
      <c r="AA298" s="36">
        <f t="shared" si="120"/>
        <v>1396.23</v>
      </c>
      <c r="AD298" s="37">
        <f t="shared" si="121"/>
        <v>0</v>
      </c>
    </row>
    <row r="299" spans="1:30" x14ac:dyDescent="0.25">
      <c r="A299" s="166" t="str">
        <f>'2025 Ιανουάριος'!C103</f>
        <v>Επισκευές - Συντηρήσεις</v>
      </c>
      <c r="B299" s="56">
        <v>2024</v>
      </c>
      <c r="C299" s="173">
        <f>'2025 Ιανουάριος'!L103</f>
        <v>1000</v>
      </c>
      <c r="D299" s="36">
        <f t="shared" si="108"/>
        <v>1000</v>
      </c>
      <c r="E299" s="173">
        <f>'2025 Φεβρουάριος'!L103</f>
        <v>0</v>
      </c>
      <c r="F299" s="36">
        <f t="shared" si="109"/>
        <v>1000</v>
      </c>
      <c r="G299" s="173">
        <f>'2025 Μάρτιος'!L103</f>
        <v>598.29</v>
      </c>
      <c r="H299" s="36">
        <f t="shared" si="110"/>
        <v>1598.29</v>
      </c>
      <c r="I299" s="173">
        <f>'2025 Απρίλιος'!L103</f>
        <v>1000</v>
      </c>
      <c r="J299" s="36">
        <f t="shared" si="111"/>
        <v>2598.29</v>
      </c>
      <c r="K299" s="173">
        <f>'2025 Μάιος'!L103</f>
        <v>1059.94</v>
      </c>
      <c r="L299" s="36">
        <f t="shared" si="112"/>
        <v>3658.23</v>
      </c>
      <c r="M299" s="173">
        <f>'2025 Ιούνιος'!L103</f>
        <v>1000</v>
      </c>
      <c r="N299" s="36">
        <f t="shared" si="113"/>
        <v>4658.2299999999996</v>
      </c>
      <c r="O299" s="173">
        <f>'2025 Ιούλιος'!L103</f>
        <v>1576.34</v>
      </c>
      <c r="P299" s="36">
        <f t="shared" si="114"/>
        <v>6234.57</v>
      </c>
      <c r="Q299" s="173">
        <f>'2025 Aύγουστος'!L103</f>
        <v>1000</v>
      </c>
      <c r="R299" s="36">
        <f t="shared" si="115"/>
        <v>7234.57</v>
      </c>
      <c r="S299" s="173">
        <f>'2025 Σεπτέμβριος'!L103</f>
        <v>1000</v>
      </c>
      <c r="T299" s="36">
        <f t="shared" si="116"/>
        <v>8234.57</v>
      </c>
      <c r="U299" s="173">
        <f>'2025 Οκτώβριος'!L103</f>
        <v>1000</v>
      </c>
      <c r="V299" s="36">
        <f t="shared" si="117"/>
        <v>9234.57</v>
      </c>
      <c r="W299" s="173">
        <f>'2025 Νοέμβριος'!L103</f>
        <v>1257</v>
      </c>
      <c r="X299" s="36">
        <f t="shared" si="118"/>
        <v>10491.57</v>
      </c>
      <c r="Y299" s="173">
        <f>'2025 Δεκέμβριος'!L103</f>
        <v>1074.8699999999999</v>
      </c>
      <c r="Z299" s="36">
        <f t="shared" si="119"/>
        <v>11566.439999999999</v>
      </c>
      <c r="AA299" s="36">
        <f t="shared" si="120"/>
        <v>11566.439999999999</v>
      </c>
      <c r="AD299" s="37">
        <f t="shared" si="121"/>
        <v>3658.23</v>
      </c>
    </row>
    <row r="300" spans="1:30" x14ac:dyDescent="0.25">
      <c r="A300" s="166" t="str">
        <f>'2025 Ιανουάριος'!C104</f>
        <v xml:space="preserve">Εξοδα προβολής και διαφήμισης </v>
      </c>
      <c r="B300" s="56">
        <v>2024</v>
      </c>
      <c r="C300" s="173">
        <f>'2025 Ιανουάριος'!L104</f>
        <v>0</v>
      </c>
      <c r="D300" s="36">
        <f t="shared" si="108"/>
        <v>0</v>
      </c>
      <c r="E300" s="173">
        <f>'2025 Φεβρουάριος'!L104</f>
        <v>0</v>
      </c>
      <c r="F300" s="36">
        <f t="shared" si="109"/>
        <v>0</v>
      </c>
      <c r="G300" s="173">
        <f>'2025 Μάρτιος'!L104</f>
        <v>0</v>
      </c>
      <c r="H300" s="36">
        <f t="shared" si="110"/>
        <v>0</v>
      </c>
      <c r="I300" s="173">
        <f>'2025 Απρίλιος'!L104</f>
        <v>0</v>
      </c>
      <c r="J300" s="36">
        <f t="shared" si="111"/>
        <v>0</v>
      </c>
      <c r="K300" s="173">
        <f>'2025 Μάιος'!L104</f>
        <v>0</v>
      </c>
      <c r="L300" s="36">
        <f t="shared" si="112"/>
        <v>0</v>
      </c>
      <c r="M300" s="173">
        <f>'2025 Ιούνιος'!L104</f>
        <v>0</v>
      </c>
      <c r="N300" s="36">
        <f t="shared" si="113"/>
        <v>0</v>
      </c>
      <c r="O300" s="173">
        <f>'2025 Ιούλιος'!L104</f>
        <v>0</v>
      </c>
      <c r="P300" s="36">
        <f t="shared" si="114"/>
        <v>0</v>
      </c>
      <c r="Q300" s="173">
        <f>'2025 Aύγουστος'!L104</f>
        <v>0</v>
      </c>
      <c r="R300" s="36">
        <f t="shared" si="115"/>
        <v>0</v>
      </c>
      <c r="S300" s="173">
        <f>'2025 Σεπτέμβριος'!L104</f>
        <v>0</v>
      </c>
      <c r="T300" s="36">
        <f t="shared" si="116"/>
        <v>0</v>
      </c>
      <c r="U300" s="173">
        <f>'2025 Οκτώβριος'!L104</f>
        <v>0</v>
      </c>
      <c r="V300" s="36">
        <f t="shared" si="117"/>
        <v>0</v>
      </c>
      <c r="W300" s="173">
        <f>'2025 Νοέμβριος'!L104</f>
        <v>0</v>
      </c>
      <c r="X300" s="36">
        <f t="shared" si="118"/>
        <v>0</v>
      </c>
      <c r="Y300" s="173">
        <f>'2025 Δεκέμβριος'!L104</f>
        <v>0</v>
      </c>
      <c r="Z300" s="36">
        <f t="shared" si="119"/>
        <v>0</v>
      </c>
      <c r="AA300" s="36">
        <f t="shared" si="120"/>
        <v>0</v>
      </c>
      <c r="AD300" s="37">
        <f t="shared" si="121"/>
        <v>0</v>
      </c>
    </row>
    <row r="301" spans="1:30" x14ac:dyDescent="0.25">
      <c r="A301" s="166" t="str">
        <f>'2025 Ιανουάριος'!C105</f>
        <v>Εξοδα εκθέσεων και επιδείξεων</v>
      </c>
      <c r="B301" s="56">
        <v>2024</v>
      </c>
      <c r="C301" s="173">
        <f>'2025 Ιανουάριος'!L105</f>
        <v>0</v>
      </c>
      <c r="D301" s="36">
        <f t="shared" si="108"/>
        <v>0</v>
      </c>
      <c r="E301" s="173">
        <f>'2025 Φεβρουάριος'!L105</f>
        <v>0</v>
      </c>
      <c r="F301" s="36">
        <f t="shared" si="109"/>
        <v>0</v>
      </c>
      <c r="G301" s="173">
        <f>'2025 Μάρτιος'!L105</f>
        <v>0</v>
      </c>
      <c r="H301" s="36">
        <f t="shared" si="110"/>
        <v>0</v>
      </c>
      <c r="I301" s="173">
        <f>'2025 Απρίλιος'!L105</f>
        <v>0</v>
      </c>
      <c r="J301" s="36">
        <f t="shared" si="111"/>
        <v>0</v>
      </c>
      <c r="K301" s="173">
        <f>'2025 Μάιος'!L105</f>
        <v>0</v>
      </c>
      <c r="L301" s="36">
        <f t="shared" si="112"/>
        <v>0</v>
      </c>
      <c r="M301" s="173">
        <f>'2025 Ιούνιος'!L105</f>
        <v>0</v>
      </c>
      <c r="N301" s="36">
        <f t="shared" si="113"/>
        <v>0</v>
      </c>
      <c r="O301" s="173">
        <f>'2025 Ιούλιος'!L105</f>
        <v>0</v>
      </c>
      <c r="P301" s="36">
        <f t="shared" si="114"/>
        <v>0</v>
      </c>
      <c r="Q301" s="173">
        <f>'2025 Aύγουστος'!L105</f>
        <v>0</v>
      </c>
      <c r="R301" s="36">
        <f t="shared" si="115"/>
        <v>0</v>
      </c>
      <c r="S301" s="173">
        <f>'2025 Σεπτέμβριος'!L105</f>
        <v>0</v>
      </c>
      <c r="T301" s="36">
        <f t="shared" si="116"/>
        <v>0</v>
      </c>
      <c r="U301" s="173">
        <f>'2025 Οκτώβριος'!L105</f>
        <v>0</v>
      </c>
      <c r="V301" s="36">
        <f t="shared" si="117"/>
        <v>0</v>
      </c>
      <c r="W301" s="173">
        <f>'2025 Νοέμβριος'!L105</f>
        <v>0</v>
      </c>
      <c r="X301" s="36">
        <f t="shared" si="118"/>
        <v>0</v>
      </c>
      <c r="Y301" s="173">
        <f>'2025 Δεκέμβριος'!L105</f>
        <v>74.680000000000007</v>
      </c>
      <c r="Z301" s="36">
        <f t="shared" si="119"/>
        <v>74.680000000000007</v>
      </c>
      <c r="AA301" s="36">
        <f t="shared" si="120"/>
        <v>74.680000000000007</v>
      </c>
      <c r="AD301" s="37">
        <f t="shared" si="121"/>
        <v>0</v>
      </c>
    </row>
    <row r="302" spans="1:30" x14ac:dyDescent="0.25">
      <c r="A302" s="166" t="str">
        <f>'2025 Ιανουάριος'!C106</f>
        <v>Αποσβέσεις ( Εξοπλισμού R.DEP. &amp; M.DEP.)</v>
      </c>
      <c r="B302" s="56">
        <v>2024</v>
      </c>
      <c r="C302" s="173">
        <f>'2025 Ιανουάριος'!L106</f>
        <v>0</v>
      </c>
      <c r="D302" s="36">
        <f t="shared" si="108"/>
        <v>0</v>
      </c>
      <c r="E302" s="173">
        <f>'2025 Φεβρουάριος'!L106</f>
        <v>0</v>
      </c>
      <c r="F302" s="36">
        <f t="shared" si="109"/>
        <v>0</v>
      </c>
      <c r="G302" s="173">
        <f>'2025 Μάρτιος'!L106</f>
        <v>0</v>
      </c>
      <c r="H302" s="36">
        <f t="shared" si="110"/>
        <v>0</v>
      </c>
      <c r="I302" s="173">
        <f>'2025 Απρίλιος'!L106</f>
        <v>0</v>
      </c>
      <c r="J302" s="36">
        <f t="shared" si="111"/>
        <v>0</v>
      </c>
      <c r="K302" s="173">
        <f>'2025 Μάιος'!L106</f>
        <v>0</v>
      </c>
      <c r="L302" s="36">
        <f t="shared" si="112"/>
        <v>0</v>
      </c>
      <c r="M302" s="173">
        <f>'2025 Ιούνιος'!L106</f>
        <v>0</v>
      </c>
      <c r="N302" s="36">
        <f t="shared" si="113"/>
        <v>0</v>
      </c>
      <c r="O302" s="173">
        <f>'2025 Ιούλιος'!L106</f>
        <v>0</v>
      </c>
      <c r="P302" s="36">
        <f t="shared" si="114"/>
        <v>0</v>
      </c>
      <c r="Q302" s="173">
        <f>'2025 Aύγουστος'!L106</f>
        <v>0</v>
      </c>
      <c r="R302" s="36">
        <f t="shared" si="115"/>
        <v>0</v>
      </c>
      <c r="S302" s="173">
        <f>'2025 Σεπτέμβριος'!L106</f>
        <v>0</v>
      </c>
      <c r="T302" s="36">
        <f t="shared" si="116"/>
        <v>0</v>
      </c>
      <c r="U302" s="173">
        <f>'2025 Οκτώβριος'!L106</f>
        <v>0</v>
      </c>
      <c r="V302" s="36">
        <f t="shared" si="117"/>
        <v>0</v>
      </c>
      <c r="W302" s="173">
        <f>'2025 Νοέμβριος'!L106</f>
        <v>0</v>
      </c>
      <c r="X302" s="36">
        <f t="shared" si="118"/>
        <v>0</v>
      </c>
      <c r="Y302" s="173">
        <f>'2025 Δεκέμβριος'!L106</f>
        <v>0</v>
      </c>
      <c r="Z302" s="36">
        <f t="shared" si="119"/>
        <v>0</v>
      </c>
      <c r="AA302" s="36">
        <f t="shared" si="120"/>
        <v>0</v>
      </c>
      <c r="AD302" s="37">
        <f t="shared" si="121"/>
        <v>0</v>
      </c>
    </row>
    <row r="303" spans="1:30" x14ac:dyDescent="0.25">
      <c r="A303" s="166">
        <f>'2025 Ιανουάριος'!C107</f>
        <v>0</v>
      </c>
      <c r="B303" s="56">
        <v>2024</v>
      </c>
      <c r="C303" s="173">
        <f>'2025 Ιανουάριος'!L107</f>
        <v>0</v>
      </c>
      <c r="D303" s="36">
        <f t="shared" si="108"/>
        <v>0</v>
      </c>
      <c r="E303" s="173">
        <f>'2025 Φεβρουάριος'!L107</f>
        <v>0</v>
      </c>
      <c r="F303" s="36">
        <f t="shared" si="109"/>
        <v>0</v>
      </c>
      <c r="G303" s="173">
        <f>'2025 Μάρτιος'!L107</f>
        <v>0</v>
      </c>
      <c r="H303" s="36">
        <f t="shared" si="110"/>
        <v>0</v>
      </c>
      <c r="I303" s="173">
        <f>'2025 Απρίλιος'!L107</f>
        <v>0</v>
      </c>
      <c r="J303" s="36">
        <f t="shared" si="111"/>
        <v>0</v>
      </c>
      <c r="K303" s="173">
        <f>'2025 Μάιος'!L107</f>
        <v>0</v>
      </c>
      <c r="L303" s="36">
        <f t="shared" si="112"/>
        <v>0</v>
      </c>
      <c r="M303" s="173">
        <f>'2025 Ιούνιος'!L107</f>
        <v>0</v>
      </c>
      <c r="N303" s="36">
        <f t="shared" si="113"/>
        <v>0</v>
      </c>
      <c r="O303" s="173">
        <f>'2025 Ιούλιος'!L107</f>
        <v>0</v>
      </c>
      <c r="P303" s="36">
        <f t="shared" si="114"/>
        <v>0</v>
      </c>
      <c r="Q303" s="173">
        <f>'2025 Aύγουστος'!L107</f>
        <v>0</v>
      </c>
      <c r="R303" s="36">
        <f t="shared" si="115"/>
        <v>0</v>
      </c>
      <c r="S303" s="173">
        <f>'2025 Σεπτέμβριος'!L107</f>
        <v>0</v>
      </c>
      <c r="T303" s="36">
        <f t="shared" si="116"/>
        <v>0</v>
      </c>
      <c r="U303" s="173">
        <f>'2025 Οκτώβριος'!L107</f>
        <v>0</v>
      </c>
      <c r="V303" s="36">
        <f t="shared" si="117"/>
        <v>0</v>
      </c>
      <c r="W303" s="173">
        <f>'2025 Νοέμβριος'!L107</f>
        <v>0</v>
      </c>
      <c r="X303" s="36">
        <f t="shared" si="118"/>
        <v>0</v>
      </c>
      <c r="Y303" s="173">
        <f>'2025 Δεκέμβριος'!L107</f>
        <v>0</v>
      </c>
      <c r="Z303" s="36">
        <f t="shared" si="119"/>
        <v>0</v>
      </c>
      <c r="AA303" s="36">
        <f t="shared" si="120"/>
        <v>0</v>
      </c>
      <c r="AD303" s="37">
        <f t="shared" si="121"/>
        <v>0</v>
      </c>
    </row>
    <row r="304" spans="1:30" x14ac:dyDescent="0.25">
      <c r="A304" s="166">
        <f>'2025 Ιανουάριος'!C108</f>
        <v>0</v>
      </c>
      <c r="B304" s="56">
        <v>2024</v>
      </c>
      <c r="C304" s="173">
        <f>'2025 Ιανουάριος'!L108</f>
        <v>0</v>
      </c>
      <c r="D304" s="36">
        <f t="shared" si="108"/>
        <v>0</v>
      </c>
      <c r="E304" s="173">
        <f>'2025 Φεβρουάριος'!L108</f>
        <v>0</v>
      </c>
      <c r="F304" s="36">
        <f t="shared" si="109"/>
        <v>0</v>
      </c>
      <c r="G304" s="173">
        <f>'2025 Μάρτιος'!L108</f>
        <v>0</v>
      </c>
      <c r="H304" s="36">
        <f t="shared" si="110"/>
        <v>0</v>
      </c>
      <c r="I304" s="173">
        <f>'2025 Απρίλιος'!L108</f>
        <v>0</v>
      </c>
      <c r="J304" s="36">
        <f t="shared" si="111"/>
        <v>0</v>
      </c>
      <c r="K304" s="173">
        <f>'2025 Μάιος'!L108</f>
        <v>0</v>
      </c>
      <c r="L304" s="36">
        <f t="shared" si="112"/>
        <v>0</v>
      </c>
      <c r="M304" s="173">
        <f>'2025 Ιούνιος'!L108</f>
        <v>0</v>
      </c>
      <c r="N304" s="36">
        <f t="shared" si="113"/>
        <v>0</v>
      </c>
      <c r="O304" s="173">
        <f>'2025 Ιούλιος'!L108</f>
        <v>0</v>
      </c>
      <c r="P304" s="36">
        <f t="shared" si="114"/>
        <v>0</v>
      </c>
      <c r="Q304" s="173">
        <f>'2025 Aύγουστος'!L108</f>
        <v>0</v>
      </c>
      <c r="R304" s="36">
        <f t="shared" si="115"/>
        <v>0</v>
      </c>
      <c r="S304" s="173">
        <f>'2025 Σεπτέμβριος'!L108</f>
        <v>0</v>
      </c>
      <c r="T304" s="36">
        <f t="shared" si="116"/>
        <v>0</v>
      </c>
      <c r="U304" s="173">
        <f>'2025 Οκτώβριος'!L108</f>
        <v>0</v>
      </c>
      <c r="V304" s="36">
        <f t="shared" si="117"/>
        <v>0</v>
      </c>
      <c r="W304" s="173">
        <f>'2025 Νοέμβριος'!L108</f>
        <v>0</v>
      </c>
      <c r="X304" s="36">
        <f t="shared" si="118"/>
        <v>0</v>
      </c>
      <c r="Y304" s="173">
        <f>'2025 Δεκέμβριος'!L108</f>
        <v>0</v>
      </c>
      <c r="Z304" s="36">
        <f t="shared" si="119"/>
        <v>0</v>
      </c>
      <c r="AA304" s="36">
        <f t="shared" si="120"/>
        <v>0</v>
      </c>
      <c r="AD304" s="37">
        <f t="shared" si="121"/>
        <v>0</v>
      </c>
    </row>
    <row r="305" spans="1:30" x14ac:dyDescent="0.25">
      <c r="A305" s="166">
        <f>'2025 Ιανουάριος'!C109</f>
        <v>0</v>
      </c>
      <c r="B305" s="56">
        <v>2024</v>
      </c>
      <c r="C305" s="173">
        <f>'2025 Ιανουάριος'!L109</f>
        <v>0</v>
      </c>
      <c r="D305" s="36">
        <f t="shared" si="108"/>
        <v>0</v>
      </c>
      <c r="E305" s="173">
        <f>'2025 Φεβρουάριος'!L109</f>
        <v>0</v>
      </c>
      <c r="F305" s="36">
        <f t="shared" si="109"/>
        <v>0</v>
      </c>
      <c r="G305" s="173">
        <f>'2025 Μάρτιος'!L109</f>
        <v>0</v>
      </c>
      <c r="H305" s="36">
        <f t="shared" si="110"/>
        <v>0</v>
      </c>
      <c r="I305" s="173">
        <f>'2025 Απρίλιος'!L109</f>
        <v>0</v>
      </c>
      <c r="J305" s="36">
        <f t="shared" si="111"/>
        <v>0</v>
      </c>
      <c r="K305" s="173">
        <f>'2025 Μάιος'!L109</f>
        <v>0</v>
      </c>
      <c r="L305" s="36">
        <f t="shared" si="112"/>
        <v>0</v>
      </c>
      <c r="M305" s="173">
        <f>'2025 Ιούνιος'!L109</f>
        <v>0</v>
      </c>
      <c r="N305" s="36">
        <f t="shared" si="113"/>
        <v>0</v>
      </c>
      <c r="O305" s="173">
        <f>'2025 Ιούλιος'!L109</f>
        <v>0</v>
      </c>
      <c r="P305" s="36">
        <f t="shared" si="114"/>
        <v>0</v>
      </c>
      <c r="Q305" s="173">
        <f>'2025 Aύγουστος'!L109</f>
        <v>0</v>
      </c>
      <c r="R305" s="36">
        <f t="shared" si="115"/>
        <v>0</v>
      </c>
      <c r="S305" s="173">
        <f>'2025 Σεπτέμβριος'!L109</f>
        <v>0</v>
      </c>
      <c r="T305" s="36">
        <f t="shared" si="116"/>
        <v>0</v>
      </c>
      <c r="U305" s="173">
        <f>'2025 Οκτώβριος'!L109</f>
        <v>0</v>
      </c>
      <c r="V305" s="36">
        <f t="shared" si="117"/>
        <v>0</v>
      </c>
      <c r="W305" s="173">
        <f>'2025 Νοέμβριος'!L109</f>
        <v>0</v>
      </c>
      <c r="X305" s="36">
        <f t="shared" si="118"/>
        <v>0</v>
      </c>
      <c r="Y305" s="173">
        <f>'2025 Δεκέμβριος'!L109</f>
        <v>0</v>
      </c>
      <c r="Z305" s="36">
        <f t="shared" si="119"/>
        <v>0</v>
      </c>
      <c r="AA305" s="36">
        <f t="shared" si="120"/>
        <v>0</v>
      </c>
      <c r="AD305" s="37">
        <f t="shared" si="121"/>
        <v>0</v>
      </c>
    </row>
    <row r="306" spans="1:30" x14ac:dyDescent="0.25">
      <c r="A306" s="166">
        <f>'2025 Ιανουάριος'!C110</f>
        <v>0</v>
      </c>
      <c r="B306" s="56">
        <v>2024</v>
      </c>
      <c r="C306" s="173">
        <f>'2025 Ιανουάριος'!L110</f>
        <v>0</v>
      </c>
      <c r="D306" s="36">
        <f t="shared" si="108"/>
        <v>0</v>
      </c>
      <c r="E306" s="173">
        <f>'2025 Φεβρουάριος'!L110</f>
        <v>0</v>
      </c>
      <c r="F306" s="36">
        <f t="shared" si="109"/>
        <v>0</v>
      </c>
      <c r="G306" s="173">
        <f>'2025 Μάρτιος'!L110</f>
        <v>0</v>
      </c>
      <c r="H306" s="36">
        <f t="shared" si="110"/>
        <v>0</v>
      </c>
      <c r="I306" s="173">
        <f>'2025 Απρίλιος'!L110</f>
        <v>0</v>
      </c>
      <c r="J306" s="36">
        <f t="shared" si="111"/>
        <v>0</v>
      </c>
      <c r="K306" s="173">
        <f>'2025 Μάιος'!L110</f>
        <v>0</v>
      </c>
      <c r="L306" s="36">
        <f t="shared" si="112"/>
        <v>0</v>
      </c>
      <c r="M306" s="173">
        <f>'2025 Ιούνιος'!L110</f>
        <v>0</v>
      </c>
      <c r="N306" s="36">
        <f t="shared" si="113"/>
        <v>0</v>
      </c>
      <c r="O306" s="173">
        <f>'2025 Ιούλιος'!L110</f>
        <v>0</v>
      </c>
      <c r="P306" s="36">
        <f t="shared" si="114"/>
        <v>0</v>
      </c>
      <c r="Q306" s="173">
        <f t="shared" ref="Q306" si="122">SUM(Q277:Q305)</f>
        <v>9594.7999999999993</v>
      </c>
      <c r="R306" s="36">
        <f t="shared" si="115"/>
        <v>9594.7999999999993</v>
      </c>
      <c r="S306" s="173">
        <f>'2025 Σεπτέμβριος'!L110</f>
        <v>0</v>
      </c>
      <c r="T306" s="36">
        <f t="shared" si="116"/>
        <v>9594.7999999999993</v>
      </c>
      <c r="U306" s="173">
        <f>'2025 Οκτώβριος'!L110</f>
        <v>0</v>
      </c>
      <c r="V306" s="36">
        <f t="shared" si="117"/>
        <v>9594.7999999999993</v>
      </c>
      <c r="W306" s="173">
        <f>'2025 Νοέμβριος'!L110</f>
        <v>0</v>
      </c>
      <c r="X306" s="36">
        <f t="shared" si="118"/>
        <v>9594.7999999999993</v>
      </c>
      <c r="Y306" s="173">
        <f>'2025 Δεκέμβριος'!L110</f>
        <v>0</v>
      </c>
      <c r="Z306" s="36">
        <f t="shared" si="119"/>
        <v>9594.7999999999993</v>
      </c>
      <c r="AA306" s="36">
        <f t="shared" si="120"/>
        <v>9594.7999999999993</v>
      </c>
      <c r="AD306" s="37">
        <f t="shared" si="121"/>
        <v>0</v>
      </c>
    </row>
    <row r="307" spans="1:30" x14ac:dyDescent="0.25">
      <c r="A307" s="166" t="s">
        <v>154</v>
      </c>
      <c r="C307" s="174">
        <f>SUM(C277:C306)</f>
        <v>4416.7800000000007</v>
      </c>
      <c r="D307" s="36">
        <f t="shared" si="108"/>
        <v>4416.7800000000007</v>
      </c>
      <c r="E307" s="173">
        <f>SUM(E277:E306)</f>
        <v>4687.3700000000008</v>
      </c>
      <c r="F307" s="36">
        <f t="shared" si="109"/>
        <v>9104.1500000000015</v>
      </c>
      <c r="G307" s="174">
        <f>SUM(G277:G306)</f>
        <v>5429.25</v>
      </c>
      <c r="H307" s="36">
        <f t="shared" si="110"/>
        <v>14533.400000000001</v>
      </c>
      <c r="I307" s="173">
        <f ca="1">'2025 Απρίλιος'!L111</f>
        <v>9088.2899999999991</v>
      </c>
      <c r="J307" s="36">
        <f t="shared" ca="1" si="111"/>
        <v>23621.690000000002</v>
      </c>
      <c r="K307" s="174">
        <f>SUM(K277:K306)</f>
        <v>7600.84</v>
      </c>
      <c r="L307" s="36">
        <f t="shared" ca="1" si="112"/>
        <v>31222.530000000002</v>
      </c>
      <c r="M307" s="174">
        <f>SUM(M277:M306)</f>
        <v>6922.9000000000005</v>
      </c>
      <c r="N307" s="36">
        <f t="shared" ca="1" si="113"/>
        <v>38145.43</v>
      </c>
      <c r="O307" s="174">
        <f>SUM(O277:O306)</f>
        <v>6776.14</v>
      </c>
      <c r="P307" s="36">
        <f t="shared" ca="1" si="114"/>
        <v>44921.57</v>
      </c>
      <c r="Q307" s="174">
        <f>SUM(Q277:Q306)</f>
        <v>19189.599999999999</v>
      </c>
      <c r="R307" s="36">
        <f t="shared" ca="1" si="115"/>
        <v>64111.17</v>
      </c>
      <c r="S307" s="174">
        <f>SUM(S277:S306)</f>
        <v>7836.51</v>
      </c>
      <c r="T307" s="36">
        <f t="shared" ca="1" si="116"/>
        <v>71947.679999999993</v>
      </c>
      <c r="U307" s="173">
        <f ca="1">'2025 Οκτώβριος'!L111</f>
        <v>7794.92</v>
      </c>
      <c r="V307" s="36">
        <f t="shared" ca="1" si="117"/>
        <v>79742.599999999991</v>
      </c>
      <c r="W307" s="174">
        <f>SUM(W277:W306)</f>
        <v>7693.92</v>
      </c>
      <c r="X307" s="36">
        <f t="shared" ca="1" si="118"/>
        <v>87436.51999999999</v>
      </c>
      <c r="Y307" s="174">
        <f>SUM(Y277:Y306)</f>
        <v>14433.16</v>
      </c>
      <c r="Z307" s="36">
        <f t="shared" ca="1" si="119"/>
        <v>101869.68</v>
      </c>
      <c r="AA307" s="36">
        <f t="shared" ca="1" si="120"/>
        <v>101869.68</v>
      </c>
    </row>
    <row r="308" spans="1:30" x14ac:dyDescent="0.25">
      <c r="A308" s="55"/>
    </row>
    <row r="312" spans="1:30" x14ac:dyDescent="0.25">
      <c r="A312" s="48" t="s">
        <v>146</v>
      </c>
      <c r="B312" s="35" t="s">
        <v>87</v>
      </c>
      <c r="C312" s="172" t="s">
        <v>114</v>
      </c>
      <c r="D312" s="35" t="s">
        <v>115</v>
      </c>
      <c r="E312" s="172" t="s">
        <v>116</v>
      </c>
      <c r="F312" s="35" t="s">
        <v>117</v>
      </c>
      <c r="G312" s="172" t="s">
        <v>118</v>
      </c>
      <c r="H312" s="35" t="s">
        <v>119</v>
      </c>
      <c r="I312" s="172" t="s">
        <v>147</v>
      </c>
      <c r="J312" s="35" t="s">
        <v>121</v>
      </c>
      <c r="K312" s="172" t="s">
        <v>122</v>
      </c>
      <c r="L312" s="35" t="s">
        <v>145</v>
      </c>
      <c r="M312" s="172" t="s">
        <v>123</v>
      </c>
      <c r="N312" s="35" t="s">
        <v>124</v>
      </c>
      <c r="O312" s="172" t="s">
        <v>125</v>
      </c>
      <c r="P312" s="35" t="s">
        <v>126</v>
      </c>
      <c r="Q312" s="172" t="s">
        <v>127</v>
      </c>
      <c r="R312" s="35" t="s">
        <v>128</v>
      </c>
      <c r="S312" s="172" t="s">
        <v>148</v>
      </c>
      <c r="T312" s="35" t="s">
        <v>130</v>
      </c>
      <c r="U312" s="172" t="s">
        <v>131</v>
      </c>
      <c r="V312" s="35" t="s">
        <v>132</v>
      </c>
      <c r="W312" s="172" t="s">
        <v>133</v>
      </c>
      <c r="X312" s="35" t="s">
        <v>134</v>
      </c>
      <c r="Y312" s="172" t="s">
        <v>149</v>
      </c>
      <c r="Z312" s="35" t="s">
        <v>150</v>
      </c>
      <c r="AA312" s="35" t="s">
        <v>151</v>
      </c>
    </row>
    <row r="313" spans="1:30" x14ac:dyDescent="0.25">
      <c r="A313" s="44" t="str">
        <f>'2025 Ιανουάριος'!C117</f>
        <v>Μικτές Αποδοχές (Α.Κ.Διοικ.)</v>
      </c>
      <c r="B313" s="35">
        <v>2024</v>
      </c>
      <c r="C313" s="173">
        <f>'2025 Ιανουάριος'!L117</f>
        <v>1223.8900000000001</v>
      </c>
      <c r="D313" s="36">
        <f t="shared" ref="D313:D353" si="123">C313</f>
        <v>1223.8900000000001</v>
      </c>
      <c r="E313" s="173">
        <f>'2025 Φεβρουάριος'!L117</f>
        <v>1042.0999999999999</v>
      </c>
      <c r="F313" s="36">
        <f t="shared" ref="F313:F353" si="124">D313+E313</f>
        <v>2265.9899999999998</v>
      </c>
      <c r="G313" s="173">
        <f>'2025 Μάρτιος'!L117</f>
        <v>1934.32</v>
      </c>
      <c r="H313" s="36">
        <f t="shared" ref="H313:H353" si="125">F313+G313</f>
        <v>4200.3099999999995</v>
      </c>
      <c r="I313" s="173">
        <f>'2025 Απρίλιος'!L117</f>
        <v>1313.16</v>
      </c>
      <c r="J313" s="36">
        <f t="shared" ref="J313:J353" si="126">H313+I313</f>
        <v>5513.4699999999993</v>
      </c>
      <c r="K313" s="173">
        <f>'2025 Μάιος'!L117</f>
        <v>1079</v>
      </c>
      <c r="L313" s="36">
        <f t="shared" ref="L313:L353" si="127">J313+K313</f>
        <v>6592.4699999999993</v>
      </c>
      <c r="M313" s="173">
        <f>'2025 Ιούνιος'!L117</f>
        <v>1007.3</v>
      </c>
      <c r="N313" s="36">
        <f t="shared" ref="N313:N353" si="128">L313+M313</f>
        <v>7599.7699999999995</v>
      </c>
      <c r="O313" s="173">
        <f>'2025 Ιούλιος'!L117</f>
        <v>1079</v>
      </c>
      <c r="P313" s="36">
        <f t="shared" ref="P313:P353" si="129">N313+O313</f>
        <v>8678.77</v>
      </c>
      <c r="Q313" s="173">
        <f>'2025 Aύγουστος'!L117</f>
        <v>1618.5</v>
      </c>
      <c r="R313" s="36">
        <f t="shared" ref="R313:R353" si="130">P313+Q313</f>
        <v>10297.27</v>
      </c>
      <c r="S313" s="173">
        <f>'2025 Σεπτέμβριος'!L117</f>
        <v>1079</v>
      </c>
      <c r="T313" s="36">
        <f t="shared" ref="T313:T353" si="131">R313+S313</f>
        <v>11376.27</v>
      </c>
      <c r="U313" s="173">
        <f>'2025 Οκτώβριος'!L117</f>
        <v>1079</v>
      </c>
      <c r="V313" s="36">
        <f t="shared" ref="V313:V353" si="132">T313+U313</f>
        <v>12455.27</v>
      </c>
      <c r="W313" s="173">
        <f>'2025 Νοέμβριος'!L117</f>
        <v>1079</v>
      </c>
      <c r="X313" s="36">
        <f t="shared" ref="X313:X353" si="133">V313+W313</f>
        <v>13534.27</v>
      </c>
      <c r="Y313" s="173">
        <f>'2025 Δεκέμβριος'!L117</f>
        <v>2202.9499999999998</v>
      </c>
      <c r="Z313" s="36">
        <f t="shared" ref="Z313:Z353" si="134">X313+Y313</f>
        <v>15737.220000000001</v>
      </c>
      <c r="AA313" s="36">
        <f t="shared" ref="AA313:AA353" si="135">C313+E313+G313+I313+K313+M313+O313+Q313+S313+U313+W313+Y313</f>
        <v>15737.220000000001</v>
      </c>
      <c r="AD313" s="37">
        <f t="shared" ref="AD313:AD352" si="136">IF(C191&lt;&gt;0,C313,0) + IF(E191&lt;&gt;0,E313,0) + IF(G191&lt;&gt;0,G313,0) +
IF(I191&lt;&gt;0,I313,0) + IF(K191&lt;&gt;0,K313,0) + IF(M191&lt;&gt;0,M313,0) +
IF(O191&lt;&gt;0,O313,0) + IF(Q191&lt;&gt;0,Q313,0) + IF(S191&lt;&gt;0,S313,0) +
IF(U191&lt;&gt;0,U313,0) + IF(W191&lt;&gt;0,W313,0) + IF(Y191&lt;&gt;0,Y313,0)</f>
        <v>0</v>
      </c>
    </row>
    <row r="314" spans="1:30" x14ac:dyDescent="0.25">
      <c r="A314" s="44" t="str">
        <f>'2025 Ιανουάριος'!C118</f>
        <v>Ασφαλιστικές εισφορές  (Α.Κ.Διοικ.)</v>
      </c>
      <c r="B314" s="35">
        <v>2024</v>
      </c>
      <c r="C314" s="173">
        <f>'2025 Ιανουάριος'!L118</f>
        <v>272.81</v>
      </c>
      <c r="D314" s="36">
        <f t="shared" si="123"/>
        <v>272.81</v>
      </c>
      <c r="E314" s="173">
        <f>'2025 Φεβρουάριος'!L118</f>
        <v>232.28</v>
      </c>
      <c r="F314" s="36">
        <f t="shared" si="124"/>
        <v>505.09000000000003</v>
      </c>
      <c r="G314" s="173">
        <f>'2025 Μάρτιος'!L118</f>
        <v>307.83</v>
      </c>
      <c r="H314" s="36">
        <f t="shared" si="125"/>
        <v>812.92000000000007</v>
      </c>
      <c r="I314" s="173">
        <f>'2025 Απρίλιος'!L118</f>
        <v>292.7</v>
      </c>
      <c r="J314" s="36">
        <f t="shared" si="126"/>
        <v>1105.6200000000001</v>
      </c>
      <c r="K314" s="173">
        <f>'2025 Μάιος'!L118</f>
        <v>240.51</v>
      </c>
      <c r="L314" s="36">
        <f t="shared" si="127"/>
        <v>1346.13</v>
      </c>
      <c r="M314" s="173">
        <f>'2025 Ιούνιος'!L118</f>
        <v>240.51</v>
      </c>
      <c r="N314" s="36">
        <f t="shared" si="128"/>
        <v>1586.64</v>
      </c>
      <c r="O314" s="173">
        <f>'2025 Ιούλιος'!L118</f>
        <v>240.51</v>
      </c>
      <c r="P314" s="36">
        <f t="shared" si="129"/>
        <v>1827.15</v>
      </c>
      <c r="Q314" s="173">
        <f>'2025 Aύγουστος'!L118</f>
        <v>380.76</v>
      </c>
      <c r="R314" s="36">
        <f t="shared" si="130"/>
        <v>2207.91</v>
      </c>
      <c r="S314" s="173">
        <f>'2025 Σεπτέμβριος'!L118</f>
        <v>240.51</v>
      </c>
      <c r="T314" s="36">
        <f t="shared" si="131"/>
        <v>2448.42</v>
      </c>
      <c r="U314" s="173">
        <f>'2025 Οκτώβριος'!L118</f>
        <v>240.51</v>
      </c>
      <c r="V314" s="36">
        <f t="shared" si="132"/>
        <v>2688.9300000000003</v>
      </c>
      <c r="W314" s="173">
        <f>'2025 Νοέμβριος'!L118</f>
        <v>240.51</v>
      </c>
      <c r="X314" s="36">
        <f t="shared" si="133"/>
        <v>2929.4400000000005</v>
      </c>
      <c r="Y314" s="173">
        <f>'2025 Δεκέμβριος'!L118</f>
        <v>491.04</v>
      </c>
      <c r="Z314" s="36">
        <f t="shared" si="134"/>
        <v>3420.4800000000005</v>
      </c>
      <c r="AA314" s="36">
        <f t="shared" si="135"/>
        <v>3420.4800000000005</v>
      </c>
      <c r="AD314" s="37">
        <f t="shared" si="136"/>
        <v>1346.13</v>
      </c>
    </row>
    <row r="315" spans="1:30" x14ac:dyDescent="0.25">
      <c r="A315" s="44" t="str">
        <f>'2025 Ιανουάριος'!C119</f>
        <v xml:space="preserve">Ενοίκια  Έδρας </v>
      </c>
      <c r="B315" s="35">
        <v>2024</v>
      </c>
      <c r="C315" s="173">
        <f>'2025 Ιανουάριος'!L119</f>
        <v>850</v>
      </c>
      <c r="D315" s="36">
        <f t="shared" si="123"/>
        <v>850</v>
      </c>
      <c r="E315" s="173">
        <f>'2025 Φεβρουάριος'!L119</f>
        <v>850</v>
      </c>
      <c r="F315" s="36">
        <f t="shared" si="124"/>
        <v>1700</v>
      </c>
      <c r="G315" s="173">
        <f>'2025 Μάρτιος'!L119</f>
        <v>850</v>
      </c>
      <c r="H315" s="36">
        <f t="shared" si="125"/>
        <v>2550</v>
      </c>
      <c r="I315" s="173">
        <f>'2025 Απρίλιος'!L119</f>
        <v>850</v>
      </c>
      <c r="J315" s="36">
        <f t="shared" si="126"/>
        <v>3400</v>
      </c>
      <c r="K315" s="173">
        <f>'2025 Μάιος'!L119</f>
        <v>850</v>
      </c>
      <c r="L315" s="36">
        <f t="shared" si="127"/>
        <v>4250</v>
      </c>
      <c r="M315" s="173">
        <f>'2025 Ιούνιος'!L119</f>
        <v>850</v>
      </c>
      <c r="N315" s="36">
        <f t="shared" si="128"/>
        <v>5100</v>
      </c>
      <c r="O315" s="173">
        <f>'2025 Ιούλιος'!L119</f>
        <v>875.5</v>
      </c>
      <c r="P315" s="36">
        <f t="shared" si="129"/>
        <v>5975.5</v>
      </c>
      <c r="Q315" s="173">
        <f>'2025 Aύγουστος'!L119</f>
        <v>875.5</v>
      </c>
      <c r="R315" s="36">
        <f t="shared" si="130"/>
        <v>6851</v>
      </c>
      <c r="S315" s="173">
        <f>'2025 Σεπτέμβριος'!L119</f>
        <v>875.5</v>
      </c>
      <c r="T315" s="36">
        <f t="shared" si="131"/>
        <v>7726.5</v>
      </c>
      <c r="U315" s="173">
        <f>'2025 Οκτώβριος'!L119</f>
        <v>875.5</v>
      </c>
      <c r="V315" s="36">
        <f t="shared" si="132"/>
        <v>8602</v>
      </c>
      <c r="W315" s="173">
        <f>'2025 Νοέμβριος'!L119</f>
        <v>875.5</v>
      </c>
      <c r="X315" s="36">
        <f t="shared" si="133"/>
        <v>9477.5</v>
      </c>
      <c r="Y315" s="173">
        <f>'2025 Δεκέμβριος'!L119</f>
        <v>875.5</v>
      </c>
      <c r="Z315" s="36">
        <f t="shared" si="134"/>
        <v>10353</v>
      </c>
      <c r="AA315" s="36">
        <f t="shared" si="135"/>
        <v>10353</v>
      </c>
      <c r="AD315" s="37">
        <f t="shared" si="136"/>
        <v>4250</v>
      </c>
    </row>
    <row r="316" spans="1:30" x14ac:dyDescent="0.25">
      <c r="A316" s="44" t="str">
        <f>'2025 Ιανουάριος'!C120</f>
        <v>Ενοίκιο Αποθήκης Β</v>
      </c>
      <c r="B316" s="35">
        <v>2024</v>
      </c>
      <c r="C316" s="173">
        <f>'2025 Ιανουάριος'!L120</f>
        <v>0</v>
      </c>
      <c r="D316" s="36">
        <f t="shared" si="123"/>
        <v>0</v>
      </c>
      <c r="E316" s="173">
        <f>'2025 Φεβρουάριος'!L120</f>
        <v>0</v>
      </c>
      <c r="F316" s="36">
        <f t="shared" si="124"/>
        <v>0</v>
      </c>
      <c r="G316" s="173">
        <f>'2025 Μάρτιος'!L120</f>
        <v>0</v>
      </c>
      <c r="H316" s="36">
        <f t="shared" si="125"/>
        <v>0</v>
      </c>
      <c r="I316" s="173">
        <f>'2025 Απρίλιος'!L120</f>
        <v>0</v>
      </c>
      <c r="J316" s="36">
        <f t="shared" si="126"/>
        <v>0</v>
      </c>
      <c r="K316" s="173">
        <f>'2025 Μάιος'!L120</f>
        <v>0</v>
      </c>
      <c r="L316" s="36">
        <f t="shared" si="127"/>
        <v>0</v>
      </c>
      <c r="M316" s="173">
        <f>'2025 Ιούνιος'!L120</f>
        <v>0</v>
      </c>
      <c r="N316" s="36">
        <f t="shared" si="128"/>
        <v>0</v>
      </c>
      <c r="O316" s="173">
        <f>'2025 Ιούλιος'!L120</f>
        <v>0</v>
      </c>
      <c r="P316" s="36">
        <f t="shared" si="129"/>
        <v>0</v>
      </c>
      <c r="Q316" s="173">
        <f>'2025 Aύγουστος'!L120</f>
        <v>0</v>
      </c>
      <c r="R316" s="36">
        <f t="shared" si="130"/>
        <v>0</v>
      </c>
      <c r="S316" s="173">
        <f>'2025 Σεπτέμβριος'!L120</f>
        <v>0</v>
      </c>
      <c r="T316" s="36">
        <f t="shared" si="131"/>
        <v>0</v>
      </c>
      <c r="U316" s="173">
        <f>'2025 Οκτώβριος'!L120</f>
        <v>0</v>
      </c>
      <c r="V316" s="36">
        <f t="shared" si="132"/>
        <v>0</v>
      </c>
      <c r="W316" s="173">
        <f>'2025 Νοέμβριος'!L120</f>
        <v>0</v>
      </c>
      <c r="X316" s="36">
        <f t="shared" si="133"/>
        <v>0</v>
      </c>
      <c r="Y316" s="173">
        <f>'2025 Δεκέμβριος'!L120</f>
        <v>0</v>
      </c>
      <c r="Z316" s="36">
        <f t="shared" si="134"/>
        <v>0</v>
      </c>
      <c r="AA316" s="36">
        <f t="shared" si="135"/>
        <v>0</v>
      </c>
      <c r="AD316" s="37">
        <f t="shared" si="136"/>
        <v>0</v>
      </c>
    </row>
    <row r="317" spans="1:30" x14ac:dyDescent="0.25">
      <c r="A317" s="44" t="str">
        <f>'2025 Ιανουάριος'!C121</f>
        <v>Ενοίκιο Αποθήκης Α</v>
      </c>
      <c r="B317" s="35">
        <v>2024</v>
      </c>
      <c r="C317" s="173">
        <f>'2025 Ιανουάριος'!L121</f>
        <v>241.31</v>
      </c>
      <c r="D317" s="36">
        <f t="shared" si="123"/>
        <v>241.31</v>
      </c>
      <c r="E317" s="173">
        <f>'2025 Φεβρουάριος'!L121</f>
        <v>241.31</v>
      </c>
      <c r="F317" s="36">
        <f t="shared" si="124"/>
        <v>482.62</v>
      </c>
      <c r="G317" s="173">
        <f>'2025 Μάρτιος'!L121</f>
        <v>241.31</v>
      </c>
      <c r="H317" s="36">
        <f t="shared" si="125"/>
        <v>723.93000000000006</v>
      </c>
      <c r="I317" s="173">
        <f>'2025 Απρίλιος'!L121</f>
        <v>241.31</v>
      </c>
      <c r="J317" s="36">
        <f t="shared" si="126"/>
        <v>965.24</v>
      </c>
      <c r="K317" s="173">
        <f>'2025 Μάιος'!L121</f>
        <v>241.31</v>
      </c>
      <c r="L317" s="36">
        <f t="shared" si="127"/>
        <v>1206.55</v>
      </c>
      <c r="M317" s="173">
        <f>'2025 Ιούνιος'!L121</f>
        <v>241.31</v>
      </c>
      <c r="N317" s="36">
        <f t="shared" si="128"/>
        <v>1447.86</v>
      </c>
      <c r="O317" s="173">
        <f>'2025 Ιούλιος'!L121</f>
        <v>241.31</v>
      </c>
      <c r="P317" s="36">
        <f t="shared" si="129"/>
        <v>1689.1699999999998</v>
      </c>
      <c r="Q317" s="173">
        <f>'2025 Aύγουστος'!L121</f>
        <v>241.31</v>
      </c>
      <c r="R317" s="36">
        <f t="shared" si="130"/>
        <v>1930.4799999999998</v>
      </c>
      <c r="S317" s="173">
        <f>'2025 Σεπτέμβριος'!L121</f>
        <v>241.31</v>
      </c>
      <c r="T317" s="36">
        <f t="shared" si="131"/>
        <v>2171.79</v>
      </c>
      <c r="U317" s="173">
        <f>'2025 Οκτώβριος'!L121</f>
        <v>241.31</v>
      </c>
      <c r="V317" s="36">
        <f t="shared" si="132"/>
        <v>2413.1</v>
      </c>
      <c r="W317" s="173">
        <f>'2025 Νοέμβριος'!L121</f>
        <v>241.31</v>
      </c>
      <c r="X317" s="36">
        <f t="shared" si="133"/>
        <v>2654.41</v>
      </c>
      <c r="Y317" s="173">
        <f>'2025 Δεκέμβριος'!L121</f>
        <v>241.31</v>
      </c>
      <c r="Z317" s="36">
        <f t="shared" si="134"/>
        <v>2895.72</v>
      </c>
      <c r="AA317" s="36">
        <f t="shared" si="135"/>
        <v>2895.72</v>
      </c>
      <c r="AD317" s="37">
        <f t="shared" si="136"/>
        <v>1206.55</v>
      </c>
    </row>
    <row r="318" spans="1:30" x14ac:dyDescent="0.25">
      <c r="A318" s="44" t="str">
        <f>'2025 Ιανουάριος'!C122</f>
        <v>Ενοίκιο Αριστοφάνους 1</v>
      </c>
      <c r="B318" s="35">
        <v>2024</v>
      </c>
      <c r="C318" s="173">
        <f>'2025 Ιανουάριος'!L122</f>
        <v>965.25</v>
      </c>
      <c r="D318" s="36">
        <f t="shared" si="123"/>
        <v>965.25</v>
      </c>
      <c r="E318" s="173">
        <f>'2025 Φεβρουάριος'!L122</f>
        <v>965.25</v>
      </c>
      <c r="F318" s="36">
        <f t="shared" si="124"/>
        <v>1930.5</v>
      </c>
      <c r="G318" s="173">
        <f>'2025 Μάρτιος'!L122</f>
        <v>965.25</v>
      </c>
      <c r="H318" s="36">
        <f t="shared" si="125"/>
        <v>2895.75</v>
      </c>
      <c r="I318" s="173">
        <f>'2025 Απρίλιος'!L122</f>
        <v>965.25</v>
      </c>
      <c r="J318" s="36">
        <f t="shared" si="126"/>
        <v>3861</v>
      </c>
      <c r="K318" s="173">
        <f>'2025 Μάιος'!L122</f>
        <v>965.25</v>
      </c>
      <c r="L318" s="36">
        <f t="shared" si="127"/>
        <v>4826.25</v>
      </c>
      <c r="M318" s="173">
        <f>'2025 Ιούνιος'!L122</f>
        <v>965.25</v>
      </c>
      <c r="N318" s="36">
        <f t="shared" si="128"/>
        <v>5791.5</v>
      </c>
      <c r="O318" s="173">
        <f>'2025 Ιούλιος'!L122</f>
        <v>965.25</v>
      </c>
      <c r="P318" s="36">
        <f t="shared" si="129"/>
        <v>6756.75</v>
      </c>
      <c r="Q318" s="173">
        <f>'2025 Aύγουστος'!L122</f>
        <v>965.25</v>
      </c>
      <c r="R318" s="36">
        <f t="shared" si="130"/>
        <v>7722</v>
      </c>
      <c r="S318" s="173">
        <f>'2025 Σεπτέμβριος'!L122</f>
        <v>965.25</v>
      </c>
      <c r="T318" s="36">
        <f t="shared" si="131"/>
        <v>8687.25</v>
      </c>
      <c r="U318" s="173">
        <f>'2025 Οκτώβριος'!L122</f>
        <v>965.25</v>
      </c>
      <c r="V318" s="36">
        <f t="shared" si="132"/>
        <v>9652.5</v>
      </c>
      <c r="W318" s="173">
        <f>'2025 Νοέμβριος'!L122</f>
        <v>965.25</v>
      </c>
      <c r="X318" s="36">
        <f t="shared" si="133"/>
        <v>10617.75</v>
      </c>
      <c r="Y318" s="173">
        <f>'2025 Δεκέμβριος'!L122</f>
        <v>965.25</v>
      </c>
      <c r="Z318" s="36">
        <f t="shared" si="134"/>
        <v>11583</v>
      </c>
      <c r="AA318" s="36">
        <f t="shared" si="135"/>
        <v>11583</v>
      </c>
      <c r="AD318" s="37">
        <f t="shared" si="136"/>
        <v>0</v>
      </c>
    </row>
    <row r="319" spans="1:30" x14ac:dyDescent="0.25">
      <c r="A319" s="44" t="str">
        <f>'2025 Ιανουάριος'!C123</f>
        <v xml:space="preserve">Χαρτόσημο ενοικίου Έδρας </v>
      </c>
      <c r="B319" s="35">
        <v>2024</v>
      </c>
      <c r="C319" s="173">
        <f>'2025 Ιανουάριος'!L123</f>
        <v>30.6</v>
      </c>
      <c r="D319" s="36">
        <f t="shared" si="123"/>
        <v>30.6</v>
      </c>
      <c r="E319" s="173">
        <f>'2025 Φεβρουάριος'!L123</f>
        <v>30.6</v>
      </c>
      <c r="F319" s="36">
        <f t="shared" si="124"/>
        <v>61.2</v>
      </c>
      <c r="G319" s="173">
        <f>'2025 Μάρτιος'!L123</f>
        <v>30.6</v>
      </c>
      <c r="H319" s="36">
        <f t="shared" si="125"/>
        <v>91.800000000000011</v>
      </c>
      <c r="I319" s="173">
        <f>'2025 Απρίλιος'!L123</f>
        <v>30.6</v>
      </c>
      <c r="J319" s="36">
        <f t="shared" si="126"/>
        <v>122.4</v>
      </c>
      <c r="K319" s="173">
        <f>'2025 Μάιος'!L123</f>
        <v>30.6</v>
      </c>
      <c r="L319" s="36">
        <f t="shared" si="127"/>
        <v>153</v>
      </c>
      <c r="M319" s="173">
        <f>'2025 Ιούνιος'!L123</f>
        <v>30.6</v>
      </c>
      <c r="N319" s="36">
        <f t="shared" si="128"/>
        <v>183.6</v>
      </c>
      <c r="O319" s="173">
        <f>'2025 Ιούλιος'!L123</f>
        <v>31.52</v>
      </c>
      <c r="P319" s="36">
        <f t="shared" si="129"/>
        <v>215.12</v>
      </c>
      <c r="Q319" s="173">
        <f>'2025 Aύγουστος'!L123</f>
        <v>31.52</v>
      </c>
      <c r="R319" s="36">
        <f t="shared" si="130"/>
        <v>246.64000000000001</v>
      </c>
      <c r="S319" s="173">
        <f>'2025 Σεπτέμβριος'!L123</f>
        <v>31.52</v>
      </c>
      <c r="T319" s="36">
        <f t="shared" si="131"/>
        <v>278.16000000000003</v>
      </c>
      <c r="U319" s="173">
        <f>'2025 Οκτώβριος'!L123</f>
        <v>31.52</v>
      </c>
      <c r="V319" s="36">
        <f t="shared" si="132"/>
        <v>309.68</v>
      </c>
      <c r="W319" s="173">
        <f>'2025 Νοέμβριος'!L123</f>
        <v>31.52</v>
      </c>
      <c r="X319" s="36">
        <f t="shared" si="133"/>
        <v>341.2</v>
      </c>
      <c r="Y319" s="173">
        <f>'2025 Δεκέμβριος'!L123</f>
        <v>31.52</v>
      </c>
      <c r="Z319" s="36">
        <f t="shared" si="134"/>
        <v>372.71999999999997</v>
      </c>
      <c r="AA319" s="36">
        <f t="shared" si="135"/>
        <v>372.71999999999997</v>
      </c>
      <c r="AD319" s="37">
        <f t="shared" si="136"/>
        <v>153</v>
      </c>
    </row>
    <row r="320" spans="1:30" x14ac:dyDescent="0.25">
      <c r="A320" s="44" t="str">
        <f>'2025 Ιανουάριος'!C124</f>
        <v xml:space="preserve">Χαρτόσημο Ενοικίου Αποθήκης Α </v>
      </c>
      <c r="B320" s="35">
        <v>2024</v>
      </c>
      <c r="C320" s="173">
        <f>'2025 Ιανουάριος'!L124</f>
        <v>8.69</v>
      </c>
      <c r="D320" s="36">
        <f t="shared" si="123"/>
        <v>8.69</v>
      </c>
      <c r="E320" s="173">
        <f>'2025 Φεβρουάριος'!L124</f>
        <v>8.69</v>
      </c>
      <c r="F320" s="36">
        <f t="shared" si="124"/>
        <v>17.38</v>
      </c>
      <c r="G320" s="173">
        <f>'2025 Μάρτιος'!L124</f>
        <v>8.69</v>
      </c>
      <c r="H320" s="36">
        <f t="shared" si="125"/>
        <v>26.07</v>
      </c>
      <c r="I320" s="173">
        <f>'2025 Απρίλιος'!L124</f>
        <v>8.69</v>
      </c>
      <c r="J320" s="36">
        <f t="shared" si="126"/>
        <v>34.76</v>
      </c>
      <c r="K320" s="173">
        <f>'2025 Μάιος'!L124</f>
        <v>8.69</v>
      </c>
      <c r="L320" s="36">
        <f t="shared" si="127"/>
        <v>43.449999999999996</v>
      </c>
      <c r="M320" s="173">
        <f>'2025 Ιούνιος'!L124</f>
        <v>8.69</v>
      </c>
      <c r="N320" s="36">
        <f t="shared" si="128"/>
        <v>52.139999999999993</v>
      </c>
      <c r="O320" s="173">
        <f>'2025 Ιούλιος'!L124</f>
        <v>8.69</v>
      </c>
      <c r="P320" s="36">
        <f t="shared" si="129"/>
        <v>60.829999999999991</v>
      </c>
      <c r="Q320" s="173">
        <f>'2025 Aύγουστος'!L124</f>
        <v>8.69</v>
      </c>
      <c r="R320" s="36">
        <f t="shared" si="130"/>
        <v>69.52</v>
      </c>
      <c r="S320" s="173">
        <f>'2025 Σεπτέμβριος'!L124</f>
        <v>25.56</v>
      </c>
      <c r="T320" s="36">
        <f t="shared" si="131"/>
        <v>95.08</v>
      </c>
      <c r="U320" s="173">
        <f>'2025 Οκτώβριος'!L124</f>
        <v>8.69</v>
      </c>
      <c r="V320" s="36">
        <f t="shared" si="132"/>
        <v>103.77</v>
      </c>
      <c r="W320" s="173">
        <f>'2025 Νοέμβριος'!L124</f>
        <v>8.69</v>
      </c>
      <c r="X320" s="36">
        <f t="shared" si="133"/>
        <v>112.46</v>
      </c>
      <c r="Y320" s="173">
        <f>'2025 Δεκέμβριος'!L124</f>
        <v>8.69</v>
      </c>
      <c r="Z320" s="36">
        <f t="shared" si="134"/>
        <v>121.14999999999999</v>
      </c>
      <c r="AA320" s="36">
        <f t="shared" si="135"/>
        <v>121.14999999999999</v>
      </c>
      <c r="AD320" s="37">
        <f t="shared" si="136"/>
        <v>0</v>
      </c>
    </row>
    <row r="321" spans="1:30" x14ac:dyDescent="0.25">
      <c r="A321" s="44" t="str">
        <f>'2025 Ιανουάριος'!C125</f>
        <v xml:space="preserve">Χαρτόσημο Ενοικίου Αποθήκης Β </v>
      </c>
      <c r="B321" s="35">
        <v>2024</v>
      </c>
      <c r="C321" s="173">
        <f>'2025 Ιανουάριος'!L125</f>
        <v>0</v>
      </c>
      <c r="D321" s="36">
        <f t="shared" si="123"/>
        <v>0</v>
      </c>
      <c r="E321" s="173">
        <f>'2025 Φεβρουάριος'!L125</f>
        <v>0</v>
      </c>
      <c r="F321" s="36">
        <f t="shared" si="124"/>
        <v>0</v>
      </c>
      <c r="G321" s="173">
        <f>'2025 Μάρτιος'!L125</f>
        <v>0</v>
      </c>
      <c r="H321" s="36">
        <f t="shared" si="125"/>
        <v>0</v>
      </c>
      <c r="I321" s="173">
        <f>'2025 Απρίλιος'!L125</f>
        <v>0</v>
      </c>
      <c r="J321" s="36">
        <f t="shared" si="126"/>
        <v>0</v>
      </c>
      <c r="K321" s="173">
        <f>'2025 Μάιος'!L125</f>
        <v>0</v>
      </c>
      <c r="L321" s="36">
        <f t="shared" si="127"/>
        <v>0</v>
      </c>
      <c r="M321" s="173">
        <f>'2025 Ιούνιος'!L125</f>
        <v>0</v>
      </c>
      <c r="N321" s="36">
        <f t="shared" si="128"/>
        <v>0</v>
      </c>
      <c r="O321" s="173">
        <f>'2025 Ιούλιος'!L125</f>
        <v>0</v>
      </c>
      <c r="P321" s="36">
        <f t="shared" si="129"/>
        <v>0</v>
      </c>
      <c r="Q321" s="173">
        <f>'2025 Aύγουστος'!L125</f>
        <v>0</v>
      </c>
      <c r="R321" s="36">
        <f t="shared" si="130"/>
        <v>0</v>
      </c>
      <c r="S321" s="173">
        <f>'2025 Σεπτέμβριος'!L125</f>
        <v>0</v>
      </c>
      <c r="T321" s="36">
        <f t="shared" si="131"/>
        <v>0</v>
      </c>
      <c r="U321" s="173">
        <f>'2025 Οκτώβριος'!L125</f>
        <v>0</v>
      </c>
      <c r="V321" s="36">
        <f t="shared" si="132"/>
        <v>0</v>
      </c>
      <c r="W321" s="173">
        <f>'2025 Νοέμβριος'!L125</f>
        <v>0</v>
      </c>
      <c r="X321" s="36">
        <f t="shared" si="133"/>
        <v>0</v>
      </c>
      <c r="Y321" s="173">
        <f>'2025 Δεκέμβριος'!L125</f>
        <v>0</v>
      </c>
      <c r="Z321" s="36">
        <f t="shared" si="134"/>
        <v>0</v>
      </c>
      <c r="AA321" s="36">
        <f t="shared" si="135"/>
        <v>0</v>
      </c>
      <c r="AD321" s="37">
        <f t="shared" si="136"/>
        <v>0</v>
      </c>
    </row>
    <row r="322" spans="1:30" x14ac:dyDescent="0.25">
      <c r="A322" s="44" t="str">
        <f>'2025 Ιανουάριος'!C126</f>
        <v>Χαρτόσημο Ενοικίου Αριστοφάνους 1</v>
      </c>
      <c r="B322" s="35">
        <v>2024</v>
      </c>
      <c r="C322" s="173">
        <f>'2025 Ιανουάριος'!L126</f>
        <v>34.75</v>
      </c>
      <c r="D322" s="36">
        <f t="shared" si="123"/>
        <v>34.75</v>
      </c>
      <c r="E322" s="173">
        <f>'2025 Φεβρουάριος'!L126</f>
        <v>34.75</v>
      </c>
      <c r="F322" s="36">
        <f t="shared" si="124"/>
        <v>69.5</v>
      </c>
      <c r="G322" s="173">
        <f>'2025 Μάρτιος'!L126</f>
        <v>34.75</v>
      </c>
      <c r="H322" s="36">
        <f t="shared" si="125"/>
        <v>104.25</v>
      </c>
      <c r="I322" s="173">
        <f>'2025 Απρίλιος'!L126</f>
        <v>34.75</v>
      </c>
      <c r="J322" s="36">
        <f t="shared" si="126"/>
        <v>139</v>
      </c>
      <c r="K322" s="173">
        <f>'2025 Μάιος'!L126</f>
        <v>34.75</v>
      </c>
      <c r="L322" s="36">
        <f t="shared" si="127"/>
        <v>173.75</v>
      </c>
      <c r="M322" s="173">
        <f>'2025 Ιούνιος'!L126</f>
        <v>34.75</v>
      </c>
      <c r="N322" s="36">
        <f t="shared" si="128"/>
        <v>208.5</v>
      </c>
      <c r="O322" s="173">
        <f>'2025 Ιούλιος'!L126</f>
        <v>34.75</v>
      </c>
      <c r="P322" s="36">
        <f t="shared" si="129"/>
        <v>243.25</v>
      </c>
      <c r="Q322" s="173">
        <f>'2025 Aύγουστος'!L126</f>
        <v>34.75</v>
      </c>
      <c r="R322" s="36">
        <f t="shared" si="130"/>
        <v>278</v>
      </c>
      <c r="S322" s="173">
        <f>'2025 Σεπτέμβριος'!L126</f>
        <v>34.75</v>
      </c>
      <c r="T322" s="36">
        <f t="shared" si="131"/>
        <v>312.75</v>
      </c>
      <c r="U322" s="173">
        <f>'2025 Οκτώβριος'!L126</f>
        <v>34.75</v>
      </c>
      <c r="V322" s="36">
        <f t="shared" si="132"/>
        <v>347.5</v>
      </c>
      <c r="W322" s="173">
        <f>'2025 Νοέμβριος'!L126</f>
        <v>34.75</v>
      </c>
      <c r="X322" s="36">
        <f t="shared" si="133"/>
        <v>382.25</v>
      </c>
      <c r="Y322" s="173">
        <f>'2025 Δεκέμβριος'!L126</f>
        <v>34.75</v>
      </c>
      <c r="Z322" s="36">
        <f t="shared" si="134"/>
        <v>417</v>
      </c>
      <c r="AA322" s="36">
        <f t="shared" si="135"/>
        <v>417</v>
      </c>
      <c r="AD322" s="37">
        <f t="shared" si="136"/>
        <v>0</v>
      </c>
    </row>
    <row r="323" spans="1:30" x14ac:dyDescent="0.25">
      <c r="A323" s="44" t="str">
        <f>'2025 Ιανουάριος'!C127</f>
        <v xml:space="preserve">Κοινόχρηστες Δαπάνες Έδρας </v>
      </c>
      <c r="B323" s="35">
        <v>2024</v>
      </c>
      <c r="C323" s="173">
        <f>'2025 Ιανουάριος'!L127</f>
        <v>0</v>
      </c>
      <c r="D323" s="36">
        <f t="shared" si="123"/>
        <v>0</v>
      </c>
      <c r="E323" s="173">
        <f>'2025 Φεβρουάριος'!L127</f>
        <v>0</v>
      </c>
      <c r="F323" s="36">
        <f t="shared" si="124"/>
        <v>0</v>
      </c>
      <c r="G323" s="173">
        <f>'2025 Μάρτιος'!L127</f>
        <v>0</v>
      </c>
      <c r="H323" s="36">
        <f t="shared" si="125"/>
        <v>0</v>
      </c>
      <c r="I323" s="173">
        <f>'2025 Απρίλιος'!L127</f>
        <v>0</v>
      </c>
      <c r="J323" s="36">
        <f t="shared" si="126"/>
        <v>0</v>
      </c>
      <c r="K323" s="173">
        <f>'2025 Μάιος'!L127</f>
        <v>0</v>
      </c>
      <c r="L323" s="36">
        <f t="shared" si="127"/>
        <v>0</v>
      </c>
      <c r="M323" s="173">
        <f>'2025 Ιούνιος'!L127</f>
        <v>0</v>
      </c>
      <c r="N323" s="36">
        <f t="shared" si="128"/>
        <v>0</v>
      </c>
      <c r="O323" s="173">
        <f>'2025 Ιούλιος'!L127</f>
        <v>0</v>
      </c>
      <c r="P323" s="36">
        <f t="shared" si="129"/>
        <v>0</v>
      </c>
      <c r="Q323" s="173">
        <f>'2025 Aύγουστος'!L127</f>
        <v>0</v>
      </c>
      <c r="R323" s="36">
        <f t="shared" si="130"/>
        <v>0</v>
      </c>
      <c r="S323" s="173">
        <f>'2025 Σεπτέμβριος'!L127</f>
        <v>0</v>
      </c>
      <c r="T323" s="36">
        <f t="shared" si="131"/>
        <v>0</v>
      </c>
      <c r="U323" s="173">
        <f>'2025 Οκτώβριος'!L127</f>
        <v>0</v>
      </c>
      <c r="V323" s="36">
        <f t="shared" si="132"/>
        <v>0</v>
      </c>
      <c r="W323" s="173">
        <f>'2025 Νοέμβριος'!L127</f>
        <v>0</v>
      </c>
      <c r="X323" s="36">
        <f t="shared" si="133"/>
        <v>0</v>
      </c>
      <c r="Y323" s="173">
        <f>'2025 Δεκέμβριος'!L127</f>
        <v>0</v>
      </c>
      <c r="Z323" s="36">
        <f t="shared" si="134"/>
        <v>0</v>
      </c>
      <c r="AA323" s="36">
        <f t="shared" si="135"/>
        <v>0</v>
      </c>
      <c r="AD323" s="37">
        <f t="shared" si="136"/>
        <v>0</v>
      </c>
    </row>
    <row r="324" spans="1:30" x14ac:dyDescent="0.25">
      <c r="A324" s="44" t="str">
        <f>'2025 Ιανουάριος'!C128</f>
        <v xml:space="preserve">Κοινόχρηστες Δαπάνες Αποθήκης Α </v>
      </c>
      <c r="B324" s="35">
        <v>2024</v>
      </c>
      <c r="C324" s="173">
        <f>'2025 Ιανουάριος'!L128</f>
        <v>0</v>
      </c>
      <c r="D324" s="36">
        <f t="shared" si="123"/>
        <v>0</v>
      </c>
      <c r="E324" s="173">
        <f>'2025 Φεβρουάριος'!L128</f>
        <v>0</v>
      </c>
      <c r="F324" s="36">
        <f t="shared" si="124"/>
        <v>0</v>
      </c>
      <c r="G324" s="173">
        <f>'2025 Μάρτιος'!L128</f>
        <v>0</v>
      </c>
      <c r="H324" s="36">
        <f t="shared" si="125"/>
        <v>0</v>
      </c>
      <c r="I324" s="173">
        <f>'2025 Απρίλιος'!L128</f>
        <v>0</v>
      </c>
      <c r="J324" s="36">
        <f t="shared" si="126"/>
        <v>0</v>
      </c>
      <c r="K324" s="173">
        <f>'2025 Μάιος'!L128</f>
        <v>0</v>
      </c>
      <c r="L324" s="36">
        <f t="shared" si="127"/>
        <v>0</v>
      </c>
      <c r="M324" s="173">
        <f>'2025 Ιούνιος'!L128</f>
        <v>0</v>
      </c>
      <c r="N324" s="36">
        <f t="shared" si="128"/>
        <v>0</v>
      </c>
      <c r="O324" s="173">
        <f>'2025 Ιούλιος'!L128</f>
        <v>0</v>
      </c>
      <c r="P324" s="36">
        <f t="shared" si="129"/>
        <v>0</v>
      </c>
      <c r="Q324" s="173">
        <f>'2025 Aύγουστος'!L128</f>
        <v>0</v>
      </c>
      <c r="R324" s="36">
        <f t="shared" si="130"/>
        <v>0</v>
      </c>
      <c r="S324" s="173">
        <f>'2025 Σεπτέμβριος'!L128</f>
        <v>0</v>
      </c>
      <c r="T324" s="36">
        <f t="shared" si="131"/>
        <v>0</v>
      </c>
      <c r="U324" s="173">
        <f>'2025 Οκτώβριος'!L128</f>
        <v>0</v>
      </c>
      <c r="V324" s="36">
        <f t="shared" si="132"/>
        <v>0</v>
      </c>
      <c r="W324" s="173">
        <f>'2025 Νοέμβριος'!L128</f>
        <v>0</v>
      </c>
      <c r="X324" s="36">
        <f t="shared" si="133"/>
        <v>0</v>
      </c>
      <c r="Y324" s="173">
        <f>'2025 Δεκέμβριος'!L128</f>
        <v>0</v>
      </c>
      <c r="Z324" s="36">
        <f t="shared" si="134"/>
        <v>0</v>
      </c>
      <c r="AA324" s="36">
        <f t="shared" si="135"/>
        <v>0</v>
      </c>
      <c r="AD324" s="37">
        <f t="shared" si="136"/>
        <v>0</v>
      </c>
    </row>
    <row r="325" spans="1:30" x14ac:dyDescent="0.25">
      <c r="A325" s="44" t="str">
        <f>'2025 Ιανουάριος'!C129</f>
        <v xml:space="preserve">Κοινόχρηστες Δαπάνες Αποθήκης Β </v>
      </c>
      <c r="B325" s="35">
        <v>2024</v>
      </c>
      <c r="C325" s="173">
        <f>'2025 Ιανουάριος'!L129</f>
        <v>0</v>
      </c>
      <c r="D325" s="36">
        <f t="shared" si="123"/>
        <v>0</v>
      </c>
      <c r="E325" s="173">
        <f>'2025 Φεβρουάριος'!L129</f>
        <v>0</v>
      </c>
      <c r="F325" s="36">
        <f t="shared" si="124"/>
        <v>0</v>
      </c>
      <c r="G325" s="173">
        <f>'2025 Μάρτιος'!L129</f>
        <v>0</v>
      </c>
      <c r="H325" s="36">
        <f t="shared" si="125"/>
        <v>0</v>
      </c>
      <c r="I325" s="173">
        <f>'2025 Απρίλιος'!L129</f>
        <v>0</v>
      </c>
      <c r="J325" s="36">
        <f t="shared" si="126"/>
        <v>0</v>
      </c>
      <c r="K325" s="173">
        <f>'2025 Μάιος'!L129</f>
        <v>0</v>
      </c>
      <c r="L325" s="36">
        <f t="shared" si="127"/>
        <v>0</v>
      </c>
      <c r="M325" s="173">
        <f>'2025 Ιούνιος'!L129</f>
        <v>0</v>
      </c>
      <c r="N325" s="36">
        <f t="shared" si="128"/>
        <v>0</v>
      </c>
      <c r="O325" s="173">
        <f>'2025 Ιούλιος'!L129</f>
        <v>0</v>
      </c>
      <c r="P325" s="36">
        <f t="shared" si="129"/>
        <v>0</v>
      </c>
      <c r="Q325" s="173">
        <f>'2025 Aύγουστος'!L129</f>
        <v>0</v>
      </c>
      <c r="R325" s="36">
        <f t="shared" si="130"/>
        <v>0</v>
      </c>
      <c r="S325" s="173">
        <f>'2025 Σεπτέμβριος'!L129</f>
        <v>0</v>
      </c>
      <c r="T325" s="36">
        <f t="shared" si="131"/>
        <v>0</v>
      </c>
      <c r="U325" s="173">
        <f>'2025 Οκτώβριος'!L129</f>
        <v>0</v>
      </c>
      <c r="V325" s="36">
        <f t="shared" si="132"/>
        <v>0</v>
      </c>
      <c r="W325" s="173">
        <f>'2025 Νοέμβριος'!L129</f>
        <v>0</v>
      </c>
      <c r="X325" s="36">
        <f t="shared" si="133"/>
        <v>0</v>
      </c>
      <c r="Y325" s="173">
        <f>'2025 Δεκέμβριος'!L129</f>
        <v>0</v>
      </c>
      <c r="Z325" s="36">
        <f t="shared" si="134"/>
        <v>0</v>
      </c>
      <c r="AA325" s="36">
        <f t="shared" si="135"/>
        <v>0</v>
      </c>
      <c r="AD325" s="37">
        <f t="shared" si="136"/>
        <v>0</v>
      </c>
    </row>
    <row r="326" spans="1:30" x14ac:dyDescent="0.25">
      <c r="A326" s="44" t="str">
        <f>'2025 Ιανουάριος'!C130</f>
        <v>Κοινόχρηστες Δαπάνες Αριστοφάνους 1</v>
      </c>
      <c r="B326" s="35">
        <v>2024</v>
      </c>
      <c r="C326" s="173">
        <f>'2025 Ιανουάριος'!L130</f>
        <v>21</v>
      </c>
      <c r="D326" s="36">
        <f t="shared" si="123"/>
        <v>21</v>
      </c>
      <c r="E326" s="173">
        <f>'2025 Φεβρουάριος'!L130</f>
        <v>55</v>
      </c>
      <c r="F326" s="36">
        <f t="shared" si="124"/>
        <v>76</v>
      </c>
      <c r="G326" s="173">
        <f>'2025 Μάρτιος'!L130</f>
        <v>71.5</v>
      </c>
      <c r="H326" s="36">
        <f t="shared" si="125"/>
        <v>147.5</v>
      </c>
      <c r="I326" s="173">
        <f>'2025 Απρίλιος'!L130</f>
        <v>38</v>
      </c>
      <c r="J326" s="36">
        <f t="shared" si="126"/>
        <v>185.5</v>
      </c>
      <c r="K326" s="173">
        <f>'2025 Μάιος'!L130</f>
        <v>32</v>
      </c>
      <c r="L326" s="36">
        <f t="shared" si="127"/>
        <v>217.5</v>
      </c>
      <c r="M326" s="173">
        <f>'2025 Ιούνιος'!L130</f>
        <v>31</v>
      </c>
      <c r="N326" s="36">
        <f t="shared" si="128"/>
        <v>248.5</v>
      </c>
      <c r="O326" s="173">
        <f>'2025 Ιούλιος'!L130</f>
        <v>0</v>
      </c>
      <c r="P326" s="36">
        <f t="shared" si="129"/>
        <v>248.5</v>
      </c>
      <c r="Q326" s="173">
        <f>'2025 Aύγουστος'!L130</f>
        <v>61</v>
      </c>
      <c r="R326" s="36">
        <f t="shared" si="130"/>
        <v>309.5</v>
      </c>
      <c r="S326" s="173">
        <f>'2025 Σεπτέμβριος'!L130</f>
        <v>32</v>
      </c>
      <c r="T326" s="36">
        <f t="shared" si="131"/>
        <v>341.5</v>
      </c>
      <c r="U326" s="173">
        <f>'2025 Οκτώβριος'!L130</f>
        <v>31</v>
      </c>
      <c r="V326" s="36">
        <f t="shared" si="132"/>
        <v>372.5</v>
      </c>
      <c r="W326" s="173">
        <f>'2025 Νοέμβριος'!L130</f>
        <v>42.58</v>
      </c>
      <c r="X326" s="36">
        <f t="shared" si="133"/>
        <v>415.08</v>
      </c>
      <c r="Y326" s="173">
        <f>'2025 Δεκέμβριος'!L130</f>
        <v>47</v>
      </c>
      <c r="Z326" s="36">
        <f t="shared" si="134"/>
        <v>462.08</v>
      </c>
      <c r="AA326" s="36">
        <f t="shared" si="135"/>
        <v>462.08</v>
      </c>
      <c r="AD326" s="37">
        <f t="shared" si="136"/>
        <v>217.5</v>
      </c>
    </row>
    <row r="327" spans="1:30" x14ac:dyDescent="0.25">
      <c r="A327" s="44" t="str">
        <f>'2025 Ιανουάριος'!C131</f>
        <v xml:space="preserve">Ενέργεια  Έδρας </v>
      </c>
      <c r="B327" s="35">
        <v>2024</v>
      </c>
      <c r="C327" s="173">
        <f>'2025 Ιανουάριος'!L131</f>
        <v>64.239999999999995</v>
      </c>
      <c r="D327" s="36">
        <f t="shared" si="123"/>
        <v>64.239999999999995</v>
      </c>
      <c r="E327" s="173">
        <f>'2025 Φεβρουάριος'!L131</f>
        <v>124.94</v>
      </c>
      <c r="F327" s="36">
        <f t="shared" si="124"/>
        <v>189.18</v>
      </c>
      <c r="G327" s="173">
        <f>'2025 Μάρτιος'!L131</f>
        <v>133.29</v>
      </c>
      <c r="H327" s="36">
        <f t="shared" si="125"/>
        <v>322.47000000000003</v>
      </c>
      <c r="I327" s="173">
        <f>'2025 Απρίλιος'!L131</f>
        <v>25.36</v>
      </c>
      <c r="J327" s="36">
        <f t="shared" si="126"/>
        <v>347.83000000000004</v>
      </c>
      <c r="K327" s="173">
        <f>'2025 Μάιος'!L131</f>
        <v>140.11000000000001</v>
      </c>
      <c r="L327" s="36">
        <f t="shared" si="127"/>
        <v>487.94000000000005</v>
      </c>
      <c r="M327" s="173">
        <f>'2025 Ιούνιος'!L131</f>
        <v>190.71</v>
      </c>
      <c r="N327" s="36">
        <f t="shared" si="128"/>
        <v>678.65000000000009</v>
      </c>
      <c r="O327" s="173">
        <f>'2025 Ιούλιος'!L131</f>
        <v>265.68</v>
      </c>
      <c r="P327" s="36">
        <f t="shared" si="129"/>
        <v>944.33000000000015</v>
      </c>
      <c r="Q327" s="173">
        <f>'2025 Aύγουστος'!L131</f>
        <v>290.24</v>
      </c>
      <c r="R327" s="36">
        <f t="shared" si="130"/>
        <v>1234.5700000000002</v>
      </c>
      <c r="S327" s="173">
        <f>'2025 Σεπτέμβριος'!L131</f>
        <v>271.26</v>
      </c>
      <c r="T327" s="36">
        <f t="shared" si="131"/>
        <v>1505.8300000000002</v>
      </c>
      <c r="U327" s="173">
        <f>'2025 Οκτώβριος'!L131</f>
        <v>54.38</v>
      </c>
      <c r="V327" s="36">
        <f t="shared" si="132"/>
        <v>1560.2100000000003</v>
      </c>
      <c r="W327" s="173">
        <f>'2025 Νοέμβριος'!L131</f>
        <v>130.58000000000001</v>
      </c>
      <c r="X327" s="36">
        <f t="shared" si="133"/>
        <v>1690.7900000000002</v>
      </c>
      <c r="Y327" s="173">
        <f>'2025 Δεκέμβριος'!L131</f>
        <v>191.38</v>
      </c>
      <c r="Z327" s="36">
        <f t="shared" si="134"/>
        <v>1882.17</v>
      </c>
      <c r="AA327" s="36">
        <f t="shared" si="135"/>
        <v>1882.17</v>
      </c>
      <c r="AD327" s="37">
        <f t="shared" si="136"/>
        <v>423.70000000000005</v>
      </c>
    </row>
    <row r="328" spans="1:30" x14ac:dyDescent="0.25">
      <c r="A328" s="44" t="str">
        <f>'2025 Ιανουάριος'!C132</f>
        <v xml:space="preserve">Ενέργεια Αποθήκης Α </v>
      </c>
      <c r="B328" s="35">
        <v>2024</v>
      </c>
      <c r="C328" s="173">
        <f>'2025 Ιανουάριος'!L132</f>
        <v>5.14</v>
      </c>
      <c r="D328" s="36">
        <f t="shared" si="123"/>
        <v>5.14</v>
      </c>
      <c r="E328" s="173">
        <f>'2025 Φεβρουάριος'!L132</f>
        <v>-18.329999999999998</v>
      </c>
      <c r="F328" s="36">
        <f t="shared" si="124"/>
        <v>-13.189999999999998</v>
      </c>
      <c r="G328" s="173">
        <f>'2025 Μάρτιος'!L132</f>
        <v>18.190000000000001</v>
      </c>
      <c r="H328" s="36">
        <f t="shared" si="125"/>
        <v>5.0000000000000036</v>
      </c>
      <c r="I328" s="173">
        <f>'2025 Απρίλιος'!L132</f>
        <v>-1.98</v>
      </c>
      <c r="J328" s="36">
        <f t="shared" si="126"/>
        <v>3.0200000000000036</v>
      </c>
      <c r="K328" s="173">
        <f>'2025 Μάιος'!L132</f>
        <v>29.59</v>
      </c>
      <c r="L328" s="36">
        <f t="shared" si="127"/>
        <v>32.610000000000007</v>
      </c>
      <c r="M328" s="173">
        <f>'2025 Ιούνιος'!L132</f>
        <v>43.72</v>
      </c>
      <c r="N328" s="36">
        <f t="shared" si="128"/>
        <v>76.330000000000013</v>
      </c>
      <c r="O328" s="173">
        <f>'2025 Ιούλιος'!L132</f>
        <v>5.2</v>
      </c>
      <c r="P328" s="36">
        <f t="shared" si="129"/>
        <v>81.530000000000015</v>
      </c>
      <c r="Q328" s="173">
        <f>'2025 Aύγουστος'!L132</f>
        <v>31.01</v>
      </c>
      <c r="R328" s="36">
        <f t="shared" si="130"/>
        <v>112.54000000000002</v>
      </c>
      <c r="S328" s="173">
        <f>'2025 Σεπτέμβριος'!L132</f>
        <v>12.73</v>
      </c>
      <c r="T328" s="36">
        <f t="shared" si="131"/>
        <v>125.27000000000002</v>
      </c>
      <c r="U328" s="173">
        <f>'2025 Οκτώβριος'!L132</f>
        <v>23.77</v>
      </c>
      <c r="V328" s="36">
        <f t="shared" si="132"/>
        <v>149.04000000000002</v>
      </c>
      <c r="W328" s="173">
        <f>'2025 Νοέμβριος'!L132</f>
        <v>24.51</v>
      </c>
      <c r="X328" s="36">
        <f t="shared" si="133"/>
        <v>173.55</v>
      </c>
      <c r="Y328" s="173">
        <f>'2025 Δεκέμβριος'!L132</f>
        <v>27.15</v>
      </c>
      <c r="Z328" s="36">
        <f t="shared" si="134"/>
        <v>200.70000000000002</v>
      </c>
      <c r="AA328" s="36">
        <f t="shared" si="135"/>
        <v>200.70000000000002</v>
      </c>
      <c r="AD328" s="37">
        <f t="shared" si="136"/>
        <v>32.610000000000007</v>
      </c>
    </row>
    <row r="329" spans="1:30" x14ac:dyDescent="0.25">
      <c r="A329" s="44">
        <f>'2025 Ιανουάριος'!C133</f>
        <v>0</v>
      </c>
      <c r="B329" s="35">
        <v>2024</v>
      </c>
      <c r="C329" s="173">
        <f>'2025 Ιανουάριος'!L133</f>
        <v>3.77</v>
      </c>
      <c r="D329" s="36">
        <f t="shared" si="123"/>
        <v>3.77</v>
      </c>
      <c r="E329" s="173">
        <f>'2025 Φεβρουάριος'!L133</f>
        <v>0</v>
      </c>
      <c r="F329" s="36">
        <f t="shared" si="124"/>
        <v>3.77</v>
      </c>
      <c r="G329" s="173">
        <f>'2025 Μάρτιος'!L133</f>
        <v>32.130000000000003</v>
      </c>
      <c r="H329" s="36">
        <f t="shared" si="125"/>
        <v>35.900000000000006</v>
      </c>
      <c r="I329" s="173">
        <f>'2025 Απρίλιος'!L133</f>
        <v>9.49</v>
      </c>
      <c r="J329" s="36">
        <f t="shared" si="126"/>
        <v>45.390000000000008</v>
      </c>
      <c r="K329" s="173">
        <f>'2025 Μάιος'!L133</f>
        <v>-11.02</v>
      </c>
      <c r="L329" s="36">
        <f t="shared" si="127"/>
        <v>34.370000000000005</v>
      </c>
      <c r="M329" s="173">
        <f>'2025 Ιούνιος'!L133</f>
        <v>-1.05</v>
      </c>
      <c r="N329" s="36">
        <f t="shared" si="128"/>
        <v>33.320000000000007</v>
      </c>
      <c r="O329" s="173">
        <f>'2025 Ιούλιος'!L133</f>
        <v>0.87</v>
      </c>
      <c r="P329" s="36">
        <f t="shared" si="129"/>
        <v>34.190000000000005</v>
      </c>
      <c r="Q329" s="173">
        <f>'2025 Aύγουστος'!L133</f>
        <v>-3.07</v>
      </c>
      <c r="R329" s="36">
        <f t="shared" si="130"/>
        <v>31.120000000000005</v>
      </c>
      <c r="S329" s="173">
        <f>'2025 Σεπτέμβριος'!L133</f>
        <v>4.4400000000000004</v>
      </c>
      <c r="T329" s="36">
        <f t="shared" si="131"/>
        <v>35.56</v>
      </c>
      <c r="U329" s="173">
        <f>'2025 Οκτώβριος'!L133</f>
        <v>0</v>
      </c>
      <c r="V329" s="36">
        <f t="shared" si="132"/>
        <v>35.56</v>
      </c>
      <c r="W329" s="173">
        <f>'2025 Νοέμβριος'!L133</f>
        <v>17.07</v>
      </c>
      <c r="X329" s="36">
        <f t="shared" si="133"/>
        <v>52.63</v>
      </c>
      <c r="Y329" s="173">
        <f>'2025 Δεκέμβριος'!L133</f>
        <v>17.489999999999998</v>
      </c>
      <c r="Z329" s="36">
        <f t="shared" si="134"/>
        <v>70.12</v>
      </c>
      <c r="AA329" s="36">
        <f t="shared" si="135"/>
        <v>70.12</v>
      </c>
      <c r="AD329" s="37">
        <f t="shared" si="136"/>
        <v>21.110000000000003</v>
      </c>
    </row>
    <row r="330" spans="1:30" x14ac:dyDescent="0.25">
      <c r="A330" s="44" t="str">
        <f>'2025 Ιανουάριος'!C134</f>
        <v>Ενέργεια Αποθήκης Β (OPERATION)</v>
      </c>
      <c r="B330" s="35">
        <v>2024</v>
      </c>
      <c r="C330" s="173">
        <f>'2025 Ιανουάριος'!L134</f>
        <v>0</v>
      </c>
      <c r="D330" s="36">
        <f t="shared" si="123"/>
        <v>0</v>
      </c>
      <c r="E330" s="173">
        <f>'2025 Φεβρουάριος'!L134</f>
        <v>27.2</v>
      </c>
      <c r="F330" s="36">
        <f t="shared" si="124"/>
        <v>27.2</v>
      </c>
      <c r="G330" s="173">
        <f>'2025 Μάρτιος'!L134</f>
        <v>17.61</v>
      </c>
      <c r="H330" s="36">
        <f t="shared" si="125"/>
        <v>44.81</v>
      </c>
      <c r="I330" s="173">
        <f>'2025 Απρίλιος'!L134</f>
        <v>-12.76</v>
      </c>
      <c r="J330" s="36">
        <f t="shared" si="126"/>
        <v>32.050000000000004</v>
      </c>
      <c r="K330" s="173">
        <f>'2025 Μάιος'!L134</f>
        <v>69.48</v>
      </c>
      <c r="L330" s="36">
        <f t="shared" si="127"/>
        <v>101.53</v>
      </c>
      <c r="M330" s="173">
        <f>'2025 Ιούνιος'!L134</f>
        <v>83.01</v>
      </c>
      <c r="N330" s="36">
        <f t="shared" si="128"/>
        <v>184.54000000000002</v>
      </c>
      <c r="O330" s="173">
        <f>'2025 Ιούλιος'!L134</f>
        <v>87.68</v>
      </c>
      <c r="P330" s="36">
        <f t="shared" si="129"/>
        <v>272.22000000000003</v>
      </c>
      <c r="Q330" s="173">
        <f>'2025 Aύγουστος'!L134</f>
        <v>-227.12</v>
      </c>
      <c r="R330" s="36">
        <f t="shared" si="130"/>
        <v>45.100000000000023</v>
      </c>
      <c r="S330" s="173">
        <f>'2025 Σεπτέμβριος'!L134</f>
        <v>0.27</v>
      </c>
      <c r="T330" s="36">
        <f t="shared" si="131"/>
        <v>45.370000000000026</v>
      </c>
      <c r="U330" s="173">
        <f>'2025 Οκτώβριος'!L134</f>
        <v>17.010000000000002</v>
      </c>
      <c r="V330" s="36">
        <f t="shared" si="132"/>
        <v>62.380000000000024</v>
      </c>
      <c r="W330" s="173">
        <f>'2025 Νοέμβριος'!L134</f>
        <v>19.55</v>
      </c>
      <c r="X330" s="36">
        <f t="shared" si="133"/>
        <v>81.930000000000021</v>
      </c>
      <c r="Y330" s="173">
        <f>'2025 Δεκέμβριος'!L134</f>
        <v>48.53</v>
      </c>
      <c r="Z330" s="36">
        <f t="shared" si="134"/>
        <v>130.46000000000004</v>
      </c>
      <c r="AA330" s="36">
        <f t="shared" si="135"/>
        <v>130.46000000000004</v>
      </c>
      <c r="AD330" s="37">
        <f t="shared" si="136"/>
        <v>-12.76</v>
      </c>
    </row>
    <row r="331" spans="1:30" x14ac:dyDescent="0.25">
      <c r="A331" s="44" t="str">
        <f>'2025 Ιανουάριος'!C135</f>
        <v>Ενέργεια Αριστοφάνους 1</v>
      </c>
      <c r="B331" s="35">
        <v>2024</v>
      </c>
      <c r="C331" s="173">
        <f>'2025 Ιανουάριος'!L135</f>
        <v>167.16</v>
      </c>
      <c r="D331" s="36">
        <f t="shared" si="123"/>
        <v>167.16</v>
      </c>
      <c r="E331" s="173">
        <f>'2025 Φεβρουάριος'!L135</f>
        <v>291.22000000000003</v>
      </c>
      <c r="F331" s="36">
        <f t="shared" si="124"/>
        <v>458.38</v>
      </c>
      <c r="G331" s="173">
        <f>'2025 Μάρτιος'!L135</f>
        <v>306.44</v>
      </c>
      <c r="H331" s="36">
        <f t="shared" si="125"/>
        <v>764.81999999999994</v>
      </c>
      <c r="I331" s="173">
        <f>'2025 Απρίλιος'!L135</f>
        <v>334.3</v>
      </c>
      <c r="J331" s="36">
        <f t="shared" si="126"/>
        <v>1099.1199999999999</v>
      </c>
      <c r="K331" s="173">
        <f>'2025 Μάιος'!L135</f>
        <v>369.61999999999989</v>
      </c>
      <c r="L331" s="36">
        <f t="shared" si="127"/>
        <v>1468.7399999999998</v>
      </c>
      <c r="M331" s="173">
        <f>'2025 Ιούνιος'!L135</f>
        <v>366.94</v>
      </c>
      <c r="N331" s="36">
        <f t="shared" si="128"/>
        <v>1835.6799999999998</v>
      </c>
      <c r="O331" s="173">
        <f>'2025 Ιούλιος'!L135</f>
        <v>252.57</v>
      </c>
      <c r="P331" s="36">
        <f t="shared" si="129"/>
        <v>2088.25</v>
      </c>
      <c r="Q331" s="173">
        <f>'2025 Aύγουστος'!L135</f>
        <v>528.74</v>
      </c>
      <c r="R331" s="36">
        <f t="shared" si="130"/>
        <v>2616.9899999999998</v>
      </c>
      <c r="S331" s="173">
        <f>'2025 Σεπτέμβριος'!L135</f>
        <v>337.7</v>
      </c>
      <c r="T331" s="36">
        <f t="shared" si="131"/>
        <v>2954.6899999999996</v>
      </c>
      <c r="U331" s="173">
        <f>'2025 Οκτώβριος'!L135</f>
        <v>323.31</v>
      </c>
      <c r="V331" s="36">
        <f t="shared" si="132"/>
        <v>3277.9999999999995</v>
      </c>
      <c r="W331" s="173">
        <f>'2025 Νοέμβριος'!L135</f>
        <v>330.23</v>
      </c>
      <c r="X331" s="36">
        <f t="shared" si="133"/>
        <v>3608.2299999999996</v>
      </c>
      <c r="Y331" s="173">
        <f>'2025 Δεκέμβριος'!L135</f>
        <v>408.08</v>
      </c>
      <c r="Z331" s="36">
        <f t="shared" si="134"/>
        <v>4016.3099999999995</v>
      </c>
      <c r="AA331" s="36">
        <f t="shared" si="135"/>
        <v>4016.3099999999995</v>
      </c>
      <c r="AD331" s="37">
        <f t="shared" si="136"/>
        <v>0</v>
      </c>
    </row>
    <row r="332" spans="1:30" x14ac:dyDescent="0.25">
      <c r="A332" s="44" t="str">
        <f>'2025 Ιανουάριος'!C136</f>
        <v xml:space="preserve">Τηλεπικοινωνίες (Τηλεφωνία &amp; Διαδίκτυο) </v>
      </c>
      <c r="B332" s="35">
        <v>2024</v>
      </c>
      <c r="C332" s="173">
        <f>'2025 Ιανουάριος'!L136</f>
        <v>0</v>
      </c>
      <c r="D332" s="36">
        <f t="shared" si="123"/>
        <v>0</v>
      </c>
      <c r="E332" s="173">
        <f>'2025 Φεβρουάριος'!L136</f>
        <v>28.63</v>
      </c>
      <c r="F332" s="36">
        <f t="shared" si="124"/>
        <v>28.63</v>
      </c>
      <c r="G332" s="173">
        <f>'2025 Μάρτιος'!L136</f>
        <v>0</v>
      </c>
      <c r="H332" s="36">
        <f t="shared" si="125"/>
        <v>28.63</v>
      </c>
      <c r="I332" s="173">
        <f>'2025 Απρίλιος'!L136</f>
        <v>0</v>
      </c>
      <c r="J332" s="36">
        <f t="shared" si="126"/>
        <v>28.63</v>
      </c>
      <c r="K332" s="173">
        <f>'2025 Μάιος'!L136</f>
        <v>21.68</v>
      </c>
      <c r="L332" s="36">
        <f t="shared" si="127"/>
        <v>50.31</v>
      </c>
      <c r="M332" s="173">
        <f>'2025 Ιούνιος'!L136</f>
        <v>0</v>
      </c>
      <c r="N332" s="36">
        <f t="shared" si="128"/>
        <v>50.31</v>
      </c>
      <c r="O332" s="173">
        <f>'2025 Ιούλιος'!L136</f>
        <v>0</v>
      </c>
      <c r="P332" s="36">
        <f t="shared" si="129"/>
        <v>50.31</v>
      </c>
      <c r="Q332" s="173">
        <f>'2025 Aύγουστος'!L136</f>
        <v>21.62</v>
      </c>
      <c r="R332" s="36">
        <f t="shared" si="130"/>
        <v>71.930000000000007</v>
      </c>
      <c r="S332" s="173">
        <f>'2025 Σεπτέμβριος'!L136</f>
        <v>0</v>
      </c>
      <c r="T332" s="36">
        <f t="shared" si="131"/>
        <v>71.930000000000007</v>
      </c>
      <c r="U332" s="173">
        <f>'2025 Οκτώβριος'!L136</f>
        <v>0</v>
      </c>
      <c r="V332" s="36">
        <f t="shared" si="132"/>
        <v>71.930000000000007</v>
      </c>
      <c r="W332" s="173">
        <f>'2025 Νοέμβριος'!L136</f>
        <v>27.59</v>
      </c>
      <c r="X332" s="36">
        <f t="shared" si="133"/>
        <v>99.52000000000001</v>
      </c>
      <c r="Y332" s="173">
        <f>'2025 Δεκέμβριος'!L136</f>
        <v>12.28</v>
      </c>
      <c r="Z332" s="36">
        <f t="shared" si="134"/>
        <v>111.80000000000001</v>
      </c>
      <c r="AA332" s="36">
        <f t="shared" si="135"/>
        <v>111.80000000000001</v>
      </c>
      <c r="AD332" s="37">
        <f t="shared" si="136"/>
        <v>0</v>
      </c>
    </row>
    <row r="333" spans="1:30" x14ac:dyDescent="0.25">
      <c r="A333" s="44" t="str">
        <f>'2025 Ιανουάριος'!C137</f>
        <v xml:space="preserve">Υδρευση </v>
      </c>
      <c r="B333" s="35">
        <v>2024</v>
      </c>
      <c r="C333" s="173">
        <f>'2025 Ιανουάριος'!L137</f>
        <v>316.24</v>
      </c>
      <c r="D333" s="36">
        <f t="shared" si="123"/>
        <v>316.24</v>
      </c>
      <c r="E333" s="173">
        <f>'2025 Φεβρουάριος'!L137</f>
        <v>0</v>
      </c>
      <c r="F333" s="36">
        <f t="shared" si="124"/>
        <v>316.24</v>
      </c>
      <c r="G333" s="173">
        <f>'2025 Μάρτιος'!L137</f>
        <v>0</v>
      </c>
      <c r="H333" s="36">
        <f t="shared" si="125"/>
        <v>316.24</v>
      </c>
      <c r="I333" s="173">
        <f>'2025 Απρίλιος'!L137</f>
        <v>71.5</v>
      </c>
      <c r="J333" s="36">
        <f t="shared" si="126"/>
        <v>387.74</v>
      </c>
      <c r="K333" s="173">
        <f>'2025 Μάιος'!L137</f>
        <v>81.84</v>
      </c>
      <c r="L333" s="36">
        <f t="shared" si="127"/>
        <v>469.58000000000004</v>
      </c>
      <c r="M333" s="173">
        <f>'2025 Ιούνιος'!L137</f>
        <v>0</v>
      </c>
      <c r="N333" s="36">
        <f t="shared" si="128"/>
        <v>469.58000000000004</v>
      </c>
      <c r="O333" s="173">
        <f>'2025 Ιούλιος'!L137</f>
        <v>0</v>
      </c>
      <c r="P333" s="36">
        <f t="shared" si="129"/>
        <v>469.58000000000004</v>
      </c>
      <c r="Q333" s="173">
        <f>'2025 Aύγουστος'!L137</f>
        <v>0</v>
      </c>
      <c r="R333" s="36">
        <f t="shared" si="130"/>
        <v>469.58000000000004</v>
      </c>
      <c r="S333" s="173">
        <f>'2025 Σεπτέμβριος'!L137</f>
        <v>45.42</v>
      </c>
      <c r="T333" s="36">
        <f t="shared" si="131"/>
        <v>515</v>
      </c>
      <c r="U333" s="173">
        <f>'2025 Οκτώβριος'!L137</f>
        <v>29.3</v>
      </c>
      <c r="V333" s="36">
        <f t="shared" si="132"/>
        <v>544.29999999999995</v>
      </c>
      <c r="W333" s="173">
        <f>'2025 Νοέμβριος'!L137</f>
        <v>0</v>
      </c>
      <c r="X333" s="36">
        <f t="shared" si="133"/>
        <v>544.29999999999995</v>
      </c>
      <c r="Y333" s="173">
        <f>'2025 Δεκέμβριος'!L137</f>
        <v>0</v>
      </c>
      <c r="Z333" s="36">
        <f t="shared" si="134"/>
        <v>544.29999999999995</v>
      </c>
      <c r="AA333" s="36">
        <f t="shared" si="135"/>
        <v>544.29999999999995</v>
      </c>
      <c r="AD333" s="37">
        <f t="shared" si="136"/>
        <v>0</v>
      </c>
    </row>
    <row r="334" spans="1:30" x14ac:dyDescent="0.25">
      <c r="A334" s="44" t="str">
        <f>'2025 Ιανουάριος'!C138</f>
        <v xml:space="preserve">Ασφάλιστρα </v>
      </c>
      <c r="B334" s="35">
        <v>2024</v>
      </c>
      <c r="C334" s="173">
        <f>'2025 Ιανουάριος'!L138</f>
        <v>0</v>
      </c>
      <c r="D334" s="36">
        <f t="shared" si="123"/>
        <v>0</v>
      </c>
      <c r="E334" s="173">
        <f>'2025 Φεβρουάριος'!L138</f>
        <v>0</v>
      </c>
      <c r="F334" s="36">
        <f t="shared" si="124"/>
        <v>0</v>
      </c>
      <c r="G334" s="173">
        <f>'2025 Μάρτιος'!L138</f>
        <v>0</v>
      </c>
      <c r="H334" s="36">
        <f t="shared" si="125"/>
        <v>0</v>
      </c>
      <c r="I334" s="173">
        <f>'2025 Απρίλιος'!L138</f>
        <v>0</v>
      </c>
      <c r="J334" s="36">
        <f t="shared" si="126"/>
        <v>0</v>
      </c>
      <c r="K334" s="173">
        <f>'2025 Μάιος'!L138</f>
        <v>0</v>
      </c>
      <c r="L334" s="36">
        <f t="shared" si="127"/>
        <v>0</v>
      </c>
      <c r="M334" s="173">
        <f>'2025 Ιούνιος'!L138</f>
        <v>0</v>
      </c>
      <c r="N334" s="36">
        <f t="shared" si="128"/>
        <v>0</v>
      </c>
      <c r="O334" s="173">
        <f>'2025 Ιούλιος'!L138</f>
        <v>0</v>
      </c>
      <c r="P334" s="36">
        <f t="shared" si="129"/>
        <v>0</v>
      </c>
      <c r="Q334" s="173">
        <f>'2025 Aύγουστος'!L138</f>
        <v>0</v>
      </c>
      <c r="R334" s="36">
        <f t="shared" si="130"/>
        <v>0</v>
      </c>
      <c r="S334" s="173">
        <f>'2025 Σεπτέμβριος'!L138</f>
        <v>0</v>
      </c>
      <c r="T334" s="36">
        <f t="shared" si="131"/>
        <v>0</v>
      </c>
      <c r="U334" s="173">
        <f>'2025 Οκτώβριος'!L138</f>
        <v>0</v>
      </c>
      <c r="V334" s="36">
        <f t="shared" si="132"/>
        <v>0</v>
      </c>
      <c r="W334" s="173">
        <f>'2025 Νοέμβριος'!L138</f>
        <v>0</v>
      </c>
      <c r="X334" s="36">
        <f t="shared" si="133"/>
        <v>0</v>
      </c>
      <c r="Y334" s="173">
        <f>'2025 Δεκέμβριος'!L138</f>
        <v>0</v>
      </c>
      <c r="Z334" s="36">
        <f t="shared" si="134"/>
        <v>0</v>
      </c>
      <c r="AA334" s="36">
        <f t="shared" si="135"/>
        <v>0</v>
      </c>
      <c r="AD334" s="37">
        <f t="shared" si="136"/>
        <v>0</v>
      </c>
    </row>
    <row r="335" spans="1:30" x14ac:dyDescent="0.25">
      <c r="A335" s="44" t="str">
        <f>'2025 Ιανουάριος'!C139</f>
        <v xml:space="preserve">Έντυπα και γραφική Ύλη </v>
      </c>
      <c r="B335" s="35">
        <v>2024</v>
      </c>
      <c r="C335" s="173">
        <f>'2025 Ιανουάριος'!L139</f>
        <v>0</v>
      </c>
      <c r="D335" s="36">
        <f t="shared" si="123"/>
        <v>0</v>
      </c>
      <c r="E335" s="173">
        <f>'2025 Φεβρουάριος'!L139</f>
        <v>0</v>
      </c>
      <c r="F335" s="36">
        <f t="shared" si="124"/>
        <v>0</v>
      </c>
      <c r="G335" s="173">
        <f>'2025 Μάρτιος'!L139</f>
        <v>0</v>
      </c>
      <c r="H335" s="36">
        <f t="shared" si="125"/>
        <v>0</v>
      </c>
      <c r="I335" s="173">
        <f>'2025 Απρίλιος'!L139</f>
        <v>0</v>
      </c>
      <c r="J335" s="36">
        <f t="shared" si="126"/>
        <v>0</v>
      </c>
      <c r="K335" s="173">
        <f>'2025 Μάιος'!L139</f>
        <v>0</v>
      </c>
      <c r="L335" s="36">
        <f t="shared" si="127"/>
        <v>0</v>
      </c>
      <c r="M335" s="173">
        <f>'2025 Ιούνιος'!L139</f>
        <v>0</v>
      </c>
      <c r="N335" s="36">
        <f t="shared" si="128"/>
        <v>0</v>
      </c>
      <c r="O335" s="173">
        <f>'2025 Ιούλιος'!L139</f>
        <v>0</v>
      </c>
      <c r="P335" s="36">
        <f t="shared" si="129"/>
        <v>0</v>
      </c>
      <c r="Q335" s="173">
        <f>'2025 Aύγουστος'!L139</f>
        <v>0</v>
      </c>
      <c r="R335" s="36">
        <f t="shared" si="130"/>
        <v>0</v>
      </c>
      <c r="S335" s="173">
        <f>'2025 Σεπτέμβριος'!L139</f>
        <v>0</v>
      </c>
      <c r="T335" s="36">
        <f t="shared" si="131"/>
        <v>0</v>
      </c>
      <c r="U335" s="173">
        <f>'2025 Οκτώβριος'!L139</f>
        <v>0</v>
      </c>
      <c r="V335" s="36">
        <f t="shared" si="132"/>
        <v>0</v>
      </c>
      <c r="W335" s="173">
        <f>'2025 Νοέμβριος'!L139</f>
        <v>0</v>
      </c>
      <c r="X335" s="36">
        <f t="shared" si="133"/>
        <v>0</v>
      </c>
      <c r="Y335" s="173">
        <f>'2025 Δεκέμβριος'!L139</f>
        <v>0</v>
      </c>
      <c r="Z335" s="36">
        <f t="shared" si="134"/>
        <v>0</v>
      </c>
      <c r="AA335" s="36">
        <f t="shared" si="135"/>
        <v>0</v>
      </c>
      <c r="AD335" s="37">
        <f t="shared" si="136"/>
        <v>0</v>
      </c>
    </row>
    <row r="336" spans="1:30" x14ac:dyDescent="0.25">
      <c r="A336" s="44" t="str">
        <f>'2025 Ιανουάριος'!C140</f>
        <v xml:space="preserve">Υλικά Καθαριότητας </v>
      </c>
      <c r="B336" s="35">
        <v>2024</v>
      </c>
      <c r="C336" s="173">
        <f>'2025 Ιανουάριος'!L140</f>
        <v>0</v>
      </c>
      <c r="D336" s="36">
        <f t="shared" si="123"/>
        <v>0</v>
      </c>
      <c r="E336" s="173">
        <f>'2025 Φεβρουάριος'!L140</f>
        <v>0</v>
      </c>
      <c r="F336" s="36">
        <f t="shared" si="124"/>
        <v>0</v>
      </c>
      <c r="G336" s="173">
        <f>'2025 Μάρτιος'!L140</f>
        <v>0</v>
      </c>
      <c r="H336" s="36">
        <f t="shared" si="125"/>
        <v>0</v>
      </c>
      <c r="I336" s="173">
        <f>'2025 Απρίλιος'!L140</f>
        <v>0</v>
      </c>
      <c r="J336" s="36">
        <f t="shared" si="126"/>
        <v>0</v>
      </c>
      <c r="K336" s="173">
        <f>'2025 Μάιος'!L140</f>
        <v>0</v>
      </c>
      <c r="L336" s="36">
        <f t="shared" si="127"/>
        <v>0</v>
      </c>
      <c r="M336" s="173">
        <f>'2025 Ιούνιος'!L140</f>
        <v>0</v>
      </c>
      <c r="N336" s="36">
        <f t="shared" si="128"/>
        <v>0</v>
      </c>
      <c r="O336" s="173">
        <f>'2025 Ιούλιος'!L140</f>
        <v>0</v>
      </c>
      <c r="P336" s="36">
        <f t="shared" si="129"/>
        <v>0</v>
      </c>
      <c r="Q336" s="173">
        <f>'2025 Aύγουστος'!L140</f>
        <v>0</v>
      </c>
      <c r="R336" s="36">
        <f t="shared" si="130"/>
        <v>0</v>
      </c>
      <c r="S336" s="173">
        <f>'2025 Σεπτέμβριος'!L140</f>
        <v>0</v>
      </c>
      <c r="T336" s="36">
        <f t="shared" si="131"/>
        <v>0</v>
      </c>
      <c r="U336" s="173">
        <f>'2025 Οκτώβριος'!L140</f>
        <v>0</v>
      </c>
      <c r="V336" s="36">
        <f t="shared" si="132"/>
        <v>0</v>
      </c>
      <c r="W336" s="173">
        <f>'2025 Νοέμβριος'!L140</f>
        <v>0</v>
      </c>
      <c r="X336" s="36">
        <f t="shared" si="133"/>
        <v>0</v>
      </c>
      <c r="Y336" s="173">
        <f>'2025 Δεκέμβριος'!L140</f>
        <v>0</v>
      </c>
      <c r="Z336" s="36">
        <f t="shared" si="134"/>
        <v>0</v>
      </c>
      <c r="AA336" s="36">
        <f t="shared" si="135"/>
        <v>0</v>
      </c>
      <c r="AD336" s="37">
        <f t="shared" si="136"/>
        <v>0</v>
      </c>
    </row>
    <row r="337" spans="1:30" x14ac:dyDescent="0.25">
      <c r="A337" s="44" t="str">
        <f>'2025 Ιανουάριος'!C141</f>
        <v>Υλικά Φαρμακείου</v>
      </c>
      <c r="B337" s="35">
        <v>2024</v>
      </c>
      <c r="C337" s="173">
        <f>'2025 Ιανουάριος'!L141</f>
        <v>0</v>
      </c>
      <c r="D337" s="36">
        <f t="shared" si="123"/>
        <v>0</v>
      </c>
      <c r="E337" s="173">
        <f>'2025 Φεβρουάριος'!L141</f>
        <v>0</v>
      </c>
      <c r="F337" s="36">
        <f t="shared" si="124"/>
        <v>0</v>
      </c>
      <c r="G337" s="173">
        <f>'2025 Μάρτιος'!L141</f>
        <v>0</v>
      </c>
      <c r="H337" s="36">
        <f t="shared" si="125"/>
        <v>0</v>
      </c>
      <c r="I337" s="173">
        <f>'2025 Απρίλιος'!L141</f>
        <v>133.24</v>
      </c>
      <c r="J337" s="36">
        <f t="shared" si="126"/>
        <v>133.24</v>
      </c>
      <c r="K337" s="173">
        <f>'2025 Μάιος'!L141</f>
        <v>768.06</v>
      </c>
      <c r="L337" s="36">
        <f t="shared" si="127"/>
        <v>901.3</v>
      </c>
      <c r="M337" s="173">
        <f>'2025 Ιούνιος'!L141</f>
        <v>0</v>
      </c>
      <c r="N337" s="36">
        <f t="shared" si="128"/>
        <v>901.3</v>
      </c>
      <c r="O337" s="173">
        <f>'2025 Ιούλιος'!L141</f>
        <v>244.16</v>
      </c>
      <c r="P337" s="36">
        <f t="shared" si="129"/>
        <v>1145.46</v>
      </c>
      <c r="Q337" s="173">
        <f>'2025 Aύγουστος'!L141</f>
        <v>0</v>
      </c>
      <c r="R337" s="36">
        <f t="shared" si="130"/>
        <v>1145.46</v>
      </c>
      <c r="S337" s="173">
        <f>'2025 Σεπτέμβριος'!L141</f>
        <v>0</v>
      </c>
      <c r="T337" s="36">
        <f t="shared" si="131"/>
        <v>1145.46</v>
      </c>
      <c r="U337" s="173">
        <f>'2025 Οκτώβριος'!L141</f>
        <v>13.39</v>
      </c>
      <c r="V337" s="36">
        <f t="shared" si="132"/>
        <v>1158.8500000000001</v>
      </c>
      <c r="W337" s="173">
        <f>'2025 Νοέμβριος'!L141</f>
        <v>33.380000000000003</v>
      </c>
      <c r="X337" s="36">
        <f t="shared" si="133"/>
        <v>1192.2300000000002</v>
      </c>
      <c r="Y337" s="173">
        <f>'2025 Δεκέμβριος'!L141</f>
        <v>781.97</v>
      </c>
      <c r="Z337" s="36">
        <f t="shared" si="134"/>
        <v>1974.2000000000003</v>
      </c>
      <c r="AA337" s="36">
        <f t="shared" si="135"/>
        <v>1974.2000000000003</v>
      </c>
      <c r="AD337" s="37">
        <f t="shared" si="136"/>
        <v>901.3</v>
      </c>
    </row>
    <row r="338" spans="1:30" x14ac:dyDescent="0.25">
      <c r="A338" s="44" t="str">
        <f>'2025 Ιανουάριος'!C142</f>
        <v>Διάφορα αναλώσιμα</v>
      </c>
      <c r="B338" s="35">
        <v>2024</v>
      </c>
      <c r="C338" s="173">
        <f>'2025 Ιανουάριος'!L142</f>
        <v>700</v>
      </c>
      <c r="D338" s="36">
        <f t="shared" si="123"/>
        <v>700</v>
      </c>
      <c r="E338" s="173">
        <f>'2025 Φεβρουάριος'!L142</f>
        <v>700</v>
      </c>
      <c r="F338" s="36">
        <f t="shared" si="124"/>
        <v>1400</v>
      </c>
      <c r="G338" s="173">
        <f>'2025 Μάρτιος'!L142</f>
        <v>700</v>
      </c>
      <c r="H338" s="36">
        <f t="shared" si="125"/>
        <v>2100</v>
      </c>
      <c r="I338" s="173">
        <f>'2025 Απρίλιος'!L142</f>
        <v>900</v>
      </c>
      <c r="J338" s="36">
        <f t="shared" si="126"/>
        <v>3000</v>
      </c>
      <c r="K338" s="173">
        <f>'2025 Μάιος'!L142</f>
        <v>900</v>
      </c>
      <c r="L338" s="36">
        <f t="shared" si="127"/>
        <v>3900</v>
      </c>
      <c r="M338" s="173">
        <f>'2025 Ιούνιος'!L142</f>
        <v>900</v>
      </c>
      <c r="N338" s="36">
        <f t="shared" si="128"/>
        <v>4800</v>
      </c>
      <c r="O338" s="173">
        <f>'2025 Ιούλιος'!L142</f>
        <v>1250</v>
      </c>
      <c r="P338" s="36">
        <f t="shared" si="129"/>
        <v>6050</v>
      </c>
      <c r="Q338" s="173">
        <f>'2025 Aύγουστος'!L142</f>
        <v>1740</v>
      </c>
      <c r="R338" s="36">
        <f t="shared" si="130"/>
        <v>7790</v>
      </c>
      <c r="S338" s="173">
        <f>'2025 Σεπτέμβριος'!L142</f>
        <v>900</v>
      </c>
      <c r="T338" s="36">
        <f t="shared" si="131"/>
        <v>8690</v>
      </c>
      <c r="U338" s="173">
        <f>'2025 Οκτώβριος'!L142</f>
        <v>900</v>
      </c>
      <c r="V338" s="36">
        <f t="shared" si="132"/>
        <v>9590</v>
      </c>
      <c r="W338" s="173">
        <f>'2025 Νοέμβριος'!L142</f>
        <v>900</v>
      </c>
      <c r="X338" s="36">
        <f t="shared" si="133"/>
        <v>10490</v>
      </c>
      <c r="Y338" s="173">
        <f>'2025 Δεκέμβριος'!L142</f>
        <v>4042</v>
      </c>
      <c r="Z338" s="36">
        <f t="shared" si="134"/>
        <v>14532</v>
      </c>
      <c r="AA338" s="36">
        <f t="shared" si="135"/>
        <v>14532</v>
      </c>
      <c r="AD338" s="37">
        <f t="shared" si="136"/>
        <v>3900</v>
      </c>
    </row>
    <row r="339" spans="1:30" ht="28.5" x14ac:dyDescent="0.25">
      <c r="A339" s="44" t="str">
        <f>'2025 Ιανουάριος'!C143</f>
        <v>Αμοιβές συνεργατών ( Εξωτερικοί Συνεργάτες Λογιστής - Μισθοδοσία Δικηγόρος )</v>
      </c>
      <c r="B339" s="35">
        <v>2024</v>
      </c>
      <c r="C339" s="173">
        <f>'2025 Ιανουάριος'!L143</f>
        <v>1639.47</v>
      </c>
      <c r="D339" s="36">
        <f t="shared" si="123"/>
        <v>1639.47</v>
      </c>
      <c r="E339" s="173">
        <f>'2025 Φεβρουάριος'!L143</f>
        <v>44.8</v>
      </c>
      <c r="F339" s="36">
        <f t="shared" si="124"/>
        <v>1684.27</v>
      </c>
      <c r="G339" s="173">
        <f>'2025 Μάρτιος'!L143</f>
        <v>716.15</v>
      </c>
      <c r="H339" s="36">
        <f t="shared" si="125"/>
        <v>2400.42</v>
      </c>
      <c r="I339" s="173">
        <f>'2025 Απρίλιος'!L143</f>
        <v>0</v>
      </c>
      <c r="J339" s="36">
        <f t="shared" si="126"/>
        <v>2400.42</v>
      </c>
      <c r="K339" s="173">
        <f>'2025 Μάιος'!L143</f>
        <v>158.65</v>
      </c>
      <c r="L339" s="36">
        <f t="shared" si="127"/>
        <v>2559.0700000000002</v>
      </c>
      <c r="M339" s="173">
        <f>'2025 Ιούνιος'!L143</f>
        <v>0</v>
      </c>
      <c r="N339" s="36">
        <f t="shared" si="128"/>
        <v>2559.0700000000002</v>
      </c>
      <c r="O339" s="173">
        <f>'2025 Ιούλιος'!L143</f>
        <v>448.23</v>
      </c>
      <c r="P339" s="36">
        <f t="shared" si="129"/>
        <v>3007.3</v>
      </c>
      <c r="Q339" s="173">
        <f>'2025 Aύγουστος'!L143</f>
        <v>38.24</v>
      </c>
      <c r="R339" s="36">
        <f t="shared" si="130"/>
        <v>3045.54</v>
      </c>
      <c r="S339" s="173">
        <f>'2025 Σεπτέμβριος'!L143</f>
        <v>34.44</v>
      </c>
      <c r="T339" s="36">
        <f t="shared" si="131"/>
        <v>3079.98</v>
      </c>
      <c r="U339" s="173">
        <f>'2025 Οκτώβριος'!L143</f>
        <v>28.84</v>
      </c>
      <c r="V339" s="36">
        <f t="shared" si="132"/>
        <v>3108.82</v>
      </c>
      <c r="W339" s="173">
        <f>'2025 Νοέμβριος'!L143</f>
        <v>28.84</v>
      </c>
      <c r="X339" s="36">
        <f t="shared" si="133"/>
        <v>3137.6600000000003</v>
      </c>
      <c r="Y339" s="173">
        <f>'2025 Δεκέμβριος'!L143</f>
        <v>28.84</v>
      </c>
      <c r="Z339" s="36">
        <f t="shared" si="134"/>
        <v>3166.5000000000005</v>
      </c>
      <c r="AA339" s="36">
        <f t="shared" si="135"/>
        <v>3166.5000000000005</v>
      </c>
      <c r="AD339" s="37">
        <f t="shared" si="136"/>
        <v>0</v>
      </c>
    </row>
    <row r="340" spans="1:30" ht="28.5" x14ac:dyDescent="0.25">
      <c r="A340" s="44" t="str">
        <f>'2025 Ιανουάριος'!C144</f>
        <v>Αμοιβές Τρίτων (Αμοιβές - Συνδρομές για υποστήριξη Pylon Συναγερμός - Διατακτικές)</v>
      </c>
      <c r="B340" s="35">
        <v>2024</v>
      </c>
      <c r="C340" s="173">
        <f>'2025 Ιανουάριος'!L144</f>
        <v>0</v>
      </c>
      <c r="D340" s="36">
        <f t="shared" si="123"/>
        <v>0</v>
      </c>
      <c r="E340" s="173">
        <f>'2025 Φεβρουάριος'!L144</f>
        <v>84.94</v>
      </c>
      <c r="F340" s="36">
        <f t="shared" si="124"/>
        <v>84.94</v>
      </c>
      <c r="G340" s="173">
        <f>'2025 Μάρτιος'!L144</f>
        <v>301.91000000000003</v>
      </c>
      <c r="H340" s="36">
        <f t="shared" si="125"/>
        <v>386.85</v>
      </c>
      <c r="I340" s="173">
        <f>'2025 Απρίλιος'!L144</f>
        <v>841.99</v>
      </c>
      <c r="J340" s="36">
        <f t="shared" si="126"/>
        <v>1228.8400000000001</v>
      </c>
      <c r="K340" s="173">
        <f>'2025 Μάιος'!L144</f>
        <v>147.29</v>
      </c>
      <c r="L340" s="36">
        <f t="shared" si="127"/>
        <v>1376.13</v>
      </c>
      <c r="M340" s="173">
        <f>'2025 Ιούνιος'!L144</f>
        <v>29.3</v>
      </c>
      <c r="N340" s="36">
        <f t="shared" si="128"/>
        <v>1405.43</v>
      </c>
      <c r="O340" s="173">
        <f>'2025 Ιούλιος'!L144</f>
        <v>196.93</v>
      </c>
      <c r="P340" s="36">
        <f t="shared" si="129"/>
        <v>1602.3600000000001</v>
      </c>
      <c r="Q340" s="173">
        <f>'2025 Aύγουστος'!L144</f>
        <v>194.97</v>
      </c>
      <c r="R340" s="36">
        <f t="shared" si="130"/>
        <v>1797.3300000000002</v>
      </c>
      <c r="S340" s="173">
        <f>'2025 Σεπτέμβριος'!L144</f>
        <v>0</v>
      </c>
      <c r="T340" s="36">
        <f t="shared" si="131"/>
        <v>1797.3300000000002</v>
      </c>
      <c r="U340" s="173">
        <f>'2025 Οκτώβριος'!L144</f>
        <v>286.47000000000003</v>
      </c>
      <c r="V340" s="36">
        <f t="shared" si="132"/>
        <v>2083.8000000000002</v>
      </c>
      <c r="W340" s="173">
        <f>'2025 Νοέμβριος'!L144</f>
        <v>1047.56</v>
      </c>
      <c r="X340" s="36">
        <f t="shared" si="133"/>
        <v>3131.36</v>
      </c>
      <c r="Y340" s="173">
        <f>'2025 Δεκέμβριος'!L144</f>
        <v>1565.32</v>
      </c>
      <c r="Z340" s="36">
        <f t="shared" si="134"/>
        <v>4696.68</v>
      </c>
      <c r="AA340" s="36">
        <f t="shared" si="135"/>
        <v>4696.68</v>
      </c>
      <c r="AD340" s="37">
        <f t="shared" si="136"/>
        <v>0</v>
      </c>
    </row>
    <row r="341" spans="1:30" x14ac:dyDescent="0.25">
      <c r="A341" s="44" t="str">
        <f>'2025 Ιανουάριος'!C145</f>
        <v>Επισκευές - Συντηρήσεις</v>
      </c>
      <c r="B341" s="35">
        <v>2024</v>
      </c>
      <c r="C341" s="173">
        <f>'2025 Ιανουάριος'!L145</f>
        <v>95.86</v>
      </c>
      <c r="D341" s="36">
        <f t="shared" si="123"/>
        <v>95.86</v>
      </c>
      <c r="E341" s="173">
        <f>'2025 Φεβρουάριος'!L145</f>
        <v>62.01</v>
      </c>
      <c r="F341" s="36">
        <f t="shared" si="124"/>
        <v>157.87</v>
      </c>
      <c r="G341" s="173">
        <f>'2025 Μάρτιος'!L145</f>
        <v>126.45</v>
      </c>
      <c r="H341" s="36">
        <f t="shared" si="125"/>
        <v>284.32</v>
      </c>
      <c r="I341" s="173">
        <f>'2025 Απρίλιος'!L145</f>
        <v>224.23</v>
      </c>
      <c r="J341" s="36">
        <f t="shared" si="126"/>
        <v>508.54999999999995</v>
      </c>
      <c r="K341" s="173">
        <f>'2025 Μάιος'!L145</f>
        <v>92.38</v>
      </c>
      <c r="L341" s="36">
        <f t="shared" si="127"/>
        <v>600.92999999999995</v>
      </c>
      <c r="M341" s="173">
        <f>'2025 Ιούνιος'!L145</f>
        <v>112.36</v>
      </c>
      <c r="N341" s="36">
        <f t="shared" si="128"/>
        <v>713.29</v>
      </c>
      <c r="O341" s="173">
        <f>'2025 Ιούλιος'!L145</f>
        <v>97.33</v>
      </c>
      <c r="P341" s="36">
        <f t="shared" si="129"/>
        <v>810.62</v>
      </c>
      <c r="Q341" s="173">
        <f>'2025 Aύγουστος'!L145</f>
        <v>89.28</v>
      </c>
      <c r="R341" s="36">
        <f t="shared" si="130"/>
        <v>899.9</v>
      </c>
      <c r="S341" s="173">
        <f>'2025 Σεπτέμβριος'!L145</f>
        <v>74.19</v>
      </c>
      <c r="T341" s="36">
        <f t="shared" si="131"/>
        <v>974.08999999999992</v>
      </c>
      <c r="U341" s="173">
        <f>'2025 Οκτώβριος'!L145</f>
        <v>99.76</v>
      </c>
      <c r="V341" s="36">
        <f t="shared" si="132"/>
        <v>1073.8499999999999</v>
      </c>
      <c r="W341" s="173">
        <f>'2025 Νοέμβριος'!L145</f>
        <v>57.53</v>
      </c>
      <c r="X341" s="36">
        <f t="shared" si="133"/>
        <v>1131.3799999999999</v>
      </c>
      <c r="Y341" s="173">
        <f>'2025 Δεκέμβριος'!L145</f>
        <v>63.53</v>
      </c>
      <c r="Z341" s="36">
        <f t="shared" si="134"/>
        <v>1194.9099999999999</v>
      </c>
      <c r="AA341" s="36">
        <f t="shared" si="135"/>
        <v>1194.9099999999999</v>
      </c>
      <c r="AD341" s="37">
        <f t="shared" si="136"/>
        <v>600.92999999999995</v>
      </c>
    </row>
    <row r="342" spans="1:30" x14ac:dyDescent="0.25">
      <c r="A342" s="44" t="str">
        <f>'2025 Ιανουάριος'!C146</f>
        <v xml:space="preserve">Εξοδα μεταφορών </v>
      </c>
      <c r="B342" s="35">
        <v>2024</v>
      </c>
      <c r="C342" s="173">
        <f>'2025 Ιανουάριος'!L146</f>
        <v>0</v>
      </c>
      <c r="D342" s="36">
        <f t="shared" si="123"/>
        <v>0</v>
      </c>
      <c r="E342" s="173">
        <f>'2025 Φεβρουάριος'!L146</f>
        <v>0</v>
      </c>
      <c r="F342" s="36">
        <f t="shared" si="124"/>
        <v>0</v>
      </c>
      <c r="G342" s="173">
        <f>'2025 Μάρτιος'!L146</f>
        <v>0</v>
      </c>
      <c r="H342" s="36">
        <f t="shared" si="125"/>
        <v>0</v>
      </c>
      <c r="I342" s="173">
        <f>'2025 Απρίλιος'!L146</f>
        <v>0</v>
      </c>
      <c r="J342" s="36">
        <f t="shared" si="126"/>
        <v>0</v>
      </c>
      <c r="K342" s="173">
        <f>'2025 Μάιος'!L146</f>
        <v>0</v>
      </c>
      <c r="L342" s="36">
        <f t="shared" si="127"/>
        <v>0</v>
      </c>
      <c r="M342" s="173">
        <f>'2025 Ιούνιος'!L146</f>
        <v>0</v>
      </c>
      <c r="N342" s="36">
        <f t="shared" si="128"/>
        <v>0</v>
      </c>
      <c r="O342" s="173">
        <f>'2025 Ιούλιος'!L146</f>
        <v>0</v>
      </c>
      <c r="P342" s="36">
        <f t="shared" si="129"/>
        <v>0</v>
      </c>
      <c r="Q342" s="173">
        <f>'2025 Aύγουστος'!L146</f>
        <v>0</v>
      </c>
      <c r="R342" s="36">
        <f t="shared" si="130"/>
        <v>0</v>
      </c>
      <c r="S342" s="173">
        <f>'2025 Σεπτέμβριος'!L146</f>
        <v>0</v>
      </c>
      <c r="T342" s="36">
        <f t="shared" si="131"/>
        <v>0</v>
      </c>
      <c r="U342" s="173">
        <f>'2025 Οκτώβριος'!L146</f>
        <v>1530.96</v>
      </c>
      <c r="V342" s="36">
        <f t="shared" si="132"/>
        <v>1530.96</v>
      </c>
      <c r="W342" s="173">
        <f>'2025 Νοέμβριος'!L146</f>
        <v>4705.72</v>
      </c>
      <c r="X342" s="36">
        <f t="shared" si="133"/>
        <v>6236.68</v>
      </c>
      <c r="Y342" s="173">
        <f>'2025 Δεκέμβριος'!L146</f>
        <v>0</v>
      </c>
      <c r="Z342" s="36">
        <f t="shared" si="134"/>
        <v>6236.68</v>
      </c>
      <c r="AA342" s="36">
        <f t="shared" si="135"/>
        <v>6236.68</v>
      </c>
      <c r="AD342" s="37">
        <f t="shared" si="136"/>
        <v>0</v>
      </c>
    </row>
    <row r="343" spans="1:30" x14ac:dyDescent="0.25">
      <c r="A343" s="44" t="str">
        <f>'2025 Ιανουάριος'!C147</f>
        <v xml:space="preserve">Εξοδα ταξιδίων </v>
      </c>
      <c r="B343" s="35">
        <v>2024</v>
      </c>
      <c r="C343" s="173">
        <f>'2025 Ιανουάριος'!L147</f>
        <v>0</v>
      </c>
      <c r="D343" s="36">
        <f t="shared" si="123"/>
        <v>0</v>
      </c>
      <c r="E343" s="173">
        <f>'2025 Φεβρουάριος'!L147</f>
        <v>0</v>
      </c>
      <c r="F343" s="36">
        <f t="shared" si="124"/>
        <v>0</v>
      </c>
      <c r="G343" s="173">
        <f>'2025 Μάρτιος'!L147</f>
        <v>0</v>
      </c>
      <c r="H343" s="36">
        <f t="shared" si="125"/>
        <v>0</v>
      </c>
      <c r="I343" s="173">
        <f>'2025 Απρίλιος'!L147</f>
        <v>0</v>
      </c>
      <c r="J343" s="36">
        <f t="shared" si="126"/>
        <v>0</v>
      </c>
      <c r="K343" s="173">
        <f>'2025 Μάιος'!L147</f>
        <v>0</v>
      </c>
      <c r="L343" s="36">
        <f t="shared" si="127"/>
        <v>0</v>
      </c>
      <c r="M343" s="173">
        <f>'2025 Ιούνιος'!L147</f>
        <v>0</v>
      </c>
      <c r="N343" s="36">
        <f t="shared" si="128"/>
        <v>0</v>
      </c>
      <c r="O343" s="173">
        <f>'2025 Ιούλιος'!L147</f>
        <v>0</v>
      </c>
      <c r="P343" s="36">
        <f t="shared" si="129"/>
        <v>0</v>
      </c>
      <c r="Q343" s="173">
        <f>'2025 Aύγουστος'!L147</f>
        <v>0</v>
      </c>
      <c r="R343" s="36">
        <f t="shared" si="130"/>
        <v>0</v>
      </c>
      <c r="S343" s="173">
        <f>'2025 Σεπτέμβριος'!L147</f>
        <v>0</v>
      </c>
      <c r="T343" s="36">
        <f t="shared" si="131"/>
        <v>0</v>
      </c>
      <c r="U343" s="173">
        <f>'2025 Οκτώβριος'!L147</f>
        <v>0</v>
      </c>
      <c r="V343" s="36">
        <f t="shared" si="132"/>
        <v>0</v>
      </c>
      <c r="W343" s="173">
        <f>'2025 Νοέμβριος'!L147</f>
        <v>0</v>
      </c>
      <c r="X343" s="36">
        <f t="shared" si="133"/>
        <v>0</v>
      </c>
      <c r="Y343" s="173">
        <f>'2025 Δεκέμβριος'!L147</f>
        <v>0</v>
      </c>
      <c r="Z343" s="36">
        <f t="shared" si="134"/>
        <v>0</v>
      </c>
      <c r="AA343" s="36">
        <f t="shared" si="135"/>
        <v>0</v>
      </c>
      <c r="AD343" s="37">
        <f t="shared" si="136"/>
        <v>0</v>
      </c>
    </row>
    <row r="344" spans="1:30" x14ac:dyDescent="0.25">
      <c r="A344" s="44" t="str">
        <f>'2025 Ιανουάριος'!C148</f>
        <v xml:space="preserve">Υλικά άμεσης ανάλωσης </v>
      </c>
      <c r="B344" s="35">
        <v>2024</v>
      </c>
      <c r="C344" s="173">
        <f>'2025 Ιανουάριος'!L148</f>
        <v>601.70999999999992</v>
      </c>
      <c r="D344" s="36">
        <f t="shared" si="123"/>
        <v>601.70999999999992</v>
      </c>
      <c r="E344" s="173">
        <f>'2025 Φεβρουάριος'!L148</f>
        <v>844.19</v>
      </c>
      <c r="F344" s="36">
        <f t="shared" si="124"/>
        <v>1445.9</v>
      </c>
      <c r="G344" s="173">
        <f>'2025 Μάρτιος'!L148</f>
        <v>931.67000000000007</v>
      </c>
      <c r="H344" s="36">
        <f t="shared" si="125"/>
        <v>2377.5700000000002</v>
      </c>
      <c r="I344" s="173">
        <f>'2025 Απρίλιος'!L148</f>
        <v>140.5199999999999</v>
      </c>
      <c r="J344" s="36">
        <f t="shared" si="126"/>
        <v>2518.09</v>
      </c>
      <c r="K344" s="173">
        <f>'2025 Μάιος'!L148</f>
        <v>318.33999999999997</v>
      </c>
      <c r="L344" s="36">
        <f t="shared" si="127"/>
        <v>2836.4300000000003</v>
      </c>
      <c r="M344" s="173">
        <f>'2025 Ιούνιος'!L148</f>
        <v>130.18</v>
      </c>
      <c r="N344" s="36">
        <f t="shared" si="128"/>
        <v>2966.61</v>
      </c>
      <c r="O344" s="173">
        <f>'2025 Ιούλιος'!L148</f>
        <v>394.61</v>
      </c>
      <c r="P344" s="36">
        <f t="shared" si="129"/>
        <v>3361.2200000000003</v>
      </c>
      <c r="Q344" s="173">
        <f>'2025 Aύγουστος'!L148</f>
        <v>387.49999999999989</v>
      </c>
      <c r="R344" s="36">
        <f t="shared" si="130"/>
        <v>3748.7200000000003</v>
      </c>
      <c r="S344" s="173">
        <f>'2025 Σεπτέμβριος'!L148</f>
        <v>92.44</v>
      </c>
      <c r="T344" s="36">
        <f t="shared" si="131"/>
        <v>3841.1600000000003</v>
      </c>
      <c r="U344" s="173">
        <f>'2025 Οκτώβριος'!L148</f>
        <v>211.88</v>
      </c>
      <c r="V344" s="36">
        <f t="shared" si="132"/>
        <v>4053.0400000000004</v>
      </c>
      <c r="W344" s="173">
        <f>'2025 Νοέμβριος'!L148</f>
        <v>476.24</v>
      </c>
      <c r="X344" s="36">
        <f t="shared" si="133"/>
        <v>4529.2800000000007</v>
      </c>
      <c r="Y344" s="173">
        <f>'2025 Δεκέμβριος'!L148</f>
        <v>1104.3399999999999</v>
      </c>
      <c r="Z344" s="36">
        <f t="shared" si="134"/>
        <v>5633.6200000000008</v>
      </c>
      <c r="AA344" s="36">
        <f t="shared" si="135"/>
        <v>5633.6200000000008</v>
      </c>
      <c r="AD344" s="37">
        <f t="shared" si="136"/>
        <v>0</v>
      </c>
    </row>
    <row r="345" spans="1:30" x14ac:dyDescent="0.25">
      <c r="A345" s="44" t="str">
        <f>'2025 Ιανουάριος'!C149</f>
        <v xml:space="preserve">Φόροι και τέλη </v>
      </c>
      <c r="B345" s="35">
        <v>2024</v>
      </c>
      <c r="C345" s="173">
        <f>'2025 Ιανουάριος'!L149</f>
        <v>0</v>
      </c>
      <c r="D345" s="36">
        <f t="shared" si="123"/>
        <v>0</v>
      </c>
      <c r="E345" s="173">
        <f>'2025 Φεβρουάριος'!L149</f>
        <v>0</v>
      </c>
      <c r="F345" s="36">
        <f t="shared" si="124"/>
        <v>0</v>
      </c>
      <c r="G345" s="173">
        <f>'2025 Μάρτιος'!L149</f>
        <v>0</v>
      </c>
      <c r="H345" s="36">
        <f t="shared" si="125"/>
        <v>0</v>
      </c>
      <c r="I345" s="173">
        <f>'2025 Απρίλιος'!L149</f>
        <v>0</v>
      </c>
      <c r="J345" s="36">
        <f t="shared" si="126"/>
        <v>0</v>
      </c>
      <c r="K345" s="173">
        <f>'2025 Μάιος'!L149</f>
        <v>0</v>
      </c>
      <c r="L345" s="36">
        <f t="shared" si="127"/>
        <v>0</v>
      </c>
      <c r="M345" s="173">
        <f>'2025 Ιούνιος'!L149</f>
        <v>0</v>
      </c>
      <c r="N345" s="36">
        <f t="shared" si="128"/>
        <v>0</v>
      </c>
      <c r="O345" s="173">
        <f>'2025 Ιούλιος'!L149</f>
        <v>0</v>
      </c>
      <c r="P345" s="36">
        <f t="shared" si="129"/>
        <v>0</v>
      </c>
      <c r="Q345" s="173">
        <f>'2025 Aύγουστος'!L149</f>
        <v>0</v>
      </c>
      <c r="R345" s="36">
        <f t="shared" si="130"/>
        <v>0</v>
      </c>
      <c r="S345" s="173">
        <f>'2025 Σεπτέμβριος'!L149</f>
        <v>0</v>
      </c>
      <c r="T345" s="36">
        <f t="shared" si="131"/>
        <v>0</v>
      </c>
      <c r="U345" s="173">
        <f>'2025 Οκτώβριος'!L149</f>
        <v>0</v>
      </c>
      <c r="V345" s="36">
        <f t="shared" si="132"/>
        <v>0</v>
      </c>
      <c r="W345" s="173">
        <f>'2025 Νοέμβριος'!L149</f>
        <v>0</v>
      </c>
      <c r="X345" s="36">
        <f t="shared" si="133"/>
        <v>0</v>
      </c>
      <c r="Y345" s="173">
        <f>'2025 Δεκέμβριος'!L149</f>
        <v>0</v>
      </c>
      <c r="Z345" s="36">
        <f t="shared" si="134"/>
        <v>0</v>
      </c>
      <c r="AA345" s="36">
        <f t="shared" si="135"/>
        <v>0</v>
      </c>
      <c r="AD345" s="37">
        <f t="shared" si="136"/>
        <v>0</v>
      </c>
    </row>
    <row r="346" spans="1:30" x14ac:dyDescent="0.25">
      <c r="A346" s="44" t="str">
        <f>'2025 Ιανουάριος'!C150</f>
        <v>Εξοδα δημοσιεύσεων</v>
      </c>
      <c r="B346" s="35">
        <v>2024</v>
      </c>
      <c r="C346" s="173">
        <f>'2025 Ιανουάριος'!L150</f>
        <v>556.22</v>
      </c>
      <c r="D346" s="36">
        <f t="shared" si="123"/>
        <v>556.22</v>
      </c>
      <c r="E346" s="173">
        <f>'2025 Φεβρουάριος'!L150</f>
        <v>0</v>
      </c>
      <c r="F346" s="36">
        <f t="shared" si="124"/>
        <v>556.22</v>
      </c>
      <c r="G346" s="173">
        <f>'2025 Μάρτιος'!L150</f>
        <v>0</v>
      </c>
      <c r="H346" s="36">
        <f t="shared" si="125"/>
        <v>556.22</v>
      </c>
      <c r="I346" s="173">
        <f>'2025 Απρίλιος'!L150</f>
        <v>0</v>
      </c>
      <c r="J346" s="36">
        <f t="shared" si="126"/>
        <v>556.22</v>
      </c>
      <c r="K346" s="173">
        <f>'2025 Μάιος'!L150</f>
        <v>0</v>
      </c>
      <c r="L346" s="36">
        <f t="shared" si="127"/>
        <v>556.22</v>
      </c>
      <c r="M346" s="173">
        <f>'2025 Ιούνιος'!L150</f>
        <v>0</v>
      </c>
      <c r="N346" s="36">
        <f t="shared" si="128"/>
        <v>556.22</v>
      </c>
      <c r="O346" s="173">
        <f>'2025 Ιούλιος'!L150</f>
        <v>373.4</v>
      </c>
      <c r="P346" s="36">
        <f t="shared" si="129"/>
        <v>929.62</v>
      </c>
      <c r="Q346" s="173">
        <f>'2025 Aύγουστος'!L150</f>
        <v>0</v>
      </c>
      <c r="R346" s="36">
        <f t="shared" si="130"/>
        <v>929.62</v>
      </c>
      <c r="S346" s="173">
        <f>'2025 Σεπτέμβριος'!L150</f>
        <v>0</v>
      </c>
      <c r="T346" s="36">
        <f t="shared" si="131"/>
        <v>929.62</v>
      </c>
      <c r="U346" s="173">
        <f>'2025 Οκτώβριος'!L150</f>
        <v>0</v>
      </c>
      <c r="V346" s="36">
        <f t="shared" si="132"/>
        <v>929.62</v>
      </c>
      <c r="W346" s="173">
        <f>'2025 Νοέμβριος'!L150</f>
        <v>0</v>
      </c>
      <c r="X346" s="36">
        <f t="shared" si="133"/>
        <v>929.62</v>
      </c>
      <c r="Y346" s="173">
        <f>'2025 Δεκέμβριος'!L150</f>
        <v>0</v>
      </c>
      <c r="Z346" s="36">
        <f t="shared" si="134"/>
        <v>929.62</v>
      </c>
      <c r="AA346" s="36">
        <f t="shared" si="135"/>
        <v>929.62</v>
      </c>
      <c r="AD346" s="37">
        <f t="shared" si="136"/>
        <v>556.22</v>
      </c>
    </row>
    <row r="347" spans="1:30" x14ac:dyDescent="0.25">
      <c r="A347" s="44" t="str">
        <f>'2025 Ιανουάριος'!C151</f>
        <v xml:space="preserve">Λοιπά Διάφορα έξοδα </v>
      </c>
      <c r="B347" s="35">
        <v>2024</v>
      </c>
      <c r="C347" s="173">
        <f>'2025 Ιανουάριος'!L151</f>
        <v>429.25</v>
      </c>
      <c r="D347" s="36">
        <f t="shared" si="123"/>
        <v>429.25</v>
      </c>
      <c r="E347" s="173">
        <f>'2025 Φεβρουάριος'!L151</f>
        <v>695.07</v>
      </c>
      <c r="F347" s="36">
        <f t="shared" si="124"/>
        <v>1124.3200000000002</v>
      </c>
      <c r="G347" s="173">
        <f>'2025 Μάρτιος'!L151</f>
        <v>1025.42</v>
      </c>
      <c r="H347" s="36">
        <f t="shared" si="125"/>
        <v>2149.7400000000002</v>
      </c>
      <c r="I347" s="173">
        <f>'2025 Απρίλιος'!L151</f>
        <v>911.16</v>
      </c>
      <c r="J347" s="36">
        <f t="shared" si="126"/>
        <v>3060.9</v>
      </c>
      <c r="K347" s="173">
        <f>'2025 Μάιος'!L151</f>
        <v>538.42999999999995</v>
      </c>
      <c r="L347" s="36">
        <f t="shared" si="127"/>
        <v>3599.33</v>
      </c>
      <c r="M347" s="173">
        <f>'2025 Ιούνιος'!L151</f>
        <v>674.67</v>
      </c>
      <c r="N347" s="36">
        <f t="shared" si="128"/>
        <v>4274</v>
      </c>
      <c r="O347" s="173">
        <f>'2025 Ιούλιος'!L151</f>
        <v>540.63</v>
      </c>
      <c r="P347" s="36">
        <f t="shared" si="129"/>
        <v>4814.63</v>
      </c>
      <c r="Q347" s="173">
        <f>'2025 Aύγουστος'!L151</f>
        <v>422.99</v>
      </c>
      <c r="R347" s="36">
        <f t="shared" si="130"/>
        <v>5237.62</v>
      </c>
      <c r="S347" s="173">
        <f>'2025 Σεπτέμβριος'!L151</f>
        <v>578.87</v>
      </c>
      <c r="T347" s="36">
        <f t="shared" si="131"/>
        <v>5816.49</v>
      </c>
      <c r="U347" s="173">
        <f>'2025 Οκτώβριος'!L151</f>
        <v>626.67999999999995</v>
      </c>
      <c r="V347" s="36">
        <f t="shared" si="132"/>
        <v>6443.17</v>
      </c>
      <c r="W347" s="173">
        <f>'2025 Νοέμβριος'!L151</f>
        <v>336.86</v>
      </c>
      <c r="X347" s="36">
        <f t="shared" si="133"/>
        <v>6780.03</v>
      </c>
      <c r="Y347" s="173">
        <f>'2025 Δεκέμβριος'!L151</f>
        <v>488.85</v>
      </c>
      <c r="Z347" s="36">
        <f t="shared" si="134"/>
        <v>7268.88</v>
      </c>
      <c r="AA347" s="36">
        <f t="shared" si="135"/>
        <v>7268.88</v>
      </c>
      <c r="AD347" s="37">
        <f t="shared" si="136"/>
        <v>0</v>
      </c>
    </row>
    <row r="348" spans="1:30" x14ac:dyDescent="0.25">
      <c r="A348" s="44" t="str">
        <f>'2025 Ιανουάριος'!C152</f>
        <v xml:space="preserve">Τόκοι και συναφή εξοδα </v>
      </c>
      <c r="B348" s="35">
        <v>2024</v>
      </c>
      <c r="C348" s="173">
        <f>'2025 Ιανουάριος'!L152</f>
        <v>0</v>
      </c>
      <c r="D348" s="36">
        <f t="shared" si="123"/>
        <v>0</v>
      </c>
      <c r="E348" s="173">
        <f>'2025 Φεβρουάριος'!L152</f>
        <v>0</v>
      </c>
      <c r="F348" s="36">
        <f t="shared" si="124"/>
        <v>0</v>
      </c>
      <c r="G348" s="173">
        <f>'2025 Μάρτιος'!L152</f>
        <v>0</v>
      </c>
      <c r="H348" s="36">
        <f t="shared" si="125"/>
        <v>0</v>
      </c>
      <c r="I348" s="173">
        <f>'2025 Απρίλιος'!L152</f>
        <v>0</v>
      </c>
      <c r="J348" s="36">
        <f t="shared" si="126"/>
        <v>0</v>
      </c>
      <c r="K348" s="173">
        <f>'2025 Μάιος'!L152</f>
        <v>0</v>
      </c>
      <c r="L348" s="36">
        <f t="shared" si="127"/>
        <v>0</v>
      </c>
      <c r="M348" s="173">
        <f>'2025 Ιούνιος'!L152</f>
        <v>0</v>
      </c>
      <c r="N348" s="36">
        <f t="shared" si="128"/>
        <v>0</v>
      </c>
      <c r="O348" s="173">
        <f>'2025 Ιούλιος'!L152</f>
        <v>0</v>
      </c>
      <c r="P348" s="36">
        <f t="shared" si="129"/>
        <v>0</v>
      </c>
      <c r="Q348" s="173">
        <f>'2025 Aύγουστος'!L152</f>
        <v>0</v>
      </c>
      <c r="R348" s="36">
        <f t="shared" si="130"/>
        <v>0</v>
      </c>
      <c r="S348" s="173">
        <f>'2025 Σεπτέμβριος'!L152</f>
        <v>0</v>
      </c>
      <c r="T348" s="36">
        <f t="shared" si="131"/>
        <v>0</v>
      </c>
      <c r="U348" s="173">
        <f>'2025 Οκτώβριος'!L152</f>
        <v>0</v>
      </c>
      <c r="V348" s="36">
        <f t="shared" si="132"/>
        <v>0</v>
      </c>
      <c r="W348" s="173">
        <f>'2025 Νοέμβριος'!L152</f>
        <v>0</v>
      </c>
      <c r="X348" s="36">
        <f t="shared" si="133"/>
        <v>0</v>
      </c>
      <c r="Y348" s="173">
        <f>'2025 Δεκέμβριος'!L152</f>
        <v>308.29000000000002</v>
      </c>
      <c r="Z348" s="36">
        <f t="shared" si="134"/>
        <v>308.29000000000002</v>
      </c>
      <c r="AA348" s="36">
        <f t="shared" si="135"/>
        <v>308.29000000000002</v>
      </c>
      <c r="AD348" s="37">
        <f t="shared" si="136"/>
        <v>0</v>
      </c>
    </row>
    <row r="349" spans="1:30" ht="28.5" x14ac:dyDescent="0.25">
      <c r="A349" s="44" t="str">
        <f>'2025 Ιανουάριος'!C153</f>
        <v xml:space="preserve">Αποσβέσεις ( Εξοπλισμού Διοίκησης και εγκαταστάσεων στην έδρα και αποθήκες ) </v>
      </c>
      <c r="B349" s="35">
        <v>2024</v>
      </c>
      <c r="C349" s="173">
        <f>'2025 Ιανουάριος'!L153</f>
        <v>4406.5300000000007</v>
      </c>
      <c r="D349" s="36">
        <f t="shared" si="123"/>
        <v>4406.5300000000007</v>
      </c>
      <c r="E349" s="173">
        <f>'2025 Φεβρουάριος'!L153</f>
        <v>38.700000000000003</v>
      </c>
      <c r="F349" s="36">
        <f t="shared" si="124"/>
        <v>4445.2300000000005</v>
      </c>
      <c r="G349" s="173">
        <f>'2025 Μάρτιος'!L153</f>
        <v>868.31</v>
      </c>
      <c r="H349" s="36">
        <f t="shared" si="125"/>
        <v>5313.5400000000009</v>
      </c>
      <c r="I349" s="173">
        <f>'2025 Απρίλιος'!L153</f>
        <v>139.16999999999999</v>
      </c>
      <c r="J349" s="36">
        <f t="shared" si="126"/>
        <v>5452.7100000000009</v>
      </c>
      <c r="K349" s="173">
        <f>'2025 Μάιος'!L153</f>
        <v>203.09</v>
      </c>
      <c r="L349" s="36">
        <f t="shared" si="127"/>
        <v>5655.8000000000011</v>
      </c>
      <c r="M349" s="173">
        <f>'2025 Ιούνιος'!L153</f>
        <v>22.73</v>
      </c>
      <c r="N349" s="36">
        <f t="shared" si="128"/>
        <v>5678.5300000000007</v>
      </c>
      <c r="O349" s="173">
        <f>'2025 Ιούλιος'!L153</f>
        <v>44.55</v>
      </c>
      <c r="P349" s="36">
        <f t="shared" si="129"/>
        <v>5723.0800000000008</v>
      </c>
      <c r="Q349" s="173">
        <f>'2025 Aύγουστος'!L153</f>
        <v>253.21</v>
      </c>
      <c r="R349" s="36">
        <f t="shared" si="130"/>
        <v>5976.2900000000009</v>
      </c>
      <c r="S349" s="173">
        <f>'2025 Σεπτέμβριος'!L153</f>
        <v>4728.78</v>
      </c>
      <c r="T349" s="36">
        <f t="shared" si="131"/>
        <v>10705.07</v>
      </c>
      <c r="U349" s="173">
        <f>'2025 Οκτώβριος'!L153</f>
        <v>197.25</v>
      </c>
      <c r="V349" s="36">
        <f t="shared" si="132"/>
        <v>10902.32</v>
      </c>
      <c r="W349" s="173">
        <f>'2025 Νοέμβριος'!L153</f>
        <v>71.099999999999994</v>
      </c>
      <c r="X349" s="36">
        <f t="shared" si="133"/>
        <v>10973.42</v>
      </c>
      <c r="Y349" s="173">
        <f>'2025 Δεκέμβριος'!L153</f>
        <v>910.87</v>
      </c>
      <c r="Z349" s="36">
        <f t="shared" si="134"/>
        <v>11884.29</v>
      </c>
      <c r="AA349" s="36">
        <f t="shared" si="135"/>
        <v>11884.29</v>
      </c>
      <c r="AD349" s="37">
        <f t="shared" si="136"/>
        <v>0</v>
      </c>
    </row>
    <row r="350" spans="1:30" x14ac:dyDescent="0.25">
      <c r="A350" s="44" t="str">
        <f>'2025 Ιανουάριος'!C154</f>
        <v xml:space="preserve">Ασυνήθη έξοδα </v>
      </c>
      <c r="B350" s="35">
        <v>2024</v>
      </c>
      <c r="C350" s="173">
        <f>'2025 Ιανουάριος'!L154</f>
        <v>0</v>
      </c>
      <c r="D350" s="36">
        <f t="shared" si="123"/>
        <v>0</v>
      </c>
      <c r="E350" s="173">
        <f>'2025 Φεβρουάριος'!L154</f>
        <v>0</v>
      </c>
      <c r="F350" s="36">
        <f t="shared" si="124"/>
        <v>0</v>
      </c>
      <c r="G350" s="173">
        <f>'2025 Μάρτιος'!L154</f>
        <v>0</v>
      </c>
      <c r="H350" s="36">
        <f t="shared" si="125"/>
        <v>0</v>
      </c>
      <c r="I350" s="173">
        <f>'2025 Απρίλιος'!L154</f>
        <v>0</v>
      </c>
      <c r="J350" s="36">
        <f t="shared" si="126"/>
        <v>0</v>
      </c>
      <c r="K350" s="173">
        <f>'2025 Μάιος'!L154</f>
        <v>0</v>
      </c>
      <c r="L350" s="36">
        <f t="shared" si="127"/>
        <v>0</v>
      </c>
      <c r="M350" s="173">
        <f>'2025 Ιούνιος'!L154</f>
        <v>0</v>
      </c>
      <c r="N350" s="36">
        <f t="shared" si="128"/>
        <v>0</v>
      </c>
      <c r="O350" s="173">
        <f>'2025 Ιούλιος'!L154</f>
        <v>0</v>
      </c>
      <c r="P350" s="36">
        <f t="shared" si="129"/>
        <v>0</v>
      </c>
      <c r="Q350" s="173">
        <f>'2025 Aύγουστος'!L154</f>
        <v>0</v>
      </c>
      <c r="R350" s="36">
        <f t="shared" si="130"/>
        <v>0</v>
      </c>
      <c r="S350" s="173">
        <f>'2025 Σεπτέμβριος'!L154</f>
        <v>0</v>
      </c>
      <c r="T350" s="36">
        <f t="shared" si="131"/>
        <v>0</v>
      </c>
      <c r="U350" s="173">
        <f>'2025 Οκτώβριος'!L154</f>
        <v>0</v>
      </c>
      <c r="V350" s="36">
        <f t="shared" si="132"/>
        <v>0</v>
      </c>
      <c r="W350" s="173">
        <f>'2025 Νοέμβριος'!L154</f>
        <v>0</v>
      </c>
      <c r="X350" s="36">
        <f t="shared" si="133"/>
        <v>0</v>
      </c>
      <c r="Y350" s="173">
        <f>'2025 Δεκέμβριος'!L154</f>
        <v>0</v>
      </c>
      <c r="Z350" s="36">
        <f t="shared" si="134"/>
        <v>0</v>
      </c>
      <c r="AA350" s="36">
        <f t="shared" si="135"/>
        <v>0</v>
      </c>
      <c r="AD350" s="37">
        <f t="shared" si="136"/>
        <v>0</v>
      </c>
    </row>
    <row r="351" spans="1:30" x14ac:dyDescent="0.25">
      <c r="A351" s="44">
        <f>'2025 Ιανουάριος'!C155</f>
        <v>0</v>
      </c>
      <c r="B351" s="35">
        <v>2024</v>
      </c>
      <c r="C351" s="173">
        <f>'2025 Ιανουάριος'!L155</f>
        <v>0</v>
      </c>
      <c r="D351" s="36">
        <f t="shared" si="123"/>
        <v>0</v>
      </c>
      <c r="E351" s="173">
        <f>'2025 Φεβρουάριος'!L155</f>
        <v>0</v>
      </c>
      <c r="F351" s="36">
        <f t="shared" si="124"/>
        <v>0</v>
      </c>
      <c r="G351" s="173">
        <f>'2025 Μάρτιος'!L155</f>
        <v>0</v>
      </c>
      <c r="H351" s="36">
        <f t="shared" si="125"/>
        <v>0</v>
      </c>
      <c r="I351" s="173">
        <f>'2025 Απρίλιος'!L155</f>
        <v>0</v>
      </c>
      <c r="J351" s="36">
        <f t="shared" si="126"/>
        <v>0</v>
      </c>
      <c r="K351" s="173">
        <f>'2025 Μάιος'!L155</f>
        <v>0</v>
      </c>
      <c r="L351" s="36">
        <f t="shared" si="127"/>
        <v>0</v>
      </c>
      <c r="M351" s="173">
        <f>'2025 Ιούνιος'!L155</f>
        <v>0</v>
      </c>
      <c r="N351" s="36">
        <f t="shared" si="128"/>
        <v>0</v>
      </c>
      <c r="O351" s="173">
        <f>'2025 Ιούλιος'!L155</f>
        <v>0</v>
      </c>
      <c r="P351" s="36">
        <f t="shared" si="129"/>
        <v>0</v>
      </c>
      <c r="Q351" s="173">
        <f>'2025 Aύγουστος'!L155</f>
        <v>0</v>
      </c>
      <c r="R351" s="36">
        <f t="shared" si="130"/>
        <v>0</v>
      </c>
      <c r="S351" s="173">
        <f>'2025 Σεπτέμβριος'!L155</f>
        <v>0</v>
      </c>
      <c r="T351" s="36">
        <f t="shared" si="131"/>
        <v>0</v>
      </c>
      <c r="U351" s="173">
        <f>'2025 Οκτώβριος'!L155</f>
        <v>0</v>
      </c>
      <c r="V351" s="36">
        <f t="shared" si="132"/>
        <v>0</v>
      </c>
      <c r="W351" s="173">
        <f>'2025 Νοέμβριος'!L155</f>
        <v>0</v>
      </c>
      <c r="X351" s="36">
        <f t="shared" si="133"/>
        <v>0</v>
      </c>
      <c r="Y351" s="173">
        <f>'2025 Δεκέμβριος'!L155</f>
        <v>0</v>
      </c>
      <c r="Z351" s="36">
        <f t="shared" si="134"/>
        <v>0</v>
      </c>
      <c r="AA351" s="36">
        <f t="shared" si="135"/>
        <v>0</v>
      </c>
      <c r="AD351" s="37">
        <f t="shared" si="136"/>
        <v>0</v>
      </c>
    </row>
    <row r="352" spans="1:30" x14ac:dyDescent="0.25">
      <c r="A352" s="44">
        <f>'2025 Ιανουάριος'!C156</f>
        <v>0</v>
      </c>
      <c r="B352" s="35">
        <v>2024</v>
      </c>
      <c r="C352" s="173">
        <f>'2025 Ιανουάριος'!L156</f>
        <v>0</v>
      </c>
      <c r="D352" s="36">
        <f t="shared" si="123"/>
        <v>0</v>
      </c>
      <c r="E352" s="173">
        <f>'2025 Φεβρουάριος'!L156</f>
        <v>0</v>
      </c>
      <c r="F352" s="36">
        <f t="shared" si="124"/>
        <v>0</v>
      </c>
      <c r="G352" s="173">
        <f>'2025 Μάρτιος'!L156</f>
        <v>0</v>
      </c>
      <c r="H352" s="36">
        <f t="shared" si="125"/>
        <v>0</v>
      </c>
      <c r="I352" s="173">
        <f>'2025 Απρίλιος'!L156</f>
        <v>0</v>
      </c>
      <c r="J352" s="36">
        <f t="shared" si="126"/>
        <v>0</v>
      </c>
      <c r="K352" s="173">
        <f>'2025 Μάιος'!L156</f>
        <v>0</v>
      </c>
      <c r="L352" s="36">
        <f t="shared" si="127"/>
        <v>0</v>
      </c>
      <c r="M352" s="173">
        <f>'2025 Ιούνιος'!L156</f>
        <v>0</v>
      </c>
      <c r="N352" s="36">
        <f t="shared" si="128"/>
        <v>0</v>
      </c>
      <c r="O352" s="173">
        <f>'2025 Ιούλιος'!L156</f>
        <v>0</v>
      </c>
      <c r="P352" s="36">
        <f t="shared" si="129"/>
        <v>0</v>
      </c>
      <c r="Q352" s="173">
        <f>'2025 Aύγουστος'!L156</f>
        <v>0</v>
      </c>
      <c r="R352" s="36">
        <f t="shared" si="130"/>
        <v>0</v>
      </c>
      <c r="S352" s="173">
        <f>'2025 Σεπτέμβριος'!L156</f>
        <v>0</v>
      </c>
      <c r="T352" s="36">
        <f t="shared" si="131"/>
        <v>0</v>
      </c>
      <c r="U352" s="173">
        <f>'2025 Οκτώβριος'!L156</f>
        <v>0</v>
      </c>
      <c r="V352" s="36">
        <f t="shared" si="132"/>
        <v>0</v>
      </c>
      <c r="W352" s="173">
        <f>'2025 Νοέμβριος'!L156</f>
        <v>0</v>
      </c>
      <c r="X352" s="36">
        <f t="shared" si="133"/>
        <v>0</v>
      </c>
      <c r="Y352" s="173">
        <f>'2025 Δεκέμβριος'!L156</f>
        <v>0</v>
      </c>
      <c r="Z352" s="36">
        <f t="shared" si="134"/>
        <v>0</v>
      </c>
      <c r="AA352" s="36">
        <f t="shared" si="135"/>
        <v>0</v>
      </c>
      <c r="AD352" s="37">
        <f t="shared" si="136"/>
        <v>0</v>
      </c>
    </row>
    <row r="353" spans="1:27" x14ac:dyDescent="0.25">
      <c r="A353" s="44" t="s">
        <v>154</v>
      </c>
      <c r="B353" s="35"/>
      <c r="C353" s="173">
        <f>SUM(C313:C352)</f>
        <v>12633.890000000001</v>
      </c>
      <c r="D353" s="36">
        <f t="shared" si="123"/>
        <v>12633.890000000001</v>
      </c>
      <c r="E353" s="173">
        <f>SUM(E313:E352)</f>
        <v>6383.3499999999995</v>
      </c>
      <c r="F353" s="36">
        <f t="shared" si="124"/>
        <v>19017.240000000002</v>
      </c>
      <c r="G353" s="174">
        <f>SUM(G313:G352)</f>
        <v>9621.8199999999979</v>
      </c>
      <c r="H353" s="36">
        <f t="shared" si="125"/>
        <v>28639.059999999998</v>
      </c>
      <c r="I353" s="173">
        <f>SUM(I313:I352)</f>
        <v>7490.6799999999985</v>
      </c>
      <c r="J353" s="36">
        <f t="shared" si="126"/>
        <v>36129.74</v>
      </c>
      <c r="K353" s="173">
        <f>'2025 Μάιος'!L157</f>
        <v>7309.6500000000015</v>
      </c>
      <c r="L353" s="36">
        <f t="shared" si="127"/>
        <v>43439.39</v>
      </c>
      <c r="M353" s="173">
        <f>'2025 Ιούνιος'!L157</f>
        <v>5961.98</v>
      </c>
      <c r="N353" s="36">
        <f t="shared" si="128"/>
        <v>49401.369999999995</v>
      </c>
      <c r="O353" s="173">
        <f>SUM(O313:O352)</f>
        <v>7678.37</v>
      </c>
      <c r="P353" s="36">
        <f t="shared" si="129"/>
        <v>57079.74</v>
      </c>
      <c r="Q353" s="173">
        <f>'2025 Aύγουστος'!L157</f>
        <v>7984.8899999999994</v>
      </c>
      <c r="R353" s="36">
        <f t="shared" si="130"/>
        <v>65064.63</v>
      </c>
      <c r="S353" s="173">
        <f>'2025 Σεπτέμβριος'!L157</f>
        <v>10605.939999999999</v>
      </c>
      <c r="T353" s="36">
        <f t="shared" si="131"/>
        <v>75670.569999999992</v>
      </c>
      <c r="U353" s="173">
        <f>'2025 Οκτώβριος'!L157</f>
        <v>7850.5300000000016</v>
      </c>
      <c r="V353" s="36">
        <f t="shared" si="132"/>
        <v>83521.099999999991</v>
      </c>
      <c r="W353" s="173">
        <f>SUM(W313:W352)</f>
        <v>11725.87</v>
      </c>
      <c r="X353" s="36">
        <f t="shared" si="133"/>
        <v>95246.969999999987</v>
      </c>
      <c r="Y353" s="174">
        <f>SUM(Y313:Y352)</f>
        <v>14896.930000000002</v>
      </c>
      <c r="Z353" s="36">
        <f t="shared" si="134"/>
        <v>110143.9</v>
      </c>
      <c r="AA353" s="36">
        <f t="shared" si="135"/>
        <v>110143.9</v>
      </c>
    </row>
    <row r="354" spans="1:27" ht="45" customHeight="1" x14ac:dyDescent="0.25">
      <c r="A354" s="179"/>
      <c r="B354" s="179"/>
      <c r="C354" s="179"/>
      <c r="D354" s="179"/>
      <c r="E354" s="179"/>
      <c r="F354" s="179"/>
      <c r="G354" s="179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W354" s="179"/>
      <c r="X354" s="179"/>
      <c r="Y354" s="179"/>
      <c r="Z354" s="179"/>
      <c r="AA354" s="179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A9F17-992D-4C42-9A41-C1BEA9C2E3BC}">
  <dimension ref="B1:H144"/>
  <sheetViews>
    <sheetView workbookViewId="0">
      <selection activeCell="G30" sqref="G30"/>
    </sheetView>
  </sheetViews>
  <sheetFormatPr defaultRowHeight="15" x14ac:dyDescent="0.25"/>
  <cols>
    <col min="2" max="2" width="64.42578125" bestFit="1" customWidth="1"/>
    <col min="3" max="3" width="16.42578125" customWidth="1"/>
    <col min="4" max="4" width="14.28515625" customWidth="1"/>
    <col min="5" max="5" width="14" customWidth="1"/>
    <col min="6" max="6" width="14.42578125" customWidth="1"/>
    <col min="8" max="8" width="13.140625" bestFit="1" customWidth="1"/>
  </cols>
  <sheetData>
    <row r="1" spans="2:8" x14ac:dyDescent="0.25">
      <c r="B1" s="47" t="s">
        <v>137</v>
      </c>
    </row>
    <row r="2" spans="2:8" x14ac:dyDescent="0.25">
      <c r="B2" s="50" t="s">
        <v>86</v>
      </c>
      <c r="C2" s="50" t="s">
        <v>74</v>
      </c>
      <c r="D2" s="50" t="s">
        <v>46</v>
      </c>
      <c r="E2" s="50" t="s">
        <v>138</v>
      </c>
      <c r="F2" s="50" t="s">
        <v>139</v>
      </c>
    </row>
    <row r="3" spans="2:8" x14ac:dyDescent="0.25">
      <c r="B3" s="9" t="str">
        <f>'Γενικό Αποτέλεσμα'!A41</f>
        <v>Εσοδα Φιλοξενείας-Διαμονής</v>
      </c>
      <c r="C3" s="18">
        <f>'Γενικό Αποτέλεσμα'!AD77</f>
        <v>177287.5228318584</v>
      </c>
      <c r="D3" s="18">
        <f>'Γενικό Αποτέλεσμα'!AA41</f>
        <v>191311.33176991151</v>
      </c>
      <c r="E3" s="18">
        <f>D3-C3</f>
        <v>14023.808938053116</v>
      </c>
      <c r="F3" s="9" t="str">
        <f>IF(C3=0, "0%", IF((D3 - C3) / C3 &gt;= 0, "+" &amp; TEXT((D3 - C3) / C3, "#.##%"), TEXT((D3 - C3) / C3, "#.##%")))</f>
        <v>+8%</v>
      </c>
      <c r="H3" s="41"/>
    </row>
    <row r="4" spans="2:8" x14ac:dyDescent="0.25">
      <c r="B4" s="9" t="str">
        <f>'Γενικό Αποτέλεσμα'!A42</f>
        <v>Early Check in/Check Out</v>
      </c>
      <c r="C4" s="18">
        <f>'Γενικό Αποτέλεσμα'!AD78</f>
        <v>0</v>
      </c>
      <c r="D4" s="18">
        <f>'Γενικό Αποτέλεσμα'!AA42</f>
        <v>44.25</v>
      </c>
      <c r="E4" s="18">
        <f t="shared" ref="E4:E31" si="0">D4-C4</f>
        <v>44.25</v>
      </c>
      <c r="F4" s="9" t="str">
        <f t="shared" ref="F4:F31" si="1">IF(C4=0, "0%", IF((D4 - C4) / C4 &gt;= 0, "+" &amp; TEXT((D4 - C4) / C4, "#.##%"), TEXT((D4 - C4) / C4, "#.##%")))</f>
        <v>0%</v>
      </c>
      <c r="H4" s="41"/>
    </row>
    <row r="5" spans="2:8" x14ac:dyDescent="0.25">
      <c r="B5" s="9" t="str">
        <f>'Γενικό Αποτέλεσμα'!A43</f>
        <v xml:space="preserve">Πρωινό ( Εξτρα ) </v>
      </c>
      <c r="C5" s="18">
        <f>'Γενικό Αποτέλεσμα'!AD79</f>
        <v>0</v>
      </c>
      <c r="D5" s="18">
        <f>'Γενικό Αποτέλεσμα'!AA43</f>
        <v>0</v>
      </c>
      <c r="E5" s="18">
        <f t="shared" si="0"/>
        <v>0</v>
      </c>
      <c r="F5" s="9" t="str">
        <f t="shared" si="1"/>
        <v>0%</v>
      </c>
      <c r="H5" s="41"/>
    </row>
    <row r="6" spans="2:8" x14ac:dyDescent="0.25">
      <c r="B6" s="9" t="str">
        <f>'Γενικό Αποτέλεσμα'!A44</f>
        <v xml:space="preserve">Έσοδα Καθαριότητας </v>
      </c>
      <c r="C6" s="18">
        <f>'Γενικό Αποτέλεσμα'!AD80</f>
        <v>13995.57522123894</v>
      </c>
      <c r="D6" s="18">
        <f>'Γενικό Αποτέλεσμα'!AA44</f>
        <v>13159.754070796458</v>
      </c>
      <c r="E6" s="18">
        <f t="shared" si="0"/>
        <v>-835.82115044248167</v>
      </c>
      <c r="F6" s="9" t="str">
        <f t="shared" si="1"/>
        <v>-6%</v>
      </c>
      <c r="H6" s="41"/>
    </row>
    <row r="7" spans="2:8" x14ac:dyDescent="0.25">
      <c r="B7" s="9" t="str">
        <f>'Γενικό Αποτέλεσμα'!A45</f>
        <v>Cancellation Fees</v>
      </c>
      <c r="C7" s="18">
        <f>'Γενικό Αποτέλεσμα'!AD81</f>
        <v>296.2</v>
      </c>
      <c r="D7" s="18">
        <f>'Γενικό Αποτέλεσμα'!AA45</f>
        <v>2225.63</v>
      </c>
      <c r="E7" s="18">
        <f t="shared" si="0"/>
        <v>1929.43</v>
      </c>
      <c r="F7" s="9" t="str">
        <f t="shared" si="1"/>
        <v>+651%</v>
      </c>
      <c r="H7" s="41"/>
    </row>
    <row r="8" spans="2:8" x14ac:dyDescent="0.25">
      <c r="B8" s="9" t="str">
        <f>'Γενικό Αποτέλεσμα'!A46</f>
        <v>Έσοδα Διαχείρισης καταλυμάτων 24%</v>
      </c>
      <c r="C8" s="18">
        <f>'Γενικό Αποτέλεσμα'!AD82</f>
        <v>4126.74</v>
      </c>
      <c r="D8" s="18">
        <f>'Γενικό Αποτέλεσμα'!AA46</f>
        <v>3326.71</v>
      </c>
      <c r="E8" s="18">
        <f t="shared" si="0"/>
        <v>-800.02999999999975</v>
      </c>
      <c r="F8" s="9" t="str">
        <f t="shared" si="1"/>
        <v>-19%</v>
      </c>
      <c r="H8" s="41"/>
    </row>
    <row r="9" spans="2:8" x14ac:dyDescent="0.25">
      <c r="B9" s="9" t="str">
        <f>'Γενικό Αποτέλεσμα'!A47</f>
        <v>Έσοδα από Ενοίκια Ιππάρχου 24%</v>
      </c>
      <c r="C9" s="18">
        <f>'Γενικό Αποτέλεσμα'!AD83</f>
        <v>500</v>
      </c>
      <c r="D9" s="18">
        <f>'Γενικό Αποτέλεσμα'!AA47</f>
        <v>500</v>
      </c>
      <c r="E9" s="18">
        <f t="shared" si="0"/>
        <v>0</v>
      </c>
      <c r="F9" s="9" t="str">
        <f t="shared" si="1"/>
        <v>+%</v>
      </c>
      <c r="H9" s="41"/>
    </row>
    <row r="10" spans="2:8" x14ac:dyDescent="0.25">
      <c r="B10" s="9" t="str">
        <f>'Γενικό Αποτέλεσμα'!A48</f>
        <v>Πωλ.Φύλαξη Αποσκευών (DIRECT)</v>
      </c>
      <c r="C10" s="18">
        <f>'Γενικό Αποτέλεσμα'!AD84</f>
        <v>207.23</v>
      </c>
      <c r="D10" s="18">
        <f>'Γενικό Αποτέλεσμα'!AA48</f>
        <v>1175.0900000000001</v>
      </c>
      <c r="E10" s="18">
        <f t="shared" si="0"/>
        <v>967.86000000000013</v>
      </c>
      <c r="F10" s="9" t="str">
        <f t="shared" si="1"/>
        <v>+467%</v>
      </c>
      <c r="H10" s="41"/>
    </row>
    <row r="11" spans="2:8" x14ac:dyDescent="0.25">
      <c r="B11" s="9" t="str">
        <f>'Γενικό Αποτέλεσμα'!A49</f>
        <v>Πωλ.Φύλαξη Αποσκευών  (ΤΡΙΤΩΝ) (RADICAL)</v>
      </c>
      <c r="C11" s="18">
        <f>'Γενικό Αποτέλεσμα'!AD85</f>
        <v>0</v>
      </c>
      <c r="D11" s="18">
        <f>'Γενικό Αποτέλεσμα'!AA49</f>
        <v>673.29</v>
      </c>
      <c r="E11" s="18">
        <f t="shared" si="0"/>
        <v>673.29</v>
      </c>
      <c r="F11" s="9" t="str">
        <f t="shared" si="1"/>
        <v>0%</v>
      </c>
      <c r="H11" s="41"/>
    </row>
    <row r="12" spans="2:8" x14ac:dyDescent="0.25">
      <c r="B12" s="9" t="str">
        <f>'Γενικό Αποτέλεσμα'!A50</f>
        <v>Πωλ. TRANSFER (Περιορισμένη Μίσθωση)</v>
      </c>
      <c r="C12" s="18">
        <f>'Γενικό Αποτέλεσμα'!AD86</f>
        <v>0</v>
      </c>
      <c r="D12" s="18">
        <f>'Γενικό Αποτέλεσμα'!AA50</f>
        <v>464.6</v>
      </c>
      <c r="E12" s="18">
        <f t="shared" si="0"/>
        <v>464.6</v>
      </c>
      <c r="F12" s="9" t="str">
        <f t="shared" si="1"/>
        <v>0%</v>
      </c>
      <c r="H12" s="41"/>
    </row>
    <row r="13" spans="2:8" x14ac:dyDescent="0.25">
      <c r="B13" s="9" t="str">
        <f>'Γενικό Αποτέλεσμα'!A51</f>
        <v>Πωλ.Ενοικ.Μεταφ.Μέσων Αναψυχής (ποδήλατα)</v>
      </c>
      <c r="C13" s="18">
        <f>'Γενικό Αποτέλεσμα'!AD87</f>
        <v>0</v>
      </c>
      <c r="D13" s="18">
        <f>'Γενικό Αποτέλεσμα'!AA51</f>
        <v>0</v>
      </c>
      <c r="E13" s="18">
        <f t="shared" si="0"/>
        <v>0</v>
      </c>
      <c r="F13" s="9" t="str">
        <f t="shared" si="1"/>
        <v>0%</v>
      </c>
      <c r="H13" s="41"/>
    </row>
    <row r="14" spans="2:8" x14ac:dyDescent="0.25">
      <c r="B14" s="9" t="str">
        <f>'Γενικό Αποτέλεσμα'!A52</f>
        <v>Πωλ.Ενοικ.Μεταφ.Μέσων(αυτοκινητα)</v>
      </c>
      <c r="C14" s="18">
        <f>'Γενικό Αποτέλεσμα'!AD88</f>
        <v>0</v>
      </c>
      <c r="D14" s="18">
        <f>'Γενικό Αποτέλεσμα'!AA52</f>
        <v>0</v>
      </c>
      <c r="E14" s="18">
        <f t="shared" si="0"/>
        <v>0</v>
      </c>
      <c r="F14" s="9" t="str">
        <f t="shared" si="1"/>
        <v>0%</v>
      </c>
      <c r="H14" s="41"/>
    </row>
    <row r="15" spans="2:8" x14ac:dyDescent="0.25">
      <c r="B15" s="9" t="str">
        <f>'Γενικό Αποτέλεσμα'!A53</f>
        <v>Πωλήσεις Καθαριότητας (ΤΡΙΤΩΝ)</v>
      </c>
      <c r="C15" s="18">
        <f>'Γενικό Αποτέλεσμα'!AD89</f>
        <v>0</v>
      </c>
      <c r="D15" s="18">
        <f>'Γενικό Αποτέλεσμα'!AA53</f>
        <v>0</v>
      </c>
      <c r="E15" s="18">
        <f t="shared" si="0"/>
        <v>0</v>
      </c>
      <c r="F15" s="9" t="str">
        <f t="shared" si="1"/>
        <v>0%</v>
      </c>
      <c r="H15" s="41"/>
    </row>
    <row r="16" spans="2:8" x14ac:dyDescent="0.25">
      <c r="B16" s="9" t="str">
        <f>'Γενικό Αποτέλεσμα'!A54</f>
        <v>Πωλ.Κρουαζιέρας</v>
      </c>
      <c r="C16" s="18">
        <f>'Γενικό Αποτέλεσμα'!AD90</f>
        <v>150.44</v>
      </c>
      <c r="D16" s="18">
        <f>'Γενικό Αποτέλεσμα'!AA54</f>
        <v>3230.06</v>
      </c>
      <c r="E16" s="18">
        <f t="shared" si="0"/>
        <v>3079.62</v>
      </c>
      <c r="F16" s="9" t="str">
        <f t="shared" si="1"/>
        <v>+2.047%</v>
      </c>
      <c r="H16" s="41"/>
    </row>
    <row r="17" spans="2:8" x14ac:dyDescent="0.25">
      <c r="B17" s="9" t="str">
        <f>'Γενικό Αποτέλεσμα'!A55</f>
        <v>Πωλ. Μαθημάτων</v>
      </c>
      <c r="C17" s="18">
        <f>'Γενικό Αποτέλεσμα'!AD91</f>
        <v>0</v>
      </c>
      <c r="D17" s="18">
        <f>'Γενικό Αποτέλεσμα'!AA55</f>
        <v>0</v>
      </c>
      <c r="E17" s="18">
        <f t="shared" si="0"/>
        <v>0</v>
      </c>
      <c r="F17" s="9" t="str">
        <f t="shared" si="1"/>
        <v>0%</v>
      </c>
      <c r="H17" s="41"/>
    </row>
    <row r="18" spans="2:8" x14ac:dyDescent="0.25">
      <c r="B18" s="9" t="str">
        <f>'Γενικό Αποτέλεσμα'!A56</f>
        <v>Πωλ.Κρουαζ.Transfer.MM. (ΠΑΚΕΤΟ)</v>
      </c>
      <c r="C18" s="18">
        <f>'Γενικό Αποτέλεσμα'!AD92</f>
        <v>201.48</v>
      </c>
      <c r="D18" s="18">
        <f>'Γενικό Αποτέλεσμα'!AA56</f>
        <v>495.58</v>
      </c>
      <c r="E18" s="18">
        <f t="shared" si="0"/>
        <v>294.10000000000002</v>
      </c>
      <c r="F18" s="9" t="str">
        <f t="shared" si="1"/>
        <v>+146%</v>
      </c>
      <c r="H18" s="41"/>
    </row>
    <row r="19" spans="2:8" x14ac:dyDescent="0.25">
      <c r="B19" s="9" t="e">
        <f>'Γενικό Αποτέλεσμα'!A57</f>
        <v>#REF!</v>
      </c>
      <c r="C19" s="18" t="e">
        <f>'Γενικό Αποτέλεσμα'!AD93</f>
        <v>#REF!</v>
      </c>
      <c r="D19" s="18" t="e">
        <f>'Γενικό Αποτέλεσμα'!AA57</f>
        <v>#REF!</v>
      </c>
      <c r="E19" s="18" t="e">
        <f t="shared" si="0"/>
        <v>#REF!</v>
      </c>
      <c r="F19" s="9" t="e">
        <f t="shared" si="1"/>
        <v>#REF!</v>
      </c>
      <c r="H19" s="41"/>
    </row>
    <row r="20" spans="2:8" x14ac:dyDescent="0.25">
      <c r="B20" s="9" t="str">
        <f>'Γενικό Αποτέλεσμα'!A58</f>
        <v>Προμ. Συστ.Πελ. Αυτοκ.</v>
      </c>
      <c r="C20" s="18">
        <f>'Γενικό Αποτέλεσμα'!AD94</f>
        <v>0</v>
      </c>
      <c r="D20" s="18">
        <f>'Γενικό Αποτέλεσμα'!AA58</f>
        <v>0</v>
      </c>
      <c r="E20" s="18">
        <f t="shared" si="0"/>
        <v>0</v>
      </c>
      <c r="F20" s="9" t="str">
        <f t="shared" si="1"/>
        <v>0%</v>
      </c>
      <c r="H20" s="41"/>
    </row>
    <row r="21" spans="2:8" x14ac:dyDescent="0.25">
      <c r="B21" s="9" t="str">
        <f>'Γενικό Αποτέλεσμα'!A59</f>
        <v>Προμ. Συστ.Πελ. Γυμν.</v>
      </c>
      <c r="C21" s="18">
        <f>'Γενικό Αποτέλεσμα'!AD95</f>
        <v>0</v>
      </c>
      <c r="D21" s="18">
        <f>'Γενικό Αποτέλεσμα'!AA59</f>
        <v>0</v>
      </c>
      <c r="E21" s="18">
        <f t="shared" si="0"/>
        <v>0</v>
      </c>
      <c r="F21" s="9" t="str">
        <f t="shared" si="1"/>
        <v>0%</v>
      </c>
      <c r="H21" s="41"/>
    </row>
    <row r="22" spans="2:8" x14ac:dyDescent="0.25">
      <c r="B22" s="9" t="str">
        <f>'Γενικό Αποτέλεσμα'!A60</f>
        <v>Προμ.Σύστ.Πελ. TRANSFER</v>
      </c>
      <c r="C22" s="18">
        <f>'Γενικό Αποτέλεσμα'!AD96</f>
        <v>0</v>
      </c>
      <c r="D22" s="18">
        <f>'Γενικό Αποτέλεσμα'!AA60</f>
        <v>0</v>
      </c>
      <c r="E22" s="18">
        <f t="shared" si="0"/>
        <v>0</v>
      </c>
      <c r="F22" s="9" t="str">
        <f t="shared" si="1"/>
        <v>0%</v>
      </c>
      <c r="H22" s="41"/>
    </row>
    <row r="23" spans="2:8" x14ac:dyDescent="0.25">
      <c r="B23" s="9" t="str">
        <f>'Γενικό Αποτέλεσμα'!A61</f>
        <v>Προμ.Σύστ.Πελ.Εκδρ.- Ξεναγ.</v>
      </c>
      <c r="C23" s="18">
        <f>'Γενικό Αποτέλεσμα'!AD97</f>
        <v>0</v>
      </c>
      <c r="D23" s="18">
        <f>'Γενικό Αποτέλεσμα'!AA61</f>
        <v>250.7</v>
      </c>
      <c r="E23" s="18">
        <f t="shared" si="0"/>
        <v>250.7</v>
      </c>
      <c r="F23" s="9" t="str">
        <f t="shared" si="1"/>
        <v>0%</v>
      </c>
      <c r="H23" s="41"/>
    </row>
    <row r="24" spans="2:8" x14ac:dyDescent="0.25">
      <c r="B24" s="9" t="str">
        <f>'Γενικό Αποτέλεσμα'!A62</f>
        <v>Προμ.Συστ.Πελ.Κρουαζιέρας</v>
      </c>
      <c r="C24" s="18">
        <f>'Γενικό Αποτέλεσμα'!AD98</f>
        <v>0</v>
      </c>
      <c r="D24" s="18">
        <f>'Γενικό Αποτέλεσμα'!AA62</f>
        <v>0</v>
      </c>
      <c r="E24" s="18">
        <f t="shared" si="0"/>
        <v>0</v>
      </c>
      <c r="F24" s="9" t="str">
        <f t="shared" si="1"/>
        <v>0%</v>
      </c>
      <c r="H24" s="41"/>
    </row>
    <row r="25" spans="2:8" x14ac:dyDescent="0.25">
      <c r="B25" s="9" t="str">
        <f>'Γενικό Αποτέλεσμα'!A63</f>
        <v>Ασυνήθη έσοδα και κέρδη</v>
      </c>
      <c r="C25" s="18">
        <f>'Γενικό Αποτέλεσμα'!AD99</f>
        <v>-867.71</v>
      </c>
      <c r="D25" s="42">
        <f>'Γενικό Αποτέλεσμα'!AA63</f>
        <v>264.43</v>
      </c>
      <c r="E25" s="42">
        <f t="shared" si="0"/>
        <v>1132.1400000000001</v>
      </c>
      <c r="F25" s="40" t="str">
        <f t="shared" si="1"/>
        <v>-130%</v>
      </c>
      <c r="H25" s="41"/>
    </row>
    <row r="26" spans="2:8" x14ac:dyDescent="0.25">
      <c r="B26" s="9" t="str">
        <f>'Γενικό Αποτέλεσμα'!A64</f>
        <v>Φορος Παρεπιδημούντων</v>
      </c>
      <c r="C26" s="18">
        <f>'Γενικό Αποτέλεσμα'!AD100</f>
        <v>0</v>
      </c>
      <c r="D26" s="42">
        <f>'Γενικό Αποτέλεσμα'!AA64</f>
        <v>-1281.8600000000001</v>
      </c>
      <c r="E26" s="42">
        <f t="shared" si="0"/>
        <v>-1281.8600000000001</v>
      </c>
      <c r="F26" s="40" t="str">
        <f t="shared" si="1"/>
        <v>0%</v>
      </c>
      <c r="H26" s="41"/>
    </row>
    <row r="27" spans="2:8" x14ac:dyDescent="0.25">
      <c r="B27" s="9" t="str">
        <f>'Γενικό Αποτέλεσμα'!A65</f>
        <v xml:space="preserve">Πρόβλεψη </v>
      </c>
      <c r="C27" s="18">
        <f>'Γενικό Αποτέλεσμα'!AD101</f>
        <v>0</v>
      </c>
      <c r="D27" s="42">
        <f>'Γενικό Αποτέλεσμα'!AA65</f>
        <v>0</v>
      </c>
      <c r="E27" s="42">
        <f t="shared" si="0"/>
        <v>0</v>
      </c>
      <c r="F27" s="40" t="str">
        <f t="shared" si="1"/>
        <v>0%</v>
      </c>
    </row>
    <row r="28" spans="2:8" x14ac:dyDescent="0.25">
      <c r="B28" s="9">
        <f>'Γενικό Αποτέλεσμα'!A66</f>
        <v>0</v>
      </c>
      <c r="C28" s="18">
        <f>'Γενικό Αποτέλεσμα'!AD102</f>
        <v>0</v>
      </c>
      <c r="D28" s="42">
        <f>'Γενικό Αποτέλεσμα'!AA66</f>
        <v>0</v>
      </c>
      <c r="E28" s="42">
        <f t="shared" si="0"/>
        <v>0</v>
      </c>
      <c r="F28" s="40" t="str">
        <f t="shared" si="1"/>
        <v>0%</v>
      </c>
    </row>
    <row r="29" spans="2:8" x14ac:dyDescent="0.25">
      <c r="B29" s="9">
        <f>'Γενικό Αποτέλεσμα'!A67</f>
        <v>0</v>
      </c>
      <c r="C29" s="18">
        <f>'Γενικό Αποτέλεσμα'!AD103</f>
        <v>0</v>
      </c>
      <c r="D29" s="42">
        <f>'Γενικό Αποτέλεσμα'!AA67</f>
        <v>0</v>
      </c>
      <c r="E29" s="42">
        <f t="shared" si="0"/>
        <v>0</v>
      </c>
      <c r="F29" s="40" t="str">
        <f t="shared" si="1"/>
        <v>0%</v>
      </c>
    </row>
    <row r="30" spans="2:8" x14ac:dyDescent="0.25">
      <c r="B30" s="9">
        <f>'Γενικό Αποτέλεσμα'!A68</f>
        <v>0</v>
      </c>
      <c r="C30" s="18">
        <f>'Γενικό Αποτέλεσμα'!AD104</f>
        <v>0</v>
      </c>
      <c r="D30" s="42">
        <f>'Γενικό Αποτέλεσμα'!AA68</f>
        <v>0</v>
      </c>
      <c r="E30" s="42">
        <f t="shared" si="0"/>
        <v>0</v>
      </c>
      <c r="F30" s="40" t="str">
        <f t="shared" si="1"/>
        <v>0%</v>
      </c>
    </row>
    <row r="31" spans="2:8" x14ac:dyDescent="0.25">
      <c r="B31" s="9">
        <f>'Γενικό Αποτέλεσμα'!A69</f>
        <v>0</v>
      </c>
      <c r="C31" s="18">
        <f>'Γενικό Αποτέλεσμα'!AD105</f>
        <v>0</v>
      </c>
      <c r="D31" s="42">
        <f>'Γενικό Αποτέλεσμα'!AA69</f>
        <v>0</v>
      </c>
      <c r="E31" s="42">
        <f t="shared" si="0"/>
        <v>0</v>
      </c>
      <c r="F31" s="40" t="str">
        <f t="shared" si="1"/>
        <v>0%</v>
      </c>
    </row>
    <row r="32" spans="2:8" x14ac:dyDescent="0.25">
      <c r="B32" s="39" t="s">
        <v>112</v>
      </c>
      <c r="C32" s="38" t="e">
        <f>SUM(C3:C31)</f>
        <v>#REF!</v>
      </c>
      <c r="D32" s="38" t="e">
        <f>SUM(D3:D31)</f>
        <v>#REF!</v>
      </c>
      <c r="E32" s="38" t="e">
        <f>SUM(E3:E31)</f>
        <v>#REF!</v>
      </c>
      <c r="F32" s="40" t="e">
        <f>IF(C32=0, "0%", IF((D32 - C32) / C32 &gt;= 0, "+" &amp; TEXT((D32 - C32) / C32, "#.##%"), TEXT((D32 - C32) / C32, "#.##%")))</f>
        <v>#REF!</v>
      </c>
      <c r="G32" t="s">
        <v>156</v>
      </c>
    </row>
    <row r="33" spans="2:6" x14ac:dyDescent="0.25">
      <c r="B33" s="47" t="s">
        <v>140</v>
      </c>
    </row>
    <row r="34" spans="2:6" x14ac:dyDescent="0.25">
      <c r="B34" s="50" t="s">
        <v>155</v>
      </c>
      <c r="C34" s="50" t="s">
        <v>152</v>
      </c>
      <c r="D34" s="50" t="s">
        <v>153</v>
      </c>
      <c r="E34" s="50" t="s">
        <v>138</v>
      </c>
      <c r="F34" s="50" t="s">
        <v>139</v>
      </c>
    </row>
    <row r="35" spans="2:6" x14ac:dyDescent="0.25">
      <c r="B35" s="9" t="str">
        <f>'Γενικό Αποτέλεσμα'!A118</f>
        <v>Μικτές Αποδοχές H.Keepin (Α.Κ.Υπ.)</v>
      </c>
      <c r="C35" s="18">
        <f>'Γενικό Αποτέλεσμα'!AD241</f>
        <v>19877.75</v>
      </c>
      <c r="D35" s="18">
        <f>'Γενικό Αποτέλεσμα'!AA118</f>
        <v>17090.259999999998</v>
      </c>
      <c r="E35" s="18">
        <f>D35-C35</f>
        <v>-2787.4900000000016</v>
      </c>
      <c r="F35" s="9" t="str">
        <f t="shared" ref="F35:F65" si="2">IF(C35=0, "0%", IF((D35 - C35) / C35 &gt;= 0, "+" &amp; TEXT((D35 - C35) / C35, "#.##%"), TEXT((D35 - C35) / C35, "#.##%")))</f>
        <v>-14%</v>
      </c>
    </row>
    <row r="36" spans="2:6" x14ac:dyDescent="0.25">
      <c r="B36" s="9" t="str">
        <f>'Γενικό Αποτέλεσμα'!A119</f>
        <v>Μικτές Αποδοχές Operation (Α.Κ.Operation )</v>
      </c>
      <c r="C36" s="18">
        <f>'Γενικό Αποτέλεσμα'!AD242</f>
        <v>29167.73</v>
      </c>
      <c r="D36" s="18">
        <f>'Γενικό Αποτέλεσμα'!AA119</f>
        <v>24880</v>
      </c>
      <c r="E36" s="18">
        <f t="shared" ref="E36:E64" si="3">D36-C36</f>
        <v>-4287.7299999999996</v>
      </c>
      <c r="F36" s="9" t="str">
        <f t="shared" si="2"/>
        <v>-15%</v>
      </c>
    </row>
    <row r="37" spans="2:6" x14ac:dyDescent="0.25">
      <c r="B37" s="9" t="str">
        <f>'Γενικό Αποτέλεσμα'!A120</f>
        <v>Μικτές Αποδοχές Maintenance (Α.Κ.Υπ.)</v>
      </c>
      <c r="C37" s="18">
        <f>'Γενικό Αποτέλεσμα'!AD243</f>
        <v>14685.849999999999</v>
      </c>
      <c r="D37" s="18">
        <f>'Γενικό Αποτέλεσμα'!AA120</f>
        <v>14200.8</v>
      </c>
      <c r="E37" s="18">
        <f t="shared" si="3"/>
        <v>-485.04999999999927</v>
      </c>
      <c r="F37" s="9" t="str">
        <f t="shared" si="2"/>
        <v>-3%</v>
      </c>
    </row>
    <row r="38" spans="2:6" x14ac:dyDescent="0.25">
      <c r="B38" s="9" t="str">
        <f>'Γενικό Αποτέλεσμα'!A123</f>
        <v>Ασφαλιστικές εισφορές (Α.Κ.HOUSE KEEPING)</v>
      </c>
      <c r="C38" s="18">
        <f>'Γενικό Αποτέλεσμα'!AD244</f>
        <v>4809.28</v>
      </c>
      <c r="D38" s="18">
        <f>'Γενικό Αποτέλεσμα'!AA123</f>
        <v>3672.9500000000003</v>
      </c>
      <c r="E38" s="18">
        <f t="shared" si="3"/>
        <v>-1136.3299999999995</v>
      </c>
      <c r="F38" s="9" t="str">
        <f t="shared" si="2"/>
        <v>-24%</v>
      </c>
    </row>
    <row r="39" spans="2:6" x14ac:dyDescent="0.25">
      <c r="B39" s="9" t="str">
        <f>'Γενικό Αποτέλεσμα'!A124</f>
        <v>Ασφαλιστικές εισφορές (Α.Κ. OPERATION DEP )</v>
      </c>
      <c r="C39" s="18">
        <f>'Γενικό Αποτέλεσμα'!AD245</f>
        <v>5622.27</v>
      </c>
      <c r="D39" s="18">
        <f>'Γενικό Αποτέλεσμα'!AA124</f>
        <v>4508.5199999999995</v>
      </c>
      <c r="E39" s="18">
        <f t="shared" si="3"/>
        <v>-1113.7500000000009</v>
      </c>
      <c r="F39" s="9" t="str">
        <f t="shared" si="2"/>
        <v>-20%</v>
      </c>
    </row>
    <row r="40" spans="2:6" x14ac:dyDescent="0.25">
      <c r="B40" s="9" t="str">
        <f>'Γενικό Αποτέλεσμα'!A125</f>
        <v>Ασφαλιστικές εισφορές (Α.Κ. MAINTENANCE DEP )</v>
      </c>
      <c r="C40" s="18">
        <f>'Γενικό Αποτέλεσμα'!AD246</f>
        <v>3882.9300000000003</v>
      </c>
      <c r="D40" s="18">
        <f>'Γενικό Αποτέλεσμα'!AA125</f>
        <v>3032.88</v>
      </c>
      <c r="E40" s="18">
        <f t="shared" si="3"/>
        <v>-850.05000000000018</v>
      </c>
      <c r="F40" s="9" t="str">
        <f t="shared" si="2"/>
        <v>-22%</v>
      </c>
    </row>
    <row r="41" spans="2:6" x14ac:dyDescent="0.25">
      <c r="B41" s="9" t="str">
        <f>'Γενικό Αποτέλεσμα'!A128</f>
        <v xml:space="preserve">Ενοίκια </v>
      </c>
      <c r="C41" s="18">
        <f>'Γενικό Αποτέλεσμα'!AD247</f>
        <v>46558.85</v>
      </c>
      <c r="D41" s="18">
        <f>'Γενικό Αποτέλεσμα'!AA128</f>
        <v>47267</v>
      </c>
      <c r="E41" s="18">
        <f t="shared" si="3"/>
        <v>708.15000000000146</v>
      </c>
      <c r="F41" s="9" t="str">
        <f t="shared" si="2"/>
        <v>+2%</v>
      </c>
    </row>
    <row r="42" spans="2:6" x14ac:dyDescent="0.25">
      <c r="B42" s="9" t="str">
        <f>'Γενικό Αποτέλεσμα'!A129</f>
        <v xml:space="preserve">Διαφορά Ενοικίου </v>
      </c>
      <c r="C42" s="18">
        <f>'Γενικό Αποτέλεσμα'!AD248</f>
        <v>0</v>
      </c>
      <c r="D42" s="18">
        <f>'Γενικό Αποτέλεσμα'!AA129</f>
        <v>0</v>
      </c>
      <c r="E42" s="18">
        <f t="shared" si="3"/>
        <v>0</v>
      </c>
      <c r="F42" s="9" t="str">
        <f t="shared" si="2"/>
        <v>0%</v>
      </c>
    </row>
    <row r="43" spans="2:6" x14ac:dyDescent="0.25">
      <c r="B43" s="9" t="str">
        <f>'Γενικό Αποτέλεσμα'!A130</f>
        <v xml:space="preserve">Χαρτόσημο ενοικίων </v>
      </c>
      <c r="C43" s="18">
        <f>'Γενικό Αποτέλεσμα'!AD249</f>
        <v>1645.7700000000002</v>
      </c>
      <c r="D43" s="18">
        <f>'Γενικό Αποτέλεσμα'!AA130</f>
        <v>1664.65</v>
      </c>
      <c r="E43" s="18">
        <f t="shared" si="3"/>
        <v>18.879999999999882</v>
      </c>
      <c r="F43" s="9" t="str">
        <f t="shared" si="2"/>
        <v>+1%</v>
      </c>
    </row>
    <row r="44" spans="2:6" x14ac:dyDescent="0.25">
      <c r="B44" s="9" t="str">
        <f>'Γενικό Αποτέλεσμα'!A131</f>
        <v xml:space="preserve">Κοινόχρηστες Δαπάνες </v>
      </c>
      <c r="C44" s="18">
        <f>'Γενικό Αποτέλεσμα'!AD250</f>
        <v>2521.63</v>
      </c>
      <c r="D44" s="18">
        <f>'Γενικό Αποτέλεσμα'!AA131</f>
        <v>2427.5</v>
      </c>
      <c r="E44" s="18">
        <f t="shared" si="3"/>
        <v>-94.130000000000109</v>
      </c>
      <c r="F44" s="9" t="str">
        <f t="shared" si="2"/>
        <v>-4%</v>
      </c>
    </row>
    <row r="45" spans="2:6" x14ac:dyDescent="0.25">
      <c r="B45" s="9" t="str">
        <f>'Γενικό Αποτέλεσμα'!A132</f>
        <v xml:space="preserve">Ενέργεια </v>
      </c>
      <c r="C45" s="18">
        <f>'Γενικό Αποτέλεσμα'!AD251</f>
        <v>2361.4899999999998</v>
      </c>
      <c r="D45" s="18">
        <f>'Γενικό Αποτέλεσμα'!AA132</f>
        <v>3383.5</v>
      </c>
      <c r="E45" s="18">
        <f t="shared" si="3"/>
        <v>1022.0100000000002</v>
      </c>
      <c r="F45" s="9" t="str">
        <f t="shared" si="2"/>
        <v>+43%</v>
      </c>
    </row>
    <row r="46" spans="2:6" x14ac:dyDescent="0.25">
      <c r="B46" s="9" t="str">
        <f>'Γενικό Αποτέλεσμα'!A133</f>
        <v>Φυσικό αέριο</v>
      </c>
      <c r="C46" s="18">
        <f>'Γενικό Αποτέλεσμα'!AD252</f>
        <v>0</v>
      </c>
      <c r="D46" s="18">
        <f>'Γενικό Αποτέλεσμα'!AA133</f>
        <v>1079.08</v>
      </c>
      <c r="E46" s="18">
        <f t="shared" si="3"/>
        <v>1079.08</v>
      </c>
      <c r="F46" s="9" t="str">
        <f t="shared" si="2"/>
        <v>0%</v>
      </c>
    </row>
    <row r="47" spans="2:6" x14ac:dyDescent="0.25">
      <c r="B47" s="9" t="str">
        <f>'Γενικό Αποτέλεσμα'!A134</f>
        <v xml:space="preserve">Τηλεπικοινωνίες (Τηλεφωνία &amp; Διαδίκτυο) </v>
      </c>
      <c r="C47" s="18">
        <f>'Γενικό Αποτέλεσμα'!AD253</f>
        <v>1472.6200000000001</v>
      </c>
      <c r="D47" s="18">
        <f>'Γενικό Αποτέλεσμα'!AA134</f>
        <v>1678.29</v>
      </c>
      <c r="E47" s="18">
        <f t="shared" si="3"/>
        <v>205.66999999999985</v>
      </c>
      <c r="F47" s="9" t="str">
        <f t="shared" si="2"/>
        <v>+14%</v>
      </c>
    </row>
    <row r="48" spans="2:6" x14ac:dyDescent="0.25">
      <c r="B48" s="9" t="str">
        <f>'Γενικό Αποτέλεσμα'!A135</f>
        <v xml:space="preserve">Ύδρευση </v>
      </c>
      <c r="C48" s="18">
        <f>'Γενικό Αποτέλεσμα'!AD254</f>
        <v>210.15000000000003</v>
      </c>
      <c r="D48" s="18">
        <f>'Γενικό Αποτέλεσμα'!AA135</f>
        <v>287.06</v>
      </c>
      <c r="E48" s="18">
        <f t="shared" si="3"/>
        <v>76.909999999999968</v>
      </c>
      <c r="F48" s="9" t="str">
        <f t="shared" si="2"/>
        <v>+37%</v>
      </c>
    </row>
    <row r="49" spans="2:6" x14ac:dyDescent="0.25">
      <c r="B49" s="9" t="str">
        <f>'Γενικό Αποτέλεσμα'!A136</f>
        <v xml:space="preserve">Ασφάλιστρα </v>
      </c>
      <c r="C49" s="18">
        <f>'Γενικό Αποτέλεσμα'!AD255</f>
        <v>768.31000000000017</v>
      </c>
      <c r="D49" s="18">
        <f>'Γενικό Αποτέλεσμα'!AA136</f>
        <v>3780.7</v>
      </c>
      <c r="E49" s="18">
        <f t="shared" si="3"/>
        <v>3012.3899999999994</v>
      </c>
      <c r="F49" s="9" t="str">
        <f t="shared" si="2"/>
        <v>+392%</v>
      </c>
    </row>
    <row r="50" spans="2:6" x14ac:dyDescent="0.25">
      <c r="B50" s="9" t="str">
        <f>'Γενικό Αποτέλεσμα'!A137</f>
        <v xml:space="preserve">Αναλώσιμα τρόφιμα  </v>
      </c>
      <c r="C50" s="18">
        <f>'Γενικό Αποτέλεσμα'!AD256</f>
        <v>597.83999999999969</v>
      </c>
      <c r="D50" s="18">
        <f>'Γενικό Αποτέλεσμα'!AA137</f>
        <v>363.25000000000006</v>
      </c>
      <c r="E50" s="18">
        <f t="shared" si="3"/>
        <v>-234.58999999999963</v>
      </c>
      <c r="F50" s="9" t="str">
        <f t="shared" si="2"/>
        <v>-39%</v>
      </c>
    </row>
    <row r="51" spans="2:6" x14ac:dyDescent="0.25">
      <c r="B51" s="9">
        <f>'Γενικό Αποτέλεσμα'!A138</f>
        <v>0</v>
      </c>
      <c r="C51" s="18">
        <f>'Γενικό Αποτέλεσμα'!AD257</f>
        <v>0</v>
      </c>
      <c r="D51" s="18">
        <f>'Γενικό Αποτέλεσμα'!AA138</f>
        <v>0</v>
      </c>
      <c r="E51" s="18">
        <f t="shared" si="3"/>
        <v>0</v>
      </c>
      <c r="F51" s="9" t="str">
        <f t="shared" si="2"/>
        <v>0%</v>
      </c>
    </row>
    <row r="52" spans="2:6" x14ac:dyDescent="0.25">
      <c r="B52" s="9" t="str">
        <f>'Γενικό Αποτέλεσμα'!A139</f>
        <v xml:space="preserve">Εντυπα και γραφική ύλη </v>
      </c>
      <c r="C52" s="18">
        <f>'Γενικό Αποτέλεσμα'!AD258</f>
        <v>0</v>
      </c>
      <c r="D52" s="18">
        <f>'Γενικό Αποτέλεσμα'!AA139</f>
        <v>0</v>
      </c>
      <c r="E52" s="18">
        <f t="shared" si="3"/>
        <v>0</v>
      </c>
      <c r="F52" s="9" t="str">
        <f t="shared" si="2"/>
        <v>0%</v>
      </c>
    </row>
    <row r="53" spans="2:6" x14ac:dyDescent="0.25">
      <c r="B53" s="9" t="str">
        <f>'Γενικό Αποτέλεσμα'!A140</f>
        <v xml:space="preserve">Υλικά Καθαριότητας </v>
      </c>
      <c r="C53" s="18">
        <f>'Γενικό Αποτέλεσμα'!AD259</f>
        <v>0</v>
      </c>
      <c r="D53" s="18">
        <f>'Γενικό Αποτέλεσμα'!AA140</f>
        <v>0</v>
      </c>
      <c r="E53" s="18">
        <f t="shared" si="3"/>
        <v>0</v>
      </c>
      <c r="F53" s="9" t="str">
        <f t="shared" si="2"/>
        <v>0%</v>
      </c>
    </row>
    <row r="54" spans="2:6" x14ac:dyDescent="0.25">
      <c r="B54" s="9" t="str">
        <f>'Γενικό Αποτέλεσμα'!A141</f>
        <v>Υλικά Φαρμακείου</v>
      </c>
      <c r="C54" s="18">
        <f>'Γενικό Αποτέλεσμα'!AD260</f>
        <v>462.48</v>
      </c>
      <c r="D54" s="18">
        <f>'Γενικό Αποτέλεσμα'!AA141</f>
        <v>188.71</v>
      </c>
      <c r="E54" s="18">
        <f t="shared" si="3"/>
        <v>-273.77</v>
      </c>
      <c r="F54" s="9" t="str">
        <f t="shared" si="2"/>
        <v>-59%</v>
      </c>
    </row>
    <row r="55" spans="2:6" x14ac:dyDescent="0.25">
      <c r="B55" s="9" t="str">
        <f>'Γενικό Αποτέλεσμα'!A142</f>
        <v>Διάφορα αναλώσιμα</v>
      </c>
      <c r="C55">
        <f>'Γενικό Αποτέλεσμα'!AD261</f>
        <v>32431.829999999998</v>
      </c>
      <c r="D55">
        <f>'Γενικό Αποτέλεσμα'!AA142</f>
        <v>36346.14</v>
      </c>
      <c r="E55">
        <f t="shared" si="3"/>
        <v>3914.3100000000013</v>
      </c>
      <c r="F55" t="str">
        <f t="shared" si="2"/>
        <v>+12%</v>
      </c>
    </row>
    <row r="56" spans="2:6" ht="28.5" x14ac:dyDescent="0.25">
      <c r="B56" s="9" t="str">
        <f>'Γενικό Αποτέλεσμα'!A143</f>
        <v>Αμοιβές συνεργατών ( Μέσα ανεύρεσης Πελατείας Booking Airbnb κλπ)</v>
      </c>
      <c r="C56">
        <f>'Γενικό Αποτέλεσμα'!AD262</f>
        <v>0</v>
      </c>
      <c r="D56">
        <f>'Γενικό Αποτέλεσμα'!AA143</f>
        <v>2900.09</v>
      </c>
      <c r="E56">
        <f t="shared" si="3"/>
        <v>2900.09</v>
      </c>
      <c r="F56" t="str">
        <f t="shared" si="2"/>
        <v>0%</v>
      </c>
    </row>
    <row r="57" spans="2:6" ht="28.5" x14ac:dyDescent="0.25">
      <c r="B57" s="9" t="str">
        <f>'Γενικό Αποτέλεσμα'!A144</f>
        <v>Εξοδα για Αναψυχή Πελατών (Κρουαζιέρες Ποδήλατα - Μαθήματα)</v>
      </c>
      <c r="C57" s="18">
        <f>'Γενικό Αποτέλεσμα'!AD263</f>
        <v>0</v>
      </c>
      <c r="D57" s="18">
        <f>'Γενικό Αποτέλεσμα'!AA144</f>
        <v>0</v>
      </c>
      <c r="E57" s="18">
        <f t="shared" si="3"/>
        <v>0</v>
      </c>
      <c r="F57" s="9" t="str">
        <f t="shared" si="2"/>
        <v>0%</v>
      </c>
    </row>
    <row r="58" spans="2:6" x14ac:dyDescent="0.25">
      <c r="B58" s="9" t="str">
        <f>'Γενικό Αποτέλεσμα'!A145</f>
        <v>Εξοδα για Μεταφορά Πελατών</v>
      </c>
      <c r="C58" s="18">
        <f>'Γενικό Αποτέλεσμα'!AD264</f>
        <v>0</v>
      </c>
      <c r="D58" s="18">
        <f>'Γενικό Αποτέλεσμα'!AA145</f>
        <v>399.06</v>
      </c>
      <c r="E58" s="18">
        <f t="shared" si="3"/>
        <v>399.06</v>
      </c>
      <c r="F58" s="9" t="str">
        <f t="shared" si="2"/>
        <v>0%</v>
      </c>
    </row>
    <row r="59" spans="2:6" ht="28.5" x14ac:dyDescent="0.25">
      <c r="B59" s="9" t="str">
        <f>'Γενικό Αποτέλεσμα'!A146</f>
        <v xml:space="preserve">Έξοδα για σύσταση πελατείας αποθήκευσης Αποσκευών ( Radical) </v>
      </c>
      <c r="C59" s="18">
        <f>'Γενικό Αποτέλεσμα'!AD265</f>
        <v>6907.6899999999987</v>
      </c>
      <c r="D59" s="18">
        <f>'Γενικό Αποτέλεσμα'!AA146</f>
        <v>5994.46</v>
      </c>
      <c r="E59" s="18">
        <f t="shared" si="3"/>
        <v>-913.22999999999865</v>
      </c>
      <c r="F59" s="9" t="str">
        <f t="shared" si="2"/>
        <v>-13%</v>
      </c>
    </row>
    <row r="60" spans="2:6" x14ac:dyDescent="0.25">
      <c r="B60" s="9" t="str">
        <f>'Γενικό Αποτέλεσμα'!A147</f>
        <v>Αμοιβές Τρίτων ( Καθαριστήριο και άλλα άμεσα έξοδα )</v>
      </c>
      <c r="C60" s="18">
        <f>'Γενικό Αποτέλεσμα'!AD266</f>
        <v>0</v>
      </c>
      <c r="D60" s="18">
        <f>'Γενικό Αποτέλεσμα'!AA147</f>
        <v>1811.8300000000002</v>
      </c>
      <c r="E60" s="18">
        <f t="shared" si="3"/>
        <v>1811.8300000000002</v>
      </c>
      <c r="F60" s="9" t="str">
        <f t="shared" si="2"/>
        <v>0%</v>
      </c>
    </row>
    <row r="61" spans="2:6" x14ac:dyDescent="0.25">
      <c r="B61" s="9" t="str">
        <f>'Γενικό Αποτέλεσμα'!A148</f>
        <v>Επισκευές - Συντηρήσεις</v>
      </c>
      <c r="C61" s="18">
        <f>'Γενικό Αποτέλεσμα'!AD267</f>
        <v>0</v>
      </c>
      <c r="D61" s="18">
        <f>'Γενικό Αποτέλεσμα'!AA148</f>
        <v>0</v>
      </c>
      <c r="E61" s="18">
        <f t="shared" si="3"/>
        <v>0</v>
      </c>
      <c r="F61" s="9" t="str">
        <f t="shared" si="2"/>
        <v>0%</v>
      </c>
    </row>
    <row r="62" spans="2:6" x14ac:dyDescent="0.25">
      <c r="B62" s="9" t="str">
        <f>'Γενικό Αποτέλεσμα'!A149</f>
        <v>Φόρος Παρεπιδημούντων</v>
      </c>
      <c r="C62" s="18">
        <f>'Γενικό Αποτέλεσμα'!AD268</f>
        <v>88654.199999999968</v>
      </c>
      <c r="D62" s="18">
        <f>'Γενικό Αποτέλεσμα'!AA149</f>
        <v>94079.720000000016</v>
      </c>
      <c r="E62" s="18">
        <f t="shared" si="3"/>
        <v>5425.5200000000477</v>
      </c>
      <c r="F62" s="9" t="str">
        <f t="shared" si="2"/>
        <v>+6%</v>
      </c>
    </row>
    <row r="63" spans="2:6" x14ac:dyDescent="0.25">
      <c r="B63" s="9" t="str">
        <f>'Γενικό Αποτέλεσμα'!A150</f>
        <v>Αποσβέσεις ( Κτήρια - Μηχανήματα - Εξοπλισμός )</v>
      </c>
      <c r="C63" s="18">
        <f>'Γενικό Αποτέλεσμα'!AD269</f>
        <v>10350.869999999999</v>
      </c>
      <c r="D63" s="18">
        <f>'Γενικό Αποτέλεσμα'!AA150</f>
        <v>5806.2300000000005</v>
      </c>
      <c r="E63" s="18">
        <f t="shared" si="3"/>
        <v>-4544.6399999999985</v>
      </c>
      <c r="F63" s="9" t="str">
        <f t="shared" si="2"/>
        <v>-44%</v>
      </c>
    </row>
    <row r="64" spans="2:6" x14ac:dyDescent="0.25">
      <c r="B64" s="9" t="str">
        <f>'Γενικό Αποτέλεσμα'!A151</f>
        <v>Αναλώσιμα τρόφιμα  (Ομάδα 2**)</v>
      </c>
      <c r="C64" s="18">
        <f>'Γενικό Αποτέλεσμα'!AD270</f>
        <v>0</v>
      </c>
      <c r="D64" s="18">
        <f>'Γενικό Αποτέλεσμα'!AA151</f>
        <v>1179.54</v>
      </c>
      <c r="E64" s="18">
        <f t="shared" si="3"/>
        <v>1179.54</v>
      </c>
      <c r="F64" s="9" t="str">
        <f t="shared" si="2"/>
        <v>0%</v>
      </c>
    </row>
    <row r="65" spans="2:7" x14ac:dyDescent="0.25">
      <c r="B65" s="9" t="s">
        <v>154</v>
      </c>
      <c r="C65" s="18">
        <f>SUM(C35:C62)</f>
        <v>262638.67</v>
      </c>
      <c r="D65" s="18">
        <f>SUM(D35:D62)</f>
        <v>271036.44999999995</v>
      </c>
      <c r="E65" s="18">
        <f>SUM(E35:E62)</f>
        <v>8397.7800000000516</v>
      </c>
      <c r="F65" s="9" t="str">
        <f t="shared" si="2"/>
        <v>+3%</v>
      </c>
      <c r="G65" t="s">
        <v>156</v>
      </c>
    </row>
    <row r="66" spans="2:7" x14ac:dyDescent="0.25">
      <c r="B66" s="9"/>
    </row>
    <row r="70" spans="2:7" x14ac:dyDescent="0.25">
      <c r="B70" s="48" t="s">
        <v>143</v>
      </c>
      <c r="C70" s="49" t="s">
        <v>152</v>
      </c>
      <c r="D70" s="48" t="s">
        <v>153</v>
      </c>
      <c r="E70" s="48" t="s">
        <v>138</v>
      </c>
      <c r="F70" s="51" t="s">
        <v>139</v>
      </c>
    </row>
    <row r="71" spans="2:7" x14ac:dyDescent="0.25">
      <c r="B71" s="45" t="str">
        <f>'Γενικό Αποτέλεσμα'!A121</f>
        <v>Μικτές Αποδοχές Developent Department (A.K.Ddep)</v>
      </c>
      <c r="C71" s="36">
        <f>'Γενικό Αποτέλεσμα'!AD277</f>
        <v>8697.48</v>
      </c>
      <c r="D71" s="36">
        <f>'Γενικό Αποτέλεσμα'!AA121</f>
        <v>9451.0400000000009</v>
      </c>
      <c r="E71" s="36">
        <f>D71-C71</f>
        <v>753.56000000000131</v>
      </c>
      <c r="F71" s="44" t="str">
        <f t="shared" ref="F71:F77" si="4">IF(C71=0, "0%", IF((D71 - C71) / C71 &gt;= 0, "+" &amp; TEXT((D71 - C71) / C71, "#.##%"), TEXT((D71 - C71) / C71, "#.##%")))</f>
        <v>+9%</v>
      </c>
    </row>
    <row r="72" spans="2:7" x14ac:dyDescent="0.25">
      <c r="B72" s="45" t="str">
        <f>'Γενικό Αποτέλεσμα'!A122</f>
        <v>Μικτές Αποδοχές Reservation department (Α.Κ.RDep )</v>
      </c>
      <c r="C72" s="36">
        <f>'Γενικό Αποτέλεσμα'!AD278</f>
        <v>3221.29</v>
      </c>
      <c r="D72" s="36">
        <f>'Γενικό Αποτέλεσμα'!AA122</f>
        <v>10153.07</v>
      </c>
      <c r="E72" s="36">
        <f t="shared" ref="E72:E100" si="5">D72-C72</f>
        <v>6931.78</v>
      </c>
      <c r="F72" s="44" t="str">
        <f t="shared" si="4"/>
        <v>+215%</v>
      </c>
    </row>
    <row r="73" spans="2:7" x14ac:dyDescent="0.25">
      <c r="B73" s="45" t="str">
        <f>'Γενικό Αποτέλεσμα'!A159</f>
        <v>Μικτές Αποδοχές Marketing (Α.Κ.MDep )</v>
      </c>
      <c r="C73" s="36">
        <f>'Γενικό Αποτέλεσμα'!AD279</f>
        <v>8174.06</v>
      </c>
      <c r="D73" s="36">
        <f>'Γενικό Αποτέλεσμα'!AA159</f>
        <v>5921.02</v>
      </c>
      <c r="E73" s="36">
        <f t="shared" si="5"/>
        <v>-2253.04</v>
      </c>
      <c r="F73" s="44" t="str">
        <f t="shared" si="4"/>
        <v>-28%</v>
      </c>
    </row>
    <row r="74" spans="2:7" x14ac:dyDescent="0.25">
      <c r="B74" s="45" t="str">
        <f>'Γενικό Αποτέλεσμα'!A160</f>
        <v>Μικτές Αποδοχές Sales (Α.Κ.SDep )</v>
      </c>
      <c r="C74" s="36">
        <f>'Γενικό Αποτέλεσμα'!AD280</f>
        <v>0</v>
      </c>
      <c r="D74" s="36">
        <f>'Γενικό Αποτέλεσμα'!AA160</f>
        <v>6270.86</v>
      </c>
      <c r="E74" s="36">
        <f t="shared" si="5"/>
        <v>6270.86</v>
      </c>
      <c r="F74" s="44" t="str">
        <f t="shared" si="4"/>
        <v>0%</v>
      </c>
    </row>
    <row r="75" spans="2:7" x14ac:dyDescent="0.25">
      <c r="B75" s="45" t="str">
        <f>'Γενικό Αποτέλεσμα'!A126</f>
        <v>Ασφαλιστικές εισφορές (Α.Κ.DDep)</v>
      </c>
      <c r="C75" s="36">
        <f>'Γενικό Αποτέλεσμα'!AD281</f>
        <v>1637.8500000000001</v>
      </c>
      <c r="D75" s="36">
        <f>'Γενικό Αποτέλεσμα'!AA126</f>
        <v>1913.23</v>
      </c>
      <c r="E75" s="36">
        <f t="shared" si="5"/>
        <v>275.37999999999988</v>
      </c>
      <c r="F75" s="44" t="str">
        <f t="shared" si="4"/>
        <v>+17%</v>
      </c>
    </row>
    <row r="76" spans="2:7" x14ac:dyDescent="0.25">
      <c r="B76" s="45" t="str">
        <f>'Γενικό Αποτέλεσμα'!A127</f>
        <v>Ασφαλιστικές εισφορές (Α.Κ.RDep)</v>
      </c>
      <c r="C76" s="36">
        <f>'Γενικό Αποτέλεσμα'!AD282</f>
        <v>1018.8499999999999</v>
      </c>
      <c r="D76" s="36">
        <f>'Γενικό Αποτέλεσμα'!AA127</f>
        <v>2080.4</v>
      </c>
      <c r="E76" s="36">
        <f t="shared" si="5"/>
        <v>1061.5500000000002</v>
      </c>
      <c r="F76" s="44" t="str">
        <f t="shared" si="4"/>
        <v>+104%</v>
      </c>
    </row>
    <row r="77" spans="2:7" x14ac:dyDescent="0.25">
      <c r="B77" s="45" t="str">
        <f>'Γενικό Αποτέλεσμα'!A161</f>
        <v>Ασφαλιστικές εισφορές (Α.Κ.MDep)</v>
      </c>
      <c r="C77" s="36">
        <f>'Γενικό Αποτέλεσμα'!AD283</f>
        <v>1599.68</v>
      </c>
      <c r="D77" s="36">
        <f>'Γενικό Αποτέλεσμα'!AA161</f>
        <v>901.2</v>
      </c>
      <c r="E77" s="36">
        <f t="shared" si="5"/>
        <v>-698.48</v>
      </c>
      <c r="F77" s="44" t="str">
        <f t="shared" si="4"/>
        <v>-44%</v>
      </c>
    </row>
    <row r="78" spans="2:7" x14ac:dyDescent="0.25">
      <c r="B78" s="45" t="str">
        <f>'Γενικό Αποτέλεσμα'!A162</f>
        <v>Ασφαλιστικές εισφορές (Α.Κ.SDep)</v>
      </c>
      <c r="C78" s="36">
        <f>'Γενικό Αποτέλεσμα'!AD284</f>
        <v>0</v>
      </c>
      <c r="D78" s="36">
        <f>'Γενικό Αποτέλεσμα'!AA162</f>
        <v>880.69999999999993</v>
      </c>
      <c r="E78" s="36">
        <f t="shared" si="5"/>
        <v>880.69999999999993</v>
      </c>
      <c r="F78" s="44" t="str">
        <f t="shared" ref="F78:F141" si="6">IF(C78=0, "0%", IF((D78 - C78) / C78 &gt;= 0, "+" &amp; TEXT((D78 - C78) / C78, "#.##%"), TEXT((D78 - C78) / C78, "#.##%")))</f>
        <v>0%</v>
      </c>
    </row>
    <row r="79" spans="2:7" x14ac:dyDescent="0.25">
      <c r="B79" s="45" t="str">
        <f>'Γενικό Αποτέλεσμα'!A163</f>
        <v>Ενοίκιο</v>
      </c>
      <c r="C79" s="36">
        <f>'Γενικό Αποτέλεσμα'!AD285</f>
        <v>0</v>
      </c>
      <c r="D79" s="36">
        <f>'Γενικό Αποτέλεσμα'!AA163</f>
        <v>0</v>
      </c>
      <c r="E79" s="36">
        <f t="shared" si="5"/>
        <v>0</v>
      </c>
      <c r="F79" s="44" t="str">
        <f t="shared" si="6"/>
        <v>0%</v>
      </c>
    </row>
    <row r="80" spans="2:7" x14ac:dyDescent="0.25">
      <c r="B80" s="45" t="str">
        <f>'Γενικό Αποτέλεσμα'!A164</f>
        <v xml:space="preserve">Χαρτόσημο ενοικίων </v>
      </c>
      <c r="C80" s="36">
        <f>'Γενικό Αποτέλεσμα'!AD286</f>
        <v>0</v>
      </c>
      <c r="D80" s="36">
        <f>'Γενικό Αποτέλεσμα'!AA164</f>
        <v>0</v>
      </c>
      <c r="E80" s="36">
        <f t="shared" si="5"/>
        <v>0</v>
      </c>
      <c r="F80" s="44" t="str">
        <f t="shared" si="6"/>
        <v>0%</v>
      </c>
    </row>
    <row r="81" spans="2:6" x14ac:dyDescent="0.25">
      <c r="B81" s="45" t="str">
        <f>'Γενικό Αποτέλεσμα'!A165</f>
        <v xml:space="preserve">Κοινόχρηστες Δαπάνες </v>
      </c>
      <c r="C81" s="36">
        <f>'Γενικό Αποτέλεσμα'!AD287</f>
        <v>0</v>
      </c>
      <c r="D81" s="36">
        <f>'Γενικό Αποτέλεσμα'!AA165</f>
        <v>0</v>
      </c>
      <c r="E81" s="36">
        <f t="shared" si="5"/>
        <v>0</v>
      </c>
      <c r="F81" s="44" t="str">
        <f t="shared" si="6"/>
        <v>0%</v>
      </c>
    </row>
    <row r="82" spans="2:6" x14ac:dyDescent="0.25">
      <c r="B82" s="45" t="str">
        <f>'Γενικό Αποτέλεσμα'!A166</f>
        <v xml:space="preserve">Ενέργεια </v>
      </c>
      <c r="C82" s="36">
        <f>'Γενικό Αποτέλεσμα'!AD288</f>
        <v>0</v>
      </c>
      <c r="D82" s="36">
        <f>'Γενικό Αποτέλεσμα'!AA166</f>
        <v>0</v>
      </c>
      <c r="E82" s="36">
        <f t="shared" si="5"/>
        <v>0</v>
      </c>
      <c r="F82" s="44" t="str">
        <f t="shared" si="6"/>
        <v>0%</v>
      </c>
    </row>
    <row r="83" spans="2:6" x14ac:dyDescent="0.25">
      <c r="B83" s="45" t="str">
        <f>'Γενικό Αποτέλεσμα'!A167</f>
        <v xml:space="preserve">Τηλεπικοινωνίες (Τηλεφωνία &amp; Διαδίκτυο) </v>
      </c>
      <c r="C83" s="36">
        <f>'Γενικό Αποτέλεσμα'!AD289</f>
        <v>0</v>
      </c>
      <c r="D83" s="36">
        <f>'Γενικό Αποτέλεσμα'!AA167</f>
        <v>0</v>
      </c>
      <c r="E83" s="36">
        <f t="shared" si="5"/>
        <v>0</v>
      </c>
      <c r="F83" s="44" t="str">
        <f t="shared" si="6"/>
        <v>0%</v>
      </c>
    </row>
    <row r="84" spans="2:6" x14ac:dyDescent="0.25">
      <c r="B84" s="45" t="str">
        <f>'Γενικό Αποτέλεσμα'!A168</f>
        <v xml:space="preserve">Ύδρευση </v>
      </c>
      <c r="C84" s="36">
        <f>'Γενικό Αποτέλεσμα'!AD290</f>
        <v>0</v>
      </c>
      <c r="D84" s="36">
        <f>'Γενικό Αποτέλεσμα'!AA168</f>
        <v>0</v>
      </c>
      <c r="E84" s="36">
        <f t="shared" si="5"/>
        <v>0</v>
      </c>
      <c r="F84" s="44" t="str">
        <f t="shared" si="6"/>
        <v>0%</v>
      </c>
    </row>
    <row r="85" spans="2:6" x14ac:dyDescent="0.25">
      <c r="B85" s="45" t="str">
        <f>'Γενικό Αποτέλεσμα'!A169</f>
        <v xml:space="preserve">Ασφάλιστρα </v>
      </c>
      <c r="C85" s="36">
        <f>'Γενικό Αποτέλεσμα'!AD291</f>
        <v>0</v>
      </c>
      <c r="D85" s="36">
        <f>'Γενικό Αποτέλεσμα'!AA169</f>
        <v>0</v>
      </c>
      <c r="E85" s="36">
        <f t="shared" si="5"/>
        <v>0</v>
      </c>
      <c r="F85" s="44" t="str">
        <f t="shared" si="6"/>
        <v>0%</v>
      </c>
    </row>
    <row r="86" spans="2:6" x14ac:dyDescent="0.25">
      <c r="B86" s="45" t="str">
        <f>'Γενικό Αποτέλεσμα'!A170</f>
        <v xml:space="preserve">Έντυπα και γραφική Ύλη </v>
      </c>
      <c r="C86" s="36">
        <f>'Γενικό Αποτέλεσμα'!AD292</f>
        <v>21.79</v>
      </c>
      <c r="D86" s="36">
        <f>'Γενικό Αποτέλεσμα'!AA170</f>
        <v>554.78</v>
      </c>
      <c r="E86" s="36">
        <f t="shared" si="5"/>
        <v>532.99</v>
      </c>
      <c r="F86" s="44" t="str">
        <f t="shared" si="6"/>
        <v>+2.446%</v>
      </c>
    </row>
    <row r="87" spans="2:6" x14ac:dyDescent="0.25">
      <c r="B87" s="45">
        <f>'Γενικό Αποτέλεσμα'!A171</f>
        <v>0</v>
      </c>
      <c r="C87" s="36">
        <f>'Γενικό Αποτέλεσμα'!AD293</f>
        <v>0</v>
      </c>
      <c r="D87" s="36">
        <f>'Γενικό Αποτέλεσμα'!AA171</f>
        <v>0</v>
      </c>
      <c r="E87" s="36">
        <f t="shared" si="5"/>
        <v>0</v>
      </c>
      <c r="F87" s="44" t="str">
        <f t="shared" si="6"/>
        <v>0%</v>
      </c>
    </row>
    <row r="88" spans="2:6" x14ac:dyDescent="0.25">
      <c r="B88" s="45" t="str">
        <f>'Γενικό Αποτέλεσμα'!A172</f>
        <v xml:space="preserve">Υλικά Καθαριότητας </v>
      </c>
      <c r="C88" s="36">
        <f>'Γενικό Αποτέλεσμα'!AD294</f>
        <v>0</v>
      </c>
      <c r="D88" s="36">
        <f>'Γενικό Αποτέλεσμα'!AA172</f>
        <v>0</v>
      </c>
      <c r="E88" s="36">
        <f t="shared" si="5"/>
        <v>0</v>
      </c>
      <c r="F88" s="44" t="str">
        <f t="shared" si="6"/>
        <v>0%</v>
      </c>
    </row>
    <row r="89" spans="2:6" x14ac:dyDescent="0.25">
      <c r="B89" s="45" t="str">
        <f>'Γενικό Αποτέλεσμα'!A173</f>
        <v>Υλικά Φαρμακείου</v>
      </c>
      <c r="C89" s="36">
        <f>'Γενικό Αποτέλεσμα'!AD295</f>
        <v>74.38</v>
      </c>
      <c r="D89" s="36">
        <f>'Γενικό Αποτέλεσμα'!AA173</f>
        <v>4747.45</v>
      </c>
      <c r="E89" s="36">
        <f t="shared" si="5"/>
        <v>4673.07</v>
      </c>
      <c r="F89" s="44" t="str">
        <f t="shared" si="6"/>
        <v>+6.283%</v>
      </c>
    </row>
    <row r="90" spans="2:6" x14ac:dyDescent="0.25">
      <c r="B90" s="45" t="str">
        <f>'Γενικό Αποτέλεσμα'!A174</f>
        <v xml:space="preserve">Αγορές εφαρμογών για Marketing </v>
      </c>
      <c r="C90" s="36">
        <f>'Γενικό Αποτέλεσμα'!AD296</f>
        <v>1430.43</v>
      </c>
      <c r="D90" s="36">
        <f>'Γενικό Αποτέλεσμα'!AA174</f>
        <v>878.12</v>
      </c>
      <c r="E90" s="36">
        <f t="shared" si="5"/>
        <v>-552.31000000000006</v>
      </c>
      <c r="F90" s="44" t="str">
        <f t="shared" si="6"/>
        <v>-39%</v>
      </c>
    </row>
    <row r="91" spans="2:6" ht="28.5" x14ac:dyDescent="0.25">
      <c r="B91" s="45" t="str">
        <f>'Γενικό Αποτέλεσμα'!A175</f>
        <v>Αμοιβές συνεργατών ( Συνδρομές για Marketing - Ιστοσελίδα _ Editing 3D  -)</v>
      </c>
      <c r="C91" s="36">
        <f>'Γενικό Αποτέλεσμα'!AD297</f>
        <v>0</v>
      </c>
      <c r="D91" s="36">
        <f>'Γενικό Αποτέλεσμα'!AA175</f>
        <v>0</v>
      </c>
      <c r="E91" s="36">
        <f t="shared" si="5"/>
        <v>0</v>
      </c>
      <c r="F91" s="44" t="str">
        <f t="shared" si="6"/>
        <v>0%</v>
      </c>
    </row>
    <row r="92" spans="2:6" x14ac:dyDescent="0.25">
      <c r="B92" s="45" t="str">
        <f>'Γενικό Αποτέλεσμα'!A176</f>
        <v xml:space="preserve">Αμοιβές Τρίτων </v>
      </c>
      <c r="C92" s="36">
        <f>'Γενικό Αποτέλεσμα'!AD298</f>
        <v>0</v>
      </c>
      <c r="D92" s="36">
        <f>'Γενικό Αποτέλεσμα'!AA176</f>
        <v>0</v>
      </c>
      <c r="E92" s="36">
        <f t="shared" si="5"/>
        <v>0</v>
      </c>
      <c r="F92" s="44" t="str">
        <f t="shared" si="6"/>
        <v>0%</v>
      </c>
    </row>
    <row r="93" spans="2:6" x14ac:dyDescent="0.25">
      <c r="B93" s="45" t="str">
        <f>'Γενικό Αποτέλεσμα'!A177</f>
        <v>Επισκευές - Συντηρήσεις</v>
      </c>
      <c r="C93" s="36">
        <f>'Γενικό Αποτέλεσμα'!AD299</f>
        <v>3658.23</v>
      </c>
      <c r="D93" s="36">
        <f>'Γενικό Αποτέλεσμα'!AA177</f>
        <v>2545.4699999999998</v>
      </c>
      <c r="E93" s="36">
        <f t="shared" si="5"/>
        <v>-1112.7600000000002</v>
      </c>
      <c r="F93" s="44" t="str">
        <f t="shared" si="6"/>
        <v>-30%</v>
      </c>
    </row>
    <row r="94" spans="2:6" x14ac:dyDescent="0.25">
      <c r="B94" s="45" t="str">
        <f>'Γενικό Αποτέλεσμα'!A178</f>
        <v xml:space="preserve">Εξοδα προβολής και διαφήμισης </v>
      </c>
      <c r="C94" s="36">
        <f>'Γενικό Αποτέλεσμα'!AD300</f>
        <v>0</v>
      </c>
      <c r="D94" s="36">
        <f>'Γενικό Αποτέλεσμα'!AA178</f>
        <v>0</v>
      </c>
      <c r="E94" s="36">
        <f t="shared" si="5"/>
        <v>0</v>
      </c>
      <c r="F94" s="44" t="str">
        <f t="shared" si="6"/>
        <v>0%</v>
      </c>
    </row>
    <row r="95" spans="2:6" x14ac:dyDescent="0.25">
      <c r="B95" s="45" t="str">
        <f>'Γενικό Αποτέλεσμα'!A179</f>
        <v>Εξοδα εκθέσεων και επιδείξεων</v>
      </c>
      <c r="C95" s="36">
        <f>'Γενικό Αποτέλεσμα'!AD301</f>
        <v>0</v>
      </c>
      <c r="D95" s="36">
        <f>'Γενικό Αποτέλεσμα'!AA179</f>
        <v>0</v>
      </c>
      <c r="E95" s="36">
        <f t="shared" si="5"/>
        <v>0</v>
      </c>
      <c r="F95" s="44" t="str">
        <f t="shared" si="6"/>
        <v>0%</v>
      </c>
    </row>
    <row r="96" spans="2:6" x14ac:dyDescent="0.25">
      <c r="B96" s="45" t="str">
        <f>'Γενικό Αποτέλεσμα'!A180</f>
        <v>Αποσβέσεις ( Εξοπλισμού R.DEP. &amp; M.DEP.)</v>
      </c>
      <c r="C96" s="36">
        <f>'Γενικό Αποτέλεσμα'!AD302</f>
        <v>0</v>
      </c>
      <c r="D96" s="36">
        <f>'Γενικό Αποτέλεσμα'!AA180</f>
        <v>0</v>
      </c>
      <c r="E96" s="36">
        <f t="shared" si="5"/>
        <v>0</v>
      </c>
      <c r="F96" s="44" t="str">
        <f t="shared" si="6"/>
        <v>0%</v>
      </c>
    </row>
    <row r="97" spans="2:7" x14ac:dyDescent="0.25">
      <c r="B97" s="45">
        <f>'Γενικό Αποτέλεσμα'!A181</f>
        <v>0</v>
      </c>
      <c r="C97" s="36">
        <f>'Γενικό Αποτέλεσμα'!AD303</f>
        <v>0</v>
      </c>
      <c r="D97" s="36">
        <f>'Γενικό Αποτέλεσμα'!AA181</f>
        <v>0</v>
      </c>
      <c r="E97" s="36">
        <f t="shared" si="5"/>
        <v>0</v>
      </c>
      <c r="F97" s="44" t="str">
        <f t="shared" si="6"/>
        <v>0%</v>
      </c>
    </row>
    <row r="98" spans="2:7" x14ac:dyDescent="0.25">
      <c r="B98" s="45">
        <f>'Γενικό Αποτέλεσμα'!A182</f>
        <v>0</v>
      </c>
      <c r="C98" s="36">
        <f>'Γενικό Αποτέλεσμα'!AD304</f>
        <v>0</v>
      </c>
      <c r="D98" s="36">
        <f>'Γενικό Αποτέλεσμα'!AA182</f>
        <v>0</v>
      </c>
      <c r="E98" s="36">
        <f t="shared" si="5"/>
        <v>0</v>
      </c>
      <c r="F98" s="44" t="str">
        <f t="shared" si="6"/>
        <v>0%</v>
      </c>
    </row>
    <row r="99" spans="2:7" x14ac:dyDescent="0.25">
      <c r="B99" s="45">
        <f>'Γενικό Αποτέλεσμα'!A183</f>
        <v>0</v>
      </c>
      <c r="C99" s="36">
        <f>'Γενικό Αποτέλεσμα'!AD305</f>
        <v>0</v>
      </c>
      <c r="D99" s="36">
        <f>'Γενικό Αποτέλεσμα'!AA183</f>
        <v>0</v>
      </c>
      <c r="E99" s="36">
        <f t="shared" si="5"/>
        <v>0</v>
      </c>
      <c r="F99" s="44" t="str">
        <f t="shared" si="6"/>
        <v>0%</v>
      </c>
    </row>
    <row r="100" spans="2:7" x14ac:dyDescent="0.25">
      <c r="B100" s="45">
        <f>'Γενικό Αποτέλεσμα'!A184</f>
        <v>0</v>
      </c>
      <c r="C100" s="36">
        <f>'Γενικό Αποτέλεσμα'!AD306</f>
        <v>0</v>
      </c>
      <c r="D100" s="36">
        <f>'Γενικό Αποτέλεσμα'!AA184</f>
        <v>0</v>
      </c>
      <c r="E100" s="36">
        <f t="shared" si="5"/>
        <v>0</v>
      </c>
      <c r="F100" s="44" t="str">
        <f t="shared" si="6"/>
        <v>0%</v>
      </c>
    </row>
    <row r="101" spans="2:7" x14ac:dyDescent="0.25">
      <c r="B101" s="35" t="s">
        <v>154</v>
      </c>
      <c r="C101" s="36">
        <f>SUM(C71:C99)</f>
        <v>29534.04</v>
      </c>
      <c r="D101" s="36">
        <f>SUM(D71:D99)</f>
        <v>46297.34</v>
      </c>
      <c r="E101" s="36">
        <f>SUM(E71:E99)</f>
        <v>16763.300000000003</v>
      </c>
      <c r="F101" s="44" t="str">
        <f>IF(C101=0, "0%", IF((D101 - C101) / C101 &gt;= 0, "+" &amp; TEXT((D101 - C101) / C101, "#.##%"), TEXT((D101 - C101) / C101, "#.##%")))</f>
        <v>+57%</v>
      </c>
      <c r="G101" t="s">
        <v>156</v>
      </c>
    </row>
    <row r="102" spans="2:7" x14ac:dyDescent="0.25">
      <c r="F102" s="41"/>
    </row>
    <row r="103" spans="2:7" x14ac:dyDescent="0.25">
      <c r="B103" s="48" t="s">
        <v>146</v>
      </c>
      <c r="C103" s="49" t="s">
        <v>152</v>
      </c>
      <c r="D103" s="48" t="s">
        <v>153</v>
      </c>
      <c r="E103" s="48" t="s">
        <v>138</v>
      </c>
      <c r="F103" s="51" t="s">
        <v>139</v>
      </c>
    </row>
    <row r="104" spans="2:7" x14ac:dyDescent="0.25">
      <c r="B104" s="44" t="str">
        <f>'Γενικό Αποτέλεσμα'!A191</f>
        <v>Μικτές Αποδοχές (Α.Κ.Διοικ.)</v>
      </c>
      <c r="C104" s="36">
        <f>'Γενικό Αποτέλεσμα'!AD313</f>
        <v>0</v>
      </c>
      <c r="D104" s="36">
        <f>'Γενικό Αποτέλεσμα'!AA191</f>
        <v>0</v>
      </c>
      <c r="E104" s="36">
        <f>D104-C104</f>
        <v>0</v>
      </c>
      <c r="F104" s="44" t="str">
        <f t="shared" si="6"/>
        <v>0%</v>
      </c>
    </row>
    <row r="105" spans="2:7" x14ac:dyDescent="0.25">
      <c r="B105" s="44" t="str">
        <f>'Γενικό Αποτέλεσμα'!A192</f>
        <v>Ασφαλιστικές εισφορές  (Α.Κ.Διοικ.)</v>
      </c>
      <c r="C105" s="36">
        <f>'Γενικό Αποτέλεσμα'!AD314</f>
        <v>1346.13</v>
      </c>
      <c r="D105" s="36">
        <f>'Γενικό Αποτέλεσμα'!AA192</f>
        <v>1242.75</v>
      </c>
      <c r="E105" s="36">
        <f t="shared" ref="E105:E143" si="7">D105-C105</f>
        <v>-103.38000000000011</v>
      </c>
      <c r="F105" s="44" t="str">
        <f t="shared" si="6"/>
        <v>-8%</v>
      </c>
    </row>
    <row r="106" spans="2:7" x14ac:dyDescent="0.25">
      <c r="B106" s="44" t="str">
        <f>'Γενικό Αποτέλεσμα'!A193</f>
        <v xml:space="preserve">Ενοίκια  Έδρας </v>
      </c>
      <c r="C106" s="36">
        <f>'Γενικό Αποτέλεσμα'!AD315</f>
        <v>4250</v>
      </c>
      <c r="D106" s="36">
        <f>'Γενικό Αποτέλεσμα'!AA193</f>
        <v>4826.25</v>
      </c>
      <c r="E106" s="36">
        <f t="shared" si="7"/>
        <v>576.25</v>
      </c>
      <c r="F106" s="44" t="str">
        <f t="shared" si="6"/>
        <v>+14%</v>
      </c>
    </row>
    <row r="107" spans="2:7" x14ac:dyDescent="0.25">
      <c r="B107" s="44" t="str">
        <f>'Γενικό Αποτέλεσμα'!A194</f>
        <v>Ενοίκιο Αποθήκης Β</v>
      </c>
      <c r="C107" s="36">
        <f>'Γενικό Αποτέλεσμα'!AD316</f>
        <v>0</v>
      </c>
      <c r="D107" s="36">
        <f>'Γενικό Αποτέλεσμα'!AA194</f>
        <v>157.6</v>
      </c>
      <c r="E107" s="36">
        <f t="shared" si="7"/>
        <v>157.6</v>
      </c>
      <c r="F107" s="44" t="str">
        <f t="shared" si="6"/>
        <v>0%</v>
      </c>
    </row>
    <row r="108" spans="2:7" x14ac:dyDescent="0.25">
      <c r="B108" s="44" t="str">
        <f>'Γενικό Αποτέλεσμα'!A195</f>
        <v>Ενοίκιο Αποθήκης Α</v>
      </c>
      <c r="C108" s="36">
        <f>'Γενικό Αποτέλεσμα'!AD317</f>
        <v>1206.55</v>
      </c>
      <c r="D108" s="36">
        <f>'Γενικό Αποτέλεσμα'!AA195</f>
        <v>44.75</v>
      </c>
      <c r="E108" s="36">
        <f t="shared" si="7"/>
        <v>-1161.8</v>
      </c>
      <c r="F108" s="44" t="str">
        <f t="shared" si="6"/>
        <v>-96%</v>
      </c>
    </row>
    <row r="109" spans="2:7" x14ac:dyDescent="0.25">
      <c r="B109" s="44" t="str">
        <f>'Γενικό Αποτέλεσμα'!A196</f>
        <v>Ενοίκιο Αριστοφάνους 1</v>
      </c>
      <c r="C109" s="36">
        <f>'Γενικό Αποτέλεσμα'!AD318</f>
        <v>0</v>
      </c>
      <c r="D109" s="36">
        <f>'Γενικό Αποτέλεσμα'!AA196</f>
        <v>0</v>
      </c>
      <c r="E109" s="36">
        <f t="shared" si="7"/>
        <v>0</v>
      </c>
      <c r="F109" s="44" t="str">
        <f t="shared" si="6"/>
        <v>0%</v>
      </c>
    </row>
    <row r="110" spans="2:7" x14ac:dyDescent="0.25">
      <c r="B110" s="44" t="str">
        <f>'Γενικό Αποτέλεσμα'!A197</f>
        <v xml:space="preserve">Χαρτόσημο ενοικίου Έδρας </v>
      </c>
      <c r="C110" s="36">
        <f>'Γενικό Αποτέλεσμα'!AD319</f>
        <v>153</v>
      </c>
      <c r="D110" s="36">
        <f>'Γενικό Αποτέλεσμα'!AA197</f>
        <v>173.75</v>
      </c>
      <c r="E110" s="36">
        <f t="shared" si="7"/>
        <v>20.75</v>
      </c>
      <c r="F110" s="44" t="str">
        <f t="shared" si="6"/>
        <v>+14%</v>
      </c>
    </row>
    <row r="111" spans="2:7" x14ac:dyDescent="0.25">
      <c r="B111" s="44" t="str">
        <f>'Γενικό Αποτέλεσμα'!A198</f>
        <v xml:space="preserve">Χαρτόσημο Ενοικίου Αποθήκης Α </v>
      </c>
      <c r="C111" s="36">
        <f>'Γενικό Αποτέλεσμα'!AD320</f>
        <v>0</v>
      </c>
      <c r="D111" s="36">
        <f>'Γενικό Αποτέλεσμα'!AA198</f>
        <v>0</v>
      </c>
      <c r="E111" s="36">
        <f t="shared" si="7"/>
        <v>0</v>
      </c>
      <c r="F111" s="44" t="str">
        <f t="shared" si="6"/>
        <v>0%</v>
      </c>
    </row>
    <row r="112" spans="2:7" x14ac:dyDescent="0.25">
      <c r="B112" s="44" t="str">
        <f>'Γενικό Αποτέλεσμα'!A199</f>
        <v xml:space="preserve">Χαρτόσημο Ενοικίου Αποθήκης Β </v>
      </c>
      <c r="C112" s="36">
        <f>'Γενικό Αποτέλεσμα'!AD321</f>
        <v>0</v>
      </c>
      <c r="D112" s="36">
        <f>'Γενικό Αποτέλεσμα'!AA199</f>
        <v>0</v>
      </c>
      <c r="E112" s="36">
        <f t="shared" si="7"/>
        <v>0</v>
      </c>
      <c r="F112" s="44" t="str">
        <f t="shared" si="6"/>
        <v>0%</v>
      </c>
    </row>
    <row r="113" spans="2:6" x14ac:dyDescent="0.25">
      <c r="B113" s="44" t="str">
        <f>'Γενικό Αποτέλεσμα'!A200</f>
        <v>Χαρτόσημο Ενοικίου Αριστοφάνους 1</v>
      </c>
      <c r="C113" s="36">
        <f>'Γενικό Αποτέλεσμα'!AD322</f>
        <v>0</v>
      </c>
      <c r="D113" s="36">
        <f>'Γενικό Αποτέλεσμα'!AA200</f>
        <v>0</v>
      </c>
      <c r="E113" s="36">
        <f t="shared" si="7"/>
        <v>0</v>
      </c>
      <c r="F113" s="44" t="str">
        <f t="shared" si="6"/>
        <v>0%</v>
      </c>
    </row>
    <row r="114" spans="2:6" x14ac:dyDescent="0.25">
      <c r="B114" s="44" t="str">
        <f>'Γενικό Αποτέλεσμα'!A201</f>
        <v xml:space="preserve">Κοινόχρηστες Δαπάνες Έδρας </v>
      </c>
      <c r="C114" s="36">
        <f>'Γενικό Αποτέλεσμα'!AD323</f>
        <v>0</v>
      </c>
      <c r="D114" s="36">
        <f>'Γενικό Αποτέλεσμα'!AA201</f>
        <v>172.5</v>
      </c>
      <c r="E114" s="36">
        <f t="shared" si="7"/>
        <v>172.5</v>
      </c>
      <c r="F114" s="44" t="str">
        <f t="shared" si="6"/>
        <v>0%</v>
      </c>
    </row>
    <row r="115" spans="2:6" x14ac:dyDescent="0.25">
      <c r="B115" s="44" t="str">
        <f>'Γενικό Αποτέλεσμα'!A202</f>
        <v xml:space="preserve">Κοινόχρηστες Δαπάνες Αποθήκης Α </v>
      </c>
      <c r="C115" s="36">
        <f>'Γενικό Αποτέλεσμα'!AD324</f>
        <v>0</v>
      </c>
      <c r="D115" s="36">
        <f>'Γενικό Αποτέλεσμα'!AA202</f>
        <v>751.64</v>
      </c>
      <c r="E115" s="36">
        <f t="shared" si="7"/>
        <v>751.64</v>
      </c>
      <c r="F115" s="44" t="str">
        <f t="shared" si="6"/>
        <v>0%</v>
      </c>
    </row>
    <row r="116" spans="2:6" x14ac:dyDescent="0.25">
      <c r="B116" s="44" t="str">
        <f>'Γενικό Αποτέλεσμα'!A203</f>
        <v xml:space="preserve">Κοινόχρηστες Δαπάνες Αποθήκης Β </v>
      </c>
      <c r="C116" s="36">
        <f>'Γενικό Αποτέλεσμα'!AD325</f>
        <v>0</v>
      </c>
      <c r="D116" s="36">
        <f>'Γενικό Αποτέλεσμα'!AA203</f>
        <v>88.68</v>
      </c>
      <c r="E116" s="36">
        <f t="shared" si="7"/>
        <v>88.68</v>
      </c>
      <c r="F116" s="44" t="str">
        <f t="shared" si="6"/>
        <v>0%</v>
      </c>
    </row>
    <row r="117" spans="2:6" x14ac:dyDescent="0.25">
      <c r="B117" s="44" t="str">
        <f>'Γενικό Αποτέλεσμα'!A204</f>
        <v>Κοινόχρηστες Δαπάνες Αριστοφάνους 1</v>
      </c>
      <c r="C117" s="36">
        <f>'Γενικό Αποτέλεσμα'!AD326</f>
        <v>217.5</v>
      </c>
      <c r="D117" s="36">
        <f>'Γενικό Αποτέλεσμα'!AA204</f>
        <v>46.31</v>
      </c>
      <c r="E117" s="36">
        <f t="shared" si="7"/>
        <v>-171.19</v>
      </c>
      <c r="F117" s="44" t="str">
        <f t="shared" si="6"/>
        <v>-79%</v>
      </c>
    </row>
    <row r="118" spans="2:6" x14ac:dyDescent="0.25">
      <c r="B118" s="44" t="str">
        <f>'Γενικό Αποτέλεσμα'!A205</f>
        <v xml:space="preserve">Ενέργεια  Έδρας </v>
      </c>
      <c r="C118" s="36">
        <f>'Γενικό Αποτέλεσμα'!AD327</f>
        <v>423.70000000000005</v>
      </c>
      <c r="D118" s="36">
        <f>'Γενικό Αποτέλεσμα'!AA205</f>
        <v>62.370000000000005</v>
      </c>
      <c r="E118" s="36">
        <f t="shared" si="7"/>
        <v>-361.33000000000004</v>
      </c>
      <c r="F118" s="44" t="str">
        <f t="shared" si="6"/>
        <v>-85%</v>
      </c>
    </row>
    <row r="119" spans="2:6" x14ac:dyDescent="0.25">
      <c r="B119" s="44" t="str">
        <f>'Γενικό Αποτέλεσμα'!A206</f>
        <v xml:space="preserve">Ενέργεια Αποθήκης Α </v>
      </c>
      <c r="C119" s="36">
        <f>'Γενικό Αποτέλεσμα'!AD328</f>
        <v>32.610000000000007</v>
      </c>
      <c r="D119" s="36">
        <f>'Γενικό Αποτέλεσμα'!AA206</f>
        <v>1482.8000000000002</v>
      </c>
      <c r="E119" s="36">
        <f t="shared" si="7"/>
        <v>1450.1900000000003</v>
      </c>
      <c r="F119" s="44" t="str">
        <f t="shared" si="6"/>
        <v>+4.447%</v>
      </c>
    </row>
    <row r="120" spans="2:6" x14ac:dyDescent="0.25">
      <c r="B120" s="44">
        <f>'Γενικό Αποτέλεσμα'!A207</f>
        <v>0</v>
      </c>
      <c r="C120" s="36">
        <f>'Γενικό Αποτέλεσμα'!AD329</f>
        <v>21.110000000000003</v>
      </c>
      <c r="D120" s="36">
        <f>'Γενικό Αποτέλεσμα'!AA207</f>
        <v>25.62</v>
      </c>
      <c r="E120" s="36">
        <f t="shared" si="7"/>
        <v>4.509999999999998</v>
      </c>
      <c r="F120" s="44" t="str">
        <f t="shared" si="6"/>
        <v>+21%</v>
      </c>
    </row>
    <row r="121" spans="2:6" x14ac:dyDescent="0.25">
      <c r="B121" s="44" t="str">
        <f>'Γενικό Αποτέλεσμα'!A208</f>
        <v>Ενέργεια Αποθήκης Β (OPERATION)</v>
      </c>
      <c r="C121" s="36">
        <f>'Γενικό Αποτέλεσμα'!AD330</f>
        <v>-12.76</v>
      </c>
      <c r="D121" s="36">
        <f>'Γενικό Αποτέλεσμα'!AA208</f>
        <v>299.25</v>
      </c>
      <c r="E121" s="36">
        <f t="shared" si="7"/>
        <v>312.01</v>
      </c>
      <c r="F121" s="44" t="str">
        <f t="shared" si="6"/>
        <v>-2.445%</v>
      </c>
    </row>
    <row r="122" spans="2:6" x14ac:dyDescent="0.25">
      <c r="B122" s="44" t="str">
        <f>'Γενικό Αποτέλεσμα'!A209</f>
        <v>Ενέργεια Αριστοφάνους 1</v>
      </c>
      <c r="C122" s="36">
        <f>'Γενικό Αποτέλεσμα'!AD331</f>
        <v>0</v>
      </c>
      <c r="D122" s="36">
        <f>'Γενικό Αποτέλεσμα'!AA209</f>
        <v>0</v>
      </c>
      <c r="E122" s="36">
        <f t="shared" si="7"/>
        <v>0</v>
      </c>
      <c r="F122" s="44" t="str">
        <f t="shared" si="6"/>
        <v>0%</v>
      </c>
    </row>
    <row r="123" spans="2:6" x14ac:dyDescent="0.25">
      <c r="B123" s="44" t="str">
        <f>'Γενικό Αποτέλεσμα'!A210</f>
        <v xml:space="preserve">Τηλεπικοινωνίες (Τηλεφωνία &amp; Διαδίκτυο) </v>
      </c>
      <c r="C123" s="36">
        <f>'Γενικό Αποτέλεσμα'!AD332</f>
        <v>0</v>
      </c>
      <c r="D123" s="36">
        <f>'Γενικό Αποτέλεσμα'!AA210</f>
        <v>0</v>
      </c>
      <c r="E123" s="36">
        <f t="shared" si="7"/>
        <v>0</v>
      </c>
      <c r="F123" s="44" t="str">
        <f t="shared" si="6"/>
        <v>0%</v>
      </c>
    </row>
    <row r="124" spans="2:6" x14ac:dyDescent="0.25">
      <c r="B124" s="44" t="str">
        <f>'Γενικό Αποτέλεσμα'!A211</f>
        <v xml:space="preserve">Υδρευση </v>
      </c>
      <c r="C124" s="36">
        <f>'Γενικό Αποτέλεσμα'!AD333</f>
        <v>0</v>
      </c>
      <c r="D124" s="36">
        <f>'Γενικό Αποτέλεσμα'!AA211</f>
        <v>0</v>
      </c>
      <c r="E124" s="36">
        <f t="shared" si="7"/>
        <v>0</v>
      </c>
      <c r="F124" s="44" t="str">
        <f t="shared" si="6"/>
        <v>0%</v>
      </c>
    </row>
    <row r="125" spans="2:6" x14ac:dyDescent="0.25">
      <c r="B125" s="44" t="str">
        <f>'Γενικό Αποτέλεσμα'!A212</f>
        <v xml:space="preserve">Ασφάλιστρα </v>
      </c>
      <c r="C125" s="36">
        <f>'Γενικό Αποτέλεσμα'!AD334</f>
        <v>0</v>
      </c>
      <c r="D125" s="36">
        <f>'Γενικό Αποτέλεσμα'!AA212</f>
        <v>1086.5899999999999</v>
      </c>
      <c r="E125" s="36">
        <f t="shared" si="7"/>
        <v>1086.5899999999999</v>
      </c>
      <c r="F125" s="44" t="str">
        <f t="shared" si="6"/>
        <v>0%</v>
      </c>
    </row>
    <row r="126" spans="2:6" x14ac:dyDescent="0.25">
      <c r="B126" s="44" t="str">
        <f>'Γενικό Αποτέλεσμα'!A213</f>
        <v xml:space="preserve">Έντυπα και γραφική Ύλη </v>
      </c>
      <c r="C126" s="36">
        <f>'Γενικό Αποτέλεσμα'!AD335</f>
        <v>0</v>
      </c>
      <c r="D126" s="36">
        <f>'Γενικό Αποτέλεσμα'!AA213</f>
        <v>5242.7299999999996</v>
      </c>
      <c r="E126" s="36">
        <f t="shared" si="7"/>
        <v>5242.7299999999996</v>
      </c>
      <c r="F126" s="44" t="str">
        <f t="shared" si="6"/>
        <v>0%</v>
      </c>
    </row>
    <row r="127" spans="2:6" x14ac:dyDescent="0.25">
      <c r="B127" s="44" t="str">
        <f>'Γενικό Αποτέλεσμα'!A214</f>
        <v xml:space="preserve">Υλικά Καθαριότητας </v>
      </c>
      <c r="C127" s="36">
        <f>'Γενικό Αποτέλεσμα'!AD336</f>
        <v>0</v>
      </c>
      <c r="D127" s="36">
        <f>'Γενικό Αποτέλεσμα'!AA214</f>
        <v>4600.62</v>
      </c>
      <c r="E127" s="36">
        <f t="shared" si="7"/>
        <v>4600.62</v>
      </c>
      <c r="F127" s="44" t="str">
        <f t="shared" si="6"/>
        <v>0%</v>
      </c>
    </row>
    <row r="128" spans="2:6" x14ac:dyDescent="0.25">
      <c r="B128" s="44" t="str">
        <f>'Γενικό Αποτέλεσμα'!A215</f>
        <v>Υλικά Φαρμακείου</v>
      </c>
      <c r="C128" s="36">
        <f>'Γενικό Αποτέλεσμα'!AD337</f>
        <v>901.3</v>
      </c>
      <c r="D128" s="36">
        <f>'Γενικό Αποτέλεσμα'!AA215</f>
        <v>2050.08</v>
      </c>
      <c r="E128" s="36">
        <f t="shared" si="7"/>
        <v>1148.78</v>
      </c>
      <c r="F128" s="44" t="str">
        <f t="shared" si="6"/>
        <v>+127%</v>
      </c>
    </row>
    <row r="129" spans="2:7" x14ac:dyDescent="0.25">
      <c r="B129" s="44" t="str">
        <f>'Γενικό Αποτέλεσμα'!A216</f>
        <v>Διάφορα αναλώσιμα</v>
      </c>
      <c r="C129" s="36">
        <f>'Γενικό Αποτέλεσμα'!AD338</f>
        <v>3900</v>
      </c>
      <c r="D129" s="36">
        <f>'Γενικό Αποτέλεσμα'!AA216</f>
        <v>345.75</v>
      </c>
      <c r="E129" s="36">
        <f t="shared" si="7"/>
        <v>-3554.25</v>
      </c>
      <c r="F129" s="44" t="str">
        <f t="shared" si="6"/>
        <v>-91%</v>
      </c>
    </row>
    <row r="130" spans="2:7" ht="28.5" x14ac:dyDescent="0.25">
      <c r="B130" s="44" t="str">
        <f>'Γενικό Αποτέλεσμα'!A217</f>
        <v>Αμοιβές συνεργατών ( Εξωτερικοί Συνεργάτες Λογιστής - Μισθοδοσία Δικηγόρος )</v>
      </c>
      <c r="C130" s="36">
        <f>'Γενικό Αποτέλεσμα'!AD339</f>
        <v>0</v>
      </c>
      <c r="D130" s="36">
        <f>'Γενικό Αποτέλεσμα'!AA217</f>
        <v>0</v>
      </c>
      <c r="E130" s="36">
        <f t="shared" si="7"/>
        <v>0</v>
      </c>
      <c r="F130" s="44" t="str">
        <f t="shared" si="6"/>
        <v>0%</v>
      </c>
    </row>
    <row r="131" spans="2:7" ht="28.5" x14ac:dyDescent="0.25">
      <c r="B131" s="44" t="str">
        <f>'Γενικό Αποτέλεσμα'!A218</f>
        <v>Αμοιβές Τρίτων (Αμοιβές - Συνδρομές για υποστήριξη Pylon Συναγερμός - Διατακτικές)</v>
      </c>
      <c r="C131" s="36">
        <f>'Γενικό Αποτέλεσμα'!AD340</f>
        <v>0</v>
      </c>
      <c r="D131" s="36">
        <f>'Γενικό Αποτέλεσμα'!AA218</f>
        <v>0</v>
      </c>
      <c r="E131" s="36">
        <f t="shared" si="7"/>
        <v>0</v>
      </c>
      <c r="F131" s="44" t="str">
        <f t="shared" si="6"/>
        <v>0%</v>
      </c>
    </row>
    <row r="132" spans="2:7" x14ac:dyDescent="0.25">
      <c r="B132" s="44" t="str">
        <f>'Γενικό Αποτέλεσμα'!A219</f>
        <v>Επισκευές - Συντηρήσεις</v>
      </c>
      <c r="C132" s="36">
        <f>'Γενικό Αποτέλεσμα'!AD341</f>
        <v>600.92999999999995</v>
      </c>
      <c r="D132" s="36">
        <f>'Γενικό Αποτέλεσμα'!AA219</f>
        <v>4137.37</v>
      </c>
      <c r="E132" s="36">
        <f t="shared" si="7"/>
        <v>3536.44</v>
      </c>
      <c r="F132" s="44" t="str">
        <f t="shared" si="6"/>
        <v>+588%</v>
      </c>
    </row>
    <row r="133" spans="2:7" x14ac:dyDescent="0.25">
      <c r="B133" s="44" t="str">
        <f>'Γενικό Αποτέλεσμα'!A220</f>
        <v xml:space="preserve">Εξοδα μεταφορών </v>
      </c>
      <c r="C133" s="36">
        <f>'Γενικό Αποτέλεσμα'!AD342</f>
        <v>0</v>
      </c>
      <c r="D133" s="36">
        <f>'Γενικό Αποτέλεσμα'!AA220</f>
        <v>0</v>
      </c>
      <c r="E133" s="36">
        <f t="shared" si="7"/>
        <v>0</v>
      </c>
      <c r="F133" s="44" t="str">
        <f t="shared" si="6"/>
        <v>0%</v>
      </c>
    </row>
    <row r="134" spans="2:7" x14ac:dyDescent="0.25">
      <c r="B134" s="44" t="str">
        <f>'Γενικό Αποτέλεσμα'!A221</f>
        <v xml:space="preserve">Εξοδα ταξιδίων </v>
      </c>
      <c r="C134" s="36">
        <f>'Γενικό Αποτέλεσμα'!AD343</f>
        <v>0</v>
      </c>
      <c r="D134" s="36">
        <f>'Γενικό Αποτέλεσμα'!AA221</f>
        <v>2393.4199999999996</v>
      </c>
      <c r="E134" s="36">
        <f t="shared" si="7"/>
        <v>2393.4199999999996</v>
      </c>
      <c r="F134" s="44" t="str">
        <f t="shared" si="6"/>
        <v>0%</v>
      </c>
    </row>
    <row r="135" spans="2:7" x14ac:dyDescent="0.25">
      <c r="B135" s="44" t="str">
        <f>'Γενικό Αποτέλεσμα'!A222</f>
        <v xml:space="preserve">Υλικά άμεσης ανάλωσης </v>
      </c>
      <c r="C135" s="36">
        <f>'Γενικό Αποτέλεσμα'!AD344</f>
        <v>0</v>
      </c>
      <c r="D135" s="36">
        <f>'Γενικό Αποτέλεσμα'!AA222</f>
        <v>0</v>
      </c>
      <c r="E135" s="36">
        <f t="shared" si="7"/>
        <v>0</v>
      </c>
      <c r="F135" s="44" t="str">
        <f t="shared" si="6"/>
        <v>0%</v>
      </c>
    </row>
    <row r="136" spans="2:7" x14ac:dyDescent="0.25">
      <c r="B136" s="44" t="str">
        <f>'Γενικό Αποτέλεσμα'!A223</f>
        <v xml:space="preserve">Φόροι και τέλη </v>
      </c>
      <c r="C136" s="36">
        <f>'Γενικό Αποτέλεσμα'!AD345</f>
        <v>0</v>
      </c>
      <c r="D136" s="36">
        <f>'Γενικό Αποτέλεσμα'!AA223</f>
        <v>9332.0400000000009</v>
      </c>
      <c r="E136" s="36">
        <f t="shared" si="7"/>
        <v>9332.0400000000009</v>
      </c>
      <c r="F136" s="44" t="str">
        <f t="shared" si="6"/>
        <v>0%</v>
      </c>
    </row>
    <row r="137" spans="2:7" x14ac:dyDescent="0.25">
      <c r="B137" s="44" t="str">
        <f>'Γενικό Αποτέλεσμα'!A224</f>
        <v>Εξοδα δημοσιεύσεων</v>
      </c>
      <c r="C137" s="36">
        <f>'Γενικό Αποτέλεσμα'!AD346</f>
        <v>556.22</v>
      </c>
      <c r="D137" s="36">
        <f>'Γενικό Αποτέλεσμα'!AA224</f>
        <v>2070.54</v>
      </c>
      <c r="E137" s="36">
        <f t="shared" si="7"/>
        <v>1514.32</v>
      </c>
      <c r="F137" s="44" t="str">
        <f t="shared" si="6"/>
        <v>+272%</v>
      </c>
    </row>
    <row r="138" spans="2:7" x14ac:dyDescent="0.25">
      <c r="B138" s="44" t="str">
        <f>'Γενικό Αποτέλεσμα'!A225</f>
        <v xml:space="preserve">Λοιπά Διάφορα έξοδα </v>
      </c>
      <c r="C138" s="36">
        <f>'Γενικό Αποτέλεσμα'!AD347</f>
        <v>0</v>
      </c>
      <c r="D138" s="36">
        <f>'Γενικό Αποτέλεσμα'!AA225</f>
        <v>0</v>
      </c>
      <c r="E138" s="36">
        <f t="shared" si="7"/>
        <v>0</v>
      </c>
      <c r="F138" s="44" t="str">
        <f t="shared" si="6"/>
        <v>0%</v>
      </c>
    </row>
    <row r="139" spans="2:7" x14ac:dyDescent="0.25">
      <c r="B139" s="44" t="str">
        <f>'Γενικό Αποτέλεσμα'!A226</f>
        <v xml:space="preserve">Τόκοι και συναφή εξοδα </v>
      </c>
      <c r="C139" s="36">
        <f>'Γενικό Αποτέλεσμα'!AD348</f>
        <v>0</v>
      </c>
      <c r="D139" s="36">
        <f>'Γενικό Αποτέλεσμα'!AA226</f>
        <v>0</v>
      </c>
      <c r="E139" s="36">
        <f t="shared" si="7"/>
        <v>0</v>
      </c>
      <c r="F139" s="44" t="str">
        <f t="shared" si="6"/>
        <v>0%</v>
      </c>
    </row>
    <row r="140" spans="2:7" ht="28.5" x14ac:dyDescent="0.25">
      <c r="B140" s="44" t="str">
        <f>'Γενικό Αποτέλεσμα'!A227</f>
        <v xml:space="preserve">Αποσβέσεις ( Εξοπλισμού Διοίκησης και εγκαταστάσεων στην έδρα και αποθήκες ) </v>
      </c>
      <c r="C140" s="36">
        <f>'Γενικό Αποτέλεσμα'!AD349</f>
        <v>0</v>
      </c>
      <c r="D140" s="36">
        <f>'Γενικό Αποτέλεσμα'!AA227</f>
        <v>0</v>
      </c>
      <c r="E140" s="36">
        <f t="shared" si="7"/>
        <v>0</v>
      </c>
      <c r="F140" s="44" t="str">
        <f t="shared" si="6"/>
        <v>0%</v>
      </c>
    </row>
    <row r="141" spans="2:7" x14ac:dyDescent="0.25">
      <c r="B141" s="44" t="str">
        <f>'Γενικό Αποτέλεσμα'!A228</f>
        <v xml:space="preserve">Ασυνήθη έξοδα </v>
      </c>
      <c r="C141" s="36">
        <f>'Γενικό Αποτέλεσμα'!AD350</f>
        <v>0</v>
      </c>
      <c r="D141" s="36">
        <f>'Γενικό Αποτέλεσμα'!AA228</f>
        <v>0</v>
      </c>
      <c r="E141" s="36">
        <f t="shared" si="7"/>
        <v>0</v>
      </c>
      <c r="F141" s="44" t="str">
        <f t="shared" si="6"/>
        <v>0%</v>
      </c>
    </row>
    <row r="142" spans="2:7" x14ac:dyDescent="0.25">
      <c r="B142" s="44">
        <f>'Γενικό Αποτέλεσμα'!A229</f>
        <v>0</v>
      </c>
      <c r="C142" s="36">
        <f>'Γενικό Αποτέλεσμα'!AD351</f>
        <v>0</v>
      </c>
      <c r="D142" s="36">
        <f>'Γενικό Αποτέλεσμα'!AA229</f>
        <v>0</v>
      </c>
      <c r="E142" s="36">
        <f t="shared" si="7"/>
        <v>0</v>
      </c>
      <c r="F142" s="44" t="str">
        <f t="shared" ref="F142:F143" si="8">IF(C142=0, "0%", IF((D142 - C142) / C142 &gt;= 0, "+" &amp; TEXT((D142 - C142) / C142, "#.##%"), TEXT((D142 - C142) / C142, "#.##%")))</f>
        <v>0%</v>
      </c>
    </row>
    <row r="143" spans="2:7" x14ac:dyDescent="0.25">
      <c r="B143" s="44">
        <f>'Γενικό Αποτέλεσμα'!A230</f>
        <v>0</v>
      </c>
      <c r="C143" s="36">
        <f>'Γενικό Αποτέλεσμα'!AD352</f>
        <v>0</v>
      </c>
      <c r="D143" s="36">
        <f>'Γενικό Αποτέλεσμα'!AA230</f>
        <v>0</v>
      </c>
      <c r="E143" s="36">
        <f t="shared" si="7"/>
        <v>0</v>
      </c>
      <c r="F143" s="44" t="str">
        <f t="shared" si="8"/>
        <v>0%</v>
      </c>
    </row>
    <row r="144" spans="2:7" x14ac:dyDescent="0.25">
      <c r="B144" s="46" t="s">
        <v>154</v>
      </c>
      <c r="C144" s="36">
        <f>SUM(C104:C142)</f>
        <v>13596.289999999999</v>
      </c>
      <c r="D144" s="36">
        <f>SUM(D104:D142)</f>
        <v>40633.409999999996</v>
      </c>
      <c r="E144" s="36">
        <f>SUM(E104:E142)</f>
        <v>27037.120000000003</v>
      </c>
      <c r="F144" s="44" t="str">
        <f>IF(C144=0, "0%", IF((D144 - C144) / C144 &gt;= 0, "+" &amp; TEXT((D144 - C144) / C144, "#.##%"), TEXT((D144 - C144) / C144, "#.##%")))</f>
        <v>+199%</v>
      </c>
      <c r="G144" t="s">
        <v>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2025 Ιανουάριος</vt:lpstr>
      <vt:lpstr>2025 Φεβρουάριος</vt:lpstr>
      <vt:lpstr>2025 Μάρτιος</vt:lpstr>
      <vt:lpstr>2025 Απρίλιος</vt:lpstr>
      <vt:lpstr>2025 Μάιος</vt:lpstr>
      <vt:lpstr>2025 Ιούνιος</vt:lpstr>
      <vt:lpstr>2025 Ιούλιος</vt:lpstr>
      <vt:lpstr>2025 Aύγουστος</vt:lpstr>
      <vt:lpstr>2025 Σεπτέμβριος</vt:lpstr>
      <vt:lpstr>2025 Οκτώβριος</vt:lpstr>
      <vt:lpstr>2025 Νοέμβριος</vt:lpstr>
      <vt:lpstr>2025 Δεκέμβριος</vt:lpstr>
      <vt:lpstr>Γενικό Αποτέλεσμα</vt:lpstr>
      <vt:lpstr>Διαφορές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Sarantis Paltadakis</dc:creator>
  <cp:lastModifiedBy>Thomas Nioras</cp:lastModifiedBy>
  <dcterms:created xsi:type="dcterms:W3CDTF">2025-06-03T19:20:20Z</dcterms:created>
  <dcterms:modified xsi:type="dcterms:W3CDTF">2026-01-20T12:06:24Z</dcterms:modified>
</cp:coreProperties>
</file>